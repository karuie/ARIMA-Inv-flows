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iminyan/SJP_doc/"/>
    </mc:Choice>
  </mc:AlternateContent>
  <xr:revisionPtr revIDLastSave="0" documentId="13_ncr:1_{ED6A5231-21DB-3E45-8CE4-67D43D762A52}" xr6:coauthVersionLast="47" xr6:coauthVersionMax="47" xr10:uidLastSave="{00000000-0000-0000-0000-000000000000}"/>
  <bookViews>
    <workbookView xWindow="480" yWindow="120" windowWidth="24540" windowHeight="16040" tabRatio="829" activeTab="3" xr2:uid="{00000000-000D-0000-FFFF-FFFF00000000}"/>
  </bookViews>
  <sheets>
    <sheet name="Fund List" sheetId="1" state="hidden" r:id="rId1"/>
    <sheet name="Attribute Map" sheetId="5" state="hidden" r:id="rId2"/>
    <sheet name="Template" sheetId="10" state="veryHidden" r:id="rId3"/>
    <sheet name="Main" sheetId="2" r:id="rId4"/>
    <sheet name="Equity" sheetId="2496" r:id="rId5"/>
    <sheet name="FI" sheetId="2497" r:id="rId6"/>
    <sheet name="Exception" sheetId="7" state="hidden" r:id="rId7"/>
    <sheet name="Setting" sheetId="8" state="hidden" r:id="rId8"/>
    <sheet name="Lists" sheetId="9" state="hidden" r:id="rId9"/>
    <sheet name="ViewData" sheetId="3" state="hidden" r:id="rId10"/>
  </sheets>
  <definedNames>
    <definedName name="_xlnm._FilterDatabase" localSheetId="6" hidden="1">Exception!$D$1:$E$158</definedName>
    <definedName name="Acc_AUM_Ret">OFFSET(ViewData!$N$37,0,0,ViewData!$G$35,1)</definedName>
    <definedName name="Acc_Equal_Ret">OFFSET(ViewData!$O$37,0,0,ViewData!$G$35,1)</definedName>
    <definedName name="AccIn">OFFSET(ViewData!$K$37,0,0,ViewData!$G$35,1)</definedName>
    <definedName name="AccNet">OFFSET(ViewData!$M$37,0,0,ViewData!$G$35,1)</definedName>
    <definedName name="AccOut">OFFSET(ViewData!$L$37,0,0,ViewData!$G$35,1)</definedName>
    <definedName name="Attribute">OFFSET(ViewData!$B$38,0,0,ViewData!$D$36,1)</definedName>
    <definedName name="Attribute_Custom">OFFSET(ViewData!$D$38,0,0,ViewData!$D$36,1)</definedName>
    <definedName name="Attribute_Last">OFFSET(ViewData!$C$38,0,0,ViewData!$D$36,1)</definedName>
    <definedName name="AttributeMap">'Attribute Map'!$C$9</definedName>
    <definedName name="AttributeRanked_Custom">OFFSET(ViewData!$V$38,0,0,ViewData!$T$37,1)</definedName>
    <definedName name="AttributeRanked_Last">OFFSET(ViewData!$T$38,0,0,ViewData!$T$37,1)</definedName>
    <definedName name="CalcMode">Setting!$J$43</definedName>
    <definedName name="Ccy">Setting!$D$43</definedName>
    <definedName name="Comp_1">OFFSET(ViewData!$Y$11,0,0,ViewData!$Y$6,1)</definedName>
    <definedName name="Comp_2">OFFSET(ViewData!$Z$11,0,0,ViewData!$Y$6,1)</definedName>
    <definedName name="Comp_3">OFFSET(ViewData!$AA$11,0,0,ViewData!$Y$6,1)</definedName>
    <definedName name="Comp_4">OFFSET(ViewData!$AB$11,0,0,ViewData!$Y$6,1)</definedName>
    <definedName name="Comp_5">OFFSET(ViewData!$AC$11,0,0,ViewData!$Y$6,1)</definedName>
    <definedName name="CompareData">ViewData!$AK$10</definedName>
    <definedName name="CompareData_AUM">ViewData!$AQ$10</definedName>
    <definedName name="CompFlow">Main!$T$15</definedName>
    <definedName name="CompMode">Setting!$J$44</definedName>
    <definedName name="CurrentSelection">Main!$K$7</definedName>
    <definedName name="CustomFieldStart">Setting!$A$1</definedName>
    <definedName name="DataFillCutOff">Setting!$M$44</definedName>
    <definedName name="DataFillFlag">Setting!$M$43</definedName>
    <definedName name="DataMissing">Exception!$D$2</definedName>
    <definedName name="Dts">OFFSET(ViewData!$G$37,0,0,ViewData!$G$35,1)</definedName>
    <definedName name="DtsStr">OFFSET(ViewData!$F$37,0,0,ViewData!$G$35,1)</definedName>
    <definedName name="Dummy">OFFSET(ViewData!$F$37,0,0,ViewData!$G$35,1)</definedName>
    <definedName name="EndDate">Setting!$B$44</definedName>
    <definedName name="ExDataFund">ViewData!$C$5</definedName>
    <definedName name="ExMoneyFund">ViewData!$C$4</definedName>
    <definedName name="FieldList">Setting!$A$2</definedName>
    <definedName name="FundList">'Fund List'!$C$10</definedName>
    <definedName name="HistFundAUM">ViewData!$P$37</definedName>
    <definedName name="HistFundFlow">ViewData!$G$37</definedName>
    <definedName name="HistFundPerformance">ViewData!$N$37</definedName>
    <definedName name="HLPBRD_IB">#REF!</definedName>
    <definedName name="HLPBRD_IR">#REF!</definedName>
    <definedName name="HLPBRD_OBR">#REF!</definedName>
    <definedName name="In">OFFSET(ViewData!$H$37,0,0,ViewData!$G$35,1)</definedName>
    <definedName name="isSorting">Setting!$G$44</definedName>
    <definedName name="Limit">Setting!$P$43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inTableBottomMark">Main!$T$17</definedName>
    <definedName name="Net">OFFSET(ViewData!$J$37,0,0,ViewData!$G$35,1)</definedName>
    <definedName name="NextLevelAttribute">ViewData!$B$38</definedName>
    <definedName name="NonNAV">Exception!$B$2</definedName>
    <definedName name="NumComp">ViewData!$Z$7</definedName>
    <definedName name="Original">ViewData!$C$3</definedName>
    <definedName name="Out">OFFSET(ViewData!$I$37,0,0,ViewData!$G$35,1)</definedName>
    <definedName name="Output">Main!$B$16</definedName>
    <definedName name="Per">Setting!$B$45</definedName>
    <definedName name="QuickPer">Setting!$A$49</definedName>
    <definedName name="RawData">#REF!</definedName>
    <definedName name="RelFlowCalcAUM">Setting!$M$45</definedName>
    <definedName name="ReportStart">Setting!$A$61</definedName>
    <definedName name="ReturnDaily">Setting!$P$45</definedName>
    <definedName name="RunLink">'Fund List'!$C$2</definedName>
    <definedName name="ShowUpTo">Main!$D$14</definedName>
    <definedName name="ShowUpToFields">Setting!$C$3</definedName>
    <definedName name="ShowWarning">Setting!$A$68</definedName>
    <definedName name="Skip">Setting!$D$45</definedName>
    <definedName name="SortBy">Setting!$G$43</definedName>
    <definedName name="SortShowUpTo">Setting!$G$45</definedName>
    <definedName name="StartDate">Setting!$B$43</definedName>
    <definedName name="SubUniverse">Main!$I$15</definedName>
    <definedName name="Top10InFlowSE">ViewData!$H$12:$I$21</definedName>
    <definedName name="Top10OutSE">ViewData!$H$25:$I$34</definedName>
    <definedName name="TopInFlowTicker">OFFSET(ViewData!$H$12,0,0,ViewData!$H$10,1)</definedName>
    <definedName name="TopInFlowVal">OFFSET(ViewData!$L$12,0,0,ViewData!$H$10,1)</definedName>
    <definedName name="TopOutFlowTicker">OFFSET(ViewData!$H$25,0,0,ViewData!$H$23,1)</definedName>
    <definedName name="TopOutFlowVal">OFFSET(ViewData!$L$25,0,0,ViewData!$H$23,1)</definedName>
    <definedName name="Unit">Setting!$P$44</definedName>
    <definedName name="ValueRanked_Custom">OFFSET(ViewData!$W$38,0,0,ViewData!$T$37,1)</definedName>
    <definedName name="ValueRanked_Last">OFFSET(ViewData!$U$38,0,0,ViewData!$T$37,1)</definedName>
    <definedName name="ViewAttributeList">OFFSET(Setting!$C$3,0,0,COUNTA(Setting!$C$3:$C$16),1)</definedName>
    <definedName name="ViewList">OFFSET(Setting!$D$2,0,0,1,Setting!$C$1)</definedName>
    <definedName name="ViewName">Setting!$D$44</definedName>
    <definedName name="ViewStart">Setting!$D$2</definedName>
    <definedName name="ViewStructure">Main!$B$12</definedName>
    <definedName name="Yimin">Main!$B$12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57" i="2496" l="1"/>
  <c r="J74" i="2496"/>
  <c r="M48" i="2496"/>
  <c r="M67" i="2496"/>
  <c r="C76" i="2496"/>
  <c r="C68" i="2496"/>
  <c r="C43" i="2496"/>
  <c r="C71" i="2496"/>
  <c r="C45" i="2496"/>
  <c r="M71" i="2496"/>
  <c r="M44" i="2496"/>
  <c r="C44" i="2496"/>
  <c r="J73" i="2496"/>
  <c r="J46" i="2496"/>
  <c r="J76" i="2496"/>
  <c r="S57" i="2496"/>
  <c r="J68" i="2496"/>
  <c r="J43" i="2496"/>
  <c r="S67" i="2496"/>
  <c r="C73" i="2496"/>
  <c r="C46" i="2496"/>
  <c r="S71" i="2496"/>
  <c r="S44" i="2496"/>
  <c r="C74" i="2496"/>
  <c r="J71" i="2496"/>
  <c r="J45" i="2496"/>
  <c r="S48" i="2496"/>
  <c r="J44" i="2496"/>
  <c r="J25" i="3"/>
  <c r="M60" i="2496"/>
  <c r="M33" i="2496"/>
  <c r="J33" i="2496"/>
  <c r="S47" i="2496"/>
  <c r="J19" i="3"/>
  <c r="M72" i="2496"/>
  <c r="M37" i="2496"/>
  <c r="C72" i="2496"/>
  <c r="C42" i="2496"/>
  <c r="J69" i="2496"/>
  <c r="J49" i="2496"/>
  <c r="M47" i="2496"/>
  <c r="M28" i="2496"/>
  <c r="S60" i="2496"/>
  <c r="S33" i="2496"/>
  <c r="J50" i="2496"/>
  <c r="S28" i="2496"/>
  <c r="S37" i="2496"/>
  <c r="S72" i="2496"/>
  <c r="C33" i="2496"/>
  <c r="J30" i="3"/>
  <c r="S68" i="2496"/>
  <c r="C50" i="2496"/>
  <c r="C69" i="2496"/>
  <c r="C49" i="2496"/>
  <c r="M68" i="2496"/>
  <c r="J72" i="2496"/>
  <c r="J42" i="2496"/>
  <c r="S73" i="2496"/>
  <c r="S43" i="2496"/>
  <c r="C29" i="2496"/>
  <c r="J62" i="2496"/>
  <c r="S41" i="2496"/>
  <c r="S74" i="2496"/>
  <c r="S75" i="2496"/>
  <c r="S50" i="2496"/>
  <c r="M45" i="2496"/>
  <c r="S56" i="2496"/>
  <c r="M46" i="2496"/>
  <c r="J13" i="3"/>
  <c r="M75" i="2496"/>
  <c r="M50" i="2496"/>
  <c r="M56" i="2496"/>
  <c r="M41" i="2496"/>
  <c r="S46" i="2496"/>
  <c r="M74" i="2496"/>
  <c r="C62" i="2496"/>
  <c r="C61" i="2496"/>
  <c r="S45" i="2496"/>
  <c r="J29" i="2496"/>
  <c r="J61" i="2496"/>
  <c r="M73" i="2496"/>
  <c r="M43" i="2496"/>
  <c r="J71" i="2497"/>
  <c r="J44" i="2497"/>
  <c r="C73" i="2497"/>
  <c r="C50" i="2497"/>
  <c r="J62" i="2497"/>
  <c r="S54" i="2497"/>
  <c r="S30" i="2497"/>
  <c r="J56" i="2497"/>
  <c r="J30" i="2497"/>
  <c r="S58" i="2497"/>
  <c r="S32" i="2497"/>
  <c r="C56" i="2497"/>
  <c r="C30" i="2497"/>
  <c r="C58" i="2497"/>
  <c r="C62" i="2497"/>
  <c r="M61" i="2497"/>
  <c r="M33" i="2497"/>
  <c r="M58" i="2497"/>
  <c r="M32" i="2497"/>
  <c r="J73" i="2497"/>
  <c r="J50" i="2497"/>
  <c r="J59" i="2497"/>
  <c r="M54" i="2497"/>
  <c r="M30" i="2497"/>
  <c r="C71" i="2497"/>
  <c r="C44" i="2497"/>
  <c r="J58" i="2497"/>
  <c r="C59" i="2497"/>
  <c r="S61" i="2497"/>
  <c r="S33" i="2497"/>
  <c r="J54" i="2497"/>
  <c r="J33" i="2497"/>
  <c r="C54" i="2497"/>
  <c r="C33" i="2497"/>
  <c r="S69" i="2496"/>
  <c r="M36" i="2496"/>
  <c r="J54" i="2496"/>
  <c r="J36" i="2496"/>
  <c r="S36" i="2496"/>
  <c r="C56" i="2496"/>
  <c r="S76" i="2496"/>
  <c r="J29" i="3"/>
  <c r="S54" i="2496"/>
  <c r="S35" i="2496"/>
  <c r="S62" i="2496"/>
  <c r="M54" i="2496"/>
  <c r="M35" i="2496"/>
  <c r="S58" i="2496"/>
  <c r="J55" i="2496"/>
  <c r="C54" i="2496"/>
  <c r="C36" i="2496"/>
  <c r="C55" i="2496"/>
  <c r="M32" i="2496"/>
  <c r="J33" i="3"/>
  <c r="M62" i="2496"/>
  <c r="J32" i="3"/>
  <c r="S32" i="2496"/>
  <c r="M69" i="2496"/>
  <c r="M76" i="2496"/>
  <c r="M58" i="2496"/>
  <c r="J56" i="2496"/>
  <c r="J75" i="2496"/>
  <c r="J48" i="2496"/>
  <c r="J60" i="2496"/>
  <c r="C60" i="2496"/>
  <c r="C30" i="2496"/>
  <c r="S61" i="2496"/>
  <c r="J47" i="2496"/>
  <c r="J37" i="2496"/>
  <c r="C37" i="2496"/>
  <c r="C75" i="2496"/>
  <c r="C48" i="2496"/>
  <c r="C47" i="2496"/>
  <c r="J30" i="2496"/>
  <c r="M49" i="2496"/>
  <c r="J31" i="3"/>
  <c r="C58" i="2496"/>
  <c r="M34" i="2496"/>
  <c r="J14" i="3"/>
  <c r="S49" i="2496"/>
  <c r="J58" i="2496"/>
  <c r="M61" i="2496"/>
  <c r="C57" i="2496"/>
  <c r="S34" i="2496"/>
  <c r="J57" i="2496"/>
  <c r="J16" i="3"/>
  <c r="J27" i="3"/>
  <c r="J26" i="3"/>
  <c r="J34" i="3"/>
  <c r="J18" i="3"/>
  <c r="J69" i="2497"/>
  <c r="J46" i="2497"/>
  <c r="C69" i="2497"/>
  <c r="C46" i="2497"/>
  <c r="C67" i="2497"/>
  <c r="C48" i="2497"/>
  <c r="J67" i="2497"/>
  <c r="J48" i="2497"/>
  <c r="P67" i="2497"/>
  <c r="P68" i="2497"/>
  <c r="P69" i="2497"/>
  <c r="P70" i="2497"/>
  <c r="P71" i="2497"/>
  <c r="P72" i="2497"/>
  <c r="P73" i="2497"/>
  <c r="P74" i="2497"/>
  <c r="P75" i="2497"/>
  <c r="P76" i="2497"/>
  <c r="L67" i="2497"/>
  <c r="L68" i="2497"/>
  <c r="L69" i="2497"/>
  <c r="L70" i="2497"/>
  <c r="L71" i="2497"/>
  <c r="L72" i="2497"/>
  <c r="L73" i="2497"/>
  <c r="L74" i="2497"/>
  <c r="L75" i="2497"/>
  <c r="L76" i="2497"/>
  <c r="G67" i="2497"/>
  <c r="G68" i="2497"/>
  <c r="G69" i="2497"/>
  <c r="G70" i="2497"/>
  <c r="G71" i="2497"/>
  <c r="G72" i="2497"/>
  <c r="G73" i="2497"/>
  <c r="G74" i="2497"/>
  <c r="G75" i="2497"/>
  <c r="G76" i="2497"/>
  <c r="B67" i="2497"/>
  <c r="B68" i="2497"/>
  <c r="B69" i="2497"/>
  <c r="B70" i="2497"/>
  <c r="B71" i="2497"/>
  <c r="B72" i="2497"/>
  <c r="B73" i="2497"/>
  <c r="B74" i="2497"/>
  <c r="B75" i="2497"/>
  <c r="B76" i="2497"/>
  <c r="P54" i="2497"/>
  <c r="P55" i="2497"/>
  <c r="P56" i="2497"/>
  <c r="P57" i="2497"/>
  <c r="P58" i="2497"/>
  <c r="P59" i="2497"/>
  <c r="P60" i="2497"/>
  <c r="P61" i="2497"/>
  <c r="P62" i="2497"/>
  <c r="P63" i="2497"/>
  <c r="L54" i="2497"/>
  <c r="L55" i="2497"/>
  <c r="L56" i="2497"/>
  <c r="L57" i="2497"/>
  <c r="L58" i="2497"/>
  <c r="L59" i="2497"/>
  <c r="L60" i="2497"/>
  <c r="L61" i="2497"/>
  <c r="L62" i="2497"/>
  <c r="L63" i="2497"/>
  <c r="G54" i="2497"/>
  <c r="G55" i="2497"/>
  <c r="G56" i="2497"/>
  <c r="G57" i="2497"/>
  <c r="G58" i="2497"/>
  <c r="G59" i="2497"/>
  <c r="G60" i="2497"/>
  <c r="G61" i="2497"/>
  <c r="G62" i="2497"/>
  <c r="G63" i="2497"/>
  <c r="B54" i="2497"/>
  <c r="B55" i="2497"/>
  <c r="B56" i="2497"/>
  <c r="B57" i="2497"/>
  <c r="B58" i="2497"/>
  <c r="B59" i="2497"/>
  <c r="B60" i="2497"/>
  <c r="B61" i="2497"/>
  <c r="B62" i="2497"/>
  <c r="B63" i="2497"/>
  <c r="P41" i="2497"/>
  <c r="P42" i="2497"/>
  <c r="P43" i="2497"/>
  <c r="P44" i="2497"/>
  <c r="P45" i="2497"/>
  <c r="P46" i="2497"/>
  <c r="P47" i="2497"/>
  <c r="P48" i="2497"/>
  <c r="P49" i="2497"/>
  <c r="P50" i="2497"/>
  <c r="L41" i="2497"/>
  <c r="L42" i="2497"/>
  <c r="L43" i="2497"/>
  <c r="L44" i="2497"/>
  <c r="L45" i="2497"/>
  <c r="L46" i="2497"/>
  <c r="L47" i="2497"/>
  <c r="L48" i="2497"/>
  <c r="L49" i="2497"/>
  <c r="L50" i="2497"/>
  <c r="G41" i="2497"/>
  <c r="G42" i="2497"/>
  <c r="G43" i="2497"/>
  <c r="G44" i="2497"/>
  <c r="G45" i="2497"/>
  <c r="G46" i="2497"/>
  <c r="G47" i="2497"/>
  <c r="G48" i="2497"/>
  <c r="G49" i="2497"/>
  <c r="G50" i="2497"/>
  <c r="B41" i="2497"/>
  <c r="B42" i="2497"/>
  <c r="B43" i="2497"/>
  <c r="B44" i="2497"/>
  <c r="B45" i="2497"/>
  <c r="B46" i="2497"/>
  <c r="B47" i="2497"/>
  <c r="B48" i="2497"/>
  <c r="B49" i="2497"/>
  <c r="B50" i="2497"/>
  <c r="P28" i="2497"/>
  <c r="P29" i="2497"/>
  <c r="P30" i="2497"/>
  <c r="P31" i="2497"/>
  <c r="P32" i="2497"/>
  <c r="P33" i="2497"/>
  <c r="P34" i="2497"/>
  <c r="P35" i="2497"/>
  <c r="P36" i="2497"/>
  <c r="P37" i="2497"/>
  <c r="L28" i="2497"/>
  <c r="L29" i="2497"/>
  <c r="L30" i="2497"/>
  <c r="L31" i="2497"/>
  <c r="L32" i="2497"/>
  <c r="L33" i="2497"/>
  <c r="L34" i="2497"/>
  <c r="L35" i="2497"/>
  <c r="L36" i="2497"/>
  <c r="L37" i="2497"/>
  <c r="G28" i="2497"/>
  <c r="G29" i="2497"/>
  <c r="G30" i="2497"/>
  <c r="G31" i="2497"/>
  <c r="G32" i="2497"/>
  <c r="G33" i="2497"/>
  <c r="G34" i="2497"/>
  <c r="G35" i="2497"/>
  <c r="G36" i="2497"/>
  <c r="G37" i="2497"/>
  <c r="B28" i="2497"/>
  <c r="B29" i="2497"/>
  <c r="B30" i="2497"/>
  <c r="B31" i="2497"/>
  <c r="B32" i="2497"/>
  <c r="B33" i="2497"/>
  <c r="B34" i="2497"/>
  <c r="B35" i="2497"/>
  <c r="B36" i="2497"/>
  <c r="B37" i="2497"/>
  <c r="S66" i="2497"/>
  <c r="J66" i="2497"/>
  <c r="BF65" i="2497"/>
  <c r="BF64" i="2497"/>
  <c r="BF63" i="2497"/>
  <c r="BF62" i="2497"/>
  <c r="BF61" i="2497"/>
  <c r="BF60" i="2497"/>
  <c r="BF59" i="2497"/>
  <c r="BF58" i="2497"/>
  <c r="BF57" i="2497"/>
  <c r="BF56" i="2497"/>
  <c r="BF55" i="2497"/>
  <c r="BF54" i="2497"/>
  <c r="BF53" i="2497"/>
  <c r="S53" i="2497"/>
  <c r="Q53" i="2497"/>
  <c r="P53" i="2497"/>
  <c r="J53" i="2497"/>
  <c r="H53" i="2497"/>
  <c r="G53" i="2497"/>
  <c r="BF52" i="2497"/>
  <c r="BF51" i="2497"/>
  <c r="BF50" i="2497"/>
  <c r="BF49" i="2497"/>
  <c r="BF48" i="2497"/>
  <c r="BF47" i="2497"/>
  <c r="BF46" i="2497"/>
  <c r="BF45" i="2497"/>
  <c r="BF44" i="2497"/>
  <c r="BF43" i="2497"/>
  <c r="BF42" i="2497"/>
  <c r="BF41" i="2497"/>
  <c r="BF40" i="2497"/>
  <c r="S40" i="2497"/>
  <c r="J40" i="2497"/>
  <c r="BF39" i="2497"/>
  <c r="BF38" i="2497"/>
  <c r="BF37" i="2497"/>
  <c r="BF36" i="2497"/>
  <c r="BF35" i="2497"/>
  <c r="BF34" i="2497"/>
  <c r="BF33" i="2497"/>
  <c r="BF32" i="2497"/>
  <c r="BF31" i="2497"/>
  <c r="BF30" i="2497"/>
  <c r="BF29" i="2497"/>
  <c r="BF28" i="2497"/>
  <c r="BF27" i="2497"/>
  <c r="S27" i="2497"/>
  <c r="Q27" i="2497"/>
  <c r="P27" i="2497"/>
  <c r="J27" i="2497"/>
  <c r="H27" i="2497"/>
  <c r="G27" i="2497"/>
  <c r="BF26" i="2497"/>
  <c r="BF25" i="2497"/>
  <c r="BF24" i="2497"/>
  <c r="BF23" i="2497"/>
  <c r="BF22" i="2497"/>
  <c r="BF21" i="2497"/>
  <c r="BF20" i="2497"/>
  <c r="BF19" i="2497"/>
  <c r="BF18" i="2497"/>
  <c r="BF17" i="2497"/>
  <c r="BF16" i="2497"/>
  <c r="BF15" i="2497"/>
  <c r="BF14" i="2497"/>
  <c r="BH62" i="2497" s="1"/>
  <c r="D14" i="2497"/>
  <c r="B14" i="2497"/>
  <c r="BE12" i="2497"/>
  <c r="F12" i="2497"/>
  <c r="B12" i="2497"/>
  <c r="R9" i="2497"/>
  <c r="O9" i="2497"/>
  <c r="C9" i="2497"/>
  <c r="P67" i="2496"/>
  <c r="P68" i="2496"/>
  <c r="P69" i="2496"/>
  <c r="P70" i="2496"/>
  <c r="P71" i="2496"/>
  <c r="P72" i="2496"/>
  <c r="P73" i="2496"/>
  <c r="P74" i="2496"/>
  <c r="P75" i="2496"/>
  <c r="P76" i="2496"/>
  <c r="L67" i="2496"/>
  <c r="L68" i="2496"/>
  <c r="L69" i="2496"/>
  <c r="L70" i="2496"/>
  <c r="L71" i="2496"/>
  <c r="L72" i="2496"/>
  <c r="L73" i="2496"/>
  <c r="L74" i="2496"/>
  <c r="L75" i="2496"/>
  <c r="L76" i="2496"/>
  <c r="G67" i="2496"/>
  <c r="G68" i="2496"/>
  <c r="G69" i="2496"/>
  <c r="G70" i="2496"/>
  <c r="G71" i="2496"/>
  <c r="G72" i="2496"/>
  <c r="G73" i="2496"/>
  <c r="G74" i="2496"/>
  <c r="G75" i="2496"/>
  <c r="G76" i="2496"/>
  <c r="B67" i="2496"/>
  <c r="B68" i="2496"/>
  <c r="B69" i="2496"/>
  <c r="B70" i="2496"/>
  <c r="B71" i="2496"/>
  <c r="B72" i="2496"/>
  <c r="B73" i="2496"/>
  <c r="B74" i="2496"/>
  <c r="B75" i="2496"/>
  <c r="B76" i="2496"/>
  <c r="P54" i="2496"/>
  <c r="P55" i="2496"/>
  <c r="P56" i="2496"/>
  <c r="P57" i="2496"/>
  <c r="P58" i="2496"/>
  <c r="P59" i="2496"/>
  <c r="P60" i="2496"/>
  <c r="P61" i="2496"/>
  <c r="P62" i="2496"/>
  <c r="P63" i="2496"/>
  <c r="L54" i="2496"/>
  <c r="L55" i="2496"/>
  <c r="L56" i="2496"/>
  <c r="L57" i="2496"/>
  <c r="L58" i="2496"/>
  <c r="L59" i="2496"/>
  <c r="L60" i="2496"/>
  <c r="L61" i="2496"/>
  <c r="L62" i="2496"/>
  <c r="L63" i="2496"/>
  <c r="G54" i="2496"/>
  <c r="G55" i="2496"/>
  <c r="G56" i="2496"/>
  <c r="G57" i="2496"/>
  <c r="G58" i="2496"/>
  <c r="G59" i="2496"/>
  <c r="G60" i="2496"/>
  <c r="G61" i="2496"/>
  <c r="G62" i="2496"/>
  <c r="G63" i="2496"/>
  <c r="B54" i="2496"/>
  <c r="B55" i="2496"/>
  <c r="B56" i="2496"/>
  <c r="B57" i="2496"/>
  <c r="B58" i="2496"/>
  <c r="B59" i="2496"/>
  <c r="B60" i="2496"/>
  <c r="B61" i="2496"/>
  <c r="B62" i="2496"/>
  <c r="B63" i="2496"/>
  <c r="P41" i="2496"/>
  <c r="P42" i="2496"/>
  <c r="P43" i="2496"/>
  <c r="P44" i="2496"/>
  <c r="P45" i="2496"/>
  <c r="P46" i="2496"/>
  <c r="P47" i="2496"/>
  <c r="P48" i="2496"/>
  <c r="P49" i="2496"/>
  <c r="P50" i="2496"/>
  <c r="L41" i="2496"/>
  <c r="L42" i="2496"/>
  <c r="L43" i="2496"/>
  <c r="L44" i="2496"/>
  <c r="L45" i="2496"/>
  <c r="L46" i="2496"/>
  <c r="L47" i="2496"/>
  <c r="L48" i="2496"/>
  <c r="L49" i="2496"/>
  <c r="L50" i="2496"/>
  <c r="G41" i="2496"/>
  <c r="G42" i="2496"/>
  <c r="G43" i="2496"/>
  <c r="G44" i="2496"/>
  <c r="G45" i="2496"/>
  <c r="G46" i="2496"/>
  <c r="G47" i="2496"/>
  <c r="G48" i="2496"/>
  <c r="G49" i="2496"/>
  <c r="G50" i="2496"/>
  <c r="B41" i="2496"/>
  <c r="B42" i="2496"/>
  <c r="B43" i="2496"/>
  <c r="B44" i="2496"/>
  <c r="B45" i="2496"/>
  <c r="B46" i="2496"/>
  <c r="B47" i="2496"/>
  <c r="B48" i="2496"/>
  <c r="B49" i="2496"/>
  <c r="B50" i="2496"/>
  <c r="P28" i="2496"/>
  <c r="P29" i="2496"/>
  <c r="P30" i="2496"/>
  <c r="P31" i="2496"/>
  <c r="P32" i="2496"/>
  <c r="P33" i="2496"/>
  <c r="P34" i="2496"/>
  <c r="P35" i="2496"/>
  <c r="P36" i="2496"/>
  <c r="P37" i="2496"/>
  <c r="L28" i="2496"/>
  <c r="L29" i="2496"/>
  <c r="L30" i="2496"/>
  <c r="L31" i="2496"/>
  <c r="L32" i="2496"/>
  <c r="L33" i="2496"/>
  <c r="L34" i="2496"/>
  <c r="L35" i="2496"/>
  <c r="L36" i="2496"/>
  <c r="L37" i="2496"/>
  <c r="G28" i="2496"/>
  <c r="G29" i="2496"/>
  <c r="G30" i="2496"/>
  <c r="G31" i="2496"/>
  <c r="G32" i="2496"/>
  <c r="G33" i="2496"/>
  <c r="G34" i="2496"/>
  <c r="G35" i="2496"/>
  <c r="G36" i="2496"/>
  <c r="G37" i="2496"/>
  <c r="B28" i="2496"/>
  <c r="B29" i="2496"/>
  <c r="B30" i="2496"/>
  <c r="B31" i="2496"/>
  <c r="B32" i="2496"/>
  <c r="B33" i="2496"/>
  <c r="B34" i="2496"/>
  <c r="B35" i="2496"/>
  <c r="B36" i="2496"/>
  <c r="B37" i="2496"/>
  <c r="S66" i="2496"/>
  <c r="J66" i="2496"/>
  <c r="BF65" i="2496"/>
  <c r="BF64" i="2496"/>
  <c r="BF63" i="2496"/>
  <c r="BF62" i="2496"/>
  <c r="BF61" i="2496"/>
  <c r="BF60" i="2496"/>
  <c r="BF59" i="2496"/>
  <c r="BF58" i="2496"/>
  <c r="BF57" i="2496"/>
  <c r="BF56" i="2496"/>
  <c r="BF55" i="2496"/>
  <c r="BF54" i="2496"/>
  <c r="BF53" i="2496"/>
  <c r="S53" i="2496"/>
  <c r="Q53" i="2496"/>
  <c r="P53" i="2496"/>
  <c r="J53" i="2496"/>
  <c r="H53" i="2496"/>
  <c r="G53" i="2496"/>
  <c r="BF52" i="2496"/>
  <c r="BF51" i="2496"/>
  <c r="BF50" i="2496"/>
  <c r="BF49" i="2496"/>
  <c r="BF48" i="2496"/>
  <c r="BF47" i="2496"/>
  <c r="BF46" i="2496"/>
  <c r="BF45" i="2496"/>
  <c r="BF44" i="2496"/>
  <c r="BF43" i="2496"/>
  <c r="BF42" i="2496"/>
  <c r="BF41" i="2496"/>
  <c r="BF40" i="2496"/>
  <c r="S40" i="2496"/>
  <c r="J40" i="2496"/>
  <c r="BF39" i="2496"/>
  <c r="BF38" i="2496"/>
  <c r="BF37" i="2496"/>
  <c r="BF36" i="2496"/>
  <c r="BF35" i="2496"/>
  <c r="BF34" i="2496"/>
  <c r="BF33" i="2496"/>
  <c r="BF32" i="2496"/>
  <c r="BF31" i="2496"/>
  <c r="BF30" i="2496"/>
  <c r="BF29" i="2496"/>
  <c r="BF28" i="2496"/>
  <c r="BF27" i="2496"/>
  <c r="S27" i="2496"/>
  <c r="Q27" i="2496"/>
  <c r="P27" i="2496"/>
  <c r="J27" i="2496"/>
  <c r="H27" i="2496"/>
  <c r="G27" i="2496"/>
  <c r="BF26" i="2496"/>
  <c r="BF25" i="2496"/>
  <c r="BF24" i="2496"/>
  <c r="BF23" i="2496"/>
  <c r="BF22" i="2496"/>
  <c r="BF21" i="2496"/>
  <c r="BF20" i="2496"/>
  <c r="BF19" i="2496"/>
  <c r="BF18" i="2496"/>
  <c r="BF17" i="2496"/>
  <c r="BF16" i="2496"/>
  <c r="BF15" i="2496"/>
  <c r="BF14" i="2496"/>
  <c r="D14" i="2496"/>
  <c r="B14" i="2496"/>
  <c r="BE12" i="2496"/>
  <c r="F12" i="2496"/>
  <c r="B12" i="2496"/>
  <c r="R9" i="2496"/>
  <c r="O9" i="2496"/>
  <c r="C9" i="2496"/>
  <c r="F10" i="2"/>
  <c r="S75" i="2497"/>
  <c r="S67" i="2497"/>
  <c r="S68" i="2497"/>
  <c r="M75" i="2497"/>
  <c r="M67" i="2497"/>
  <c r="M70" i="2497"/>
  <c r="S72" i="2497"/>
  <c r="S69" i="2497"/>
  <c r="M69" i="2497"/>
  <c r="S76" i="2497"/>
  <c r="M76" i="2497"/>
  <c r="M72" i="2497"/>
  <c r="M68" i="2497"/>
  <c r="S70" i="2497"/>
  <c r="S71" i="2497"/>
  <c r="S73" i="2497"/>
  <c r="S74" i="2497"/>
  <c r="J75" i="2497"/>
  <c r="J76" i="2497"/>
  <c r="C76" i="2497"/>
  <c r="C75" i="2497"/>
  <c r="J70" i="2497"/>
  <c r="C70" i="2497"/>
  <c r="C74" i="2497"/>
  <c r="J68" i="2497"/>
  <c r="C68" i="2497"/>
  <c r="C72" i="2497"/>
  <c r="J74" i="2497"/>
  <c r="S56" i="2497"/>
  <c r="S62" i="2497"/>
  <c r="M56" i="2497"/>
  <c r="S55" i="2497"/>
  <c r="S57" i="2497"/>
  <c r="S63" i="2497"/>
  <c r="M57" i="2497"/>
  <c r="M63" i="2497"/>
  <c r="M55" i="2497"/>
  <c r="M62" i="2497"/>
  <c r="S59" i="2497"/>
  <c r="M59" i="2497"/>
  <c r="S60" i="2497"/>
  <c r="J63" i="2497"/>
  <c r="J55" i="2497"/>
  <c r="C63" i="2497"/>
  <c r="C55" i="2497"/>
  <c r="J57" i="2497"/>
  <c r="C57" i="2497"/>
  <c r="J61" i="2497"/>
  <c r="J60" i="2497"/>
  <c r="M43" i="2497"/>
  <c r="S50" i="2497"/>
  <c r="S47" i="2497"/>
  <c r="S49" i="2497"/>
  <c r="M44" i="2497"/>
  <c r="S41" i="2497"/>
  <c r="S42" i="2497"/>
  <c r="M49" i="2497"/>
  <c r="M41" i="2497"/>
  <c r="S43" i="2497"/>
  <c r="S45" i="2497"/>
  <c r="M45" i="2497"/>
  <c r="M42" i="2497"/>
  <c r="M50" i="2497"/>
  <c r="S44" i="2497"/>
  <c r="S46" i="2497"/>
  <c r="M47" i="2497"/>
  <c r="S48" i="2497"/>
  <c r="J49" i="2497"/>
  <c r="J41" i="2497"/>
  <c r="C47" i="2497"/>
  <c r="C42" i="2497"/>
  <c r="C49" i="2497"/>
  <c r="C41" i="2497"/>
  <c r="J42" i="2497"/>
  <c r="J43" i="2497"/>
  <c r="J45" i="2497"/>
  <c r="C45" i="2497"/>
  <c r="C43" i="2497"/>
  <c r="J47" i="2497"/>
  <c r="S36" i="2497"/>
  <c r="M31" i="2497"/>
  <c r="S28" i="2497"/>
  <c r="M37" i="2497"/>
  <c r="M36" i="2497"/>
  <c r="M28" i="2497"/>
  <c r="S29" i="2497"/>
  <c r="M29" i="2497"/>
  <c r="S34" i="2497"/>
  <c r="S37" i="2497"/>
  <c r="S31" i="2497"/>
  <c r="S35" i="2497"/>
  <c r="M34" i="2497"/>
  <c r="J36" i="2497"/>
  <c r="J28" i="2497"/>
  <c r="C34" i="2497"/>
  <c r="C36" i="2497"/>
  <c r="C28" i="2497"/>
  <c r="J37" i="2497"/>
  <c r="J29" i="2497"/>
  <c r="C37" i="2497"/>
  <c r="J32" i="2497"/>
  <c r="C29" i="2497"/>
  <c r="C32" i="2497"/>
  <c r="C31" i="2497"/>
  <c r="J35" i="2497"/>
  <c r="J34" i="2497"/>
  <c r="M70" i="2496"/>
  <c r="S70" i="2496"/>
  <c r="J67" i="2496"/>
  <c r="C67" i="2496"/>
  <c r="J70" i="2496"/>
  <c r="C70" i="2496"/>
  <c r="S63" i="2496"/>
  <c r="S55" i="2496"/>
  <c r="M63" i="2496"/>
  <c r="M55" i="2496"/>
  <c r="S59" i="2496"/>
  <c r="M59" i="2496"/>
  <c r="J63" i="2496"/>
  <c r="J59" i="2496"/>
  <c r="C63" i="2496"/>
  <c r="C59" i="2496"/>
  <c r="M42" i="2496"/>
  <c r="S42" i="2496"/>
  <c r="J41" i="2496"/>
  <c r="M31" i="2496"/>
  <c r="S29" i="2496"/>
  <c r="M29" i="2496"/>
  <c r="S31" i="2496"/>
  <c r="S30" i="2496"/>
  <c r="M30" i="2496"/>
  <c r="J28" i="2496"/>
  <c r="J32" i="2496"/>
  <c r="C28" i="2496"/>
  <c r="C32" i="2496"/>
  <c r="J31" i="2496"/>
  <c r="J35" i="2496"/>
  <c r="C34" i="2496"/>
  <c r="L53" i="8"/>
  <c r="L52" i="8"/>
  <c r="L51" i="8"/>
  <c r="L54" i="8"/>
  <c r="J20" i="3"/>
  <c r="J15" i="3"/>
  <c r="J21" i="3"/>
  <c r="J12" i="3"/>
  <c r="J28" i="3"/>
  <c r="J17" i="3"/>
  <c r="L50" i="8"/>
  <c r="L49" i="8"/>
  <c r="B46" i="8"/>
  <c r="A46" i="8"/>
  <c r="BH22" i="2497" l="1"/>
  <c r="B23" i="2497" s="1"/>
  <c r="BI15" i="2497"/>
  <c r="D16" i="2497" s="1"/>
  <c r="BI23" i="2497"/>
  <c r="D24" i="2497" s="1"/>
  <c r="BH14" i="2497"/>
  <c r="B15" i="2497" s="1"/>
  <c r="BH15" i="2497"/>
  <c r="B16" i="2497" s="1"/>
  <c r="BI16" i="2497"/>
  <c r="BH23" i="2497"/>
  <c r="B24" i="2497" s="1"/>
  <c r="BI24" i="2497"/>
  <c r="BI30" i="2497"/>
  <c r="BH31" i="2497"/>
  <c r="BH39" i="2497"/>
  <c r="BI40" i="2497"/>
  <c r="BH41" i="2497"/>
  <c r="BI48" i="2497"/>
  <c r="BH49" i="2497"/>
  <c r="BI54" i="2497"/>
  <c r="BH55" i="2497"/>
  <c r="BI62" i="2497"/>
  <c r="BH63" i="2497"/>
  <c r="BH26" i="2497"/>
  <c r="BI31" i="2497"/>
  <c r="BH32" i="2497"/>
  <c r="BI39" i="2497"/>
  <c r="BI41" i="2497"/>
  <c r="BH42" i="2497"/>
  <c r="BI49" i="2497"/>
  <c r="BH50" i="2497"/>
  <c r="BI55" i="2497"/>
  <c r="BH56" i="2497"/>
  <c r="BI63" i="2497"/>
  <c r="BH21" i="2497"/>
  <c r="B22" i="2497" s="1"/>
  <c r="BJ23" i="2497"/>
  <c r="BI26" i="2497"/>
  <c r="BI32" i="2497"/>
  <c r="BH33" i="2497"/>
  <c r="BI42" i="2497"/>
  <c r="BH43" i="2497"/>
  <c r="BI50" i="2497"/>
  <c r="BI56" i="2497"/>
  <c r="BH57" i="2497"/>
  <c r="BH65" i="2497"/>
  <c r="BK15" i="2497"/>
  <c r="BH20" i="2497"/>
  <c r="B21" i="2497" s="1"/>
  <c r="BI21" i="2497"/>
  <c r="BK23" i="2497"/>
  <c r="BI33" i="2497"/>
  <c r="BH34" i="2497"/>
  <c r="BH38" i="2497"/>
  <c r="BI43" i="2497"/>
  <c r="BH44" i="2497"/>
  <c r="BH52" i="2497"/>
  <c r="BI57" i="2497"/>
  <c r="BH58" i="2497"/>
  <c r="BI65" i="2497"/>
  <c r="BH19" i="2497"/>
  <c r="B20" i="2497" s="1"/>
  <c r="BI20" i="2497"/>
  <c r="BH25" i="2497"/>
  <c r="BH27" i="2497"/>
  <c r="BI34" i="2497"/>
  <c r="BH35" i="2497"/>
  <c r="BI38" i="2497"/>
  <c r="BI44" i="2497"/>
  <c r="BH45" i="2497"/>
  <c r="BI52" i="2497"/>
  <c r="BI58" i="2497"/>
  <c r="BH59" i="2497"/>
  <c r="BH18" i="2497"/>
  <c r="B19" i="2497" s="1"/>
  <c r="BI19" i="2497"/>
  <c r="BI25" i="2497"/>
  <c r="BI27" i="2497"/>
  <c r="BH28" i="2497"/>
  <c r="BI35" i="2497"/>
  <c r="BH36" i="2497"/>
  <c r="BI45" i="2497"/>
  <c r="BH46" i="2497"/>
  <c r="BI59" i="2497"/>
  <c r="BH60" i="2497"/>
  <c r="BH64" i="2497"/>
  <c r="BH17" i="2497"/>
  <c r="B18" i="2497" s="1"/>
  <c r="BI18" i="2497"/>
  <c r="BI28" i="2497"/>
  <c r="BH29" i="2497"/>
  <c r="BI36" i="2497"/>
  <c r="BH37" i="2497"/>
  <c r="BI46" i="2497"/>
  <c r="BH47" i="2497"/>
  <c r="BH51" i="2497"/>
  <c r="BH53" i="2497"/>
  <c r="BI60" i="2497"/>
  <c r="BH61" i="2497"/>
  <c r="BI64" i="2497"/>
  <c r="BI14" i="2497"/>
  <c r="BI22" i="2497"/>
  <c r="BH16" i="2497"/>
  <c r="B17" i="2497" s="1"/>
  <c r="BI17" i="2497"/>
  <c r="BH24" i="2497"/>
  <c r="BI29" i="2497"/>
  <c r="BH30" i="2497"/>
  <c r="BI37" i="2497"/>
  <c r="BH40" i="2497"/>
  <c r="BI47" i="2497"/>
  <c r="BH48" i="2497"/>
  <c r="BI51" i="2497"/>
  <c r="BI53" i="2497"/>
  <c r="BH54" i="2497"/>
  <c r="BI61" i="2497"/>
  <c r="BH62" i="2496"/>
  <c r="BI62" i="2496"/>
  <c r="BH14" i="2496"/>
  <c r="B15" i="2496" s="1"/>
  <c r="BI15" i="2496"/>
  <c r="BH22" i="2496"/>
  <c r="B23" i="2496" s="1"/>
  <c r="BI23" i="2496"/>
  <c r="BH26" i="2496"/>
  <c r="BI31" i="2496"/>
  <c r="BH32" i="2496"/>
  <c r="BI39" i="2496"/>
  <c r="BI41" i="2496"/>
  <c r="BH42" i="2496"/>
  <c r="BI49" i="2496"/>
  <c r="BH50" i="2496"/>
  <c r="BI55" i="2496"/>
  <c r="BH56" i="2496"/>
  <c r="BI63" i="2496"/>
  <c r="BI40" i="2496"/>
  <c r="BI48" i="2496"/>
  <c r="BH55" i="2496"/>
  <c r="BH21" i="2496"/>
  <c r="B22" i="2496" s="1"/>
  <c r="BI42" i="2496"/>
  <c r="BH43" i="2496"/>
  <c r="BI50" i="2496"/>
  <c r="BI56" i="2496"/>
  <c r="BH57" i="2496"/>
  <c r="BH65" i="2496"/>
  <c r="BH15" i="2496"/>
  <c r="B16" i="2496" s="1"/>
  <c r="BH23" i="2496"/>
  <c r="B24" i="2496" s="1"/>
  <c r="BH41" i="2496"/>
  <c r="BH49" i="2496"/>
  <c r="BI32" i="2496"/>
  <c r="BI21" i="2496"/>
  <c r="BI33" i="2496"/>
  <c r="BH34" i="2496"/>
  <c r="BH38" i="2496"/>
  <c r="BI43" i="2496"/>
  <c r="BH44" i="2496"/>
  <c r="BH52" i="2496"/>
  <c r="BI57" i="2496"/>
  <c r="BH58" i="2496"/>
  <c r="BI65" i="2496"/>
  <c r="BI16" i="2496"/>
  <c r="BI24" i="2496"/>
  <c r="BI14" i="2496"/>
  <c r="BI22" i="2496"/>
  <c r="BH33" i="2496"/>
  <c r="BH20" i="2496"/>
  <c r="B21" i="2496" s="1"/>
  <c r="BH19" i="2496"/>
  <c r="B20" i="2496" s="1"/>
  <c r="BI20" i="2496"/>
  <c r="BH25" i="2496"/>
  <c r="BH27" i="2496"/>
  <c r="BI34" i="2496"/>
  <c r="BH35" i="2496"/>
  <c r="BI38" i="2496"/>
  <c r="BI44" i="2496"/>
  <c r="BH45" i="2496"/>
  <c r="BI52" i="2496"/>
  <c r="BI58" i="2496"/>
  <c r="BH59" i="2496"/>
  <c r="BI30" i="2496"/>
  <c r="BH18" i="2496"/>
  <c r="B19" i="2496" s="1"/>
  <c r="BI19" i="2496"/>
  <c r="BI25" i="2496"/>
  <c r="BI27" i="2496"/>
  <c r="BH28" i="2496"/>
  <c r="BI35" i="2496"/>
  <c r="BH36" i="2496"/>
  <c r="BI45" i="2496"/>
  <c r="BH46" i="2496"/>
  <c r="BI59" i="2496"/>
  <c r="BH60" i="2496"/>
  <c r="BH64" i="2496"/>
  <c r="BH31" i="2496"/>
  <c r="BH63" i="2496"/>
  <c r="BI26" i="2496"/>
  <c r="BH17" i="2496"/>
  <c r="B18" i="2496" s="1"/>
  <c r="BI28" i="2496"/>
  <c r="BH29" i="2496"/>
  <c r="BI36" i="2496"/>
  <c r="BH37" i="2496"/>
  <c r="BI46" i="2496"/>
  <c r="BH47" i="2496"/>
  <c r="BH51" i="2496"/>
  <c r="BH53" i="2496"/>
  <c r="BI60" i="2496"/>
  <c r="BH61" i="2496"/>
  <c r="BI64" i="2496"/>
  <c r="BH39" i="2496"/>
  <c r="BI54" i="2496"/>
  <c r="BI18" i="2496"/>
  <c r="BH16" i="2496"/>
  <c r="B17" i="2496" s="1"/>
  <c r="BI17" i="2496"/>
  <c r="BH24" i="2496"/>
  <c r="BI29" i="2496"/>
  <c r="BH30" i="2496"/>
  <c r="BI37" i="2496"/>
  <c r="BH40" i="2496"/>
  <c r="BI47" i="2496"/>
  <c r="BH48" i="2496"/>
  <c r="BI51" i="2496"/>
  <c r="BI53" i="2496"/>
  <c r="BH54" i="2496"/>
  <c r="BI61" i="2496"/>
  <c r="D14" i="10"/>
  <c r="Q27" i="10"/>
  <c r="P27" i="10"/>
  <c r="H27" i="10"/>
  <c r="G27" i="10"/>
  <c r="H53" i="10"/>
  <c r="G53" i="10"/>
  <c r="Q53" i="10"/>
  <c r="P53" i="10"/>
  <c r="M73" i="2497"/>
  <c r="M71" i="2497"/>
  <c r="M74" i="2497"/>
  <c r="J72" i="2497"/>
  <c r="M60" i="2497"/>
  <c r="C61" i="2497"/>
  <c r="C60" i="2497"/>
  <c r="M46" i="2497"/>
  <c r="M48" i="2497"/>
  <c r="M35" i="2497"/>
  <c r="C35" i="2497"/>
  <c r="J31" i="2497"/>
  <c r="C41" i="2496"/>
  <c r="C35" i="2496"/>
  <c r="J34" i="2496"/>
  <c r="C31" i="2496"/>
  <c r="BJ15" i="2497" l="1"/>
  <c r="BK34" i="2497"/>
  <c r="BJ34" i="2497"/>
  <c r="BK57" i="2497"/>
  <c r="BJ57" i="2497"/>
  <c r="D22" i="2497"/>
  <c r="BK21" i="2497"/>
  <c r="BJ21" i="2497"/>
  <c r="BK42" i="2497"/>
  <c r="BJ42" i="2497"/>
  <c r="BK55" i="2497"/>
  <c r="BJ55" i="2497"/>
  <c r="BK40" i="2497"/>
  <c r="BJ40" i="2497"/>
  <c r="BJ36" i="2497"/>
  <c r="BK36" i="2497"/>
  <c r="BJ28" i="2497"/>
  <c r="BK28" i="2497"/>
  <c r="BK32" i="2497"/>
  <c r="BJ32" i="2497"/>
  <c r="BK49" i="2497"/>
  <c r="BJ49" i="2497"/>
  <c r="BK62" i="2497"/>
  <c r="BJ62" i="2497"/>
  <c r="BJ60" i="2497"/>
  <c r="BK60" i="2497"/>
  <c r="BK35" i="2497"/>
  <c r="BJ35" i="2497"/>
  <c r="BK20" i="2497"/>
  <c r="BJ20" i="2497"/>
  <c r="D21" i="2497"/>
  <c r="BK43" i="2497"/>
  <c r="BJ43" i="2497"/>
  <c r="BK26" i="2497"/>
  <c r="BJ26" i="2497"/>
  <c r="BK30" i="2497"/>
  <c r="BJ30" i="2497"/>
  <c r="BK41" i="2497"/>
  <c r="BJ41" i="2497"/>
  <c r="BK54" i="2497"/>
  <c r="BJ54" i="2497"/>
  <c r="BJ24" i="2497"/>
  <c r="BK24" i="2497"/>
  <c r="BK17" i="2497"/>
  <c r="D18" i="2497"/>
  <c r="BJ17" i="2497"/>
  <c r="BK27" i="2497"/>
  <c r="BJ27" i="2497"/>
  <c r="BK44" i="2497"/>
  <c r="BJ44" i="2497"/>
  <c r="BK56" i="2497"/>
  <c r="BJ56" i="2497"/>
  <c r="BK39" i="2497"/>
  <c r="BJ39" i="2497"/>
  <c r="BJ64" i="2497"/>
  <c r="BK64" i="2497"/>
  <c r="BK45" i="2497"/>
  <c r="BJ45" i="2497"/>
  <c r="BJ18" i="2497"/>
  <c r="D19" i="2497"/>
  <c r="BK18" i="2497"/>
  <c r="BK51" i="2497"/>
  <c r="BJ51" i="2497"/>
  <c r="BK47" i="2497"/>
  <c r="BJ47" i="2497"/>
  <c r="D23" i="2497"/>
  <c r="BK22" i="2497"/>
  <c r="BJ22" i="2497"/>
  <c r="BJ46" i="2497"/>
  <c r="BK46" i="2497"/>
  <c r="BK25" i="2497"/>
  <c r="BJ25" i="2497"/>
  <c r="BK38" i="2497"/>
  <c r="BJ38" i="2497"/>
  <c r="BK65" i="2497"/>
  <c r="BJ65" i="2497"/>
  <c r="BK33" i="2497"/>
  <c r="BJ33" i="2497"/>
  <c r="BK50" i="2497"/>
  <c r="BJ50" i="2497"/>
  <c r="BK63" i="2497"/>
  <c r="BJ63" i="2497"/>
  <c r="BK48" i="2497"/>
  <c r="BJ48" i="2497"/>
  <c r="D17" i="2497"/>
  <c r="BK16" i="2497"/>
  <c r="BJ16" i="2497"/>
  <c r="BK37" i="2497"/>
  <c r="BJ37" i="2497"/>
  <c r="BK61" i="2497"/>
  <c r="BJ61" i="2497"/>
  <c r="BK29" i="2497"/>
  <c r="BJ29" i="2497"/>
  <c r="BK58" i="2497"/>
  <c r="BJ58" i="2497"/>
  <c r="BK53" i="2497"/>
  <c r="BJ53" i="2497"/>
  <c r="BK52" i="2497"/>
  <c r="BJ52" i="2497"/>
  <c r="D15" i="2497"/>
  <c r="BK14" i="2497"/>
  <c r="BJ14" i="2497"/>
  <c r="BK59" i="2497"/>
  <c r="BJ59" i="2497"/>
  <c r="BK19" i="2497"/>
  <c r="BJ19" i="2497"/>
  <c r="D20" i="2497"/>
  <c r="BK31" i="2497"/>
  <c r="BJ31" i="2497"/>
  <c r="BK25" i="2496"/>
  <c r="BJ25" i="2496"/>
  <c r="BK44" i="2496"/>
  <c r="BJ44" i="2496"/>
  <c r="BK57" i="2496"/>
  <c r="BJ57" i="2496"/>
  <c r="BK32" i="2496"/>
  <c r="BJ32" i="2496"/>
  <c r="BK50" i="2496"/>
  <c r="BJ50" i="2496"/>
  <c r="BK31" i="2496"/>
  <c r="BJ31" i="2496"/>
  <c r="BK63" i="2496"/>
  <c r="BJ63" i="2496"/>
  <c r="BJ29" i="2496"/>
  <c r="BK29" i="2496"/>
  <c r="BK38" i="2496"/>
  <c r="BJ38" i="2496"/>
  <c r="BK55" i="2496"/>
  <c r="BJ55" i="2496"/>
  <c r="D22" i="2496"/>
  <c r="BK21" i="2496"/>
  <c r="BJ21" i="2496"/>
  <c r="BJ64" i="2496"/>
  <c r="BK64" i="2496"/>
  <c r="D23" i="2496"/>
  <c r="BK22" i="2496"/>
  <c r="BJ22" i="2496"/>
  <c r="BK42" i="2496"/>
  <c r="BJ42" i="2496"/>
  <c r="BJ23" i="2496"/>
  <c r="D24" i="2496"/>
  <c r="BK23" i="2496"/>
  <c r="BJ53" i="2496"/>
  <c r="BK53" i="2496"/>
  <c r="BJ28" i="2496"/>
  <c r="BK28" i="2496"/>
  <c r="BK45" i="2496"/>
  <c r="BJ45" i="2496"/>
  <c r="BK30" i="2496"/>
  <c r="BJ30" i="2496"/>
  <c r="BK34" i="2496"/>
  <c r="BJ34" i="2496"/>
  <c r="D15" i="2496"/>
  <c r="BJ14" i="2496"/>
  <c r="BK14" i="2496"/>
  <c r="BK43" i="2496"/>
  <c r="BJ43" i="2496"/>
  <c r="BK49" i="2496"/>
  <c r="BJ49" i="2496"/>
  <c r="BK27" i="2496"/>
  <c r="BJ27" i="2496"/>
  <c r="BK56" i="2496"/>
  <c r="BJ56" i="2496"/>
  <c r="BK61" i="2496"/>
  <c r="BJ61" i="2496"/>
  <c r="BK26" i="2496"/>
  <c r="BJ26" i="2496"/>
  <c r="BK24" i="2496"/>
  <c r="BJ24" i="2496"/>
  <c r="BJ15" i="2496"/>
  <c r="D16" i="2496"/>
  <c r="BK15" i="2496"/>
  <c r="BK19" i="2496"/>
  <c r="BJ19" i="2496"/>
  <c r="D20" i="2496"/>
  <c r="BK51" i="2496"/>
  <c r="BJ51" i="2496"/>
  <c r="BK58" i="2496"/>
  <c r="BJ58" i="2496"/>
  <c r="D17" i="2496"/>
  <c r="BK16" i="2496"/>
  <c r="BJ16" i="2496"/>
  <c r="BK48" i="2496"/>
  <c r="BJ48" i="2496"/>
  <c r="BK41" i="2496"/>
  <c r="BJ41" i="2496"/>
  <c r="BJ37" i="2496"/>
  <c r="BK37" i="2496"/>
  <c r="BJ36" i="2496"/>
  <c r="BK36" i="2496"/>
  <c r="BK59" i="2496"/>
  <c r="BJ59" i="2496"/>
  <c r="BJ60" i="2496"/>
  <c r="BK60" i="2496"/>
  <c r="D18" i="2496"/>
  <c r="BJ17" i="2496"/>
  <c r="BK17" i="2496"/>
  <c r="BJ47" i="2496"/>
  <c r="BK47" i="2496"/>
  <c r="BJ18" i="2496"/>
  <c r="D19" i="2496"/>
  <c r="BK18" i="2496"/>
  <c r="BK35" i="2496"/>
  <c r="BJ35" i="2496"/>
  <c r="BK54" i="2496"/>
  <c r="BJ54" i="2496"/>
  <c r="BJ46" i="2496"/>
  <c r="BK46" i="2496"/>
  <c r="BK52" i="2496"/>
  <c r="BJ52" i="2496"/>
  <c r="BK20" i="2496"/>
  <c r="BJ20" i="2496"/>
  <c r="D21" i="2496"/>
  <c r="BK65" i="2496"/>
  <c r="BJ65" i="2496"/>
  <c r="BK33" i="2496"/>
  <c r="BJ33" i="2496"/>
  <c r="BK40" i="2496"/>
  <c r="BJ40" i="2496"/>
  <c r="BK39" i="2496"/>
  <c r="BJ39" i="2496"/>
  <c r="BK62" i="2496"/>
  <c r="BJ62" i="2496"/>
  <c r="L24" i="3"/>
  <c r="M24" i="3" s="1"/>
  <c r="L11" i="3"/>
  <c r="L31" i="3" s="1"/>
  <c r="M11" i="3" l="1"/>
  <c r="L21" i="3"/>
  <c r="L34" i="3"/>
  <c r="L13" i="3"/>
  <c r="L26" i="3"/>
  <c r="L14" i="3"/>
  <c r="L27" i="3"/>
  <c r="L15" i="3"/>
  <c r="L28" i="3"/>
  <c r="L16" i="3"/>
  <c r="L29" i="3"/>
  <c r="L17" i="3"/>
  <c r="L32" i="3"/>
  <c r="L25" i="3"/>
  <c r="L18" i="3"/>
  <c r="L33" i="3"/>
  <c r="L19" i="3"/>
  <c r="L30" i="3"/>
  <c r="L12" i="3"/>
  <c r="L20" i="3"/>
  <c r="BA510" i="3" l="1"/>
  <c r="AZ510" i="3"/>
  <c r="AY510" i="3"/>
  <c r="AX510" i="3"/>
  <c r="AW510" i="3"/>
  <c r="BA509" i="3"/>
  <c r="AZ509" i="3"/>
  <c r="AY509" i="3"/>
  <c r="AX509" i="3"/>
  <c r="AW509" i="3"/>
  <c r="BA508" i="3"/>
  <c r="AZ508" i="3"/>
  <c r="AY508" i="3"/>
  <c r="AX508" i="3"/>
  <c r="AW508" i="3"/>
  <c r="BA507" i="3"/>
  <c r="AZ507" i="3"/>
  <c r="AY507" i="3"/>
  <c r="AX507" i="3"/>
  <c r="AW507" i="3"/>
  <c r="BA506" i="3"/>
  <c r="AZ506" i="3"/>
  <c r="AY506" i="3"/>
  <c r="AX506" i="3"/>
  <c r="AW506" i="3"/>
  <c r="BA505" i="3"/>
  <c r="AZ505" i="3"/>
  <c r="AY505" i="3"/>
  <c r="AX505" i="3"/>
  <c r="AW505" i="3"/>
  <c r="BA504" i="3"/>
  <c r="AZ504" i="3"/>
  <c r="AY504" i="3"/>
  <c r="AX504" i="3"/>
  <c r="AW504" i="3"/>
  <c r="BA503" i="3"/>
  <c r="AZ503" i="3"/>
  <c r="AY503" i="3"/>
  <c r="AX503" i="3"/>
  <c r="AW503" i="3"/>
  <c r="BA502" i="3"/>
  <c r="AZ502" i="3"/>
  <c r="AY502" i="3"/>
  <c r="AX502" i="3"/>
  <c r="AW502" i="3"/>
  <c r="BA501" i="3"/>
  <c r="AZ501" i="3"/>
  <c r="AY501" i="3"/>
  <c r="AX501" i="3"/>
  <c r="AW501" i="3"/>
  <c r="BA500" i="3"/>
  <c r="AZ500" i="3"/>
  <c r="AY500" i="3"/>
  <c r="AX500" i="3"/>
  <c r="AW500" i="3"/>
  <c r="BA499" i="3"/>
  <c r="AZ499" i="3"/>
  <c r="AY499" i="3"/>
  <c r="AX499" i="3"/>
  <c r="AW499" i="3"/>
  <c r="BA498" i="3"/>
  <c r="AZ498" i="3"/>
  <c r="AY498" i="3"/>
  <c r="AX498" i="3"/>
  <c r="AW498" i="3"/>
  <c r="BA497" i="3"/>
  <c r="AZ497" i="3"/>
  <c r="AY497" i="3"/>
  <c r="AX497" i="3"/>
  <c r="AW497" i="3"/>
  <c r="BA496" i="3"/>
  <c r="AZ496" i="3"/>
  <c r="AY496" i="3"/>
  <c r="AX496" i="3"/>
  <c r="AW496" i="3"/>
  <c r="BA495" i="3"/>
  <c r="AZ495" i="3"/>
  <c r="AY495" i="3"/>
  <c r="AX495" i="3"/>
  <c r="AW495" i="3"/>
  <c r="BA494" i="3"/>
  <c r="AZ494" i="3"/>
  <c r="AY494" i="3"/>
  <c r="AX494" i="3"/>
  <c r="AW494" i="3"/>
  <c r="BA493" i="3"/>
  <c r="AZ493" i="3"/>
  <c r="AY493" i="3"/>
  <c r="AX493" i="3"/>
  <c r="AW493" i="3"/>
  <c r="BA492" i="3"/>
  <c r="AZ492" i="3"/>
  <c r="AY492" i="3"/>
  <c r="AX492" i="3"/>
  <c r="AW492" i="3"/>
  <c r="BA491" i="3"/>
  <c r="AZ491" i="3"/>
  <c r="AY491" i="3"/>
  <c r="AX491" i="3"/>
  <c r="AW491" i="3"/>
  <c r="BA490" i="3"/>
  <c r="AZ490" i="3"/>
  <c r="AY490" i="3"/>
  <c r="AX490" i="3"/>
  <c r="AW490" i="3"/>
  <c r="BA489" i="3"/>
  <c r="AZ489" i="3"/>
  <c r="AY489" i="3"/>
  <c r="AX489" i="3"/>
  <c r="AW489" i="3"/>
  <c r="BA488" i="3"/>
  <c r="AZ488" i="3"/>
  <c r="AY488" i="3"/>
  <c r="AX488" i="3"/>
  <c r="AW488" i="3"/>
  <c r="BA487" i="3"/>
  <c r="AZ487" i="3"/>
  <c r="AY487" i="3"/>
  <c r="AX487" i="3"/>
  <c r="AW487" i="3"/>
  <c r="BA486" i="3"/>
  <c r="AZ486" i="3"/>
  <c r="AY486" i="3"/>
  <c r="AX486" i="3"/>
  <c r="AW486" i="3"/>
  <c r="BA485" i="3"/>
  <c r="AZ485" i="3"/>
  <c r="AY485" i="3"/>
  <c r="AX485" i="3"/>
  <c r="AW485" i="3"/>
  <c r="BA484" i="3"/>
  <c r="AZ484" i="3"/>
  <c r="AY484" i="3"/>
  <c r="AX484" i="3"/>
  <c r="AW484" i="3"/>
  <c r="BA483" i="3"/>
  <c r="AZ483" i="3"/>
  <c r="AY483" i="3"/>
  <c r="AX483" i="3"/>
  <c r="AW483" i="3"/>
  <c r="BA482" i="3"/>
  <c r="AZ482" i="3"/>
  <c r="AY482" i="3"/>
  <c r="AX482" i="3"/>
  <c r="AW482" i="3"/>
  <c r="BA481" i="3"/>
  <c r="AZ481" i="3"/>
  <c r="AY481" i="3"/>
  <c r="AX481" i="3"/>
  <c r="AW481" i="3"/>
  <c r="BA480" i="3"/>
  <c r="AZ480" i="3"/>
  <c r="AY480" i="3"/>
  <c r="AX480" i="3"/>
  <c r="AW480" i="3"/>
  <c r="BA479" i="3"/>
  <c r="AZ479" i="3"/>
  <c r="AY479" i="3"/>
  <c r="AX479" i="3"/>
  <c r="AW479" i="3"/>
  <c r="BA478" i="3"/>
  <c r="AZ478" i="3"/>
  <c r="AY478" i="3"/>
  <c r="AX478" i="3"/>
  <c r="AW478" i="3"/>
  <c r="BA477" i="3"/>
  <c r="AZ477" i="3"/>
  <c r="AY477" i="3"/>
  <c r="AX477" i="3"/>
  <c r="AW477" i="3"/>
  <c r="BA476" i="3"/>
  <c r="AZ476" i="3"/>
  <c r="AY476" i="3"/>
  <c r="AX476" i="3"/>
  <c r="AW476" i="3"/>
  <c r="BA475" i="3"/>
  <c r="AZ475" i="3"/>
  <c r="AY475" i="3"/>
  <c r="AX475" i="3"/>
  <c r="AW475" i="3"/>
  <c r="BA474" i="3"/>
  <c r="AZ474" i="3"/>
  <c r="AY474" i="3"/>
  <c r="AX474" i="3"/>
  <c r="AW474" i="3"/>
  <c r="BA473" i="3"/>
  <c r="AZ473" i="3"/>
  <c r="AY473" i="3"/>
  <c r="AX473" i="3"/>
  <c r="AW473" i="3"/>
  <c r="BA472" i="3"/>
  <c r="AZ472" i="3"/>
  <c r="AY472" i="3"/>
  <c r="AX472" i="3"/>
  <c r="AW472" i="3"/>
  <c r="BA471" i="3"/>
  <c r="AZ471" i="3"/>
  <c r="AY471" i="3"/>
  <c r="AX471" i="3"/>
  <c r="AW471" i="3"/>
  <c r="BA470" i="3"/>
  <c r="AZ470" i="3"/>
  <c r="AY470" i="3"/>
  <c r="AX470" i="3"/>
  <c r="AW470" i="3"/>
  <c r="BA469" i="3"/>
  <c r="AZ469" i="3"/>
  <c r="AY469" i="3"/>
  <c r="AX469" i="3"/>
  <c r="AW469" i="3"/>
  <c r="BA468" i="3"/>
  <c r="AZ468" i="3"/>
  <c r="AY468" i="3"/>
  <c r="AX468" i="3"/>
  <c r="AW468" i="3"/>
  <c r="BA467" i="3"/>
  <c r="AZ467" i="3"/>
  <c r="AY467" i="3"/>
  <c r="AX467" i="3"/>
  <c r="AW467" i="3"/>
  <c r="BA466" i="3"/>
  <c r="AZ466" i="3"/>
  <c r="AY466" i="3"/>
  <c r="AX466" i="3"/>
  <c r="AW466" i="3"/>
  <c r="BA465" i="3"/>
  <c r="AZ465" i="3"/>
  <c r="AY465" i="3"/>
  <c r="AX465" i="3"/>
  <c r="AW465" i="3"/>
  <c r="BA464" i="3"/>
  <c r="AZ464" i="3"/>
  <c r="AY464" i="3"/>
  <c r="AX464" i="3"/>
  <c r="AW464" i="3"/>
  <c r="BA463" i="3"/>
  <c r="AZ463" i="3"/>
  <c r="AY463" i="3"/>
  <c r="AX463" i="3"/>
  <c r="AW463" i="3"/>
  <c r="BA462" i="3"/>
  <c r="AZ462" i="3"/>
  <c r="AY462" i="3"/>
  <c r="AX462" i="3"/>
  <c r="AW462" i="3"/>
  <c r="BA461" i="3"/>
  <c r="AZ461" i="3"/>
  <c r="AY461" i="3"/>
  <c r="AX461" i="3"/>
  <c r="AW461" i="3"/>
  <c r="BA460" i="3"/>
  <c r="AZ460" i="3"/>
  <c r="AY460" i="3"/>
  <c r="AX460" i="3"/>
  <c r="AW460" i="3"/>
  <c r="BA459" i="3"/>
  <c r="AZ459" i="3"/>
  <c r="AY459" i="3"/>
  <c r="AX459" i="3"/>
  <c r="AW459" i="3"/>
  <c r="BA458" i="3"/>
  <c r="AZ458" i="3"/>
  <c r="AY458" i="3"/>
  <c r="AX458" i="3"/>
  <c r="AW458" i="3"/>
  <c r="BA457" i="3"/>
  <c r="AZ457" i="3"/>
  <c r="AY457" i="3"/>
  <c r="AX457" i="3"/>
  <c r="AW457" i="3"/>
  <c r="BA456" i="3"/>
  <c r="AZ456" i="3"/>
  <c r="AY456" i="3"/>
  <c r="AX456" i="3"/>
  <c r="AW456" i="3"/>
  <c r="BA455" i="3"/>
  <c r="AZ455" i="3"/>
  <c r="AY455" i="3"/>
  <c r="AX455" i="3"/>
  <c r="AW455" i="3"/>
  <c r="BA454" i="3"/>
  <c r="AZ454" i="3"/>
  <c r="AY454" i="3"/>
  <c r="AX454" i="3"/>
  <c r="AW454" i="3"/>
  <c r="BA453" i="3"/>
  <c r="AZ453" i="3"/>
  <c r="AY453" i="3"/>
  <c r="AX453" i="3"/>
  <c r="AW453" i="3"/>
  <c r="BA452" i="3"/>
  <c r="AZ452" i="3"/>
  <c r="AY452" i="3"/>
  <c r="AX452" i="3"/>
  <c r="AW452" i="3"/>
  <c r="BA451" i="3"/>
  <c r="AZ451" i="3"/>
  <c r="AY451" i="3"/>
  <c r="AX451" i="3"/>
  <c r="AW451" i="3"/>
  <c r="BA450" i="3"/>
  <c r="AZ450" i="3"/>
  <c r="AY450" i="3"/>
  <c r="AX450" i="3"/>
  <c r="AW450" i="3"/>
  <c r="BA449" i="3"/>
  <c r="AZ449" i="3"/>
  <c r="AY449" i="3"/>
  <c r="AX449" i="3"/>
  <c r="AW449" i="3"/>
  <c r="BA448" i="3"/>
  <c r="AZ448" i="3"/>
  <c r="AY448" i="3"/>
  <c r="AX448" i="3"/>
  <c r="AW448" i="3"/>
  <c r="BA447" i="3"/>
  <c r="AZ447" i="3"/>
  <c r="AY447" i="3"/>
  <c r="AX447" i="3"/>
  <c r="AW447" i="3"/>
  <c r="BA446" i="3"/>
  <c r="AZ446" i="3"/>
  <c r="AY446" i="3"/>
  <c r="AX446" i="3"/>
  <c r="AW446" i="3"/>
  <c r="BA445" i="3"/>
  <c r="AZ445" i="3"/>
  <c r="AY445" i="3"/>
  <c r="AX445" i="3"/>
  <c r="AW445" i="3"/>
  <c r="BA444" i="3"/>
  <c r="AZ444" i="3"/>
  <c r="AY444" i="3"/>
  <c r="AX444" i="3"/>
  <c r="AW444" i="3"/>
  <c r="BA443" i="3"/>
  <c r="AZ443" i="3"/>
  <c r="AY443" i="3"/>
  <c r="AX443" i="3"/>
  <c r="AW443" i="3"/>
  <c r="BA442" i="3"/>
  <c r="AZ442" i="3"/>
  <c r="AY442" i="3"/>
  <c r="AX442" i="3"/>
  <c r="AW442" i="3"/>
  <c r="BA441" i="3"/>
  <c r="AZ441" i="3"/>
  <c r="AY441" i="3"/>
  <c r="AX441" i="3"/>
  <c r="AW441" i="3"/>
  <c r="BA440" i="3"/>
  <c r="AZ440" i="3"/>
  <c r="AY440" i="3"/>
  <c r="AX440" i="3"/>
  <c r="AW440" i="3"/>
  <c r="BA439" i="3"/>
  <c r="AZ439" i="3"/>
  <c r="AY439" i="3"/>
  <c r="AX439" i="3"/>
  <c r="AW439" i="3"/>
  <c r="BA438" i="3"/>
  <c r="AZ438" i="3"/>
  <c r="AY438" i="3"/>
  <c r="AX438" i="3"/>
  <c r="AW438" i="3"/>
  <c r="BA437" i="3"/>
  <c r="AZ437" i="3"/>
  <c r="AY437" i="3"/>
  <c r="AX437" i="3"/>
  <c r="AW437" i="3"/>
  <c r="BA436" i="3"/>
  <c r="AZ436" i="3"/>
  <c r="AY436" i="3"/>
  <c r="AX436" i="3"/>
  <c r="AW436" i="3"/>
  <c r="BA435" i="3"/>
  <c r="AZ435" i="3"/>
  <c r="AY435" i="3"/>
  <c r="AX435" i="3"/>
  <c r="AW435" i="3"/>
  <c r="BA434" i="3"/>
  <c r="AZ434" i="3"/>
  <c r="AY434" i="3"/>
  <c r="AX434" i="3"/>
  <c r="AW434" i="3"/>
  <c r="BA433" i="3"/>
  <c r="AZ433" i="3"/>
  <c r="AY433" i="3"/>
  <c r="AX433" i="3"/>
  <c r="AW433" i="3"/>
  <c r="BA432" i="3"/>
  <c r="AZ432" i="3"/>
  <c r="AY432" i="3"/>
  <c r="AX432" i="3"/>
  <c r="AW432" i="3"/>
  <c r="BA431" i="3"/>
  <c r="AZ431" i="3"/>
  <c r="AY431" i="3"/>
  <c r="AX431" i="3"/>
  <c r="AW431" i="3"/>
  <c r="BA430" i="3"/>
  <c r="AZ430" i="3"/>
  <c r="AY430" i="3"/>
  <c r="AX430" i="3"/>
  <c r="AW430" i="3"/>
  <c r="BA429" i="3"/>
  <c r="AZ429" i="3"/>
  <c r="AY429" i="3"/>
  <c r="AX429" i="3"/>
  <c r="AW429" i="3"/>
  <c r="BA428" i="3"/>
  <c r="AZ428" i="3"/>
  <c r="AY428" i="3"/>
  <c r="AX428" i="3"/>
  <c r="AW428" i="3"/>
  <c r="BA427" i="3"/>
  <c r="AZ427" i="3"/>
  <c r="AY427" i="3"/>
  <c r="AX427" i="3"/>
  <c r="AW427" i="3"/>
  <c r="BA426" i="3"/>
  <c r="AZ426" i="3"/>
  <c r="AY426" i="3"/>
  <c r="AX426" i="3"/>
  <c r="AW426" i="3"/>
  <c r="BA425" i="3"/>
  <c r="AZ425" i="3"/>
  <c r="AY425" i="3"/>
  <c r="AX425" i="3"/>
  <c r="AW425" i="3"/>
  <c r="BA424" i="3"/>
  <c r="AZ424" i="3"/>
  <c r="AY424" i="3"/>
  <c r="AX424" i="3"/>
  <c r="AW424" i="3"/>
  <c r="BA423" i="3"/>
  <c r="AZ423" i="3"/>
  <c r="AY423" i="3"/>
  <c r="AX423" i="3"/>
  <c r="AW423" i="3"/>
  <c r="BA422" i="3"/>
  <c r="AZ422" i="3"/>
  <c r="AY422" i="3"/>
  <c r="AX422" i="3"/>
  <c r="AW422" i="3"/>
  <c r="BA421" i="3"/>
  <c r="AZ421" i="3"/>
  <c r="AY421" i="3"/>
  <c r="AX421" i="3"/>
  <c r="AW421" i="3"/>
  <c r="BA420" i="3"/>
  <c r="AZ420" i="3"/>
  <c r="AY420" i="3"/>
  <c r="AX420" i="3"/>
  <c r="AW420" i="3"/>
  <c r="BA419" i="3"/>
  <c r="AZ419" i="3"/>
  <c r="AY419" i="3"/>
  <c r="AX419" i="3"/>
  <c r="AW419" i="3"/>
  <c r="BA418" i="3"/>
  <c r="AZ418" i="3"/>
  <c r="AY418" i="3"/>
  <c r="AX418" i="3"/>
  <c r="AW418" i="3"/>
  <c r="BA417" i="3"/>
  <c r="AZ417" i="3"/>
  <c r="AY417" i="3"/>
  <c r="AX417" i="3"/>
  <c r="AW417" i="3"/>
  <c r="BA416" i="3"/>
  <c r="AZ416" i="3"/>
  <c r="AY416" i="3"/>
  <c r="AX416" i="3"/>
  <c r="AW416" i="3"/>
  <c r="BA415" i="3"/>
  <c r="AZ415" i="3"/>
  <c r="AY415" i="3"/>
  <c r="AX415" i="3"/>
  <c r="AW415" i="3"/>
  <c r="BA414" i="3"/>
  <c r="AZ414" i="3"/>
  <c r="AY414" i="3"/>
  <c r="AX414" i="3"/>
  <c r="AW414" i="3"/>
  <c r="BA413" i="3"/>
  <c r="AZ413" i="3"/>
  <c r="AY413" i="3"/>
  <c r="AX413" i="3"/>
  <c r="AW413" i="3"/>
  <c r="BA412" i="3"/>
  <c r="AZ412" i="3"/>
  <c r="AY412" i="3"/>
  <c r="AX412" i="3"/>
  <c r="AW412" i="3"/>
  <c r="BA411" i="3"/>
  <c r="AZ411" i="3"/>
  <c r="AY411" i="3"/>
  <c r="AX411" i="3"/>
  <c r="AW411" i="3"/>
  <c r="BA410" i="3"/>
  <c r="AZ410" i="3"/>
  <c r="AY410" i="3"/>
  <c r="AX410" i="3"/>
  <c r="AW410" i="3"/>
  <c r="BA409" i="3"/>
  <c r="AZ409" i="3"/>
  <c r="AY409" i="3"/>
  <c r="AX409" i="3"/>
  <c r="AW409" i="3"/>
  <c r="BA408" i="3"/>
  <c r="AZ408" i="3"/>
  <c r="AY408" i="3"/>
  <c r="AX408" i="3"/>
  <c r="AW408" i="3"/>
  <c r="BA407" i="3"/>
  <c r="AZ407" i="3"/>
  <c r="AY407" i="3"/>
  <c r="AX407" i="3"/>
  <c r="AW407" i="3"/>
  <c r="BA406" i="3"/>
  <c r="AZ406" i="3"/>
  <c r="AY406" i="3"/>
  <c r="AX406" i="3"/>
  <c r="AW406" i="3"/>
  <c r="BA405" i="3"/>
  <c r="AZ405" i="3"/>
  <c r="AY405" i="3"/>
  <c r="AX405" i="3"/>
  <c r="AW405" i="3"/>
  <c r="BA404" i="3"/>
  <c r="AZ404" i="3"/>
  <c r="AY404" i="3"/>
  <c r="AX404" i="3"/>
  <c r="AW404" i="3"/>
  <c r="BA403" i="3"/>
  <c r="AZ403" i="3"/>
  <c r="AY403" i="3"/>
  <c r="AX403" i="3"/>
  <c r="AW403" i="3"/>
  <c r="BA402" i="3"/>
  <c r="AZ402" i="3"/>
  <c r="AY402" i="3"/>
  <c r="AX402" i="3"/>
  <c r="AW402" i="3"/>
  <c r="BA401" i="3"/>
  <c r="AZ401" i="3"/>
  <c r="AY401" i="3"/>
  <c r="AX401" i="3"/>
  <c r="AW401" i="3"/>
  <c r="BA400" i="3"/>
  <c r="AZ400" i="3"/>
  <c r="AY400" i="3"/>
  <c r="AX400" i="3"/>
  <c r="AW400" i="3"/>
  <c r="BA399" i="3"/>
  <c r="AZ399" i="3"/>
  <c r="AY399" i="3"/>
  <c r="AX399" i="3"/>
  <c r="AW399" i="3"/>
  <c r="BA398" i="3"/>
  <c r="AZ398" i="3"/>
  <c r="AY398" i="3"/>
  <c r="AX398" i="3"/>
  <c r="AW398" i="3"/>
  <c r="BA397" i="3"/>
  <c r="AZ397" i="3"/>
  <c r="AY397" i="3"/>
  <c r="AX397" i="3"/>
  <c r="AW397" i="3"/>
  <c r="BA396" i="3"/>
  <c r="AZ396" i="3"/>
  <c r="AY396" i="3"/>
  <c r="AX396" i="3"/>
  <c r="AW396" i="3"/>
  <c r="BA395" i="3"/>
  <c r="AZ395" i="3"/>
  <c r="AY395" i="3"/>
  <c r="AX395" i="3"/>
  <c r="AW395" i="3"/>
  <c r="BA394" i="3"/>
  <c r="AZ394" i="3"/>
  <c r="AY394" i="3"/>
  <c r="AX394" i="3"/>
  <c r="AW394" i="3"/>
  <c r="BA393" i="3"/>
  <c r="AZ393" i="3"/>
  <c r="AY393" i="3"/>
  <c r="AX393" i="3"/>
  <c r="AW393" i="3"/>
  <c r="BA392" i="3"/>
  <c r="AZ392" i="3"/>
  <c r="AY392" i="3"/>
  <c r="AX392" i="3"/>
  <c r="AW392" i="3"/>
  <c r="BA391" i="3"/>
  <c r="AZ391" i="3"/>
  <c r="AY391" i="3"/>
  <c r="AX391" i="3"/>
  <c r="AW391" i="3"/>
  <c r="BA390" i="3"/>
  <c r="AZ390" i="3"/>
  <c r="AY390" i="3"/>
  <c r="AX390" i="3"/>
  <c r="AW390" i="3"/>
  <c r="BA389" i="3"/>
  <c r="AZ389" i="3"/>
  <c r="AY389" i="3"/>
  <c r="AX389" i="3"/>
  <c r="AW389" i="3"/>
  <c r="BA388" i="3"/>
  <c r="AZ388" i="3"/>
  <c r="AY388" i="3"/>
  <c r="AX388" i="3"/>
  <c r="AW388" i="3"/>
  <c r="BA387" i="3"/>
  <c r="AZ387" i="3"/>
  <c r="AY387" i="3"/>
  <c r="AX387" i="3"/>
  <c r="AW387" i="3"/>
  <c r="BA386" i="3"/>
  <c r="AZ386" i="3"/>
  <c r="AY386" i="3"/>
  <c r="AX386" i="3"/>
  <c r="AW386" i="3"/>
  <c r="BA385" i="3"/>
  <c r="AZ385" i="3"/>
  <c r="AY385" i="3"/>
  <c r="AX385" i="3"/>
  <c r="AW385" i="3"/>
  <c r="BA384" i="3"/>
  <c r="AZ384" i="3"/>
  <c r="AY384" i="3"/>
  <c r="AX384" i="3"/>
  <c r="AW384" i="3"/>
  <c r="BA383" i="3"/>
  <c r="AZ383" i="3"/>
  <c r="AY383" i="3"/>
  <c r="AX383" i="3"/>
  <c r="AW383" i="3"/>
  <c r="BA382" i="3"/>
  <c r="AZ382" i="3"/>
  <c r="AY382" i="3"/>
  <c r="AX382" i="3"/>
  <c r="AW382" i="3"/>
  <c r="BA381" i="3"/>
  <c r="AZ381" i="3"/>
  <c r="AY381" i="3"/>
  <c r="AX381" i="3"/>
  <c r="AW381" i="3"/>
  <c r="BA380" i="3"/>
  <c r="AZ380" i="3"/>
  <c r="AY380" i="3"/>
  <c r="AX380" i="3"/>
  <c r="AW380" i="3"/>
  <c r="BA379" i="3"/>
  <c r="AZ379" i="3"/>
  <c r="AY379" i="3"/>
  <c r="AX379" i="3"/>
  <c r="AW379" i="3"/>
  <c r="BA378" i="3"/>
  <c r="AZ378" i="3"/>
  <c r="AY378" i="3"/>
  <c r="AX378" i="3"/>
  <c r="AW378" i="3"/>
  <c r="BA377" i="3"/>
  <c r="AZ377" i="3"/>
  <c r="AY377" i="3"/>
  <c r="AX377" i="3"/>
  <c r="AW377" i="3"/>
  <c r="BA376" i="3"/>
  <c r="AZ376" i="3"/>
  <c r="AY376" i="3"/>
  <c r="AX376" i="3"/>
  <c r="AW376" i="3"/>
  <c r="BA375" i="3"/>
  <c r="AZ375" i="3"/>
  <c r="AY375" i="3"/>
  <c r="AX375" i="3"/>
  <c r="AW375" i="3"/>
  <c r="BA374" i="3"/>
  <c r="AZ374" i="3"/>
  <c r="AY374" i="3"/>
  <c r="AX374" i="3"/>
  <c r="AW374" i="3"/>
  <c r="BA373" i="3"/>
  <c r="AZ373" i="3"/>
  <c r="AY373" i="3"/>
  <c r="AX373" i="3"/>
  <c r="AW373" i="3"/>
  <c r="BA372" i="3"/>
  <c r="AZ372" i="3"/>
  <c r="AY372" i="3"/>
  <c r="AX372" i="3"/>
  <c r="AW372" i="3"/>
  <c r="BA371" i="3"/>
  <c r="AZ371" i="3"/>
  <c r="AY371" i="3"/>
  <c r="AX371" i="3"/>
  <c r="AW371" i="3"/>
  <c r="BA370" i="3"/>
  <c r="AZ370" i="3"/>
  <c r="AY370" i="3"/>
  <c r="AX370" i="3"/>
  <c r="AW370" i="3"/>
  <c r="BA369" i="3"/>
  <c r="AZ369" i="3"/>
  <c r="AY369" i="3"/>
  <c r="AX369" i="3"/>
  <c r="AW369" i="3"/>
  <c r="BA368" i="3"/>
  <c r="AZ368" i="3"/>
  <c r="AY368" i="3"/>
  <c r="AX368" i="3"/>
  <c r="AW368" i="3"/>
  <c r="BA367" i="3"/>
  <c r="AZ367" i="3"/>
  <c r="AY367" i="3"/>
  <c r="AX367" i="3"/>
  <c r="AW367" i="3"/>
  <c r="BA366" i="3"/>
  <c r="AZ366" i="3"/>
  <c r="AY366" i="3"/>
  <c r="AX366" i="3"/>
  <c r="AW366" i="3"/>
  <c r="BA365" i="3"/>
  <c r="AZ365" i="3"/>
  <c r="AY365" i="3"/>
  <c r="AX365" i="3"/>
  <c r="AW365" i="3"/>
  <c r="BA364" i="3"/>
  <c r="AZ364" i="3"/>
  <c r="AY364" i="3"/>
  <c r="AX364" i="3"/>
  <c r="AW364" i="3"/>
  <c r="BA363" i="3"/>
  <c r="AZ363" i="3"/>
  <c r="AY363" i="3"/>
  <c r="AX363" i="3"/>
  <c r="AW363" i="3"/>
  <c r="BA362" i="3"/>
  <c r="AZ362" i="3"/>
  <c r="AY362" i="3"/>
  <c r="AX362" i="3"/>
  <c r="AW362" i="3"/>
  <c r="BA361" i="3"/>
  <c r="AZ361" i="3"/>
  <c r="AY361" i="3"/>
  <c r="AX361" i="3"/>
  <c r="AW361" i="3"/>
  <c r="BA360" i="3"/>
  <c r="AZ360" i="3"/>
  <c r="AY360" i="3"/>
  <c r="AX360" i="3"/>
  <c r="AW360" i="3"/>
  <c r="BA359" i="3"/>
  <c r="AZ359" i="3"/>
  <c r="AY359" i="3"/>
  <c r="AX359" i="3"/>
  <c r="AW359" i="3"/>
  <c r="BA358" i="3"/>
  <c r="AZ358" i="3"/>
  <c r="AY358" i="3"/>
  <c r="AX358" i="3"/>
  <c r="AW358" i="3"/>
  <c r="BA357" i="3"/>
  <c r="AZ357" i="3"/>
  <c r="AY357" i="3"/>
  <c r="AX357" i="3"/>
  <c r="AW357" i="3"/>
  <c r="BA356" i="3"/>
  <c r="AZ356" i="3"/>
  <c r="AY356" i="3"/>
  <c r="AX356" i="3"/>
  <c r="AW356" i="3"/>
  <c r="BA355" i="3"/>
  <c r="AZ355" i="3"/>
  <c r="AY355" i="3"/>
  <c r="AX355" i="3"/>
  <c r="AW355" i="3"/>
  <c r="BA354" i="3"/>
  <c r="AZ354" i="3"/>
  <c r="AY354" i="3"/>
  <c r="AX354" i="3"/>
  <c r="AW354" i="3"/>
  <c r="BA353" i="3"/>
  <c r="AZ353" i="3"/>
  <c r="AY353" i="3"/>
  <c r="AX353" i="3"/>
  <c r="AW353" i="3"/>
  <c r="BA352" i="3"/>
  <c r="AZ352" i="3"/>
  <c r="AY352" i="3"/>
  <c r="AX352" i="3"/>
  <c r="AW352" i="3"/>
  <c r="BA351" i="3"/>
  <c r="AZ351" i="3"/>
  <c r="AY351" i="3"/>
  <c r="AX351" i="3"/>
  <c r="AW351" i="3"/>
  <c r="BA350" i="3"/>
  <c r="AZ350" i="3"/>
  <c r="AY350" i="3"/>
  <c r="AX350" i="3"/>
  <c r="AW350" i="3"/>
  <c r="BA349" i="3"/>
  <c r="AZ349" i="3"/>
  <c r="AY349" i="3"/>
  <c r="AX349" i="3"/>
  <c r="AW349" i="3"/>
  <c r="BA348" i="3"/>
  <c r="AZ348" i="3"/>
  <c r="AY348" i="3"/>
  <c r="AX348" i="3"/>
  <c r="AW348" i="3"/>
  <c r="BA347" i="3"/>
  <c r="AZ347" i="3"/>
  <c r="AY347" i="3"/>
  <c r="AX347" i="3"/>
  <c r="AW347" i="3"/>
  <c r="BA346" i="3"/>
  <c r="AZ346" i="3"/>
  <c r="AY346" i="3"/>
  <c r="AX346" i="3"/>
  <c r="AW346" i="3"/>
  <c r="BA345" i="3"/>
  <c r="AZ345" i="3"/>
  <c r="AY345" i="3"/>
  <c r="AX345" i="3"/>
  <c r="AW345" i="3"/>
  <c r="BA344" i="3"/>
  <c r="AZ344" i="3"/>
  <c r="AY344" i="3"/>
  <c r="AX344" i="3"/>
  <c r="AW344" i="3"/>
  <c r="BA343" i="3"/>
  <c r="AZ343" i="3"/>
  <c r="AY343" i="3"/>
  <c r="AX343" i="3"/>
  <c r="AW343" i="3"/>
  <c r="BA342" i="3"/>
  <c r="AZ342" i="3"/>
  <c r="AY342" i="3"/>
  <c r="AX342" i="3"/>
  <c r="AW342" i="3"/>
  <c r="BA341" i="3"/>
  <c r="AZ341" i="3"/>
  <c r="AY341" i="3"/>
  <c r="AX341" i="3"/>
  <c r="AW341" i="3"/>
  <c r="BA340" i="3"/>
  <c r="AZ340" i="3"/>
  <c r="AY340" i="3"/>
  <c r="AX340" i="3"/>
  <c r="AW340" i="3"/>
  <c r="BA339" i="3"/>
  <c r="AZ339" i="3"/>
  <c r="AY339" i="3"/>
  <c r="AX339" i="3"/>
  <c r="AW339" i="3"/>
  <c r="BA338" i="3"/>
  <c r="AZ338" i="3"/>
  <c r="AY338" i="3"/>
  <c r="AX338" i="3"/>
  <c r="AW338" i="3"/>
  <c r="BA337" i="3"/>
  <c r="AZ337" i="3"/>
  <c r="AY337" i="3"/>
  <c r="AX337" i="3"/>
  <c r="AW337" i="3"/>
  <c r="BA336" i="3"/>
  <c r="AZ336" i="3"/>
  <c r="AY336" i="3"/>
  <c r="AX336" i="3"/>
  <c r="AW336" i="3"/>
  <c r="BA335" i="3"/>
  <c r="AZ335" i="3"/>
  <c r="AY335" i="3"/>
  <c r="AX335" i="3"/>
  <c r="AW335" i="3"/>
  <c r="BA334" i="3"/>
  <c r="AZ334" i="3"/>
  <c r="AY334" i="3"/>
  <c r="AX334" i="3"/>
  <c r="AW334" i="3"/>
  <c r="BA333" i="3"/>
  <c r="AZ333" i="3"/>
  <c r="AY333" i="3"/>
  <c r="AX333" i="3"/>
  <c r="AW333" i="3"/>
  <c r="BA332" i="3"/>
  <c r="AZ332" i="3"/>
  <c r="AY332" i="3"/>
  <c r="AX332" i="3"/>
  <c r="AW332" i="3"/>
  <c r="BA331" i="3"/>
  <c r="AZ331" i="3"/>
  <c r="AY331" i="3"/>
  <c r="AX331" i="3"/>
  <c r="AW331" i="3"/>
  <c r="BA330" i="3"/>
  <c r="AZ330" i="3"/>
  <c r="AY330" i="3"/>
  <c r="AX330" i="3"/>
  <c r="AW330" i="3"/>
  <c r="BA329" i="3"/>
  <c r="AZ329" i="3"/>
  <c r="AY329" i="3"/>
  <c r="AX329" i="3"/>
  <c r="AW329" i="3"/>
  <c r="BA328" i="3"/>
  <c r="AZ328" i="3"/>
  <c r="AY328" i="3"/>
  <c r="AX328" i="3"/>
  <c r="AW328" i="3"/>
  <c r="BA327" i="3"/>
  <c r="AZ327" i="3"/>
  <c r="AY327" i="3"/>
  <c r="AX327" i="3"/>
  <c r="AW327" i="3"/>
  <c r="BA326" i="3"/>
  <c r="AZ326" i="3"/>
  <c r="AY326" i="3"/>
  <c r="AX326" i="3"/>
  <c r="AW326" i="3"/>
  <c r="BA325" i="3"/>
  <c r="AZ325" i="3"/>
  <c r="AY325" i="3"/>
  <c r="AX325" i="3"/>
  <c r="AW325" i="3"/>
  <c r="BA324" i="3"/>
  <c r="AZ324" i="3"/>
  <c r="AY324" i="3"/>
  <c r="AX324" i="3"/>
  <c r="AW324" i="3"/>
  <c r="BA323" i="3"/>
  <c r="AZ323" i="3"/>
  <c r="AY323" i="3"/>
  <c r="AX323" i="3"/>
  <c r="AW323" i="3"/>
  <c r="BA322" i="3"/>
  <c r="AZ322" i="3"/>
  <c r="AY322" i="3"/>
  <c r="AX322" i="3"/>
  <c r="AW322" i="3"/>
  <c r="BA321" i="3"/>
  <c r="AZ321" i="3"/>
  <c r="AY321" i="3"/>
  <c r="AX321" i="3"/>
  <c r="AW321" i="3"/>
  <c r="BA320" i="3"/>
  <c r="AZ320" i="3"/>
  <c r="AY320" i="3"/>
  <c r="AX320" i="3"/>
  <c r="AW320" i="3"/>
  <c r="BA319" i="3"/>
  <c r="AZ319" i="3"/>
  <c r="AY319" i="3"/>
  <c r="AX319" i="3"/>
  <c r="AW319" i="3"/>
  <c r="BA318" i="3"/>
  <c r="AZ318" i="3"/>
  <c r="AY318" i="3"/>
  <c r="AX318" i="3"/>
  <c r="AW318" i="3"/>
  <c r="BA317" i="3"/>
  <c r="AZ317" i="3"/>
  <c r="AY317" i="3"/>
  <c r="AX317" i="3"/>
  <c r="AW317" i="3"/>
  <c r="BA316" i="3"/>
  <c r="AZ316" i="3"/>
  <c r="AY316" i="3"/>
  <c r="AX316" i="3"/>
  <c r="AW316" i="3"/>
  <c r="BA315" i="3"/>
  <c r="AZ315" i="3"/>
  <c r="AY315" i="3"/>
  <c r="AX315" i="3"/>
  <c r="AW315" i="3"/>
  <c r="BA314" i="3"/>
  <c r="AZ314" i="3"/>
  <c r="AY314" i="3"/>
  <c r="AX314" i="3"/>
  <c r="AW314" i="3"/>
  <c r="BA313" i="3"/>
  <c r="AZ313" i="3"/>
  <c r="AY313" i="3"/>
  <c r="AX313" i="3"/>
  <c r="AW313" i="3"/>
  <c r="BA312" i="3"/>
  <c r="AZ312" i="3"/>
  <c r="AY312" i="3"/>
  <c r="AX312" i="3"/>
  <c r="AW312" i="3"/>
  <c r="BA311" i="3"/>
  <c r="AZ311" i="3"/>
  <c r="AY311" i="3"/>
  <c r="AX311" i="3"/>
  <c r="AW311" i="3"/>
  <c r="BA310" i="3"/>
  <c r="AZ310" i="3"/>
  <c r="AY310" i="3"/>
  <c r="AX310" i="3"/>
  <c r="AW310" i="3"/>
  <c r="BA309" i="3"/>
  <c r="AZ309" i="3"/>
  <c r="AY309" i="3"/>
  <c r="AX309" i="3"/>
  <c r="AW309" i="3"/>
  <c r="BA308" i="3"/>
  <c r="AZ308" i="3"/>
  <c r="AY308" i="3"/>
  <c r="AX308" i="3"/>
  <c r="AW308" i="3"/>
  <c r="BA307" i="3"/>
  <c r="AZ307" i="3"/>
  <c r="AY307" i="3"/>
  <c r="AX307" i="3"/>
  <c r="AW307" i="3"/>
  <c r="BA306" i="3"/>
  <c r="AZ306" i="3"/>
  <c r="AY306" i="3"/>
  <c r="AX306" i="3"/>
  <c r="AW306" i="3"/>
  <c r="BA305" i="3"/>
  <c r="AZ305" i="3"/>
  <c r="AY305" i="3"/>
  <c r="AX305" i="3"/>
  <c r="AW305" i="3"/>
  <c r="BA304" i="3"/>
  <c r="AZ304" i="3"/>
  <c r="AY304" i="3"/>
  <c r="AX304" i="3"/>
  <c r="AW304" i="3"/>
  <c r="BA303" i="3"/>
  <c r="AZ303" i="3"/>
  <c r="AY303" i="3"/>
  <c r="AX303" i="3"/>
  <c r="AW303" i="3"/>
  <c r="BA302" i="3"/>
  <c r="AZ302" i="3"/>
  <c r="AY302" i="3"/>
  <c r="AX302" i="3"/>
  <c r="AW302" i="3"/>
  <c r="BA301" i="3"/>
  <c r="AZ301" i="3"/>
  <c r="AY301" i="3"/>
  <c r="AX301" i="3"/>
  <c r="AW301" i="3"/>
  <c r="BA300" i="3"/>
  <c r="AZ300" i="3"/>
  <c r="AY300" i="3"/>
  <c r="AX300" i="3"/>
  <c r="AW300" i="3"/>
  <c r="BA299" i="3"/>
  <c r="AZ299" i="3"/>
  <c r="AY299" i="3"/>
  <c r="AX299" i="3"/>
  <c r="AW299" i="3"/>
  <c r="BA298" i="3"/>
  <c r="AZ298" i="3"/>
  <c r="AY298" i="3"/>
  <c r="AX298" i="3"/>
  <c r="AW298" i="3"/>
  <c r="BA297" i="3"/>
  <c r="AZ297" i="3"/>
  <c r="AY297" i="3"/>
  <c r="AX297" i="3"/>
  <c r="AW297" i="3"/>
  <c r="BA296" i="3"/>
  <c r="AZ296" i="3"/>
  <c r="AY296" i="3"/>
  <c r="AX296" i="3"/>
  <c r="AW296" i="3"/>
  <c r="BA295" i="3"/>
  <c r="AZ295" i="3"/>
  <c r="AY295" i="3"/>
  <c r="AX295" i="3"/>
  <c r="AW295" i="3"/>
  <c r="BA294" i="3"/>
  <c r="AZ294" i="3"/>
  <c r="AY294" i="3"/>
  <c r="AX294" i="3"/>
  <c r="AW294" i="3"/>
  <c r="BA293" i="3"/>
  <c r="AZ293" i="3"/>
  <c r="AY293" i="3"/>
  <c r="AX293" i="3"/>
  <c r="AW293" i="3"/>
  <c r="BA292" i="3"/>
  <c r="AZ292" i="3"/>
  <c r="AY292" i="3"/>
  <c r="AX292" i="3"/>
  <c r="AW292" i="3"/>
  <c r="BA291" i="3"/>
  <c r="AZ291" i="3"/>
  <c r="AY291" i="3"/>
  <c r="AX291" i="3"/>
  <c r="AW291" i="3"/>
  <c r="BA290" i="3"/>
  <c r="AZ290" i="3"/>
  <c r="AY290" i="3"/>
  <c r="AX290" i="3"/>
  <c r="AW290" i="3"/>
  <c r="BA289" i="3"/>
  <c r="AZ289" i="3"/>
  <c r="AY289" i="3"/>
  <c r="AX289" i="3"/>
  <c r="AW289" i="3"/>
  <c r="BA288" i="3"/>
  <c r="AZ288" i="3"/>
  <c r="AY288" i="3"/>
  <c r="AX288" i="3"/>
  <c r="AW288" i="3"/>
  <c r="BA287" i="3"/>
  <c r="AZ287" i="3"/>
  <c r="AY287" i="3"/>
  <c r="AX287" i="3"/>
  <c r="AW287" i="3"/>
  <c r="BA286" i="3"/>
  <c r="AZ286" i="3"/>
  <c r="AY286" i="3"/>
  <c r="AX286" i="3"/>
  <c r="AW286" i="3"/>
  <c r="BA285" i="3"/>
  <c r="AZ285" i="3"/>
  <c r="AY285" i="3"/>
  <c r="AX285" i="3"/>
  <c r="AW285" i="3"/>
  <c r="BA284" i="3"/>
  <c r="AZ284" i="3"/>
  <c r="AY284" i="3"/>
  <c r="AX284" i="3"/>
  <c r="AW284" i="3"/>
  <c r="BA283" i="3"/>
  <c r="AZ283" i="3"/>
  <c r="AY283" i="3"/>
  <c r="AX283" i="3"/>
  <c r="AW283" i="3"/>
  <c r="BA282" i="3"/>
  <c r="AZ282" i="3"/>
  <c r="AY282" i="3"/>
  <c r="AX282" i="3"/>
  <c r="AW282" i="3"/>
  <c r="BA281" i="3"/>
  <c r="AZ281" i="3"/>
  <c r="AY281" i="3"/>
  <c r="AX281" i="3"/>
  <c r="AW281" i="3"/>
  <c r="BA280" i="3"/>
  <c r="AZ280" i="3"/>
  <c r="AY280" i="3"/>
  <c r="AX280" i="3"/>
  <c r="AW280" i="3"/>
  <c r="BA279" i="3"/>
  <c r="AZ279" i="3"/>
  <c r="AY279" i="3"/>
  <c r="AX279" i="3"/>
  <c r="AW279" i="3"/>
  <c r="BA278" i="3"/>
  <c r="AZ278" i="3"/>
  <c r="AY278" i="3"/>
  <c r="AX278" i="3"/>
  <c r="AW278" i="3"/>
  <c r="BA277" i="3"/>
  <c r="AZ277" i="3"/>
  <c r="AY277" i="3"/>
  <c r="AX277" i="3"/>
  <c r="AW277" i="3"/>
  <c r="BA276" i="3"/>
  <c r="AZ276" i="3"/>
  <c r="AY276" i="3"/>
  <c r="AX276" i="3"/>
  <c r="AW276" i="3"/>
  <c r="BA275" i="3"/>
  <c r="AZ275" i="3"/>
  <c r="AY275" i="3"/>
  <c r="AX275" i="3"/>
  <c r="AW275" i="3"/>
  <c r="BA274" i="3"/>
  <c r="AZ274" i="3"/>
  <c r="AY274" i="3"/>
  <c r="AX274" i="3"/>
  <c r="AW274" i="3"/>
  <c r="BA273" i="3"/>
  <c r="AZ273" i="3"/>
  <c r="AY273" i="3"/>
  <c r="AX273" i="3"/>
  <c r="AW273" i="3"/>
  <c r="BA272" i="3"/>
  <c r="AZ272" i="3"/>
  <c r="AY272" i="3"/>
  <c r="AX272" i="3"/>
  <c r="AW272" i="3"/>
  <c r="BA271" i="3"/>
  <c r="AZ271" i="3"/>
  <c r="AY271" i="3"/>
  <c r="AX271" i="3"/>
  <c r="AW271" i="3"/>
  <c r="BA270" i="3"/>
  <c r="AZ270" i="3"/>
  <c r="AY270" i="3"/>
  <c r="AX270" i="3"/>
  <c r="AW270" i="3"/>
  <c r="BA269" i="3"/>
  <c r="AZ269" i="3"/>
  <c r="AY269" i="3"/>
  <c r="AX269" i="3"/>
  <c r="AW269" i="3"/>
  <c r="BA268" i="3"/>
  <c r="AZ268" i="3"/>
  <c r="AY268" i="3"/>
  <c r="AX268" i="3"/>
  <c r="AW268" i="3"/>
  <c r="BA267" i="3"/>
  <c r="AZ267" i="3"/>
  <c r="AY267" i="3"/>
  <c r="AX267" i="3"/>
  <c r="AW267" i="3"/>
  <c r="BA266" i="3"/>
  <c r="AZ266" i="3"/>
  <c r="AY266" i="3"/>
  <c r="AX266" i="3"/>
  <c r="AW266" i="3"/>
  <c r="BA265" i="3"/>
  <c r="AZ265" i="3"/>
  <c r="AY265" i="3"/>
  <c r="AX265" i="3"/>
  <c r="AW265" i="3"/>
  <c r="BA264" i="3"/>
  <c r="AZ264" i="3"/>
  <c r="AY264" i="3"/>
  <c r="AX264" i="3"/>
  <c r="AW264" i="3"/>
  <c r="BA263" i="3"/>
  <c r="AZ263" i="3"/>
  <c r="AY263" i="3"/>
  <c r="AX263" i="3"/>
  <c r="AW263" i="3"/>
  <c r="BA262" i="3"/>
  <c r="AZ262" i="3"/>
  <c r="AY262" i="3"/>
  <c r="AX262" i="3"/>
  <c r="AW262" i="3"/>
  <c r="BA261" i="3"/>
  <c r="AZ261" i="3"/>
  <c r="AY261" i="3"/>
  <c r="AX261" i="3"/>
  <c r="AW261" i="3"/>
  <c r="BA260" i="3"/>
  <c r="AZ260" i="3"/>
  <c r="AY260" i="3"/>
  <c r="AX260" i="3"/>
  <c r="AW260" i="3"/>
  <c r="BA259" i="3"/>
  <c r="AZ259" i="3"/>
  <c r="AY259" i="3"/>
  <c r="AX259" i="3"/>
  <c r="AW259" i="3"/>
  <c r="BA258" i="3"/>
  <c r="AZ258" i="3"/>
  <c r="AY258" i="3"/>
  <c r="AX258" i="3"/>
  <c r="AW258" i="3"/>
  <c r="BA257" i="3"/>
  <c r="AZ257" i="3"/>
  <c r="AY257" i="3"/>
  <c r="AX257" i="3"/>
  <c r="AW257" i="3"/>
  <c r="BA256" i="3"/>
  <c r="AZ256" i="3"/>
  <c r="AY256" i="3"/>
  <c r="AX256" i="3"/>
  <c r="AW256" i="3"/>
  <c r="BA255" i="3"/>
  <c r="AZ255" i="3"/>
  <c r="AY255" i="3"/>
  <c r="AX255" i="3"/>
  <c r="AW255" i="3"/>
  <c r="BA254" i="3"/>
  <c r="AZ254" i="3"/>
  <c r="AY254" i="3"/>
  <c r="AX254" i="3"/>
  <c r="AW254" i="3"/>
  <c r="BA253" i="3"/>
  <c r="AZ253" i="3"/>
  <c r="AY253" i="3"/>
  <c r="AX253" i="3"/>
  <c r="AW253" i="3"/>
  <c r="BA252" i="3"/>
  <c r="AZ252" i="3"/>
  <c r="AY252" i="3"/>
  <c r="AX252" i="3"/>
  <c r="AW252" i="3"/>
  <c r="BA251" i="3"/>
  <c r="AZ251" i="3"/>
  <c r="AY251" i="3"/>
  <c r="AX251" i="3"/>
  <c r="AW251" i="3"/>
  <c r="BA250" i="3"/>
  <c r="AZ250" i="3"/>
  <c r="AY250" i="3"/>
  <c r="AX250" i="3"/>
  <c r="AW250" i="3"/>
  <c r="BA249" i="3"/>
  <c r="AZ249" i="3"/>
  <c r="AY249" i="3"/>
  <c r="AX249" i="3"/>
  <c r="AW249" i="3"/>
  <c r="BA248" i="3"/>
  <c r="AZ248" i="3"/>
  <c r="AY248" i="3"/>
  <c r="AX248" i="3"/>
  <c r="AW248" i="3"/>
  <c r="BA247" i="3"/>
  <c r="AZ247" i="3"/>
  <c r="AY247" i="3"/>
  <c r="AX247" i="3"/>
  <c r="AW247" i="3"/>
  <c r="BA246" i="3"/>
  <c r="AZ246" i="3"/>
  <c r="AY246" i="3"/>
  <c r="AX246" i="3"/>
  <c r="AW246" i="3"/>
  <c r="BA245" i="3"/>
  <c r="AZ245" i="3"/>
  <c r="AY245" i="3"/>
  <c r="AX245" i="3"/>
  <c r="AW245" i="3"/>
  <c r="BA244" i="3"/>
  <c r="AZ244" i="3"/>
  <c r="AY244" i="3"/>
  <c r="AX244" i="3"/>
  <c r="AW244" i="3"/>
  <c r="BA243" i="3"/>
  <c r="AZ243" i="3"/>
  <c r="AY243" i="3"/>
  <c r="AX243" i="3"/>
  <c r="AW243" i="3"/>
  <c r="BA242" i="3"/>
  <c r="AZ242" i="3"/>
  <c r="AY242" i="3"/>
  <c r="AX242" i="3"/>
  <c r="AW242" i="3"/>
  <c r="BA241" i="3"/>
  <c r="AZ241" i="3"/>
  <c r="AY241" i="3"/>
  <c r="AX241" i="3"/>
  <c r="AW241" i="3"/>
  <c r="BA240" i="3"/>
  <c r="AZ240" i="3"/>
  <c r="AY240" i="3"/>
  <c r="AX240" i="3"/>
  <c r="AW240" i="3"/>
  <c r="BA239" i="3"/>
  <c r="AZ239" i="3"/>
  <c r="AY239" i="3"/>
  <c r="AX239" i="3"/>
  <c r="AW239" i="3"/>
  <c r="BA238" i="3"/>
  <c r="AZ238" i="3"/>
  <c r="AY238" i="3"/>
  <c r="AX238" i="3"/>
  <c r="AW238" i="3"/>
  <c r="BA237" i="3"/>
  <c r="AZ237" i="3"/>
  <c r="AY237" i="3"/>
  <c r="AX237" i="3"/>
  <c r="AW237" i="3"/>
  <c r="BA236" i="3"/>
  <c r="AZ236" i="3"/>
  <c r="AY236" i="3"/>
  <c r="AX236" i="3"/>
  <c r="AW236" i="3"/>
  <c r="BA235" i="3"/>
  <c r="AZ235" i="3"/>
  <c r="AY235" i="3"/>
  <c r="AX235" i="3"/>
  <c r="AW235" i="3"/>
  <c r="BA234" i="3"/>
  <c r="AZ234" i="3"/>
  <c r="AY234" i="3"/>
  <c r="AX234" i="3"/>
  <c r="AW234" i="3"/>
  <c r="BA233" i="3"/>
  <c r="AZ233" i="3"/>
  <c r="AY233" i="3"/>
  <c r="AX233" i="3"/>
  <c r="AW233" i="3"/>
  <c r="BA232" i="3"/>
  <c r="AZ232" i="3"/>
  <c r="AY232" i="3"/>
  <c r="AX232" i="3"/>
  <c r="AW232" i="3"/>
  <c r="BA231" i="3"/>
  <c r="AZ231" i="3"/>
  <c r="AY231" i="3"/>
  <c r="AX231" i="3"/>
  <c r="AW231" i="3"/>
  <c r="BA230" i="3"/>
  <c r="AZ230" i="3"/>
  <c r="AY230" i="3"/>
  <c r="AX230" i="3"/>
  <c r="AW230" i="3"/>
  <c r="BA229" i="3"/>
  <c r="AZ229" i="3"/>
  <c r="AY229" i="3"/>
  <c r="AX229" i="3"/>
  <c r="AW229" i="3"/>
  <c r="BA228" i="3"/>
  <c r="AZ228" i="3"/>
  <c r="AY228" i="3"/>
  <c r="AX228" i="3"/>
  <c r="AW228" i="3"/>
  <c r="BA227" i="3"/>
  <c r="AZ227" i="3"/>
  <c r="AY227" i="3"/>
  <c r="AX227" i="3"/>
  <c r="AW227" i="3"/>
  <c r="BA226" i="3"/>
  <c r="AZ226" i="3"/>
  <c r="AY226" i="3"/>
  <c r="AX226" i="3"/>
  <c r="AW226" i="3"/>
  <c r="BA225" i="3"/>
  <c r="AZ225" i="3"/>
  <c r="AY225" i="3"/>
  <c r="AX225" i="3"/>
  <c r="AW225" i="3"/>
  <c r="BA224" i="3"/>
  <c r="AZ224" i="3"/>
  <c r="AY224" i="3"/>
  <c r="AX224" i="3"/>
  <c r="AW224" i="3"/>
  <c r="BA223" i="3"/>
  <c r="AZ223" i="3"/>
  <c r="AY223" i="3"/>
  <c r="AX223" i="3"/>
  <c r="AW223" i="3"/>
  <c r="BA222" i="3"/>
  <c r="AZ222" i="3"/>
  <c r="AY222" i="3"/>
  <c r="AX222" i="3"/>
  <c r="AW222" i="3"/>
  <c r="BA221" i="3"/>
  <c r="AZ221" i="3"/>
  <c r="AY221" i="3"/>
  <c r="AX221" i="3"/>
  <c r="AW221" i="3"/>
  <c r="BA220" i="3"/>
  <c r="AZ220" i="3"/>
  <c r="AY220" i="3"/>
  <c r="AX220" i="3"/>
  <c r="AW220" i="3"/>
  <c r="BA219" i="3"/>
  <c r="AZ219" i="3"/>
  <c r="AY219" i="3"/>
  <c r="AX219" i="3"/>
  <c r="AW219" i="3"/>
  <c r="BA218" i="3"/>
  <c r="AZ218" i="3"/>
  <c r="AY218" i="3"/>
  <c r="AX218" i="3"/>
  <c r="AW218" i="3"/>
  <c r="BA217" i="3"/>
  <c r="AZ217" i="3"/>
  <c r="AY217" i="3"/>
  <c r="AX217" i="3"/>
  <c r="AW217" i="3"/>
  <c r="BA216" i="3"/>
  <c r="AZ216" i="3"/>
  <c r="AY216" i="3"/>
  <c r="AX216" i="3"/>
  <c r="AW216" i="3"/>
  <c r="BA215" i="3"/>
  <c r="AZ215" i="3"/>
  <c r="AY215" i="3"/>
  <c r="AX215" i="3"/>
  <c r="AW215" i="3"/>
  <c r="BA214" i="3"/>
  <c r="AZ214" i="3"/>
  <c r="AY214" i="3"/>
  <c r="AX214" i="3"/>
  <c r="AW214" i="3"/>
  <c r="BA213" i="3"/>
  <c r="AZ213" i="3"/>
  <c r="AY213" i="3"/>
  <c r="AX213" i="3"/>
  <c r="AW213" i="3"/>
  <c r="BA212" i="3"/>
  <c r="AZ212" i="3"/>
  <c r="AY212" i="3"/>
  <c r="AX212" i="3"/>
  <c r="AW212" i="3"/>
  <c r="BA211" i="3"/>
  <c r="AZ211" i="3"/>
  <c r="AY211" i="3"/>
  <c r="AX211" i="3"/>
  <c r="AW211" i="3"/>
  <c r="BA210" i="3"/>
  <c r="AZ210" i="3"/>
  <c r="AY210" i="3"/>
  <c r="AX210" i="3"/>
  <c r="AW210" i="3"/>
  <c r="BA209" i="3"/>
  <c r="AZ209" i="3"/>
  <c r="AY209" i="3"/>
  <c r="AX209" i="3"/>
  <c r="AW209" i="3"/>
  <c r="BA208" i="3"/>
  <c r="AZ208" i="3"/>
  <c r="AY208" i="3"/>
  <c r="AX208" i="3"/>
  <c r="AW208" i="3"/>
  <c r="BA207" i="3"/>
  <c r="AZ207" i="3"/>
  <c r="AY207" i="3"/>
  <c r="AX207" i="3"/>
  <c r="AW207" i="3"/>
  <c r="BA206" i="3"/>
  <c r="AZ206" i="3"/>
  <c r="AY206" i="3"/>
  <c r="AX206" i="3"/>
  <c r="AW206" i="3"/>
  <c r="BA205" i="3"/>
  <c r="AZ205" i="3"/>
  <c r="AY205" i="3"/>
  <c r="AX205" i="3"/>
  <c r="AW205" i="3"/>
  <c r="BA204" i="3"/>
  <c r="AZ204" i="3"/>
  <c r="AY204" i="3"/>
  <c r="AX204" i="3"/>
  <c r="AW204" i="3"/>
  <c r="BA203" i="3"/>
  <c r="AZ203" i="3"/>
  <c r="AY203" i="3"/>
  <c r="AX203" i="3"/>
  <c r="AW203" i="3"/>
  <c r="BA202" i="3"/>
  <c r="AZ202" i="3"/>
  <c r="AY202" i="3"/>
  <c r="AX202" i="3"/>
  <c r="AW202" i="3"/>
  <c r="BA201" i="3"/>
  <c r="AZ201" i="3"/>
  <c r="AY201" i="3"/>
  <c r="AX201" i="3"/>
  <c r="AW201" i="3"/>
  <c r="BA200" i="3"/>
  <c r="AZ200" i="3"/>
  <c r="AY200" i="3"/>
  <c r="AX200" i="3"/>
  <c r="AW200" i="3"/>
  <c r="BA199" i="3"/>
  <c r="AZ199" i="3"/>
  <c r="AY199" i="3"/>
  <c r="AX199" i="3"/>
  <c r="AW199" i="3"/>
  <c r="BA198" i="3"/>
  <c r="AZ198" i="3"/>
  <c r="AY198" i="3"/>
  <c r="AX198" i="3"/>
  <c r="AW198" i="3"/>
  <c r="BA197" i="3"/>
  <c r="AZ197" i="3"/>
  <c r="AY197" i="3"/>
  <c r="AX197" i="3"/>
  <c r="AW197" i="3"/>
  <c r="BA196" i="3"/>
  <c r="AZ196" i="3"/>
  <c r="AY196" i="3"/>
  <c r="AX196" i="3"/>
  <c r="AW196" i="3"/>
  <c r="BA195" i="3"/>
  <c r="AZ195" i="3"/>
  <c r="AY195" i="3"/>
  <c r="AX195" i="3"/>
  <c r="AW195" i="3"/>
  <c r="BA194" i="3"/>
  <c r="AZ194" i="3"/>
  <c r="AY194" i="3"/>
  <c r="AX194" i="3"/>
  <c r="AW194" i="3"/>
  <c r="BA193" i="3"/>
  <c r="AZ193" i="3"/>
  <c r="AY193" i="3"/>
  <c r="AX193" i="3"/>
  <c r="AW193" i="3"/>
  <c r="BA192" i="3"/>
  <c r="AZ192" i="3"/>
  <c r="AY192" i="3"/>
  <c r="AX192" i="3"/>
  <c r="AW192" i="3"/>
  <c r="BA191" i="3"/>
  <c r="AZ191" i="3"/>
  <c r="AY191" i="3"/>
  <c r="AX191" i="3"/>
  <c r="AW191" i="3"/>
  <c r="BA190" i="3"/>
  <c r="AZ190" i="3"/>
  <c r="AY190" i="3"/>
  <c r="AX190" i="3"/>
  <c r="AW190" i="3"/>
  <c r="BA189" i="3"/>
  <c r="AZ189" i="3"/>
  <c r="AY189" i="3"/>
  <c r="AX189" i="3"/>
  <c r="AW189" i="3"/>
  <c r="BA188" i="3"/>
  <c r="AZ188" i="3"/>
  <c r="AY188" i="3"/>
  <c r="AX188" i="3"/>
  <c r="AW188" i="3"/>
  <c r="BA187" i="3"/>
  <c r="AZ187" i="3"/>
  <c r="AY187" i="3"/>
  <c r="AX187" i="3"/>
  <c r="AW187" i="3"/>
  <c r="BA186" i="3"/>
  <c r="AZ186" i="3"/>
  <c r="AY186" i="3"/>
  <c r="AX186" i="3"/>
  <c r="AW186" i="3"/>
  <c r="BA185" i="3"/>
  <c r="AZ185" i="3"/>
  <c r="AY185" i="3"/>
  <c r="AX185" i="3"/>
  <c r="AW185" i="3"/>
  <c r="BA184" i="3"/>
  <c r="AZ184" i="3"/>
  <c r="AY184" i="3"/>
  <c r="AX184" i="3"/>
  <c r="AW184" i="3"/>
  <c r="BA183" i="3"/>
  <c r="AZ183" i="3"/>
  <c r="AY183" i="3"/>
  <c r="AX183" i="3"/>
  <c r="AW183" i="3"/>
  <c r="BA182" i="3"/>
  <c r="AZ182" i="3"/>
  <c r="AY182" i="3"/>
  <c r="AX182" i="3"/>
  <c r="AW182" i="3"/>
  <c r="BA181" i="3"/>
  <c r="AZ181" i="3"/>
  <c r="AY181" i="3"/>
  <c r="AX181" i="3"/>
  <c r="AW181" i="3"/>
  <c r="BA180" i="3"/>
  <c r="AZ180" i="3"/>
  <c r="AY180" i="3"/>
  <c r="AX180" i="3"/>
  <c r="AW180" i="3"/>
  <c r="BA179" i="3"/>
  <c r="AZ179" i="3"/>
  <c r="AY179" i="3"/>
  <c r="AX179" i="3"/>
  <c r="AW179" i="3"/>
  <c r="BA178" i="3"/>
  <c r="AZ178" i="3"/>
  <c r="AY178" i="3"/>
  <c r="AX178" i="3"/>
  <c r="AW178" i="3"/>
  <c r="BA177" i="3"/>
  <c r="AZ177" i="3"/>
  <c r="AY177" i="3"/>
  <c r="AX177" i="3"/>
  <c r="AW177" i="3"/>
  <c r="BA176" i="3"/>
  <c r="AZ176" i="3"/>
  <c r="AY176" i="3"/>
  <c r="AX176" i="3"/>
  <c r="AW176" i="3"/>
  <c r="BA175" i="3"/>
  <c r="AZ175" i="3"/>
  <c r="AY175" i="3"/>
  <c r="AX175" i="3"/>
  <c r="AW175" i="3"/>
  <c r="BA174" i="3"/>
  <c r="AZ174" i="3"/>
  <c r="AY174" i="3"/>
  <c r="AX174" i="3"/>
  <c r="AW174" i="3"/>
  <c r="BA173" i="3"/>
  <c r="AZ173" i="3"/>
  <c r="AY173" i="3"/>
  <c r="AX173" i="3"/>
  <c r="AW173" i="3"/>
  <c r="BA172" i="3"/>
  <c r="AZ172" i="3"/>
  <c r="AY172" i="3"/>
  <c r="AX172" i="3"/>
  <c r="AW172" i="3"/>
  <c r="BA171" i="3"/>
  <c r="AZ171" i="3"/>
  <c r="AY171" i="3"/>
  <c r="AX171" i="3"/>
  <c r="AW171" i="3"/>
  <c r="BA170" i="3"/>
  <c r="AZ170" i="3"/>
  <c r="AY170" i="3"/>
  <c r="AX170" i="3"/>
  <c r="AW170" i="3"/>
  <c r="BA169" i="3"/>
  <c r="AZ169" i="3"/>
  <c r="AY169" i="3"/>
  <c r="AX169" i="3"/>
  <c r="AW169" i="3"/>
  <c r="BA168" i="3"/>
  <c r="AZ168" i="3"/>
  <c r="AY168" i="3"/>
  <c r="AX168" i="3"/>
  <c r="AW168" i="3"/>
  <c r="BA167" i="3"/>
  <c r="AZ167" i="3"/>
  <c r="AY167" i="3"/>
  <c r="AX167" i="3"/>
  <c r="AW167" i="3"/>
  <c r="BA166" i="3"/>
  <c r="AZ166" i="3"/>
  <c r="AY166" i="3"/>
  <c r="AX166" i="3"/>
  <c r="AW166" i="3"/>
  <c r="BA165" i="3"/>
  <c r="AZ165" i="3"/>
  <c r="AY165" i="3"/>
  <c r="AX165" i="3"/>
  <c r="AW165" i="3"/>
  <c r="BA164" i="3"/>
  <c r="AZ164" i="3"/>
  <c r="AY164" i="3"/>
  <c r="AX164" i="3"/>
  <c r="AW164" i="3"/>
  <c r="BA163" i="3"/>
  <c r="AZ163" i="3"/>
  <c r="AY163" i="3"/>
  <c r="AX163" i="3"/>
  <c r="AW163" i="3"/>
  <c r="BA162" i="3"/>
  <c r="AZ162" i="3"/>
  <c r="AY162" i="3"/>
  <c r="AX162" i="3"/>
  <c r="AW162" i="3"/>
  <c r="BA161" i="3"/>
  <c r="AZ161" i="3"/>
  <c r="AY161" i="3"/>
  <c r="AX161" i="3"/>
  <c r="AW161" i="3"/>
  <c r="BA160" i="3"/>
  <c r="AZ160" i="3"/>
  <c r="AY160" i="3"/>
  <c r="AX160" i="3"/>
  <c r="AW160" i="3"/>
  <c r="BA159" i="3"/>
  <c r="AZ159" i="3"/>
  <c r="AY159" i="3"/>
  <c r="AX159" i="3"/>
  <c r="AW159" i="3"/>
  <c r="BA158" i="3"/>
  <c r="AZ158" i="3"/>
  <c r="AY158" i="3"/>
  <c r="AX158" i="3"/>
  <c r="AW158" i="3"/>
  <c r="BA157" i="3"/>
  <c r="AZ157" i="3"/>
  <c r="AY157" i="3"/>
  <c r="AX157" i="3"/>
  <c r="AW157" i="3"/>
  <c r="BA156" i="3"/>
  <c r="AZ156" i="3"/>
  <c r="AY156" i="3"/>
  <c r="AX156" i="3"/>
  <c r="AW156" i="3"/>
  <c r="BA155" i="3"/>
  <c r="AZ155" i="3"/>
  <c r="AY155" i="3"/>
  <c r="AX155" i="3"/>
  <c r="AW155" i="3"/>
  <c r="BA154" i="3"/>
  <c r="AZ154" i="3"/>
  <c r="AY154" i="3"/>
  <c r="AX154" i="3"/>
  <c r="AW154" i="3"/>
  <c r="BA153" i="3"/>
  <c r="AZ153" i="3"/>
  <c r="AY153" i="3"/>
  <c r="AX153" i="3"/>
  <c r="AW153" i="3"/>
  <c r="BA152" i="3"/>
  <c r="AZ152" i="3"/>
  <c r="AY152" i="3"/>
  <c r="AX152" i="3"/>
  <c r="AW152" i="3"/>
  <c r="BA151" i="3"/>
  <c r="AZ151" i="3"/>
  <c r="AY151" i="3"/>
  <c r="AX151" i="3"/>
  <c r="AW151" i="3"/>
  <c r="BA150" i="3"/>
  <c r="AZ150" i="3"/>
  <c r="AY150" i="3"/>
  <c r="AX150" i="3"/>
  <c r="AW150" i="3"/>
  <c r="BA149" i="3"/>
  <c r="AZ149" i="3"/>
  <c r="AY149" i="3"/>
  <c r="AX149" i="3"/>
  <c r="AW149" i="3"/>
  <c r="BA148" i="3"/>
  <c r="AZ148" i="3"/>
  <c r="AY148" i="3"/>
  <c r="AX148" i="3"/>
  <c r="AW148" i="3"/>
  <c r="BA147" i="3"/>
  <c r="AZ147" i="3"/>
  <c r="AY147" i="3"/>
  <c r="AX147" i="3"/>
  <c r="AW147" i="3"/>
  <c r="BA146" i="3"/>
  <c r="AZ146" i="3"/>
  <c r="AY146" i="3"/>
  <c r="AX146" i="3"/>
  <c r="AW146" i="3"/>
  <c r="BA145" i="3"/>
  <c r="AZ145" i="3"/>
  <c r="AY145" i="3"/>
  <c r="AX145" i="3"/>
  <c r="AW145" i="3"/>
  <c r="BA144" i="3"/>
  <c r="AZ144" i="3"/>
  <c r="AY144" i="3"/>
  <c r="AX144" i="3"/>
  <c r="AW144" i="3"/>
  <c r="BA143" i="3"/>
  <c r="AZ143" i="3"/>
  <c r="AY143" i="3"/>
  <c r="AX143" i="3"/>
  <c r="AW143" i="3"/>
  <c r="BA142" i="3"/>
  <c r="AZ142" i="3"/>
  <c r="AY142" i="3"/>
  <c r="AX142" i="3"/>
  <c r="AW142" i="3"/>
  <c r="BA141" i="3"/>
  <c r="AZ141" i="3"/>
  <c r="AY141" i="3"/>
  <c r="AX141" i="3"/>
  <c r="AW141" i="3"/>
  <c r="BA140" i="3"/>
  <c r="AZ140" i="3"/>
  <c r="AY140" i="3"/>
  <c r="AX140" i="3"/>
  <c r="AW140" i="3"/>
  <c r="BA139" i="3"/>
  <c r="AZ139" i="3"/>
  <c r="AY139" i="3"/>
  <c r="AX139" i="3"/>
  <c r="AW139" i="3"/>
  <c r="BA138" i="3"/>
  <c r="AZ138" i="3"/>
  <c r="AY138" i="3"/>
  <c r="AX138" i="3"/>
  <c r="AW138" i="3"/>
  <c r="BA137" i="3"/>
  <c r="AZ137" i="3"/>
  <c r="AY137" i="3"/>
  <c r="AX137" i="3"/>
  <c r="AW137" i="3"/>
  <c r="BA136" i="3"/>
  <c r="AZ136" i="3"/>
  <c r="AY136" i="3"/>
  <c r="AX136" i="3"/>
  <c r="AW136" i="3"/>
  <c r="BA135" i="3"/>
  <c r="AZ135" i="3"/>
  <c r="AY135" i="3"/>
  <c r="AX135" i="3"/>
  <c r="AW135" i="3"/>
  <c r="BA134" i="3"/>
  <c r="AZ134" i="3"/>
  <c r="AY134" i="3"/>
  <c r="AX134" i="3"/>
  <c r="AW134" i="3"/>
  <c r="BA133" i="3"/>
  <c r="AZ133" i="3"/>
  <c r="AY133" i="3"/>
  <c r="AX133" i="3"/>
  <c r="AW133" i="3"/>
  <c r="BA132" i="3"/>
  <c r="AZ132" i="3"/>
  <c r="AY132" i="3"/>
  <c r="AX132" i="3"/>
  <c r="AW132" i="3"/>
  <c r="BA131" i="3"/>
  <c r="AZ131" i="3"/>
  <c r="AY131" i="3"/>
  <c r="AX131" i="3"/>
  <c r="AW131" i="3"/>
  <c r="BA130" i="3"/>
  <c r="AZ130" i="3"/>
  <c r="AY130" i="3"/>
  <c r="AX130" i="3"/>
  <c r="AW130" i="3"/>
  <c r="BA129" i="3"/>
  <c r="AZ129" i="3"/>
  <c r="AY129" i="3"/>
  <c r="AX129" i="3"/>
  <c r="AW129" i="3"/>
  <c r="BA128" i="3"/>
  <c r="AZ128" i="3"/>
  <c r="AY128" i="3"/>
  <c r="AX128" i="3"/>
  <c r="AW128" i="3"/>
  <c r="BA127" i="3"/>
  <c r="AZ127" i="3"/>
  <c r="AY127" i="3"/>
  <c r="AX127" i="3"/>
  <c r="AW127" i="3"/>
  <c r="BA126" i="3"/>
  <c r="AZ126" i="3"/>
  <c r="AY126" i="3"/>
  <c r="AX126" i="3"/>
  <c r="AW126" i="3"/>
  <c r="BA125" i="3"/>
  <c r="AZ125" i="3"/>
  <c r="AY125" i="3"/>
  <c r="AX125" i="3"/>
  <c r="AW125" i="3"/>
  <c r="BA124" i="3"/>
  <c r="AZ124" i="3"/>
  <c r="AY124" i="3"/>
  <c r="AX124" i="3"/>
  <c r="AW124" i="3"/>
  <c r="BA123" i="3"/>
  <c r="AZ123" i="3"/>
  <c r="AY123" i="3"/>
  <c r="AX123" i="3"/>
  <c r="AW123" i="3"/>
  <c r="BA122" i="3"/>
  <c r="AZ122" i="3"/>
  <c r="AY122" i="3"/>
  <c r="AX122" i="3"/>
  <c r="AW122" i="3"/>
  <c r="BA121" i="3"/>
  <c r="AZ121" i="3"/>
  <c r="AY121" i="3"/>
  <c r="AX121" i="3"/>
  <c r="AW121" i="3"/>
  <c r="BA120" i="3"/>
  <c r="AZ120" i="3"/>
  <c r="AY120" i="3"/>
  <c r="AX120" i="3"/>
  <c r="AW120" i="3"/>
  <c r="BA119" i="3"/>
  <c r="AZ119" i="3"/>
  <c r="AY119" i="3"/>
  <c r="AX119" i="3"/>
  <c r="AW119" i="3"/>
  <c r="BA118" i="3"/>
  <c r="AZ118" i="3"/>
  <c r="AY118" i="3"/>
  <c r="AX118" i="3"/>
  <c r="AW118" i="3"/>
  <c r="BA117" i="3"/>
  <c r="AZ117" i="3"/>
  <c r="AY117" i="3"/>
  <c r="AX117" i="3"/>
  <c r="AW117" i="3"/>
  <c r="BA116" i="3"/>
  <c r="AZ116" i="3"/>
  <c r="AY116" i="3"/>
  <c r="AX116" i="3"/>
  <c r="AW116" i="3"/>
  <c r="BA115" i="3"/>
  <c r="AZ115" i="3"/>
  <c r="AY115" i="3"/>
  <c r="AX115" i="3"/>
  <c r="AW115" i="3"/>
  <c r="BA114" i="3"/>
  <c r="AZ114" i="3"/>
  <c r="AY114" i="3"/>
  <c r="AX114" i="3"/>
  <c r="AW114" i="3"/>
  <c r="BA113" i="3"/>
  <c r="AZ113" i="3"/>
  <c r="AY113" i="3"/>
  <c r="AX113" i="3"/>
  <c r="AW113" i="3"/>
  <c r="BA112" i="3"/>
  <c r="AZ112" i="3"/>
  <c r="AY112" i="3"/>
  <c r="AX112" i="3"/>
  <c r="AW112" i="3"/>
  <c r="BA111" i="3"/>
  <c r="AZ111" i="3"/>
  <c r="AY111" i="3"/>
  <c r="AX111" i="3"/>
  <c r="AW111" i="3"/>
  <c r="BA110" i="3"/>
  <c r="AZ110" i="3"/>
  <c r="AY110" i="3"/>
  <c r="AX110" i="3"/>
  <c r="AW110" i="3"/>
  <c r="BA109" i="3"/>
  <c r="AZ109" i="3"/>
  <c r="AY109" i="3"/>
  <c r="AX109" i="3"/>
  <c r="AW109" i="3"/>
  <c r="BA108" i="3"/>
  <c r="AZ108" i="3"/>
  <c r="AY108" i="3"/>
  <c r="AX108" i="3"/>
  <c r="AW108" i="3"/>
  <c r="BA107" i="3"/>
  <c r="AZ107" i="3"/>
  <c r="AY107" i="3"/>
  <c r="BA106" i="3"/>
  <c r="AZ106" i="3"/>
  <c r="AY106" i="3"/>
  <c r="BA105" i="3"/>
  <c r="AZ105" i="3"/>
  <c r="AY105" i="3"/>
  <c r="BA104" i="3"/>
  <c r="AZ104" i="3"/>
  <c r="AY104" i="3"/>
  <c r="BA103" i="3"/>
  <c r="AZ103" i="3"/>
  <c r="AY103" i="3"/>
  <c r="BA102" i="3"/>
  <c r="AZ102" i="3"/>
  <c r="AY102" i="3"/>
  <c r="BA101" i="3"/>
  <c r="AZ101" i="3"/>
  <c r="AY101" i="3"/>
  <c r="BA100" i="3"/>
  <c r="AZ100" i="3"/>
  <c r="AY100" i="3"/>
  <c r="BA99" i="3"/>
  <c r="AZ99" i="3"/>
  <c r="AY99" i="3"/>
  <c r="BA98" i="3"/>
  <c r="AZ98" i="3"/>
  <c r="AY98" i="3"/>
  <c r="BA97" i="3"/>
  <c r="AZ97" i="3"/>
  <c r="AY97" i="3"/>
  <c r="BA96" i="3"/>
  <c r="AZ96" i="3"/>
  <c r="AY96" i="3"/>
  <c r="BA95" i="3"/>
  <c r="AZ95" i="3"/>
  <c r="AY95" i="3"/>
  <c r="BA94" i="3"/>
  <c r="AZ94" i="3"/>
  <c r="AY94" i="3"/>
  <c r="BA93" i="3"/>
  <c r="AZ93" i="3"/>
  <c r="AY93" i="3"/>
  <c r="BA92" i="3"/>
  <c r="AZ92" i="3"/>
  <c r="AY92" i="3"/>
  <c r="BA91" i="3"/>
  <c r="AZ91" i="3"/>
  <c r="AY91" i="3"/>
  <c r="BA90" i="3"/>
  <c r="AZ90" i="3"/>
  <c r="AY90" i="3"/>
  <c r="BA89" i="3"/>
  <c r="AZ89" i="3"/>
  <c r="AY89" i="3"/>
  <c r="BA88" i="3"/>
  <c r="AZ88" i="3"/>
  <c r="AY88" i="3"/>
  <c r="BA87" i="3"/>
  <c r="AZ87" i="3"/>
  <c r="AY87" i="3"/>
  <c r="BA86" i="3"/>
  <c r="AZ86" i="3"/>
  <c r="AY86" i="3"/>
  <c r="BA85" i="3"/>
  <c r="AZ85" i="3"/>
  <c r="AY85" i="3"/>
  <c r="BA84" i="3"/>
  <c r="AZ84" i="3"/>
  <c r="AY84" i="3"/>
  <c r="BA83" i="3"/>
  <c r="AZ83" i="3"/>
  <c r="AY83" i="3"/>
  <c r="BA82" i="3"/>
  <c r="AZ82" i="3"/>
  <c r="AY82" i="3"/>
  <c r="BA81" i="3"/>
  <c r="AZ81" i="3"/>
  <c r="AY81" i="3"/>
  <c r="BA80" i="3"/>
  <c r="AZ80" i="3"/>
  <c r="AY80" i="3"/>
  <c r="BA79" i="3"/>
  <c r="AZ79" i="3"/>
  <c r="AY79" i="3"/>
  <c r="BA78" i="3"/>
  <c r="AZ78" i="3"/>
  <c r="AY78" i="3"/>
  <c r="BA77" i="3"/>
  <c r="AZ77" i="3"/>
  <c r="AY77" i="3"/>
  <c r="BA76" i="3"/>
  <c r="AZ76" i="3"/>
  <c r="AY76" i="3"/>
  <c r="BA75" i="3"/>
  <c r="AZ75" i="3"/>
  <c r="AY75" i="3"/>
  <c r="BA74" i="3"/>
  <c r="AZ74" i="3"/>
  <c r="AY74" i="3"/>
  <c r="BA73" i="3"/>
  <c r="AZ73" i="3"/>
  <c r="AY73" i="3"/>
  <c r="BA72" i="3"/>
  <c r="AZ72" i="3"/>
  <c r="AY72" i="3"/>
  <c r="BA71" i="3"/>
  <c r="AZ71" i="3"/>
  <c r="AY71" i="3"/>
  <c r="BA70" i="3"/>
  <c r="AZ70" i="3"/>
  <c r="AY70" i="3"/>
  <c r="BA69" i="3"/>
  <c r="AZ69" i="3"/>
  <c r="AY69" i="3"/>
  <c r="BA68" i="3"/>
  <c r="AZ68" i="3"/>
  <c r="AY68" i="3"/>
  <c r="BA67" i="3"/>
  <c r="AZ67" i="3"/>
  <c r="AY67" i="3"/>
  <c r="BA66" i="3"/>
  <c r="AZ66" i="3"/>
  <c r="AY66" i="3"/>
  <c r="BA65" i="3"/>
  <c r="AZ65" i="3"/>
  <c r="AY65" i="3"/>
  <c r="BA64" i="3"/>
  <c r="AZ64" i="3"/>
  <c r="AY64" i="3"/>
  <c r="BA63" i="3"/>
  <c r="AZ63" i="3"/>
  <c r="AY63" i="3"/>
  <c r="BA62" i="3"/>
  <c r="AZ62" i="3"/>
  <c r="AY62" i="3"/>
  <c r="BA61" i="3"/>
  <c r="AZ61" i="3"/>
  <c r="AY61" i="3"/>
  <c r="BA60" i="3"/>
  <c r="AZ60" i="3"/>
  <c r="AY60" i="3"/>
  <c r="BA59" i="3"/>
  <c r="AZ59" i="3"/>
  <c r="AY59" i="3"/>
  <c r="BA58" i="3"/>
  <c r="AZ58" i="3"/>
  <c r="AY58" i="3"/>
  <c r="BA57" i="3"/>
  <c r="AZ57" i="3"/>
  <c r="AY57" i="3"/>
  <c r="BA56" i="3"/>
  <c r="AZ56" i="3"/>
  <c r="AY56" i="3"/>
  <c r="BA55" i="3"/>
  <c r="AZ55" i="3"/>
  <c r="AY55" i="3"/>
  <c r="BA54" i="3"/>
  <c r="AZ54" i="3"/>
  <c r="AY54" i="3"/>
  <c r="BA53" i="3"/>
  <c r="AZ53" i="3"/>
  <c r="AY53" i="3"/>
  <c r="BA52" i="3"/>
  <c r="AZ52" i="3"/>
  <c r="AY52" i="3"/>
  <c r="BA51" i="3"/>
  <c r="AZ51" i="3"/>
  <c r="AY51" i="3"/>
  <c r="BA50" i="3"/>
  <c r="AZ50" i="3"/>
  <c r="AY50" i="3"/>
  <c r="BA49" i="3"/>
  <c r="AZ49" i="3"/>
  <c r="AY49" i="3"/>
  <c r="BA48" i="3"/>
  <c r="AZ48" i="3"/>
  <c r="AY48" i="3"/>
  <c r="BA47" i="3"/>
  <c r="AZ47" i="3"/>
  <c r="AY47" i="3"/>
  <c r="BA46" i="3"/>
  <c r="AZ46" i="3"/>
  <c r="AY46" i="3"/>
  <c r="BA45" i="3"/>
  <c r="AZ45" i="3"/>
  <c r="AY45" i="3"/>
  <c r="BA44" i="3"/>
  <c r="AZ44" i="3"/>
  <c r="AY44" i="3"/>
  <c r="BA43" i="3"/>
  <c r="AZ43" i="3"/>
  <c r="AY43" i="3"/>
  <c r="BA42" i="3"/>
  <c r="AZ42" i="3"/>
  <c r="AY42" i="3"/>
  <c r="BA41" i="3"/>
  <c r="AZ41" i="3"/>
  <c r="AY41" i="3"/>
  <c r="BA40" i="3"/>
  <c r="AZ40" i="3"/>
  <c r="AY40" i="3"/>
  <c r="BA39" i="3"/>
  <c r="AZ39" i="3"/>
  <c r="AY39" i="3"/>
  <c r="BA38" i="3"/>
  <c r="AZ38" i="3"/>
  <c r="AY38" i="3"/>
  <c r="BA37" i="3"/>
  <c r="AZ37" i="3"/>
  <c r="AY37" i="3"/>
  <c r="BA36" i="3"/>
  <c r="AZ36" i="3"/>
  <c r="AY36" i="3"/>
  <c r="BA35" i="3"/>
  <c r="AZ35" i="3"/>
  <c r="AY35" i="3"/>
  <c r="BA34" i="3"/>
  <c r="AZ34" i="3"/>
  <c r="AY34" i="3"/>
  <c r="BA33" i="3"/>
  <c r="AZ33" i="3"/>
  <c r="AY33" i="3"/>
  <c r="BA32" i="3"/>
  <c r="AZ32" i="3"/>
  <c r="AY32" i="3"/>
  <c r="BA31" i="3"/>
  <c r="AZ31" i="3"/>
  <c r="AY31" i="3"/>
  <c r="BA30" i="3"/>
  <c r="AZ30" i="3"/>
  <c r="AY30" i="3"/>
  <c r="BA29" i="3"/>
  <c r="AZ29" i="3"/>
  <c r="AY29" i="3"/>
  <c r="BA28" i="3"/>
  <c r="AZ28" i="3"/>
  <c r="AY28" i="3"/>
  <c r="BA27" i="3"/>
  <c r="AZ27" i="3"/>
  <c r="AY27" i="3"/>
  <c r="BA26" i="3"/>
  <c r="AZ26" i="3"/>
  <c r="AY26" i="3"/>
  <c r="BA25" i="3"/>
  <c r="AZ25" i="3"/>
  <c r="AY25" i="3"/>
  <c r="BA24" i="3"/>
  <c r="AZ24" i="3"/>
  <c r="AY24" i="3"/>
  <c r="BA23" i="3"/>
  <c r="AZ23" i="3"/>
  <c r="AY23" i="3"/>
  <c r="BA22" i="3"/>
  <c r="AZ22" i="3"/>
  <c r="AY22" i="3"/>
  <c r="BA21" i="3"/>
  <c r="AZ21" i="3"/>
  <c r="AY21" i="3"/>
  <c r="BA20" i="3"/>
  <c r="AZ20" i="3"/>
  <c r="AY20" i="3"/>
  <c r="BA19" i="3"/>
  <c r="AZ19" i="3"/>
  <c r="AY19" i="3"/>
  <c r="BA18" i="3"/>
  <c r="AZ18" i="3"/>
  <c r="AY18" i="3"/>
  <c r="BA17" i="3"/>
  <c r="AZ17" i="3"/>
  <c r="AY17" i="3"/>
  <c r="BA16" i="3"/>
  <c r="AZ16" i="3"/>
  <c r="AY16" i="3"/>
  <c r="BA15" i="3"/>
  <c r="AZ15" i="3"/>
  <c r="AY15" i="3"/>
  <c r="BA14" i="3"/>
  <c r="AZ14" i="3"/>
  <c r="AY14" i="3"/>
  <c r="BA13" i="3"/>
  <c r="AZ13" i="3"/>
  <c r="AY13" i="3"/>
  <c r="BA12" i="3"/>
  <c r="AZ12" i="3"/>
  <c r="AY12" i="3"/>
  <c r="BA11" i="3"/>
  <c r="AZ11" i="3"/>
  <c r="AY11" i="3"/>
  <c r="B12" i="2"/>
  <c r="AI510" i="3" l="1"/>
  <c r="AC510" i="3" s="1"/>
  <c r="AH510" i="3"/>
  <c r="AB510" i="3" s="1"/>
  <c r="AG510" i="3"/>
  <c r="AA510" i="3" s="1"/>
  <c r="AF510" i="3"/>
  <c r="Z510" i="3" s="1"/>
  <c r="AE510" i="3"/>
  <c r="Y510" i="3" s="1"/>
  <c r="AI509" i="3"/>
  <c r="AC509" i="3" s="1"/>
  <c r="AH509" i="3"/>
  <c r="AB509" i="3" s="1"/>
  <c r="AG509" i="3"/>
  <c r="AA509" i="3" s="1"/>
  <c r="AF509" i="3"/>
  <c r="Z509" i="3" s="1"/>
  <c r="AE509" i="3"/>
  <c r="Y509" i="3" s="1"/>
  <c r="AI508" i="3"/>
  <c r="AC508" i="3" s="1"/>
  <c r="AH508" i="3"/>
  <c r="AB508" i="3" s="1"/>
  <c r="AG508" i="3"/>
  <c r="AA508" i="3" s="1"/>
  <c r="AF508" i="3"/>
  <c r="Z508" i="3" s="1"/>
  <c r="AE508" i="3"/>
  <c r="Y508" i="3" s="1"/>
  <c r="AI507" i="3"/>
  <c r="AC507" i="3" s="1"/>
  <c r="AH507" i="3"/>
  <c r="AB507" i="3" s="1"/>
  <c r="AG507" i="3"/>
  <c r="AA507" i="3" s="1"/>
  <c r="AF507" i="3"/>
  <c r="Z507" i="3" s="1"/>
  <c r="AE507" i="3"/>
  <c r="Y507" i="3" s="1"/>
  <c r="AI506" i="3"/>
  <c r="AC506" i="3" s="1"/>
  <c r="AH506" i="3"/>
  <c r="AB506" i="3" s="1"/>
  <c r="AG506" i="3"/>
  <c r="AA506" i="3" s="1"/>
  <c r="AF506" i="3"/>
  <c r="Z506" i="3" s="1"/>
  <c r="AE506" i="3"/>
  <c r="Y506" i="3" s="1"/>
  <c r="AI505" i="3"/>
  <c r="AC505" i="3" s="1"/>
  <c r="AH505" i="3"/>
  <c r="AB505" i="3" s="1"/>
  <c r="AG505" i="3"/>
  <c r="AA505" i="3" s="1"/>
  <c r="AF505" i="3"/>
  <c r="Z505" i="3" s="1"/>
  <c r="AE505" i="3"/>
  <c r="Y505" i="3" s="1"/>
  <c r="AI504" i="3"/>
  <c r="AC504" i="3" s="1"/>
  <c r="AH504" i="3"/>
  <c r="AB504" i="3" s="1"/>
  <c r="AG504" i="3"/>
  <c r="AA504" i="3" s="1"/>
  <c r="AF504" i="3"/>
  <c r="Z504" i="3" s="1"/>
  <c r="AE504" i="3"/>
  <c r="Y504" i="3" s="1"/>
  <c r="AI503" i="3"/>
  <c r="AC503" i="3" s="1"/>
  <c r="AH503" i="3"/>
  <c r="AB503" i="3" s="1"/>
  <c r="AG503" i="3"/>
  <c r="AA503" i="3" s="1"/>
  <c r="AF503" i="3"/>
  <c r="Z503" i="3" s="1"/>
  <c r="AE503" i="3"/>
  <c r="Y503" i="3" s="1"/>
  <c r="AI502" i="3"/>
  <c r="AC502" i="3" s="1"/>
  <c r="AH502" i="3"/>
  <c r="AB502" i="3" s="1"/>
  <c r="AG502" i="3"/>
  <c r="AA502" i="3" s="1"/>
  <c r="AF502" i="3"/>
  <c r="Z502" i="3" s="1"/>
  <c r="AE502" i="3"/>
  <c r="Y502" i="3" s="1"/>
  <c r="AI501" i="3"/>
  <c r="AC501" i="3" s="1"/>
  <c r="AH501" i="3"/>
  <c r="AB501" i="3" s="1"/>
  <c r="AG501" i="3"/>
  <c r="AA501" i="3" s="1"/>
  <c r="AF501" i="3"/>
  <c r="Z501" i="3" s="1"/>
  <c r="AE501" i="3"/>
  <c r="Y501" i="3" s="1"/>
  <c r="AI500" i="3"/>
  <c r="AC500" i="3" s="1"/>
  <c r="AH500" i="3"/>
  <c r="AB500" i="3" s="1"/>
  <c r="AG500" i="3"/>
  <c r="AA500" i="3" s="1"/>
  <c r="AF500" i="3"/>
  <c r="Z500" i="3" s="1"/>
  <c r="AE500" i="3"/>
  <c r="Y500" i="3" s="1"/>
  <c r="AI499" i="3"/>
  <c r="AC499" i="3" s="1"/>
  <c r="AH499" i="3"/>
  <c r="AB499" i="3" s="1"/>
  <c r="AG499" i="3"/>
  <c r="AA499" i="3" s="1"/>
  <c r="AF499" i="3"/>
  <c r="Z499" i="3" s="1"/>
  <c r="AE499" i="3"/>
  <c r="Y499" i="3" s="1"/>
  <c r="AI498" i="3"/>
  <c r="AC498" i="3" s="1"/>
  <c r="AH498" i="3"/>
  <c r="AB498" i="3" s="1"/>
  <c r="AG498" i="3"/>
  <c r="AA498" i="3" s="1"/>
  <c r="AF498" i="3"/>
  <c r="Z498" i="3" s="1"/>
  <c r="AE498" i="3"/>
  <c r="Y498" i="3" s="1"/>
  <c r="AI497" i="3"/>
  <c r="AC497" i="3" s="1"/>
  <c r="AH497" i="3"/>
  <c r="AB497" i="3" s="1"/>
  <c r="AG497" i="3"/>
  <c r="AA497" i="3" s="1"/>
  <c r="AF497" i="3"/>
  <c r="Z497" i="3" s="1"/>
  <c r="AE497" i="3"/>
  <c r="Y497" i="3" s="1"/>
  <c r="AI496" i="3"/>
  <c r="AC496" i="3" s="1"/>
  <c r="AH496" i="3"/>
  <c r="AB496" i="3" s="1"/>
  <c r="AG496" i="3"/>
  <c r="AA496" i="3" s="1"/>
  <c r="AF496" i="3"/>
  <c r="Z496" i="3" s="1"/>
  <c r="AE496" i="3"/>
  <c r="Y496" i="3" s="1"/>
  <c r="AI495" i="3"/>
  <c r="AC495" i="3" s="1"/>
  <c r="AH495" i="3"/>
  <c r="AB495" i="3" s="1"/>
  <c r="AG495" i="3"/>
  <c r="AA495" i="3" s="1"/>
  <c r="AF495" i="3"/>
  <c r="Z495" i="3" s="1"/>
  <c r="AE495" i="3"/>
  <c r="Y495" i="3" s="1"/>
  <c r="AI494" i="3"/>
  <c r="AC494" i="3" s="1"/>
  <c r="AH494" i="3"/>
  <c r="AB494" i="3" s="1"/>
  <c r="AG494" i="3"/>
  <c r="AA494" i="3" s="1"/>
  <c r="AF494" i="3"/>
  <c r="Z494" i="3" s="1"/>
  <c r="AE494" i="3"/>
  <c r="Y494" i="3" s="1"/>
  <c r="AI493" i="3"/>
  <c r="AC493" i="3" s="1"/>
  <c r="AH493" i="3"/>
  <c r="AB493" i="3" s="1"/>
  <c r="AG493" i="3"/>
  <c r="AA493" i="3" s="1"/>
  <c r="AF493" i="3"/>
  <c r="Z493" i="3" s="1"/>
  <c r="AE493" i="3"/>
  <c r="Y493" i="3" s="1"/>
  <c r="AI492" i="3"/>
  <c r="AC492" i="3" s="1"/>
  <c r="AH492" i="3"/>
  <c r="AB492" i="3" s="1"/>
  <c r="AG492" i="3"/>
  <c r="AA492" i="3" s="1"/>
  <c r="AF492" i="3"/>
  <c r="Z492" i="3" s="1"/>
  <c r="AE492" i="3"/>
  <c r="Y492" i="3" s="1"/>
  <c r="AI491" i="3"/>
  <c r="AC491" i="3" s="1"/>
  <c r="AH491" i="3"/>
  <c r="AB491" i="3" s="1"/>
  <c r="AG491" i="3"/>
  <c r="AA491" i="3" s="1"/>
  <c r="AF491" i="3"/>
  <c r="Z491" i="3" s="1"/>
  <c r="AE491" i="3"/>
  <c r="Y491" i="3" s="1"/>
  <c r="AI490" i="3"/>
  <c r="AC490" i="3" s="1"/>
  <c r="AH490" i="3"/>
  <c r="AB490" i="3" s="1"/>
  <c r="AG490" i="3"/>
  <c r="AA490" i="3" s="1"/>
  <c r="AF490" i="3"/>
  <c r="Z490" i="3" s="1"/>
  <c r="AE490" i="3"/>
  <c r="Y490" i="3" s="1"/>
  <c r="AI489" i="3"/>
  <c r="AC489" i="3" s="1"/>
  <c r="AH489" i="3"/>
  <c r="AB489" i="3" s="1"/>
  <c r="AG489" i="3"/>
  <c r="AA489" i="3" s="1"/>
  <c r="AF489" i="3"/>
  <c r="Z489" i="3" s="1"/>
  <c r="AE489" i="3"/>
  <c r="Y489" i="3" s="1"/>
  <c r="AI488" i="3"/>
  <c r="AC488" i="3" s="1"/>
  <c r="AH488" i="3"/>
  <c r="AB488" i="3" s="1"/>
  <c r="AG488" i="3"/>
  <c r="AA488" i="3" s="1"/>
  <c r="AF488" i="3"/>
  <c r="Z488" i="3" s="1"/>
  <c r="AE488" i="3"/>
  <c r="Y488" i="3" s="1"/>
  <c r="AI487" i="3"/>
  <c r="AC487" i="3" s="1"/>
  <c r="AH487" i="3"/>
  <c r="AB487" i="3" s="1"/>
  <c r="AG487" i="3"/>
  <c r="AA487" i="3" s="1"/>
  <c r="AF487" i="3"/>
  <c r="Z487" i="3" s="1"/>
  <c r="AE487" i="3"/>
  <c r="Y487" i="3" s="1"/>
  <c r="AI486" i="3"/>
  <c r="AC486" i="3" s="1"/>
  <c r="AH486" i="3"/>
  <c r="AB486" i="3" s="1"/>
  <c r="AG486" i="3"/>
  <c r="AA486" i="3" s="1"/>
  <c r="AF486" i="3"/>
  <c r="Z486" i="3" s="1"/>
  <c r="AE486" i="3"/>
  <c r="Y486" i="3" s="1"/>
  <c r="AI485" i="3"/>
  <c r="AC485" i="3" s="1"/>
  <c r="AH485" i="3"/>
  <c r="AB485" i="3" s="1"/>
  <c r="AG485" i="3"/>
  <c r="AA485" i="3" s="1"/>
  <c r="AF485" i="3"/>
  <c r="Z485" i="3" s="1"/>
  <c r="AE485" i="3"/>
  <c r="Y485" i="3" s="1"/>
  <c r="AI484" i="3"/>
  <c r="AC484" i="3" s="1"/>
  <c r="AH484" i="3"/>
  <c r="AB484" i="3" s="1"/>
  <c r="AG484" i="3"/>
  <c r="AA484" i="3" s="1"/>
  <c r="AF484" i="3"/>
  <c r="Z484" i="3" s="1"/>
  <c r="AE484" i="3"/>
  <c r="Y484" i="3" s="1"/>
  <c r="AI483" i="3"/>
  <c r="AC483" i="3" s="1"/>
  <c r="AH483" i="3"/>
  <c r="AB483" i="3" s="1"/>
  <c r="AG483" i="3"/>
  <c r="AA483" i="3" s="1"/>
  <c r="AF483" i="3"/>
  <c r="Z483" i="3" s="1"/>
  <c r="AE483" i="3"/>
  <c r="Y483" i="3" s="1"/>
  <c r="AI482" i="3"/>
  <c r="AC482" i="3" s="1"/>
  <c r="AH482" i="3"/>
  <c r="AB482" i="3" s="1"/>
  <c r="AG482" i="3"/>
  <c r="AA482" i="3" s="1"/>
  <c r="AF482" i="3"/>
  <c r="Z482" i="3" s="1"/>
  <c r="AE482" i="3"/>
  <c r="Y482" i="3" s="1"/>
  <c r="AI481" i="3"/>
  <c r="AC481" i="3" s="1"/>
  <c r="AH481" i="3"/>
  <c r="AB481" i="3" s="1"/>
  <c r="AG481" i="3"/>
  <c r="AA481" i="3" s="1"/>
  <c r="AF481" i="3"/>
  <c r="Z481" i="3" s="1"/>
  <c r="AE481" i="3"/>
  <c r="Y481" i="3" s="1"/>
  <c r="AI480" i="3"/>
  <c r="AC480" i="3" s="1"/>
  <c r="AH480" i="3"/>
  <c r="AB480" i="3" s="1"/>
  <c r="AG480" i="3"/>
  <c r="AA480" i="3" s="1"/>
  <c r="AF480" i="3"/>
  <c r="Z480" i="3" s="1"/>
  <c r="AE480" i="3"/>
  <c r="Y480" i="3" s="1"/>
  <c r="AI479" i="3"/>
  <c r="AC479" i="3" s="1"/>
  <c r="AH479" i="3"/>
  <c r="AB479" i="3" s="1"/>
  <c r="AG479" i="3"/>
  <c r="AA479" i="3" s="1"/>
  <c r="AF479" i="3"/>
  <c r="Z479" i="3" s="1"/>
  <c r="AE479" i="3"/>
  <c r="Y479" i="3" s="1"/>
  <c r="AI478" i="3"/>
  <c r="AC478" i="3" s="1"/>
  <c r="AH478" i="3"/>
  <c r="AB478" i="3" s="1"/>
  <c r="AG478" i="3"/>
  <c r="AA478" i="3" s="1"/>
  <c r="AF478" i="3"/>
  <c r="Z478" i="3" s="1"/>
  <c r="AE478" i="3"/>
  <c r="Y478" i="3" s="1"/>
  <c r="AI477" i="3"/>
  <c r="AC477" i="3" s="1"/>
  <c r="AH477" i="3"/>
  <c r="AB477" i="3" s="1"/>
  <c r="AG477" i="3"/>
  <c r="AA477" i="3" s="1"/>
  <c r="AF477" i="3"/>
  <c r="Z477" i="3" s="1"/>
  <c r="AE477" i="3"/>
  <c r="Y477" i="3" s="1"/>
  <c r="AI476" i="3"/>
  <c r="AC476" i="3" s="1"/>
  <c r="AH476" i="3"/>
  <c r="AB476" i="3" s="1"/>
  <c r="AG476" i="3"/>
  <c r="AA476" i="3" s="1"/>
  <c r="AF476" i="3"/>
  <c r="Z476" i="3" s="1"/>
  <c r="AE476" i="3"/>
  <c r="Y476" i="3" s="1"/>
  <c r="AI475" i="3"/>
  <c r="AC475" i="3" s="1"/>
  <c r="AH475" i="3"/>
  <c r="AB475" i="3" s="1"/>
  <c r="AG475" i="3"/>
  <c r="AA475" i="3" s="1"/>
  <c r="AF475" i="3"/>
  <c r="Z475" i="3" s="1"/>
  <c r="AE475" i="3"/>
  <c r="Y475" i="3" s="1"/>
  <c r="AI474" i="3"/>
  <c r="AC474" i="3" s="1"/>
  <c r="AH474" i="3"/>
  <c r="AB474" i="3" s="1"/>
  <c r="AG474" i="3"/>
  <c r="AA474" i="3" s="1"/>
  <c r="AF474" i="3"/>
  <c r="Z474" i="3" s="1"/>
  <c r="AE474" i="3"/>
  <c r="Y474" i="3" s="1"/>
  <c r="AI473" i="3"/>
  <c r="AC473" i="3" s="1"/>
  <c r="AH473" i="3"/>
  <c r="AB473" i="3" s="1"/>
  <c r="AG473" i="3"/>
  <c r="AA473" i="3" s="1"/>
  <c r="AF473" i="3"/>
  <c r="Z473" i="3" s="1"/>
  <c r="AE473" i="3"/>
  <c r="Y473" i="3" s="1"/>
  <c r="AI472" i="3"/>
  <c r="AC472" i="3" s="1"/>
  <c r="AH472" i="3"/>
  <c r="AB472" i="3" s="1"/>
  <c r="AG472" i="3"/>
  <c r="AA472" i="3" s="1"/>
  <c r="AF472" i="3"/>
  <c r="Z472" i="3" s="1"/>
  <c r="AE472" i="3"/>
  <c r="Y472" i="3" s="1"/>
  <c r="AI471" i="3"/>
  <c r="AC471" i="3" s="1"/>
  <c r="AH471" i="3"/>
  <c r="AB471" i="3" s="1"/>
  <c r="AG471" i="3"/>
  <c r="AA471" i="3" s="1"/>
  <c r="AF471" i="3"/>
  <c r="Z471" i="3" s="1"/>
  <c r="AE471" i="3"/>
  <c r="Y471" i="3" s="1"/>
  <c r="AI470" i="3"/>
  <c r="AC470" i="3" s="1"/>
  <c r="AH470" i="3"/>
  <c r="AB470" i="3" s="1"/>
  <c r="AG470" i="3"/>
  <c r="AA470" i="3" s="1"/>
  <c r="AF470" i="3"/>
  <c r="Z470" i="3" s="1"/>
  <c r="AE470" i="3"/>
  <c r="Y470" i="3" s="1"/>
  <c r="AI469" i="3"/>
  <c r="AC469" i="3" s="1"/>
  <c r="AH469" i="3"/>
  <c r="AB469" i="3" s="1"/>
  <c r="AG469" i="3"/>
  <c r="AA469" i="3" s="1"/>
  <c r="AF469" i="3"/>
  <c r="Z469" i="3" s="1"/>
  <c r="AE469" i="3"/>
  <c r="Y469" i="3" s="1"/>
  <c r="AI468" i="3"/>
  <c r="AC468" i="3" s="1"/>
  <c r="AH468" i="3"/>
  <c r="AB468" i="3" s="1"/>
  <c r="AG468" i="3"/>
  <c r="AA468" i="3" s="1"/>
  <c r="AF468" i="3"/>
  <c r="Z468" i="3" s="1"/>
  <c r="AE468" i="3"/>
  <c r="Y468" i="3" s="1"/>
  <c r="AI467" i="3"/>
  <c r="AC467" i="3" s="1"/>
  <c r="AH467" i="3"/>
  <c r="AB467" i="3" s="1"/>
  <c r="AG467" i="3"/>
  <c r="AA467" i="3" s="1"/>
  <c r="AF467" i="3"/>
  <c r="Z467" i="3" s="1"/>
  <c r="AE467" i="3"/>
  <c r="Y467" i="3" s="1"/>
  <c r="AI466" i="3"/>
  <c r="AC466" i="3" s="1"/>
  <c r="AH466" i="3"/>
  <c r="AB466" i="3" s="1"/>
  <c r="AG466" i="3"/>
  <c r="AA466" i="3" s="1"/>
  <c r="AF466" i="3"/>
  <c r="Z466" i="3" s="1"/>
  <c r="AE466" i="3"/>
  <c r="Y466" i="3" s="1"/>
  <c r="AI465" i="3"/>
  <c r="AC465" i="3" s="1"/>
  <c r="AH465" i="3"/>
  <c r="AB465" i="3" s="1"/>
  <c r="AG465" i="3"/>
  <c r="AA465" i="3" s="1"/>
  <c r="AF465" i="3"/>
  <c r="Z465" i="3" s="1"/>
  <c r="AE465" i="3"/>
  <c r="Y465" i="3" s="1"/>
  <c r="AI464" i="3"/>
  <c r="AC464" i="3" s="1"/>
  <c r="AH464" i="3"/>
  <c r="AB464" i="3" s="1"/>
  <c r="AG464" i="3"/>
  <c r="AA464" i="3" s="1"/>
  <c r="AF464" i="3"/>
  <c r="Z464" i="3" s="1"/>
  <c r="AE464" i="3"/>
  <c r="Y464" i="3" s="1"/>
  <c r="AI463" i="3"/>
  <c r="AC463" i="3" s="1"/>
  <c r="AH463" i="3"/>
  <c r="AB463" i="3" s="1"/>
  <c r="AG463" i="3"/>
  <c r="AA463" i="3" s="1"/>
  <c r="AF463" i="3"/>
  <c r="Z463" i="3" s="1"/>
  <c r="AE463" i="3"/>
  <c r="Y463" i="3" s="1"/>
  <c r="AI462" i="3"/>
  <c r="AC462" i="3" s="1"/>
  <c r="AH462" i="3"/>
  <c r="AB462" i="3" s="1"/>
  <c r="AG462" i="3"/>
  <c r="AA462" i="3" s="1"/>
  <c r="AF462" i="3"/>
  <c r="Z462" i="3" s="1"/>
  <c r="AE462" i="3"/>
  <c r="Y462" i="3" s="1"/>
  <c r="AI461" i="3"/>
  <c r="AC461" i="3" s="1"/>
  <c r="AH461" i="3"/>
  <c r="AB461" i="3" s="1"/>
  <c r="AG461" i="3"/>
  <c r="AA461" i="3" s="1"/>
  <c r="AF461" i="3"/>
  <c r="Z461" i="3" s="1"/>
  <c r="AE461" i="3"/>
  <c r="Y461" i="3" s="1"/>
  <c r="AI460" i="3"/>
  <c r="AC460" i="3" s="1"/>
  <c r="AH460" i="3"/>
  <c r="AB460" i="3" s="1"/>
  <c r="AG460" i="3"/>
  <c r="AA460" i="3" s="1"/>
  <c r="AF460" i="3"/>
  <c r="Z460" i="3" s="1"/>
  <c r="AE460" i="3"/>
  <c r="Y460" i="3" s="1"/>
  <c r="AI459" i="3"/>
  <c r="AC459" i="3" s="1"/>
  <c r="AH459" i="3"/>
  <c r="AB459" i="3" s="1"/>
  <c r="AG459" i="3"/>
  <c r="AA459" i="3" s="1"/>
  <c r="AF459" i="3"/>
  <c r="Z459" i="3" s="1"/>
  <c r="AE459" i="3"/>
  <c r="Y459" i="3" s="1"/>
  <c r="AI458" i="3"/>
  <c r="AC458" i="3" s="1"/>
  <c r="AH458" i="3"/>
  <c r="AB458" i="3" s="1"/>
  <c r="AG458" i="3"/>
  <c r="AA458" i="3" s="1"/>
  <c r="AF458" i="3"/>
  <c r="Z458" i="3" s="1"/>
  <c r="AE458" i="3"/>
  <c r="Y458" i="3" s="1"/>
  <c r="AI457" i="3"/>
  <c r="AC457" i="3" s="1"/>
  <c r="AH457" i="3"/>
  <c r="AB457" i="3" s="1"/>
  <c r="AG457" i="3"/>
  <c r="AA457" i="3" s="1"/>
  <c r="AF457" i="3"/>
  <c r="Z457" i="3" s="1"/>
  <c r="AE457" i="3"/>
  <c r="Y457" i="3" s="1"/>
  <c r="AI456" i="3"/>
  <c r="AC456" i="3" s="1"/>
  <c r="AH456" i="3"/>
  <c r="AB456" i="3" s="1"/>
  <c r="AG456" i="3"/>
  <c r="AA456" i="3" s="1"/>
  <c r="AF456" i="3"/>
  <c r="Z456" i="3" s="1"/>
  <c r="AE456" i="3"/>
  <c r="Y456" i="3" s="1"/>
  <c r="AI455" i="3"/>
  <c r="AC455" i="3" s="1"/>
  <c r="AH455" i="3"/>
  <c r="AB455" i="3" s="1"/>
  <c r="AG455" i="3"/>
  <c r="AA455" i="3" s="1"/>
  <c r="AF455" i="3"/>
  <c r="Z455" i="3" s="1"/>
  <c r="AE455" i="3"/>
  <c r="Y455" i="3" s="1"/>
  <c r="AI454" i="3"/>
  <c r="AC454" i="3" s="1"/>
  <c r="AH454" i="3"/>
  <c r="AB454" i="3" s="1"/>
  <c r="AG454" i="3"/>
  <c r="AA454" i="3" s="1"/>
  <c r="AF454" i="3"/>
  <c r="Z454" i="3" s="1"/>
  <c r="AE454" i="3"/>
  <c r="Y454" i="3" s="1"/>
  <c r="AI453" i="3"/>
  <c r="AC453" i="3" s="1"/>
  <c r="AH453" i="3"/>
  <c r="AB453" i="3" s="1"/>
  <c r="AG453" i="3"/>
  <c r="AA453" i="3" s="1"/>
  <c r="AF453" i="3"/>
  <c r="Z453" i="3" s="1"/>
  <c r="AE453" i="3"/>
  <c r="Y453" i="3" s="1"/>
  <c r="AI452" i="3"/>
  <c r="AC452" i="3" s="1"/>
  <c r="AH452" i="3"/>
  <c r="AB452" i="3" s="1"/>
  <c r="AG452" i="3"/>
  <c r="AA452" i="3" s="1"/>
  <c r="AF452" i="3"/>
  <c r="Z452" i="3" s="1"/>
  <c r="AE452" i="3"/>
  <c r="Y452" i="3" s="1"/>
  <c r="AI451" i="3"/>
  <c r="AC451" i="3" s="1"/>
  <c r="AH451" i="3"/>
  <c r="AB451" i="3" s="1"/>
  <c r="AG451" i="3"/>
  <c r="AA451" i="3" s="1"/>
  <c r="AF451" i="3"/>
  <c r="Z451" i="3" s="1"/>
  <c r="AE451" i="3"/>
  <c r="Y451" i="3" s="1"/>
  <c r="AI450" i="3"/>
  <c r="AC450" i="3" s="1"/>
  <c r="AH450" i="3"/>
  <c r="AB450" i="3" s="1"/>
  <c r="AG450" i="3"/>
  <c r="AA450" i="3" s="1"/>
  <c r="AF450" i="3"/>
  <c r="Z450" i="3" s="1"/>
  <c r="AE450" i="3"/>
  <c r="Y450" i="3" s="1"/>
  <c r="AI449" i="3"/>
  <c r="AC449" i="3" s="1"/>
  <c r="AH449" i="3"/>
  <c r="AB449" i="3" s="1"/>
  <c r="AG449" i="3"/>
  <c r="AA449" i="3" s="1"/>
  <c r="AF449" i="3"/>
  <c r="Z449" i="3" s="1"/>
  <c r="AE449" i="3"/>
  <c r="Y449" i="3" s="1"/>
  <c r="AI448" i="3"/>
  <c r="AC448" i="3" s="1"/>
  <c r="AH448" i="3"/>
  <c r="AB448" i="3" s="1"/>
  <c r="AG448" i="3"/>
  <c r="AA448" i="3" s="1"/>
  <c r="AF448" i="3"/>
  <c r="Z448" i="3" s="1"/>
  <c r="AE448" i="3"/>
  <c r="Y448" i="3" s="1"/>
  <c r="AI447" i="3"/>
  <c r="AC447" i="3" s="1"/>
  <c r="AH447" i="3"/>
  <c r="AB447" i="3" s="1"/>
  <c r="AG447" i="3"/>
  <c r="AA447" i="3" s="1"/>
  <c r="AF447" i="3"/>
  <c r="Z447" i="3" s="1"/>
  <c r="AE447" i="3"/>
  <c r="Y447" i="3" s="1"/>
  <c r="AI446" i="3"/>
  <c r="AC446" i="3" s="1"/>
  <c r="AH446" i="3"/>
  <c r="AB446" i="3" s="1"/>
  <c r="AG446" i="3"/>
  <c r="AA446" i="3" s="1"/>
  <c r="AF446" i="3"/>
  <c r="Z446" i="3" s="1"/>
  <c r="AE446" i="3"/>
  <c r="Y446" i="3" s="1"/>
  <c r="AI445" i="3"/>
  <c r="AC445" i="3" s="1"/>
  <c r="AH445" i="3"/>
  <c r="AB445" i="3" s="1"/>
  <c r="AG445" i="3"/>
  <c r="AA445" i="3" s="1"/>
  <c r="AF445" i="3"/>
  <c r="Z445" i="3" s="1"/>
  <c r="AE445" i="3"/>
  <c r="Y445" i="3" s="1"/>
  <c r="AI444" i="3"/>
  <c r="AC444" i="3" s="1"/>
  <c r="AH444" i="3"/>
  <c r="AB444" i="3" s="1"/>
  <c r="AG444" i="3"/>
  <c r="AA444" i="3" s="1"/>
  <c r="AF444" i="3"/>
  <c r="Z444" i="3" s="1"/>
  <c r="AE444" i="3"/>
  <c r="Y444" i="3" s="1"/>
  <c r="AI443" i="3"/>
  <c r="AC443" i="3" s="1"/>
  <c r="AH443" i="3"/>
  <c r="AB443" i="3" s="1"/>
  <c r="AG443" i="3"/>
  <c r="AA443" i="3" s="1"/>
  <c r="AF443" i="3"/>
  <c r="Z443" i="3" s="1"/>
  <c r="AE443" i="3"/>
  <c r="Y443" i="3" s="1"/>
  <c r="AI442" i="3"/>
  <c r="AC442" i="3" s="1"/>
  <c r="AH442" i="3"/>
  <c r="AB442" i="3" s="1"/>
  <c r="AG442" i="3"/>
  <c r="AA442" i="3" s="1"/>
  <c r="AF442" i="3"/>
  <c r="Z442" i="3" s="1"/>
  <c r="AE442" i="3"/>
  <c r="Y442" i="3" s="1"/>
  <c r="AI441" i="3"/>
  <c r="AC441" i="3" s="1"/>
  <c r="AH441" i="3"/>
  <c r="AB441" i="3" s="1"/>
  <c r="AG441" i="3"/>
  <c r="AA441" i="3" s="1"/>
  <c r="AF441" i="3"/>
  <c r="Z441" i="3" s="1"/>
  <c r="AE441" i="3"/>
  <c r="Y441" i="3" s="1"/>
  <c r="AI440" i="3"/>
  <c r="AC440" i="3" s="1"/>
  <c r="AH440" i="3"/>
  <c r="AB440" i="3" s="1"/>
  <c r="AG440" i="3"/>
  <c r="AA440" i="3" s="1"/>
  <c r="AF440" i="3"/>
  <c r="Z440" i="3" s="1"/>
  <c r="AE440" i="3"/>
  <c r="Y440" i="3" s="1"/>
  <c r="AI439" i="3"/>
  <c r="AC439" i="3" s="1"/>
  <c r="AH439" i="3"/>
  <c r="AB439" i="3" s="1"/>
  <c r="AG439" i="3"/>
  <c r="AA439" i="3" s="1"/>
  <c r="AF439" i="3"/>
  <c r="Z439" i="3" s="1"/>
  <c r="AE439" i="3"/>
  <c r="Y439" i="3" s="1"/>
  <c r="AI438" i="3"/>
  <c r="AC438" i="3" s="1"/>
  <c r="AH438" i="3"/>
  <c r="AB438" i="3" s="1"/>
  <c r="AG438" i="3"/>
  <c r="AA438" i="3" s="1"/>
  <c r="AF438" i="3"/>
  <c r="Z438" i="3" s="1"/>
  <c r="AE438" i="3"/>
  <c r="Y438" i="3" s="1"/>
  <c r="AI437" i="3"/>
  <c r="AC437" i="3" s="1"/>
  <c r="AH437" i="3"/>
  <c r="AB437" i="3" s="1"/>
  <c r="AG437" i="3"/>
  <c r="AA437" i="3" s="1"/>
  <c r="AF437" i="3"/>
  <c r="Z437" i="3" s="1"/>
  <c r="AE437" i="3"/>
  <c r="Y437" i="3" s="1"/>
  <c r="AI436" i="3"/>
  <c r="AC436" i="3" s="1"/>
  <c r="AH436" i="3"/>
  <c r="AB436" i="3" s="1"/>
  <c r="AG436" i="3"/>
  <c r="AA436" i="3" s="1"/>
  <c r="AF436" i="3"/>
  <c r="Z436" i="3" s="1"/>
  <c r="AE436" i="3"/>
  <c r="Y436" i="3" s="1"/>
  <c r="AI435" i="3"/>
  <c r="AC435" i="3" s="1"/>
  <c r="AH435" i="3"/>
  <c r="AB435" i="3" s="1"/>
  <c r="AG435" i="3"/>
  <c r="AA435" i="3" s="1"/>
  <c r="AF435" i="3"/>
  <c r="Z435" i="3" s="1"/>
  <c r="AE435" i="3"/>
  <c r="Y435" i="3" s="1"/>
  <c r="AI434" i="3"/>
  <c r="AC434" i="3" s="1"/>
  <c r="AH434" i="3"/>
  <c r="AB434" i="3" s="1"/>
  <c r="AG434" i="3"/>
  <c r="AA434" i="3" s="1"/>
  <c r="AF434" i="3"/>
  <c r="Z434" i="3" s="1"/>
  <c r="AE434" i="3"/>
  <c r="Y434" i="3" s="1"/>
  <c r="AI433" i="3"/>
  <c r="AC433" i="3" s="1"/>
  <c r="AH433" i="3"/>
  <c r="AB433" i="3" s="1"/>
  <c r="AG433" i="3"/>
  <c r="AA433" i="3" s="1"/>
  <c r="AF433" i="3"/>
  <c r="Z433" i="3" s="1"/>
  <c r="AE433" i="3"/>
  <c r="Y433" i="3" s="1"/>
  <c r="AI432" i="3"/>
  <c r="AC432" i="3" s="1"/>
  <c r="AH432" i="3"/>
  <c r="AB432" i="3" s="1"/>
  <c r="AG432" i="3"/>
  <c r="AA432" i="3" s="1"/>
  <c r="AF432" i="3"/>
  <c r="Z432" i="3" s="1"/>
  <c r="AE432" i="3"/>
  <c r="Y432" i="3" s="1"/>
  <c r="AI431" i="3"/>
  <c r="AC431" i="3" s="1"/>
  <c r="AH431" i="3"/>
  <c r="AB431" i="3" s="1"/>
  <c r="AG431" i="3"/>
  <c r="AA431" i="3" s="1"/>
  <c r="AF431" i="3"/>
  <c r="Z431" i="3" s="1"/>
  <c r="AE431" i="3"/>
  <c r="Y431" i="3" s="1"/>
  <c r="AI430" i="3"/>
  <c r="AC430" i="3" s="1"/>
  <c r="AH430" i="3"/>
  <c r="AB430" i="3" s="1"/>
  <c r="AG430" i="3"/>
  <c r="AA430" i="3" s="1"/>
  <c r="AF430" i="3"/>
  <c r="Z430" i="3" s="1"/>
  <c r="AE430" i="3"/>
  <c r="Y430" i="3" s="1"/>
  <c r="AI429" i="3"/>
  <c r="AC429" i="3" s="1"/>
  <c r="AH429" i="3"/>
  <c r="AB429" i="3" s="1"/>
  <c r="AG429" i="3"/>
  <c r="AA429" i="3" s="1"/>
  <c r="AF429" i="3"/>
  <c r="Z429" i="3" s="1"/>
  <c r="AE429" i="3"/>
  <c r="Y429" i="3" s="1"/>
  <c r="AI428" i="3"/>
  <c r="AC428" i="3" s="1"/>
  <c r="AH428" i="3"/>
  <c r="AB428" i="3" s="1"/>
  <c r="AG428" i="3"/>
  <c r="AA428" i="3" s="1"/>
  <c r="AF428" i="3"/>
  <c r="Z428" i="3" s="1"/>
  <c r="AE428" i="3"/>
  <c r="Y428" i="3" s="1"/>
  <c r="AI427" i="3"/>
  <c r="AC427" i="3" s="1"/>
  <c r="AH427" i="3"/>
  <c r="AB427" i="3" s="1"/>
  <c r="AG427" i="3"/>
  <c r="AA427" i="3" s="1"/>
  <c r="AF427" i="3"/>
  <c r="Z427" i="3" s="1"/>
  <c r="AE427" i="3"/>
  <c r="Y427" i="3" s="1"/>
  <c r="AI426" i="3"/>
  <c r="AC426" i="3" s="1"/>
  <c r="AH426" i="3"/>
  <c r="AB426" i="3" s="1"/>
  <c r="AG426" i="3"/>
  <c r="AA426" i="3" s="1"/>
  <c r="AF426" i="3"/>
  <c r="Z426" i="3" s="1"/>
  <c r="AE426" i="3"/>
  <c r="Y426" i="3" s="1"/>
  <c r="AI425" i="3"/>
  <c r="AC425" i="3" s="1"/>
  <c r="AH425" i="3"/>
  <c r="AB425" i="3" s="1"/>
  <c r="AG425" i="3"/>
  <c r="AA425" i="3" s="1"/>
  <c r="AF425" i="3"/>
  <c r="Z425" i="3" s="1"/>
  <c r="AE425" i="3"/>
  <c r="Y425" i="3" s="1"/>
  <c r="AI424" i="3"/>
  <c r="AC424" i="3" s="1"/>
  <c r="AH424" i="3"/>
  <c r="AB424" i="3" s="1"/>
  <c r="AG424" i="3"/>
  <c r="AA424" i="3" s="1"/>
  <c r="AF424" i="3"/>
  <c r="Z424" i="3" s="1"/>
  <c r="AE424" i="3"/>
  <c r="Y424" i="3" s="1"/>
  <c r="AI423" i="3"/>
  <c r="AC423" i="3" s="1"/>
  <c r="AH423" i="3"/>
  <c r="AB423" i="3" s="1"/>
  <c r="AG423" i="3"/>
  <c r="AA423" i="3" s="1"/>
  <c r="AF423" i="3"/>
  <c r="Z423" i="3" s="1"/>
  <c r="AE423" i="3"/>
  <c r="Y423" i="3" s="1"/>
  <c r="AI422" i="3"/>
  <c r="AC422" i="3" s="1"/>
  <c r="AH422" i="3"/>
  <c r="AB422" i="3" s="1"/>
  <c r="AG422" i="3"/>
  <c r="AA422" i="3" s="1"/>
  <c r="AF422" i="3"/>
  <c r="Z422" i="3" s="1"/>
  <c r="AE422" i="3"/>
  <c r="Y422" i="3" s="1"/>
  <c r="AI421" i="3"/>
  <c r="AC421" i="3" s="1"/>
  <c r="AH421" i="3"/>
  <c r="AB421" i="3" s="1"/>
  <c r="AG421" i="3"/>
  <c r="AA421" i="3" s="1"/>
  <c r="AF421" i="3"/>
  <c r="Z421" i="3" s="1"/>
  <c r="AE421" i="3"/>
  <c r="Y421" i="3" s="1"/>
  <c r="AI420" i="3"/>
  <c r="AC420" i="3" s="1"/>
  <c r="AH420" i="3"/>
  <c r="AB420" i="3" s="1"/>
  <c r="AG420" i="3"/>
  <c r="AA420" i="3" s="1"/>
  <c r="AF420" i="3"/>
  <c r="Z420" i="3" s="1"/>
  <c r="AE420" i="3"/>
  <c r="Y420" i="3" s="1"/>
  <c r="AI419" i="3"/>
  <c r="AC419" i="3" s="1"/>
  <c r="AH419" i="3"/>
  <c r="AB419" i="3" s="1"/>
  <c r="AG419" i="3"/>
  <c r="AA419" i="3" s="1"/>
  <c r="AF419" i="3"/>
  <c r="Z419" i="3" s="1"/>
  <c r="AE419" i="3"/>
  <c r="Y419" i="3" s="1"/>
  <c r="AI418" i="3"/>
  <c r="AC418" i="3" s="1"/>
  <c r="AH418" i="3"/>
  <c r="AB418" i="3" s="1"/>
  <c r="AG418" i="3"/>
  <c r="AA418" i="3" s="1"/>
  <c r="AF418" i="3"/>
  <c r="Z418" i="3" s="1"/>
  <c r="AE418" i="3"/>
  <c r="Y418" i="3" s="1"/>
  <c r="AI417" i="3"/>
  <c r="AC417" i="3" s="1"/>
  <c r="AH417" i="3"/>
  <c r="AB417" i="3" s="1"/>
  <c r="AG417" i="3"/>
  <c r="AA417" i="3" s="1"/>
  <c r="AF417" i="3"/>
  <c r="Z417" i="3" s="1"/>
  <c r="AE417" i="3"/>
  <c r="Y417" i="3" s="1"/>
  <c r="AI416" i="3"/>
  <c r="AC416" i="3" s="1"/>
  <c r="AH416" i="3"/>
  <c r="AB416" i="3" s="1"/>
  <c r="AG416" i="3"/>
  <c r="AA416" i="3" s="1"/>
  <c r="AF416" i="3"/>
  <c r="Z416" i="3" s="1"/>
  <c r="AE416" i="3"/>
  <c r="Y416" i="3" s="1"/>
  <c r="AI415" i="3"/>
  <c r="AC415" i="3" s="1"/>
  <c r="AH415" i="3"/>
  <c r="AB415" i="3" s="1"/>
  <c r="AG415" i="3"/>
  <c r="AA415" i="3" s="1"/>
  <c r="AF415" i="3"/>
  <c r="Z415" i="3" s="1"/>
  <c r="AE415" i="3"/>
  <c r="Y415" i="3" s="1"/>
  <c r="AI414" i="3"/>
  <c r="AC414" i="3" s="1"/>
  <c r="AH414" i="3"/>
  <c r="AB414" i="3" s="1"/>
  <c r="AG414" i="3"/>
  <c r="AA414" i="3" s="1"/>
  <c r="AF414" i="3"/>
  <c r="Z414" i="3" s="1"/>
  <c r="AE414" i="3"/>
  <c r="Y414" i="3" s="1"/>
  <c r="AI413" i="3"/>
  <c r="AC413" i="3" s="1"/>
  <c r="AH413" i="3"/>
  <c r="AB413" i="3" s="1"/>
  <c r="AG413" i="3"/>
  <c r="AA413" i="3" s="1"/>
  <c r="AF413" i="3"/>
  <c r="Z413" i="3" s="1"/>
  <c r="AE413" i="3"/>
  <c r="Y413" i="3" s="1"/>
  <c r="AI412" i="3"/>
  <c r="AC412" i="3" s="1"/>
  <c r="AH412" i="3"/>
  <c r="AB412" i="3" s="1"/>
  <c r="AG412" i="3"/>
  <c r="AA412" i="3" s="1"/>
  <c r="AF412" i="3"/>
  <c r="Z412" i="3" s="1"/>
  <c r="AE412" i="3"/>
  <c r="Y412" i="3" s="1"/>
  <c r="AI411" i="3"/>
  <c r="AC411" i="3" s="1"/>
  <c r="AH411" i="3"/>
  <c r="AB411" i="3" s="1"/>
  <c r="AG411" i="3"/>
  <c r="AA411" i="3" s="1"/>
  <c r="AF411" i="3"/>
  <c r="Z411" i="3" s="1"/>
  <c r="AE411" i="3"/>
  <c r="Y411" i="3" s="1"/>
  <c r="AI410" i="3"/>
  <c r="AC410" i="3" s="1"/>
  <c r="AH410" i="3"/>
  <c r="AB410" i="3" s="1"/>
  <c r="AG410" i="3"/>
  <c r="AA410" i="3" s="1"/>
  <c r="AF410" i="3"/>
  <c r="Z410" i="3" s="1"/>
  <c r="AE410" i="3"/>
  <c r="Y410" i="3" s="1"/>
  <c r="AI409" i="3"/>
  <c r="AC409" i="3" s="1"/>
  <c r="AH409" i="3"/>
  <c r="AB409" i="3" s="1"/>
  <c r="AG409" i="3"/>
  <c r="AA409" i="3" s="1"/>
  <c r="AF409" i="3"/>
  <c r="Z409" i="3" s="1"/>
  <c r="AE409" i="3"/>
  <c r="Y409" i="3" s="1"/>
  <c r="AI408" i="3"/>
  <c r="AC408" i="3" s="1"/>
  <c r="AH408" i="3"/>
  <c r="AB408" i="3" s="1"/>
  <c r="AG408" i="3"/>
  <c r="AA408" i="3" s="1"/>
  <c r="AF408" i="3"/>
  <c r="Z408" i="3" s="1"/>
  <c r="AE408" i="3"/>
  <c r="Y408" i="3" s="1"/>
  <c r="AI407" i="3"/>
  <c r="AC407" i="3" s="1"/>
  <c r="AH407" i="3"/>
  <c r="AB407" i="3" s="1"/>
  <c r="AG407" i="3"/>
  <c r="AA407" i="3" s="1"/>
  <c r="AF407" i="3"/>
  <c r="Z407" i="3" s="1"/>
  <c r="AE407" i="3"/>
  <c r="Y407" i="3" s="1"/>
  <c r="AI406" i="3"/>
  <c r="AC406" i="3" s="1"/>
  <c r="AH406" i="3"/>
  <c r="AB406" i="3" s="1"/>
  <c r="AG406" i="3"/>
  <c r="AA406" i="3" s="1"/>
  <c r="AF406" i="3"/>
  <c r="Z406" i="3" s="1"/>
  <c r="AE406" i="3"/>
  <c r="Y406" i="3" s="1"/>
  <c r="AI405" i="3"/>
  <c r="AC405" i="3" s="1"/>
  <c r="AH405" i="3"/>
  <c r="AB405" i="3" s="1"/>
  <c r="AG405" i="3"/>
  <c r="AA405" i="3" s="1"/>
  <c r="AF405" i="3"/>
  <c r="Z405" i="3" s="1"/>
  <c r="AE405" i="3"/>
  <c r="Y405" i="3" s="1"/>
  <c r="AI404" i="3"/>
  <c r="AC404" i="3" s="1"/>
  <c r="AH404" i="3"/>
  <c r="AB404" i="3" s="1"/>
  <c r="AG404" i="3"/>
  <c r="AA404" i="3" s="1"/>
  <c r="AF404" i="3"/>
  <c r="Z404" i="3" s="1"/>
  <c r="AE404" i="3"/>
  <c r="Y404" i="3" s="1"/>
  <c r="AI403" i="3"/>
  <c r="AC403" i="3" s="1"/>
  <c r="AH403" i="3"/>
  <c r="AB403" i="3" s="1"/>
  <c r="AG403" i="3"/>
  <c r="AA403" i="3" s="1"/>
  <c r="AF403" i="3"/>
  <c r="Z403" i="3" s="1"/>
  <c r="AE403" i="3"/>
  <c r="Y403" i="3" s="1"/>
  <c r="AI402" i="3"/>
  <c r="AC402" i="3" s="1"/>
  <c r="AH402" i="3"/>
  <c r="AB402" i="3" s="1"/>
  <c r="AG402" i="3"/>
  <c r="AA402" i="3" s="1"/>
  <c r="AF402" i="3"/>
  <c r="Z402" i="3" s="1"/>
  <c r="AE402" i="3"/>
  <c r="Y402" i="3" s="1"/>
  <c r="AI401" i="3"/>
  <c r="AC401" i="3" s="1"/>
  <c r="AH401" i="3"/>
  <c r="AB401" i="3" s="1"/>
  <c r="AG401" i="3"/>
  <c r="AA401" i="3" s="1"/>
  <c r="AF401" i="3"/>
  <c r="Z401" i="3" s="1"/>
  <c r="AE401" i="3"/>
  <c r="Y401" i="3" s="1"/>
  <c r="AI400" i="3"/>
  <c r="AC400" i="3" s="1"/>
  <c r="AH400" i="3"/>
  <c r="AB400" i="3" s="1"/>
  <c r="AG400" i="3"/>
  <c r="AA400" i="3" s="1"/>
  <c r="AF400" i="3"/>
  <c r="Z400" i="3" s="1"/>
  <c r="AE400" i="3"/>
  <c r="Y400" i="3" s="1"/>
  <c r="AI399" i="3"/>
  <c r="AC399" i="3" s="1"/>
  <c r="AH399" i="3"/>
  <c r="AB399" i="3" s="1"/>
  <c r="AG399" i="3"/>
  <c r="AA399" i="3" s="1"/>
  <c r="AF399" i="3"/>
  <c r="Z399" i="3" s="1"/>
  <c r="AE399" i="3"/>
  <c r="Y399" i="3" s="1"/>
  <c r="AI398" i="3"/>
  <c r="AC398" i="3" s="1"/>
  <c r="AH398" i="3"/>
  <c r="AB398" i="3" s="1"/>
  <c r="AG398" i="3"/>
  <c r="AA398" i="3" s="1"/>
  <c r="AF398" i="3"/>
  <c r="Z398" i="3" s="1"/>
  <c r="AE398" i="3"/>
  <c r="Y398" i="3" s="1"/>
  <c r="AI397" i="3"/>
  <c r="AC397" i="3" s="1"/>
  <c r="AH397" i="3"/>
  <c r="AB397" i="3" s="1"/>
  <c r="AG397" i="3"/>
  <c r="AA397" i="3" s="1"/>
  <c r="AF397" i="3"/>
  <c r="Z397" i="3" s="1"/>
  <c r="AE397" i="3"/>
  <c r="Y397" i="3" s="1"/>
  <c r="AI396" i="3"/>
  <c r="AC396" i="3" s="1"/>
  <c r="AH396" i="3"/>
  <c r="AB396" i="3" s="1"/>
  <c r="AG396" i="3"/>
  <c r="AA396" i="3" s="1"/>
  <c r="AF396" i="3"/>
  <c r="Z396" i="3" s="1"/>
  <c r="AE396" i="3"/>
  <c r="Y396" i="3" s="1"/>
  <c r="AI395" i="3"/>
  <c r="AC395" i="3" s="1"/>
  <c r="AH395" i="3"/>
  <c r="AB395" i="3" s="1"/>
  <c r="AG395" i="3"/>
  <c r="AA395" i="3" s="1"/>
  <c r="AF395" i="3"/>
  <c r="Z395" i="3" s="1"/>
  <c r="AE395" i="3"/>
  <c r="Y395" i="3" s="1"/>
  <c r="AI394" i="3"/>
  <c r="AC394" i="3" s="1"/>
  <c r="AH394" i="3"/>
  <c r="AB394" i="3" s="1"/>
  <c r="AG394" i="3"/>
  <c r="AA394" i="3" s="1"/>
  <c r="AF394" i="3"/>
  <c r="Z394" i="3" s="1"/>
  <c r="AE394" i="3"/>
  <c r="Y394" i="3" s="1"/>
  <c r="AI393" i="3"/>
  <c r="AC393" i="3" s="1"/>
  <c r="AH393" i="3"/>
  <c r="AB393" i="3" s="1"/>
  <c r="AG393" i="3"/>
  <c r="AA393" i="3" s="1"/>
  <c r="AF393" i="3"/>
  <c r="Z393" i="3" s="1"/>
  <c r="AE393" i="3"/>
  <c r="Y393" i="3" s="1"/>
  <c r="AI392" i="3"/>
  <c r="AC392" i="3" s="1"/>
  <c r="AH392" i="3"/>
  <c r="AB392" i="3" s="1"/>
  <c r="AG392" i="3"/>
  <c r="AA392" i="3" s="1"/>
  <c r="AF392" i="3"/>
  <c r="Z392" i="3" s="1"/>
  <c r="AE392" i="3"/>
  <c r="Y392" i="3" s="1"/>
  <c r="AI391" i="3"/>
  <c r="AC391" i="3" s="1"/>
  <c r="AH391" i="3"/>
  <c r="AB391" i="3" s="1"/>
  <c r="AG391" i="3"/>
  <c r="AA391" i="3" s="1"/>
  <c r="AF391" i="3"/>
  <c r="Z391" i="3" s="1"/>
  <c r="AE391" i="3"/>
  <c r="Y391" i="3" s="1"/>
  <c r="AI390" i="3"/>
  <c r="AC390" i="3" s="1"/>
  <c r="AH390" i="3"/>
  <c r="AB390" i="3" s="1"/>
  <c r="AG390" i="3"/>
  <c r="AA390" i="3" s="1"/>
  <c r="AF390" i="3"/>
  <c r="Z390" i="3" s="1"/>
  <c r="AE390" i="3"/>
  <c r="Y390" i="3" s="1"/>
  <c r="AI389" i="3"/>
  <c r="AC389" i="3" s="1"/>
  <c r="AH389" i="3"/>
  <c r="AB389" i="3" s="1"/>
  <c r="AG389" i="3"/>
  <c r="AA389" i="3" s="1"/>
  <c r="AF389" i="3"/>
  <c r="Z389" i="3" s="1"/>
  <c r="AE389" i="3"/>
  <c r="Y389" i="3" s="1"/>
  <c r="AI388" i="3"/>
  <c r="AC388" i="3" s="1"/>
  <c r="AH388" i="3"/>
  <c r="AB388" i="3" s="1"/>
  <c r="AG388" i="3"/>
  <c r="AA388" i="3" s="1"/>
  <c r="AF388" i="3"/>
  <c r="Z388" i="3" s="1"/>
  <c r="AE388" i="3"/>
  <c r="Y388" i="3" s="1"/>
  <c r="AI387" i="3"/>
  <c r="AC387" i="3" s="1"/>
  <c r="AH387" i="3"/>
  <c r="AB387" i="3" s="1"/>
  <c r="AG387" i="3"/>
  <c r="AA387" i="3" s="1"/>
  <c r="AF387" i="3"/>
  <c r="Z387" i="3" s="1"/>
  <c r="AE387" i="3"/>
  <c r="Y387" i="3" s="1"/>
  <c r="AI386" i="3"/>
  <c r="AC386" i="3" s="1"/>
  <c r="AH386" i="3"/>
  <c r="AB386" i="3" s="1"/>
  <c r="AG386" i="3"/>
  <c r="AA386" i="3" s="1"/>
  <c r="AF386" i="3"/>
  <c r="Z386" i="3" s="1"/>
  <c r="AE386" i="3"/>
  <c r="Y386" i="3" s="1"/>
  <c r="AI385" i="3"/>
  <c r="AC385" i="3" s="1"/>
  <c r="AH385" i="3"/>
  <c r="AB385" i="3" s="1"/>
  <c r="AG385" i="3"/>
  <c r="AA385" i="3" s="1"/>
  <c r="AF385" i="3"/>
  <c r="Z385" i="3" s="1"/>
  <c r="AE385" i="3"/>
  <c r="Y385" i="3" s="1"/>
  <c r="AI384" i="3"/>
  <c r="AC384" i="3" s="1"/>
  <c r="AH384" i="3"/>
  <c r="AB384" i="3" s="1"/>
  <c r="AG384" i="3"/>
  <c r="AA384" i="3" s="1"/>
  <c r="AF384" i="3"/>
  <c r="Z384" i="3" s="1"/>
  <c r="AE384" i="3"/>
  <c r="Y384" i="3" s="1"/>
  <c r="AI383" i="3"/>
  <c r="AC383" i="3" s="1"/>
  <c r="AH383" i="3"/>
  <c r="AB383" i="3" s="1"/>
  <c r="AG383" i="3"/>
  <c r="AA383" i="3" s="1"/>
  <c r="AF383" i="3"/>
  <c r="Z383" i="3" s="1"/>
  <c r="AE383" i="3"/>
  <c r="Y383" i="3" s="1"/>
  <c r="AI382" i="3"/>
  <c r="AC382" i="3" s="1"/>
  <c r="AH382" i="3"/>
  <c r="AB382" i="3" s="1"/>
  <c r="AG382" i="3"/>
  <c r="AA382" i="3" s="1"/>
  <c r="AF382" i="3"/>
  <c r="Z382" i="3" s="1"/>
  <c r="AE382" i="3"/>
  <c r="Y382" i="3" s="1"/>
  <c r="AI381" i="3"/>
  <c r="AC381" i="3" s="1"/>
  <c r="AH381" i="3"/>
  <c r="AB381" i="3" s="1"/>
  <c r="AG381" i="3"/>
  <c r="AA381" i="3" s="1"/>
  <c r="AF381" i="3"/>
  <c r="Z381" i="3" s="1"/>
  <c r="AE381" i="3"/>
  <c r="Y381" i="3" s="1"/>
  <c r="AI380" i="3"/>
  <c r="AC380" i="3" s="1"/>
  <c r="AH380" i="3"/>
  <c r="AB380" i="3" s="1"/>
  <c r="AG380" i="3"/>
  <c r="AA380" i="3" s="1"/>
  <c r="AF380" i="3"/>
  <c r="Z380" i="3" s="1"/>
  <c r="AE380" i="3"/>
  <c r="Y380" i="3" s="1"/>
  <c r="AI379" i="3"/>
  <c r="AC379" i="3" s="1"/>
  <c r="AH379" i="3"/>
  <c r="AB379" i="3" s="1"/>
  <c r="AG379" i="3"/>
  <c r="AA379" i="3" s="1"/>
  <c r="AF379" i="3"/>
  <c r="Z379" i="3" s="1"/>
  <c r="AE379" i="3"/>
  <c r="Y379" i="3" s="1"/>
  <c r="AI378" i="3"/>
  <c r="AC378" i="3" s="1"/>
  <c r="AH378" i="3"/>
  <c r="AB378" i="3" s="1"/>
  <c r="AG378" i="3"/>
  <c r="AA378" i="3" s="1"/>
  <c r="AF378" i="3"/>
  <c r="Z378" i="3" s="1"/>
  <c r="AE378" i="3"/>
  <c r="Y378" i="3" s="1"/>
  <c r="AI377" i="3"/>
  <c r="AC377" i="3" s="1"/>
  <c r="AH377" i="3"/>
  <c r="AB377" i="3" s="1"/>
  <c r="AG377" i="3"/>
  <c r="AA377" i="3" s="1"/>
  <c r="AF377" i="3"/>
  <c r="Z377" i="3" s="1"/>
  <c r="AE377" i="3"/>
  <c r="Y377" i="3" s="1"/>
  <c r="AI376" i="3"/>
  <c r="AC376" i="3" s="1"/>
  <c r="AH376" i="3"/>
  <c r="AB376" i="3" s="1"/>
  <c r="AG376" i="3"/>
  <c r="AA376" i="3" s="1"/>
  <c r="AF376" i="3"/>
  <c r="Z376" i="3" s="1"/>
  <c r="AE376" i="3"/>
  <c r="Y376" i="3" s="1"/>
  <c r="AI375" i="3"/>
  <c r="AC375" i="3" s="1"/>
  <c r="AH375" i="3"/>
  <c r="AB375" i="3" s="1"/>
  <c r="AG375" i="3"/>
  <c r="AA375" i="3" s="1"/>
  <c r="AF375" i="3"/>
  <c r="Z375" i="3" s="1"/>
  <c r="AE375" i="3"/>
  <c r="Y375" i="3" s="1"/>
  <c r="AI374" i="3"/>
  <c r="AC374" i="3" s="1"/>
  <c r="AH374" i="3"/>
  <c r="AB374" i="3" s="1"/>
  <c r="AG374" i="3"/>
  <c r="AA374" i="3" s="1"/>
  <c r="AF374" i="3"/>
  <c r="Z374" i="3" s="1"/>
  <c r="AE374" i="3"/>
  <c r="Y374" i="3" s="1"/>
  <c r="AI373" i="3"/>
  <c r="AC373" i="3" s="1"/>
  <c r="AH373" i="3"/>
  <c r="AB373" i="3" s="1"/>
  <c r="AG373" i="3"/>
  <c r="AA373" i="3" s="1"/>
  <c r="AF373" i="3"/>
  <c r="Z373" i="3" s="1"/>
  <c r="AE373" i="3"/>
  <c r="Y373" i="3" s="1"/>
  <c r="AI372" i="3"/>
  <c r="AC372" i="3" s="1"/>
  <c r="AH372" i="3"/>
  <c r="AB372" i="3" s="1"/>
  <c r="AG372" i="3"/>
  <c r="AA372" i="3" s="1"/>
  <c r="AF372" i="3"/>
  <c r="Z372" i="3" s="1"/>
  <c r="AE372" i="3"/>
  <c r="Y372" i="3" s="1"/>
  <c r="AI371" i="3"/>
  <c r="AC371" i="3" s="1"/>
  <c r="AH371" i="3"/>
  <c r="AB371" i="3" s="1"/>
  <c r="AG371" i="3"/>
  <c r="AA371" i="3" s="1"/>
  <c r="AF371" i="3"/>
  <c r="Z371" i="3" s="1"/>
  <c r="AE371" i="3"/>
  <c r="Y371" i="3" s="1"/>
  <c r="AI370" i="3"/>
  <c r="AC370" i="3" s="1"/>
  <c r="AH370" i="3"/>
  <c r="AB370" i="3" s="1"/>
  <c r="AG370" i="3"/>
  <c r="AA370" i="3" s="1"/>
  <c r="AF370" i="3"/>
  <c r="Z370" i="3" s="1"/>
  <c r="AE370" i="3"/>
  <c r="Y370" i="3" s="1"/>
  <c r="AI369" i="3"/>
  <c r="AC369" i="3" s="1"/>
  <c r="AH369" i="3"/>
  <c r="AB369" i="3" s="1"/>
  <c r="AG369" i="3"/>
  <c r="AA369" i="3" s="1"/>
  <c r="AF369" i="3"/>
  <c r="Z369" i="3" s="1"/>
  <c r="AE369" i="3"/>
  <c r="Y369" i="3" s="1"/>
  <c r="AI368" i="3"/>
  <c r="AC368" i="3" s="1"/>
  <c r="AH368" i="3"/>
  <c r="AB368" i="3" s="1"/>
  <c r="AG368" i="3"/>
  <c r="AA368" i="3" s="1"/>
  <c r="AF368" i="3"/>
  <c r="Z368" i="3" s="1"/>
  <c r="AE368" i="3"/>
  <c r="Y368" i="3" s="1"/>
  <c r="AI367" i="3"/>
  <c r="AC367" i="3" s="1"/>
  <c r="AH367" i="3"/>
  <c r="AB367" i="3" s="1"/>
  <c r="AG367" i="3"/>
  <c r="AA367" i="3" s="1"/>
  <c r="AF367" i="3"/>
  <c r="Z367" i="3" s="1"/>
  <c r="AE367" i="3"/>
  <c r="Y367" i="3" s="1"/>
  <c r="AI366" i="3"/>
  <c r="AC366" i="3" s="1"/>
  <c r="AH366" i="3"/>
  <c r="AB366" i="3" s="1"/>
  <c r="AG366" i="3"/>
  <c r="AA366" i="3" s="1"/>
  <c r="AF366" i="3"/>
  <c r="Z366" i="3" s="1"/>
  <c r="AE366" i="3"/>
  <c r="Y366" i="3" s="1"/>
  <c r="AI365" i="3"/>
  <c r="AC365" i="3" s="1"/>
  <c r="AH365" i="3"/>
  <c r="AB365" i="3" s="1"/>
  <c r="AG365" i="3"/>
  <c r="AA365" i="3" s="1"/>
  <c r="AF365" i="3"/>
  <c r="Z365" i="3" s="1"/>
  <c r="AE365" i="3"/>
  <c r="Y365" i="3" s="1"/>
  <c r="AI364" i="3"/>
  <c r="AC364" i="3" s="1"/>
  <c r="AH364" i="3"/>
  <c r="AB364" i="3" s="1"/>
  <c r="AG364" i="3"/>
  <c r="AA364" i="3" s="1"/>
  <c r="AF364" i="3"/>
  <c r="Z364" i="3" s="1"/>
  <c r="AE364" i="3"/>
  <c r="Y364" i="3" s="1"/>
  <c r="AI363" i="3"/>
  <c r="AC363" i="3" s="1"/>
  <c r="AH363" i="3"/>
  <c r="AB363" i="3" s="1"/>
  <c r="AG363" i="3"/>
  <c r="AA363" i="3" s="1"/>
  <c r="AF363" i="3"/>
  <c r="Z363" i="3" s="1"/>
  <c r="AE363" i="3"/>
  <c r="Y363" i="3" s="1"/>
  <c r="AI362" i="3"/>
  <c r="AC362" i="3" s="1"/>
  <c r="AH362" i="3"/>
  <c r="AB362" i="3" s="1"/>
  <c r="AG362" i="3"/>
  <c r="AA362" i="3" s="1"/>
  <c r="AF362" i="3"/>
  <c r="Z362" i="3" s="1"/>
  <c r="AE362" i="3"/>
  <c r="Y362" i="3" s="1"/>
  <c r="AI361" i="3"/>
  <c r="AC361" i="3" s="1"/>
  <c r="AH361" i="3"/>
  <c r="AB361" i="3" s="1"/>
  <c r="AG361" i="3"/>
  <c r="AA361" i="3" s="1"/>
  <c r="AF361" i="3"/>
  <c r="Z361" i="3" s="1"/>
  <c r="AE361" i="3"/>
  <c r="Y361" i="3" s="1"/>
  <c r="AI360" i="3"/>
  <c r="AC360" i="3" s="1"/>
  <c r="AH360" i="3"/>
  <c r="AB360" i="3" s="1"/>
  <c r="AG360" i="3"/>
  <c r="AA360" i="3" s="1"/>
  <c r="AF360" i="3"/>
  <c r="Z360" i="3" s="1"/>
  <c r="AE360" i="3"/>
  <c r="Y360" i="3" s="1"/>
  <c r="AI359" i="3"/>
  <c r="AC359" i="3" s="1"/>
  <c r="AH359" i="3"/>
  <c r="AB359" i="3" s="1"/>
  <c r="AG359" i="3"/>
  <c r="AA359" i="3" s="1"/>
  <c r="AF359" i="3"/>
  <c r="Z359" i="3" s="1"/>
  <c r="AE359" i="3"/>
  <c r="Y359" i="3" s="1"/>
  <c r="AI358" i="3"/>
  <c r="AC358" i="3" s="1"/>
  <c r="AH358" i="3"/>
  <c r="AB358" i="3" s="1"/>
  <c r="AG358" i="3"/>
  <c r="AA358" i="3" s="1"/>
  <c r="AF358" i="3"/>
  <c r="Z358" i="3" s="1"/>
  <c r="AE358" i="3"/>
  <c r="Y358" i="3" s="1"/>
  <c r="AI357" i="3"/>
  <c r="AC357" i="3" s="1"/>
  <c r="AH357" i="3"/>
  <c r="AB357" i="3" s="1"/>
  <c r="AG357" i="3"/>
  <c r="AA357" i="3" s="1"/>
  <c r="AF357" i="3"/>
  <c r="Z357" i="3" s="1"/>
  <c r="AE357" i="3"/>
  <c r="Y357" i="3" s="1"/>
  <c r="AI356" i="3"/>
  <c r="AC356" i="3" s="1"/>
  <c r="AH356" i="3"/>
  <c r="AB356" i="3" s="1"/>
  <c r="AG356" i="3"/>
  <c r="AA356" i="3" s="1"/>
  <c r="AF356" i="3"/>
  <c r="Z356" i="3" s="1"/>
  <c r="AE356" i="3"/>
  <c r="Y356" i="3" s="1"/>
  <c r="AI355" i="3"/>
  <c r="AC355" i="3" s="1"/>
  <c r="AH355" i="3"/>
  <c r="AB355" i="3" s="1"/>
  <c r="AG355" i="3"/>
  <c r="AA355" i="3" s="1"/>
  <c r="AF355" i="3"/>
  <c r="Z355" i="3" s="1"/>
  <c r="AE355" i="3"/>
  <c r="Y355" i="3" s="1"/>
  <c r="AI354" i="3"/>
  <c r="AC354" i="3" s="1"/>
  <c r="AH354" i="3"/>
  <c r="AB354" i="3" s="1"/>
  <c r="AG354" i="3"/>
  <c r="AA354" i="3" s="1"/>
  <c r="AF354" i="3"/>
  <c r="Z354" i="3" s="1"/>
  <c r="AE354" i="3"/>
  <c r="Y354" i="3" s="1"/>
  <c r="AI353" i="3"/>
  <c r="AC353" i="3" s="1"/>
  <c r="AH353" i="3"/>
  <c r="AB353" i="3" s="1"/>
  <c r="AG353" i="3"/>
  <c r="AA353" i="3" s="1"/>
  <c r="AF353" i="3"/>
  <c r="Z353" i="3" s="1"/>
  <c r="AE353" i="3"/>
  <c r="Y353" i="3" s="1"/>
  <c r="AI352" i="3"/>
  <c r="AC352" i="3" s="1"/>
  <c r="AH352" i="3"/>
  <c r="AB352" i="3" s="1"/>
  <c r="AG352" i="3"/>
  <c r="AA352" i="3" s="1"/>
  <c r="AF352" i="3"/>
  <c r="Z352" i="3" s="1"/>
  <c r="AE352" i="3"/>
  <c r="Y352" i="3" s="1"/>
  <c r="AI351" i="3"/>
  <c r="AC351" i="3" s="1"/>
  <c r="AH351" i="3"/>
  <c r="AB351" i="3" s="1"/>
  <c r="AG351" i="3"/>
  <c r="AA351" i="3" s="1"/>
  <c r="AF351" i="3"/>
  <c r="Z351" i="3" s="1"/>
  <c r="AE351" i="3"/>
  <c r="Y351" i="3" s="1"/>
  <c r="AI350" i="3"/>
  <c r="AC350" i="3" s="1"/>
  <c r="AH350" i="3"/>
  <c r="AB350" i="3" s="1"/>
  <c r="AG350" i="3"/>
  <c r="AA350" i="3" s="1"/>
  <c r="AF350" i="3"/>
  <c r="Z350" i="3" s="1"/>
  <c r="AE350" i="3"/>
  <c r="Y350" i="3" s="1"/>
  <c r="AI349" i="3"/>
  <c r="AC349" i="3" s="1"/>
  <c r="AH349" i="3"/>
  <c r="AB349" i="3" s="1"/>
  <c r="AG349" i="3"/>
  <c r="AA349" i="3" s="1"/>
  <c r="AF349" i="3"/>
  <c r="Z349" i="3" s="1"/>
  <c r="AE349" i="3"/>
  <c r="Y349" i="3" s="1"/>
  <c r="AI348" i="3"/>
  <c r="AC348" i="3" s="1"/>
  <c r="AH348" i="3"/>
  <c r="AB348" i="3" s="1"/>
  <c r="AG348" i="3"/>
  <c r="AA348" i="3" s="1"/>
  <c r="AF348" i="3"/>
  <c r="Z348" i="3" s="1"/>
  <c r="AE348" i="3"/>
  <c r="Y348" i="3" s="1"/>
  <c r="AI347" i="3"/>
  <c r="AC347" i="3" s="1"/>
  <c r="AH347" i="3"/>
  <c r="AB347" i="3" s="1"/>
  <c r="AG347" i="3"/>
  <c r="AA347" i="3" s="1"/>
  <c r="AF347" i="3"/>
  <c r="Z347" i="3" s="1"/>
  <c r="AE347" i="3"/>
  <c r="Y347" i="3" s="1"/>
  <c r="AI346" i="3"/>
  <c r="AC346" i="3" s="1"/>
  <c r="AH346" i="3"/>
  <c r="AB346" i="3" s="1"/>
  <c r="AG346" i="3"/>
  <c r="AA346" i="3" s="1"/>
  <c r="AF346" i="3"/>
  <c r="Z346" i="3" s="1"/>
  <c r="AE346" i="3"/>
  <c r="Y346" i="3" s="1"/>
  <c r="AI345" i="3"/>
  <c r="AC345" i="3" s="1"/>
  <c r="AH345" i="3"/>
  <c r="AB345" i="3" s="1"/>
  <c r="AG345" i="3"/>
  <c r="AA345" i="3" s="1"/>
  <c r="AF345" i="3"/>
  <c r="Z345" i="3" s="1"/>
  <c r="AE345" i="3"/>
  <c r="Y345" i="3" s="1"/>
  <c r="AI344" i="3"/>
  <c r="AC344" i="3" s="1"/>
  <c r="AH344" i="3"/>
  <c r="AB344" i="3" s="1"/>
  <c r="AG344" i="3"/>
  <c r="AA344" i="3" s="1"/>
  <c r="AF344" i="3"/>
  <c r="Z344" i="3" s="1"/>
  <c r="AE344" i="3"/>
  <c r="Y344" i="3" s="1"/>
  <c r="AI343" i="3"/>
  <c r="AC343" i="3" s="1"/>
  <c r="AH343" i="3"/>
  <c r="AB343" i="3" s="1"/>
  <c r="AG343" i="3"/>
  <c r="AA343" i="3" s="1"/>
  <c r="AF343" i="3"/>
  <c r="Z343" i="3" s="1"/>
  <c r="AE343" i="3"/>
  <c r="Y343" i="3" s="1"/>
  <c r="AI342" i="3"/>
  <c r="AC342" i="3" s="1"/>
  <c r="AH342" i="3"/>
  <c r="AB342" i="3" s="1"/>
  <c r="AG342" i="3"/>
  <c r="AA342" i="3" s="1"/>
  <c r="AF342" i="3"/>
  <c r="Z342" i="3" s="1"/>
  <c r="AE342" i="3"/>
  <c r="Y342" i="3" s="1"/>
  <c r="AI341" i="3"/>
  <c r="AC341" i="3" s="1"/>
  <c r="AH341" i="3"/>
  <c r="AB341" i="3" s="1"/>
  <c r="AG341" i="3"/>
  <c r="AA341" i="3" s="1"/>
  <c r="AF341" i="3"/>
  <c r="Z341" i="3" s="1"/>
  <c r="AE341" i="3"/>
  <c r="Y341" i="3" s="1"/>
  <c r="AI340" i="3"/>
  <c r="AC340" i="3" s="1"/>
  <c r="AH340" i="3"/>
  <c r="AB340" i="3" s="1"/>
  <c r="AG340" i="3"/>
  <c r="AA340" i="3" s="1"/>
  <c r="AF340" i="3"/>
  <c r="Z340" i="3" s="1"/>
  <c r="AE340" i="3"/>
  <c r="Y340" i="3" s="1"/>
  <c r="AI339" i="3"/>
  <c r="AC339" i="3" s="1"/>
  <c r="AH339" i="3"/>
  <c r="AB339" i="3" s="1"/>
  <c r="AG339" i="3"/>
  <c r="AA339" i="3" s="1"/>
  <c r="AF339" i="3"/>
  <c r="Z339" i="3" s="1"/>
  <c r="AE339" i="3"/>
  <c r="Y339" i="3" s="1"/>
  <c r="AI338" i="3"/>
  <c r="AC338" i="3" s="1"/>
  <c r="AH338" i="3"/>
  <c r="AB338" i="3" s="1"/>
  <c r="AG338" i="3"/>
  <c r="AA338" i="3" s="1"/>
  <c r="AF338" i="3"/>
  <c r="Z338" i="3" s="1"/>
  <c r="AE338" i="3"/>
  <c r="Y338" i="3" s="1"/>
  <c r="AI337" i="3"/>
  <c r="AC337" i="3" s="1"/>
  <c r="AH337" i="3"/>
  <c r="AB337" i="3" s="1"/>
  <c r="AG337" i="3"/>
  <c r="AA337" i="3" s="1"/>
  <c r="AF337" i="3"/>
  <c r="Z337" i="3" s="1"/>
  <c r="AE337" i="3"/>
  <c r="Y337" i="3" s="1"/>
  <c r="AI336" i="3"/>
  <c r="AC336" i="3" s="1"/>
  <c r="AH336" i="3"/>
  <c r="AB336" i="3" s="1"/>
  <c r="AG336" i="3"/>
  <c r="AA336" i="3" s="1"/>
  <c r="AF336" i="3"/>
  <c r="Z336" i="3" s="1"/>
  <c r="AE336" i="3"/>
  <c r="Y336" i="3" s="1"/>
  <c r="AI335" i="3"/>
  <c r="AC335" i="3" s="1"/>
  <c r="AH335" i="3"/>
  <c r="AB335" i="3" s="1"/>
  <c r="AG335" i="3"/>
  <c r="AA335" i="3" s="1"/>
  <c r="AF335" i="3"/>
  <c r="Z335" i="3" s="1"/>
  <c r="AE335" i="3"/>
  <c r="Y335" i="3" s="1"/>
  <c r="AI334" i="3"/>
  <c r="AC334" i="3" s="1"/>
  <c r="AH334" i="3"/>
  <c r="AB334" i="3" s="1"/>
  <c r="AG334" i="3"/>
  <c r="AA334" i="3" s="1"/>
  <c r="AF334" i="3"/>
  <c r="Z334" i="3" s="1"/>
  <c r="AE334" i="3"/>
  <c r="Y334" i="3" s="1"/>
  <c r="AI333" i="3"/>
  <c r="AC333" i="3" s="1"/>
  <c r="AH333" i="3"/>
  <c r="AB333" i="3" s="1"/>
  <c r="AG333" i="3"/>
  <c r="AA333" i="3" s="1"/>
  <c r="AF333" i="3"/>
  <c r="Z333" i="3" s="1"/>
  <c r="AE333" i="3"/>
  <c r="Y333" i="3" s="1"/>
  <c r="AI332" i="3"/>
  <c r="AC332" i="3" s="1"/>
  <c r="AH332" i="3"/>
  <c r="AB332" i="3" s="1"/>
  <c r="AG332" i="3"/>
  <c r="AA332" i="3" s="1"/>
  <c r="AF332" i="3"/>
  <c r="Z332" i="3" s="1"/>
  <c r="AE332" i="3"/>
  <c r="Y332" i="3" s="1"/>
  <c r="AI331" i="3"/>
  <c r="AC331" i="3" s="1"/>
  <c r="AH331" i="3"/>
  <c r="AB331" i="3" s="1"/>
  <c r="AG331" i="3"/>
  <c r="AA331" i="3" s="1"/>
  <c r="AF331" i="3"/>
  <c r="Z331" i="3" s="1"/>
  <c r="AE331" i="3"/>
  <c r="Y331" i="3" s="1"/>
  <c r="AI330" i="3"/>
  <c r="AC330" i="3" s="1"/>
  <c r="AH330" i="3"/>
  <c r="AB330" i="3" s="1"/>
  <c r="AG330" i="3"/>
  <c r="AA330" i="3" s="1"/>
  <c r="AF330" i="3"/>
  <c r="Z330" i="3" s="1"/>
  <c r="AE330" i="3"/>
  <c r="Y330" i="3" s="1"/>
  <c r="AI329" i="3"/>
  <c r="AC329" i="3" s="1"/>
  <c r="AH329" i="3"/>
  <c r="AB329" i="3" s="1"/>
  <c r="AG329" i="3"/>
  <c r="AA329" i="3" s="1"/>
  <c r="AF329" i="3"/>
  <c r="Z329" i="3" s="1"/>
  <c r="AE329" i="3"/>
  <c r="Y329" i="3" s="1"/>
  <c r="AI328" i="3"/>
  <c r="AC328" i="3" s="1"/>
  <c r="AH328" i="3"/>
  <c r="AB328" i="3" s="1"/>
  <c r="AG328" i="3"/>
  <c r="AA328" i="3" s="1"/>
  <c r="AF328" i="3"/>
  <c r="Z328" i="3" s="1"/>
  <c r="AE328" i="3"/>
  <c r="Y328" i="3" s="1"/>
  <c r="AI327" i="3"/>
  <c r="AC327" i="3" s="1"/>
  <c r="AH327" i="3"/>
  <c r="AB327" i="3" s="1"/>
  <c r="AG327" i="3"/>
  <c r="AA327" i="3" s="1"/>
  <c r="AF327" i="3"/>
  <c r="Z327" i="3" s="1"/>
  <c r="AE327" i="3"/>
  <c r="Y327" i="3" s="1"/>
  <c r="AI326" i="3"/>
  <c r="AC326" i="3" s="1"/>
  <c r="AH326" i="3"/>
  <c r="AB326" i="3" s="1"/>
  <c r="AG326" i="3"/>
  <c r="AA326" i="3" s="1"/>
  <c r="AF326" i="3"/>
  <c r="Z326" i="3" s="1"/>
  <c r="AE326" i="3"/>
  <c r="Y326" i="3" s="1"/>
  <c r="AI325" i="3"/>
  <c r="AC325" i="3" s="1"/>
  <c r="AH325" i="3"/>
  <c r="AB325" i="3" s="1"/>
  <c r="AG325" i="3"/>
  <c r="AA325" i="3" s="1"/>
  <c r="AF325" i="3"/>
  <c r="Z325" i="3" s="1"/>
  <c r="AE325" i="3"/>
  <c r="Y325" i="3" s="1"/>
  <c r="AI324" i="3"/>
  <c r="AC324" i="3" s="1"/>
  <c r="AH324" i="3"/>
  <c r="AB324" i="3" s="1"/>
  <c r="AG324" i="3"/>
  <c r="AA324" i="3" s="1"/>
  <c r="AF324" i="3"/>
  <c r="Z324" i="3" s="1"/>
  <c r="AE324" i="3"/>
  <c r="Y324" i="3" s="1"/>
  <c r="AI323" i="3"/>
  <c r="AC323" i="3" s="1"/>
  <c r="AH323" i="3"/>
  <c r="AB323" i="3" s="1"/>
  <c r="AG323" i="3"/>
  <c r="AA323" i="3" s="1"/>
  <c r="AF323" i="3"/>
  <c r="Z323" i="3" s="1"/>
  <c r="AE323" i="3"/>
  <c r="Y323" i="3" s="1"/>
  <c r="AI322" i="3"/>
  <c r="AC322" i="3" s="1"/>
  <c r="AH322" i="3"/>
  <c r="AB322" i="3" s="1"/>
  <c r="AG322" i="3"/>
  <c r="AA322" i="3" s="1"/>
  <c r="AF322" i="3"/>
  <c r="Z322" i="3" s="1"/>
  <c r="AE322" i="3"/>
  <c r="Y322" i="3" s="1"/>
  <c r="AI321" i="3"/>
  <c r="AC321" i="3" s="1"/>
  <c r="AH321" i="3"/>
  <c r="AB321" i="3" s="1"/>
  <c r="AG321" i="3"/>
  <c r="AA321" i="3" s="1"/>
  <c r="AF321" i="3"/>
  <c r="Z321" i="3" s="1"/>
  <c r="AE321" i="3"/>
  <c r="Y321" i="3" s="1"/>
  <c r="AI320" i="3"/>
  <c r="AC320" i="3" s="1"/>
  <c r="AH320" i="3"/>
  <c r="AB320" i="3" s="1"/>
  <c r="AG320" i="3"/>
  <c r="AA320" i="3" s="1"/>
  <c r="AF320" i="3"/>
  <c r="Z320" i="3" s="1"/>
  <c r="AE320" i="3"/>
  <c r="Y320" i="3" s="1"/>
  <c r="AI319" i="3"/>
  <c r="AC319" i="3" s="1"/>
  <c r="AH319" i="3"/>
  <c r="AB319" i="3" s="1"/>
  <c r="AG319" i="3"/>
  <c r="AA319" i="3" s="1"/>
  <c r="AF319" i="3"/>
  <c r="Z319" i="3" s="1"/>
  <c r="AE319" i="3"/>
  <c r="Y319" i="3" s="1"/>
  <c r="AI318" i="3"/>
  <c r="AC318" i="3" s="1"/>
  <c r="AH318" i="3"/>
  <c r="AB318" i="3" s="1"/>
  <c r="AG318" i="3"/>
  <c r="AA318" i="3" s="1"/>
  <c r="AF318" i="3"/>
  <c r="Z318" i="3" s="1"/>
  <c r="AE318" i="3"/>
  <c r="Y318" i="3" s="1"/>
  <c r="AI317" i="3"/>
  <c r="AC317" i="3" s="1"/>
  <c r="AH317" i="3"/>
  <c r="AB317" i="3" s="1"/>
  <c r="AG317" i="3"/>
  <c r="AA317" i="3" s="1"/>
  <c r="AF317" i="3"/>
  <c r="Z317" i="3" s="1"/>
  <c r="AE317" i="3"/>
  <c r="Y317" i="3" s="1"/>
  <c r="AI316" i="3"/>
  <c r="AC316" i="3" s="1"/>
  <c r="AH316" i="3"/>
  <c r="AB316" i="3" s="1"/>
  <c r="AG316" i="3"/>
  <c r="AA316" i="3" s="1"/>
  <c r="AF316" i="3"/>
  <c r="Z316" i="3" s="1"/>
  <c r="AE316" i="3"/>
  <c r="Y316" i="3" s="1"/>
  <c r="AI315" i="3"/>
  <c r="AC315" i="3" s="1"/>
  <c r="AH315" i="3"/>
  <c r="AB315" i="3" s="1"/>
  <c r="AG315" i="3"/>
  <c r="AA315" i="3" s="1"/>
  <c r="AF315" i="3"/>
  <c r="Z315" i="3" s="1"/>
  <c r="AE315" i="3"/>
  <c r="Y315" i="3" s="1"/>
  <c r="AI314" i="3"/>
  <c r="AC314" i="3" s="1"/>
  <c r="AH314" i="3"/>
  <c r="AB314" i="3" s="1"/>
  <c r="AG314" i="3"/>
  <c r="AA314" i="3" s="1"/>
  <c r="AF314" i="3"/>
  <c r="Z314" i="3" s="1"/>
  <c r="AE314" i="3"/>
  <c r="Y314" i="3" s="1"/>
  <c r="AI313" i="3"/>
  <c r="AC313" i="3" s="1"/>
  <c r="AH313" i="3"/>
  <c r="AB313" i="3" s="1"/>
  <c r="AG313" i="3"/>
  <c r="AA313" i="3" s="1"/>
  <c r="AF313" i="3"/>
  <c r="Z313" i="3" s="1"/>
  <c r="AE313" i="3"/>
  <c r="Y313" i="3" s="1"/>
  <c r="AI312" i="3"/>
  <c r="AC312" i="3" s="1"/>
  <c r="AH312" i="3"/>
  <c r="AB312" i="3" s="1"/>
  <c r="AG312" i="3"/>
  <c r="AA312" i="3" s="1"/>
  <c r="AF312" i="3"/>
  <c r="Z312" i="3" s="1"/>
  <c r="AE312" i="3"/>
  <c r="Y312" i="3" s="1"/>
  <c r="AI311" i="3"/>
  <c r="AC311" i="3" s="1"/>
  <c r="AH311" i="3"/>
  <c r="AB311" i="3" s="1"/>
  <c r="AG311" i="3"/>
  <c r="AA311" i="3" s="1"/>
  <c r="AF311" i="3"/>
  <c r="Z311" i="3" s="1"/>
  <c r="AE311" i="3"/>
  <c r="Y311" i="3" s="1"/>
  <c r="AI310" i="3"/>
  <c r="AC310" i="3" s="1"/>
  <c r="AH310" i="3"/>
  <c r="AB310" i="3" s="1"/>
  <c r="AG310" i="3"/>
  <c r="AA310" i="3" s="1"/>
  <c r="AF310" i="3"/>
  <c r="Z310" i="3" s="1"/>
  <c r="AE310" i="3"/>
  <c r="Y310" i="3" s="1"/>
  <c r="AI309" i="3"/>
  <c r="AC309" i="3" s="1"/>
  <c r="AH309" i="3"/>
  <c r="AB309" i="3" s="1"/>
  <c r="AG309" i="3"/>
  <c r="AA309" i="3" s="1"/>
  <c r="AF309" i="3"/>
  <c r="Z309" i="3" s="1"/>
  <c r="AE309" i="3"/>
  <c r="Y309" i="3" s="1"/>
  <c r="AI308" i="3"/>
  <c r="AC308" i="3" s="1"/>
  <c r="AH308" i="3"/>
  <c r="AB308" i="3" s="1"/>
  <c r="AG308" i="3"/>
  <c r="AA308" i="3" s="1"/>
  <c r="AF308" i="3"/>
  <c r="Z308" i="3" s="1"/>
  <c r="AE308" i="3"/>
  <c r="Y308" i="3" s="1"/>
  <c r="AI307" i="3"/>
  <c r="AC307" i="3" s="1"/>
  <c r="AH307" i="3"/>
  <c r="AB307" i="3" s="1"/>
  <c r="AG307" i="3"/>
  <c r="AA307" i="3" s="1"/>
  <c r="AF307" i="3"/>
  <c r="Z307" i="3" s="1"/>
  <c r="AE307" i="3"/>
  <c r="Y307" i="3" s="1"/>
  <c r="AI306" i="3"/>
  <c r="AC306" i="3" s="1"/>
  <c r="AH306" i="3"/>
  <c r="AB306" i="3" s="1"/>
  <c r="AG306" i="3"/>
  <c r="AA306" i="3" s="1"/>
  <c r="AF306" i="3"/>
  <c r="Z306" i="3" s="1"/>
  <c r="AE306" i="3"/>
  <c r="Y306" i="3" s="1"/>
  <c r="AI305" i="3"/>
  <c r="AC305" i="3" s="1"/>
  <c r="AH305" i="3"/>
  <c r="AB305" i="3" s="1"/>
  <c r="AG305" i="3"/>
  <c r="AA305" i="3" s="1"/>
  <c r="AF305" i="3"/>
  <c r="Z305" i="3" s="1"/>
  <c r="AE305" i="3"/>
  <c r="Y305" i="3" s="1"/>
  <c r="AI304" i="3"/>
  <c r="AC304" i="3" s="1"/>
  <c r="AH304" i="3"/>
  <c r="AB304" i="3" s="1"/>
  <c r="AG304" i="3"/>
  <c r="AA304" i="3" s="1"/>
  <c r="AF304" i="3"/>
  <c r="Z304" i="3" s="1"/>
  <c r="AE304" i="3"/>
  <c r="Y304" i="3" s="1"/>
  <c r="AI303" i="3"/>
  <c r="AC303" i="3" s="1"/>
  <c r="AH303" i="3"/>
  <c r="AB303" i="3" s="1"/>
  <c r="AG303" i="3"/>
  <c r="AA303" i="3" s="1"/>
  <c r="AF303" i="3"/>
  <c r="Z303" i="3" s="1"/>
  <c r="AE303" i="3"/>
  <c r="Y303" i="3" s="1"/>
  <c r="AI302" i="3"/>
  <c r="AC302" i="3" s="1"/>
  <c r="AH302" i="3"/>
  <c r="AB302" i="3" s="1"/>
  <c r="AG302" i="3"/>
  <c r="AA302" i="3" s="1"/>
  <c r="AF302" i="3"/>
  <c r="Z302" i="3" s="1"/>
  <c r="AE302" i="3"/>
  <c r="Y302" i="3" s="1"/>
  <c r="AI301" i="3"/>
  <c r="AC301" i="3" s="1"/>
  <c r="AH301" i="3"/>
  <c r="AB301" i="3" s="1"/>
  <c r="AG301" i="3"/>
  <c r="AA301" i="3" s="1"/>
  <c r="AF301" i="3"/>
  <c r="Z301" i="3" s="1"/>
  <c r="AE301" i="3"/>
  <c r="Y301" i="3" s="1"/>
  <c r="AI300" i="3"/>
  <c r="AC300" i="3" s="1"/>
  <c r="AH300" i="3"/>
  <c r="AB300" i="3" s="1"/>
  <c r="AG300" i="3"/>
  <c r="AA300" i="3" s="1"/>
  <c r="AF300" i="3"/>
  <c r="Z300" i="3" s="1"/>
  <c r="AE300" i="3"/>
  <c r="Y300" i="3" s="1"/>
  <c r="AI299" i="3"/>
  <c r="AC299" i="3" s="1"/>
  <c r="AH299" i="3"/>
  <c r="AB299" i="3" s="1"/>
  <c r="AG299" i="3"/>
  <c r="AA299" i="3" s="1"/>
  <c r="AF299" i="3"/>
  <c r="Z299" i="3" s="1"/>
  <c r="AE299" i="3"/>
  <c r="Y299" i="3" s="1"/>
  <c r="AI298" i="3"/>
  <c r="AC298" i="3" s="1"/>
  <c r="AH298" i="3"/>
  <c r="AB298" i="3" s="1"/>
  <c r="AG298" i="3"/>
  <c r="AA298" i="3" s="1"/>
  <c r="AF298" i="3"/>
  <c r="Z298" i="3" s="1"/>
  <c r="AE298" i="3"/>
  <c r="Y298" i="3" s="1"/>
  <c r="AI297" i="3"/>
  <c r="AC297" i="3" s="1"/>
  <c r="AH297" i="3"/>
  <c r="AB297" i="3" s="1"/>
  <c r="AG297" i="3"/>
  <c r="AA297" i="3" s="1"/>
  <c r="AF297" i="3"/>
  <c r="Z297" i="3" s="1"/>
  <c r="AE297" i="3"/>
  <c r="Y297" i="3" s="1"/>
  <c r="AI296" i="3"/>
  <c r="AC296" i="3" s="1"/>
  <c r="AH296" i="3"/>
  <c r="AB296" i="3" s="1"/>
  <c r="AG296" i="3"/>
  <c r="AA296" i="3" s="1"/>
  <c r="AF296" i="3"/>
  <c r="Z296" i="3" s="1"/>
  <c r="AE296" i="3"/>
  <c r="Y296" i="3" s="1"/>
  <c r="AI295" i="3"/>
  <c r="AC295" i="3" s="1"/>
  <c r="AH295" i="3"/>
  <c r="AB295" i="3" s="1"/>
  <c r="AG295" i="3"/>
  <c r="AA295" i="3" s="1"/>
  <c r="AF295" i="3"/>
  <c r="Z295" i="3" s="1"/>
  <c r="AE295" i="3"/>
  <c r="Y295" i="3" s="1"/>
  <c r="AI294" i="3"/>
  <c r="AC294" i="3" s="1"/>
  <c r="AH294" i="3"/>
  <c r="AB294" i="3" s="1"/>
  <c r="AG294" i="3"/>
  <c r="AA294" i="3" s="1"/>
  <c r="AF294" i="3"/>
  <c r="Z294" i="3" s="1"/>
  <c r="AE294" i="3"/>
  <c r="Y294" i="3" s="1"/>
  <c r="AI293" i="3"/>
  <c r="AC293" i="3" s="1"/>
  <c r="AH293" i="3"/>
  <c r="AB293" i="3" s="1"/>
  <c r="AG293" i="3"/>
  <c r="AA293" i="3" s="1"/>
  <c r="AF293" i="3"/>
  <c r="Z293" i="3" s="1"/>
  <c r="AE293" i="3"/>
  <c r="Y293" i="3" s="1"/>
  <c r="AI292" i="3"/>
  <c r="AC292" i="3" s="1"/>
  <c r="AH292" i="3"/>
  <c r="AB292" i="3" s="1"/>
  <c r="AG292" i="3"/>
  <c r="AA292" i="3" s="1"/>
  <c r="AF292" i="3"/>
  <c r="Z292" i="3" s="1"/>
  <c r="AE292" i="3"/>
  <c r="Y292" i="3" s="1"/>
  <c r="AI291" i="3"/>
  <c r="AC291" i="3" s="1"/>
  <c r="AH291" i="3"/>
  <c r="AB291" i="3" s="1"/>
  <c r="AG291" i="3"/>
  <c r="AA291" i="3" s="1"/>
  <c r="AF291" i="3"/>
  <c r="Z291" i="3" s="1"/>
  <c r="AE291" i="3"/>
  <c r="Y291" i="3" s="1"/>
  <c r="AI290" i="3"/>
  <c r="AC290" i="3" s="1"/>
  <c r="AH290" i="3"/>
  <c r="AB290" i="3" s="1"/>
  <c r="AG290" i="3"/>
  <c r="AA290" i="3" s="1"/>
  <c r="AF290" i="3"/>
  <c r="Z290" i="3" s="1"/>
  <c r="AE290" i="3"/>
  <c r="Y290" i="3" s="1"/>
  <c r="AI289" i="3"/>
  <c r="AC289" i="3" s="1"/>
  <c r="AH289" i="3"/>
  <c r="AB289" i="3" s="1"/>
  <c r="AG289" i="3"/>
  <c r="AA289" i="3" s="1"/>
  <c r="AF289" i="3"/>
  <c r="Z289" i="3" s="1"/>
  <c r="AE289" i="3"/>
  <c r="Y289" i="3" s="1"/>
  <c r="AI288" i="3"/>
  <c r="AC288" i="3" s="1"/>
  <c r="AH288" i="3"/>
  <c r="AB288" i="3" s="1"/>
  <c r="AG288" i="3"/>
  <c r="AA288" i="3" s="1"/>
  <c r="AF288" i="3"/>
  <c r="Z288" i="3" s="1"/>
  <c r="AE288" i="3"/>
  <c r="Y288" i="3" s="1"/>
  <c r="AI287" i="3"/>
  <c r="AC287" i="3" s="1"/>
  <c r="AH287" i="3"/>
  <c r="AB287" i="3" s="1"/>
  <c r="AG287" i="3"/>
  <c r="AA287" i="3" s="1"/>
  <c r="AF287" i="3"/>
  <c r="Z287" i="3" s="1"/>
  <c r="AE287" i="3"/>
  <c r="Y287" i="3" s="1"/>
  <c r="AI286" i="3"/>
  <c r="AC286" i="3" s="1"/>
  <c r="AH286" i="3"/>
  <c r="AB286" i="3" s="1"/>
  <c r="AG286" i="3"/>
  <c r="AA286" i="3" s="1"/>
  <c r="AF286" i="3"/>
  <c r="Z286" i="3" s="1"/>
  <c r="AE286" i="3"/>
  <c r="Y286" i="3" s="1"/>
  <c r="AI285" i="3"/>
  <c r="AC285" i="3" s="1"/>
  <c r="AH285" i="3"/>
  <c r="AB285" i="3" s="1"/>
  <c r="AG285" i="3"/>
  <c r="AA285" i="3" s="1"/>
  <c r="AF285" i="3"/>
  <c r="Z285" i="3" s="1"/>
  <c r="AE285" i="3"/>
  <c r="Y285" i="3" s="1"/>
  <c r="AI284" i="3"/>
  <c r="AC284" i="3" s="1"/>
  <c r="AH284" i="3"/>
  <c r="AB284" i="3" s="1"/>
  <c r="AG284" i="3"/>
  <c r="AA284" i="3" s="1"/>
  <c r="AF284" i="3"/>
  <c r="Z284" i="3" s="1"/>
  <c r="AE284" i="3"/>
  <c r="Y284" i="3" s="1"/>
  <c r="AI283" i="3"/>
  <c r="AC283" i="3" s="1"/>
  <c r="AH283" i="3"/>
  <c r="AB283" i="3" s="1"/>
  <c r="AG283" i="3"/>
  <c r="AA283" i="3" s="1"/>
  <c r="AF283" i="3"/>
  <c r="Z283" i="3" s="1"/>
  <c r="AE283" i="3"/>
  <c r="Y283" i="3" s="1"/>
  <c r="AI282" i="3"/>
  <c r="AC282" i="3" s="1"/>
  <c r="AH282" i="3"/>
  <c r="AB282" i="3" s="1"/>
  <c r="AG282" i="3"/>
  <c r="AA282" i="3" s="1"/>
  <c r="AF282" i="3"/>
  <c r="Z282" i="3" s="1"/>
  <c r="AE282" i="3"/>
  <c r="Y282" i="3" s="1"/>
  <c r="AI281" i="3"/>
  <c r="AC281" i="3" s="1"/>
  <c r="AH281" i="3"/>
  <c r="AB281" i="3" s="1"/>
  <c r="AG281" i="3"/>
  <c r="AA281" i="3" s="1"/>
  <c r="AF281" i="3"/>
  <c r="Z281" i="3" s="1"/>
  <c r="AE281" i="3"/>
  <c r="Y281" i="3" s="1"/>
  <c r="AI280" i="3"/>
  <c r="AC280" i="3" s="1"/>
  <c r="AH280" i="3"/>
  <c r="AB280" i="3" s="1"/>
  <c r="AG280" i="3"/>
  <c r="AA280" i="3" s="1"/>
  <c r="AF280" i="3"/>
  <c r="Z280" i="3" s="1"/>
  <c r="AE280" i="3"/>
  <c r="Y280" i="3" s="1"/>
  <c r="AI279" i="3"/>
  <c r="AC279" i="3" s="1"/>
  <c r="AH279" i="3"/>
  <c r="AB279" i="3" s="1"/>
  <c r="AG279" i="3"/>
  <c r="AA279" i="3" s="1"/>
  <c r="AF279" i="3"/>
  <c r="Z279" i="3" s="1"/>
  <c r="AE279" i="3"/>
  <c r="Y279" i="3" s="1"/>
  <c r="AI278" i="3"/>
  <c r="AC278" i="3" s="1"/>
  <c r="AH278" i="3"/>
  <c r="AB278" i="3" s="1"/>
  <c r="AG278" i="3"/>
  <c r="AA278" i="3" s="1"/>
  <c r="AF278" i="3"/>
  <c r="Z278" i="3" s="1"/>
  <c r="AE278" i="3"/>
  <c r="Y278" i="3" s="1"/>
  <c r="AI277" i="3"/>
  <c r="AC277" i="3" s="1"/>
  <c r="AH277" i="3"/>
  <c r="AB277" i="3" s="1"/>
  <c r="AG277" i="3"/>
  <c r="AA277" i="3" s="1"/>
  <c r="AF277" i="3"/>
  <c r="Z277" i="3" s="1"/>
  <c r="AE277" i="3"/>
  <c r="Y277" i="3" s="1"/>
  <c r="AI276" i="3"/>
  <c r="AC276" i="3" s="1"/>
  <c r="AH276" i="3"/>
  <c r="AB276" i="3" s="1"/>
  <c r="AG276" i="3"/>
  <c r="AA276" i="3" s="1"/>
  <c r="AF276" i="3"/>
  <c r="Z276" i="3" s="1"/>
  <c r="AE276" i="3"/>
  <c r="Y276" i="3" s="1"/>
  <c r="AI275" i="3"/>
  <c r="AC275" i="3" s="1"/>
  <c r="AH275" i="3"/>
  <c r="AB275" i="3" s="1"/>
  <c r="AG275" i="3"/>
  <c r="AA275" i="3" s="1"/>
  <c r="AF275" i="3"/>
  <c r="Z275" i="3" s="1"/>
  <c r="AE275" i="3"/>
  <c r="Y275" i="3" s="1"/>
  <c r="AI274" i="3"/>
  <c r="AC274" i="3" s="1"/>
  <c r="AH274" i="3"/>
  <c r="AB274" i="3" s="1"/>
  <c r="AG274" i="3"/>
  <c r="AA274" i="3" s="1"/>
  <c r="AF274" i="3"/>
  <c r="Z274" i="3" s="1"/>
  <c r="AE274" i="3"/>
  <c r="Y274" i="3" s="1"/>
  <c r="AI273" i="3"/>
  <c r="AC273" i="3" s="1"/>
  <c r="AH273" i="3"/>
  <c r="AB273" i="3" s="1"/>
  <c r="AG273" i="3"/>
  <c r="AA273" i="3" s="1"/>
  <c r="AF273" i="3"/>
  <c r="Z273" i="3" s="1"/>
  <c r="AE273" i="3"/>
  <c r="Y273" i="3" s="1"/>
  <c r="AI272" i="3"/>
  <c r="AC272" i="3" s="1"/>
  <c r="AH272" i="3"/>
  <c r="AB272" i="3" s="1"/>
  <c r="AG272" i="3"/>
  <c r="AA272" i="3" s="1"/>
  <c r="AF272" i="3"/>
  <c r="Z272" i="3" s="1"/>
  <c r="AE272" i="3"/>
  <c r="Y272" i="3" s="1"/>
  <c r="AI271" i="3"/>
  <c r="AC271" i="3" s="1"/>
  <c r="AH271" i="3"/>
  <c r="AB271" i="3" s="1"/>
  <c r="AG271" i="3"/>
  <c r="AA271" i="3" s="1"/>
  <c r="AF271" i="3"/>
  <c r="Z271" i="3" s="1"/>
  <c r="AE271" i="3"/>
  <c r="Y271" i="3" s="1"/>
  <c r="AI270" i="3"/>
  <c r="AC270" i="3" s="1"/>
  <c r="AH270" i="3"/>
  <c r="AB270" i="3" s="1"/>
  <c r="AG270" i="3"/>
  <c r="AA270" i="3" s="1"/>
  <c r="AF270" i="3"/>
  <c r="Z270" i="3" s="1"/>
  <c r="AE270" i="3"/>
  <c r="Y270" i="3" s="1"/>
  <c r="AI269" i="3"/>
  <c r="AC269" i="3" s="1"/>
  <c r="AH269" i="3"/>
  <c r="AB269" i="3" s="1"/>
  <c r="AG269" i="3"/>
  <c r="AA269" i="3" s="1"/>
  <c r="AF269" i="3"/>
  <c r="Z269" i="3" s="1"/>
  <c r="AE269" i="3"/>
  <c r="Y269" i="3" s="1"/>
  <c r="AI268" i="3"/>
  <c r="AC268" i="3" s="1"/>
  <c r="AH268" i="3"/>
  <c r="AB268" i="3" s="1"/>
  <c r="AG268" i="3"/>
  <c r="AA268" i="3" s="1"/>
  <c r="AF268" i="3"/>
  <c r="Z268" i="3" s="1"/>
  <c r="AE268" i="3"/>
  <c r="Y268" i="3" s="1"/>
  <c r="AI267" i="3"/>
  <c r="AC267" i="3" s="1"/>
  <c r="AH267" i="3"/>
  <c r="AB267" i="3" s="1"/>
  <c r="AG267" i="3"/>
  <c r="AA267" i="3" s="1"/>
  <c r="AF267" i="3"/>
  <c r="Z267" i="3" s="1"/>
  <c r="AE267" i="3"/>
  <c r="Y267" i="3" s="1"/>
  <c r="AI266" i="3"/>
  <c r="AC266" i="3" s="1"/>
  <c r="AH266" i="3"/>
  <c r="AB266" i="3" s="1"/>
  <c r="AG266" i="3"/>
  <c r="AA266" i="3" s="1"/>
  <c r="AF266" i="3"/>
  <c r="Z266" i="3" s="1"/>
  <c r="AE266" i="3"/>
  <c r="Y266" i="3" s="1"/>
  <c r="AI265" i="3"/>
  <c r="AC265" i="3" s="1"/>
  <c r="AH265" i="3"/>
  <c r="AB265" i="3" s="1"/>
  <c r="AG265" i="3"/>
  <c r="AA265" i="3" s="1"/>
  <c r="AF265" i="3"/>
  <c r="Z265" i="3" s="1"/>
  <c r="AE265" i="3"/>
  <c r="Y265" i="3" s="1"/>
  <c r="AI264" i="3"/>
  <c r="AC264" i="3" s="1"/>
  <c r="AH264" i="3"/>
  <c r="AB264" i="3" s="1"/>
  <c r="AG264" i="3"/>
  <c r="AA264" i="3" s="1"/>
  <c r="AF264" i="3"/>
  <c r="Z264" i="3" s="1"/>
  <c r="AE264" i="3"/>
  <c r="Y264" i="3" s="1"/>
  <c r="AI263" i="3"/>
  <c r="AC263" i="3" s="1"/>
  <c r="AH263" i="3"/>
  <c r="AB263" i="3" s="1"/>
  <c r="AG263" i="3"/>
  <c r="AA263" i="3" s="1"/>
  <c r="AF263" i="3"/>
  <c r="Z263" i="3" s="1"/>
  <c r="AE263" i="3"/>
  <c r="Y263" i="3" s="1"/>
  <c r="AI262" i="3"/>
  <c r="AC262" i="3" s="1"/>
  <c r="AH262" i="3"/>
  <c r="AB262" i="3" s="1"/>
  <c r="AG262" i="3"/>
  <c r="AA262" i="3" s="1"/>
  <c r="AF262" i="3"/>
  <c r="Z262" i="3" s="1"/>
  <c r="AE262" i="3"/>
  <c r="Y262" i="3" s="1"/>
  <c r="AI261" i="3"/>
  <c r="AC261" i="3" s="1"/>
  <c r="AH261" i="3"/>
  <c r="AB261" i="3" s="1"/>
  <c r="AG261" i="3"/>
  <c r="AA261" i="3" s="1"/>
  <c r="AF261" i="3"/>
  <c r="Z261" i="3" s="1"/>
  <c r="AE261" i="3"/>
  <c r="Y261" i="3" s="1"/>
  <c r="AI260" i="3"/>
  <c r="AC260" i="3" s="1"/>
  <c r="AH260" i="3"/>
  <c r="AB260" i="3" s="1"/>
  <c r="AG260" i="3"/>
  <c r="AA260" i="3" s="1"/>
  <c r="AF260" i="3"/>
  <c r="Z260" i="3" s="1"/>
  <c r="AE260" i="3"/>
  <c r="Y260" i="3" s="1"/>
  <c r="AI259" i="3"/>
  <c r="AC259" i="3" s="1"/>
  <c r="AH259" i="3"/>
  <c r="AB259" i="3" s="1"/>
  <c r="AG259" i="3"/>
  <c r="AA259" i="3" s="1"/>
  <c r="AF259" i="3"/>
  <c r="Z259" i="3" s="1"/>
  <c r="AE259" i="3"/>
  <c r="Y259" i="3" s="1"/>
  <c r="AI258" i="3"/>
  <c r="AC258" i="3" s="1"/>
  <c r="AH258" i="3"/>
  <c r="AB258" i="3" s="1"/>
  <c r="AG258" i="3"/>
  <c r="AA258" i="3" s="1"/>
  <c r="AF258" i="3"/>
  <c r="Z258" i="3" s="1"/>
  <c r="AE258" i="3"/>
  <c r="Y258" i="3" s="1"/>
  <c r="AI257" i="3"/>
  <c r="AC257" i="3" s="1"/>
  <c r="AH257" i="3"/>
  <c r="AB257" i="3" s="1"/>
  <c r="AG257" i="3"/>
  <c r="AA257" i="3" s="1"/>
  <c r="AF257" i="3"/>
  <c r="Z257" i="3" s="1"/>
  <c r="AE257" i="3"/>
  <c r="Y257" i="3" s="1"/>
  <c r="AI256" i="3"/>
  <c r="AC256" i="3" s="1"/>
  <c r="AH256" i="3"/>
  <c r="AB256" i="3" s="1"/>
  <c r="AG256" i="3"/>
  <c r="AA256" i="3" s="1"/>
  <c r="AF256" i="3"/>
  <c r="Z256" i="3" s="1"/>
  <c r="AE256" i="3"/>
  <c r="Y256" i="3" s="1"/>
  <c r="AI255" i="3"/>
  <c r="AC255" i="3" s="1"/>
  <c r="AH255" i="3"/>
  <c r="AB255" i="3" s="1"/>
  <c r="AG255" i="3"/>
  <c r="AA255" i="3" s="1"/>
  <c r="AF255" i="3"/>
  <c r="Z255" i="3" s="1"/>
  <c r="AE255" i="3"/>
  <c r="Y255" i="3" s="1"/>
  <c r="AI254" i="3"/>
  <c r="AC254" i="3" s="1"/>
  <c r="AH254" i="3"/>
  <c r="AB254" i="3" s="1"/>
  <c r="AG254" i="3"/>
  <c r="AA254" i="3" s="1"/>
  <c r="AF254" i="3"/>
  <c r="Z254" i="3" s="1"/>
  <c r="AE254" i="3"/>
  <c r="Y254" i="3" s="1"/>
  <c r="AI253" i="3"/>
  <c r="AC253" i="3" s="1"/>
  <c r="AH253" i="3"/>
  <c r="AB253" i="3" s="1"/>
  <c r="AG253" i="3"/>
  <c r="AA253" i="3" s="1"/>
  <c r="AF253" i="3"/>
  <c r="Z253" i="3" s="1"/>
  <c r="AE253" i="3"/>
  <c r="Y253" i="3" s="1"/>
  <c r="AI252" i="3"/>
  <c r="AC252" i="3" s="1"/>
  <c r="AH252" i="3"/>
  <c r="AB252" i="3" s="1"/>
  <c r="AG252" i="3"/>
  <c r="AA252" i="3" s="1"/>
  <c r="AF252" i="3"/>
  <c r="Z252" i="3" s="1"/>
  <c r="AE252" i="3"/>
  <c r="Y252" i="3" s="1"/>
  <c r="AI251" i="3"/>
  <c r="AC251" i="3" s="1"/>
  <c r="AH251" i="3"/>
  <c r="AB251" i="3" s="1"/>
  <c r="AG251" i="3"/>
  <c r="AA251" i="3" s="1"/>
  <c r="AF251" i="3"/>
  <c r="Z251" i="3" s="1"/>
  <c r="AE251" i="3"/>
  <c r="Y251" i="3" s="1"/>
  <c r="AI250" i="3"/>
  <c r="AC250" i="3" s="1"/>
  <c r="AH250" i="3"/>
  <c r="AB250" i="3" s="1"/>
  <c r="AG250" i="3"/>
  <c r="AA250" i="3" s="1"/>
  <c r="AF250" i="3"/>
  <c r="Z250" i="3" s="1"/>
  <c r="AE250" i="3"/>
  <c r="Y250" i="3" s="1"/>
  <c r="AI249" i="3"/>
  <c r="AC249" i="3" s="1"/>
  <c r="AH249" i="3"/>
  <c r="AB249" i="3" s="1"/>
  <c r="AG249" i="3"/>
  <c r="AA249" i="3" s="1"/>
  <c r="AF249" i="3"/>
  <c r="Z249" i="3" s="1"/>
  <c r="AE249" i="3"/>
  <c r="Y249" i="3" s="1"/>
  <c r="AI248" i="3"/>
  <c r="AC248" i="3" s="1"/>
  <c r="AH248" i="3"/>
  <c r="AB248" i="3" s="1"/>
  <c r="AG248" i="3"/>
  <c r="AA248" i="3" s="1"/>
  <c r="AF248" i="3"/>
  <c r="Z248" i="3" s="1"/>
  <c r="AE248" i="3"/>
  <c r="Y248" i="3" s="1"/>
  <c r="AI247" i="3"/>
  <c r="AC247" i="3" s="1"/>
  <c r="AH247" i="3"/>
  <c r="AB247" i="3" s="1"/>
  <c r="AG247" i="3"/>
  <c r="AA247" i="3" s="1"/>
  <c r="AF247" i="3"/>
  <c r="Z247" i="3" s="1"/>
  <c r="AE247" i="3"/>
  <c r="Y247" i="3" s="1"/>
  <c r="AI246" i="3"/>
  <c r="AC246" i="3" s="1"/>
  <c r="AH246" i="3"/>
  <c r="AB246" i="3" s="1"/>
  <c r="AG246" i="3"/>
  <c r="AA246" i="3" s="1"/>
  <c r="AF246" i="3"/>
  <c r="Z246" i="3" s="1"/>
  <c r="AE246" i="3"/>
  <c r="Y246" i="3" s="1"/>
  <c r="AI245" i="3"/>
  <c r="AC245" i="3" s="1"/>
  <c r="AH245" i="3"/>
  <c r="AB245" i="3" s="1"/>
  <c r="AG245" i="3"/>
  <c r="AA245" i="3" s="1"/>
  <c r="AF245" i="3"/>
  <c r="Z245" i="3" s="1"/>
  <c r="AE245" i="3"/>
  <c r="Y245" i="3" s="1"/>
  <c r="AI244" i="3"/>
  <c r="AC244" i="3" s="1"/>
  <c r="AH244" i="3"/>
  <c r="AB244" i="3" s="1"/>
  <c r="AG244" i="3"/>
  <c r="AA244" i="3" s="1"/>
  <c r="AF244" i="3"/>
  <c r="Z244" i="3" s="1"/>
  <c r="AE244" i="3"/>
  <c r="Y244" i="3" s="1"/>
  <c r="AI243" i="3"/>
  <c r="AC243" i="3" s="1"/>
  <c r="AH243" i="3"/>
  <c r="AB243" i="3" s="1"/>
  <c r="AG243" i="3"/>
  <c r="AA243" i="3" s="1"/>
  <c r="AF243" i="3"/>
  <c r="Z243" i="3" s="1"/>
  <c r="AE243" i="3"/>
  <c r="Y243" i="3" s="1"/>
  <c r="AI242" i="3"/>
  <c r="AC242" i="3" s="1"/>
  <c r="AH242" i="3"/>
  <c r="AB242" i="3" s="1"/>
  <c r="AG242" i="3"/>
  <c r="AA242" i="3" s="1"/>
  <c r="AF242" i="3"/>
  <c r="Z242" i="3" s="1"/>
  <c r="AE242" i="3"/>
  <c r="Y242" i="3" s="1"/>
  <c r="AI241" i="3"/>
  <c r="AC241" i="3" s="1"/>
  <c r="AH241" i="3"/>
  <c r="AB241" i="3" s="1"/>
  <c r="AG241" i="3"/>
  <c r="AA241" i="3" s="1"/>
  <c r="AF241" i="3"/>
  <c r="Z241" i="3" s="1"/>
  <c r="AE241" i="3"/>
  <c r="Y241" i="3" s="1"/>
  <c r="AI240" i="3"/>
  <c r="AC240" i="3" s="1"/>
  <c r="AH240" i="3"/>
  <c r="AB240" i="3" s="1"/>
  <c r="AG240" i="3"/>
  <c r="AA240" i="3" s="1"/>
  <c r="AF240" i="3"/>
  <c r="Z240" i="3" s="1"/>
  <c r="AE240" i="3"/>
  <c r="Y240" i="3" s="1"/>
  <c r="AI239" i="3"/>
  <c r="AC239" i="3" s="1"/>
  <c r="AH239" i="3"/>
  <c r="AB239" i="3" s="1"/>
  <c r="AG239" i="3"/>
  <c r="AA239" i="3" s="1"/>
  <c r="AF239" i="3"/>
  <c r="Z239" i="3" s="1"/>
  <c r="AE239" i="3"/>
  <c r="Y239" i="3" s="1"/>
  <c r="AI238" i="3"/>
  <c r="AC238" i="3" s="1"/>
  <c r="AH238" i="3"/>
  <c r="AB238" i="3" s="1"/>
  <c r="AG238" i="3"/>
  <c r="AA238" i="3" s="1"/>
  <c r="AF238" i="3"/>
  <c r="Z238" i="3" s="1"/>
  <c r="AE238" i="3"/>
  <c r="Y238" i="3" s="1"/>
  <c r="AI237" i="3"/>
  <c r="AC237" i="3" s="1"/>
  <c r="AH237" i="3"/>
  <c r="AB237" i="3" s="1"/>
  <c r="AG237" i="3"/>
  <c r="AA237" i="3" s="1"/>
  <c r="AF237" i="3"/>
  <c r="Z237" i="3" s="1"/>
  <c r="AE237" i="3"/>
  <c r="Y237" i="3" s="1"/>
  <c r="AI236" i="3"/>
  <c r="AC236" i="3" s="1"/>
  <c r="AH236" i="3"/>
  <c r="AB236" i="3" s="1"/>
  <c r="AG236" i="3"/>
  <c r="AA236" i="3" s="1"/>
  <c r="AF236" i="3"/>
  <c r="Z236" i="3" s="1"/>
  <c r="AE236" i="3"/>
  <c r="Y236" i="3" s="1"/>
  <c r="AI235" i="3"/>
  <c r="AC235" i="3" s="1"/>
  <c r="AH235" i="3"/>
  <c r="AB235" i="3" s="1"/>
  <c r="AG235" i="3"/>
  <c r="AA235" i="3" s="1"/>
  <c r="AF235" i="3"/>
  <c r="Z235" i="3" s="1"/>
  <c r="AE235" i="3"/>
  <c r="Y235" i="3" s="1"/>
  <c r="AI234" i="3"/>
  <c r="AC234" i="3" s="1"/>
  <c r="AH234" i="3"/>
  <c r="AB234" i="3" s="1"/>
  <c r="AG234" i="3"/>
  <c r="AA234" i="3" s="1"/>
  <c r="AF234" i="3"/>
  <c r="Z234" i="3" s="1"/>
  <c r="AE234" i="3"/>
  <c r="Y234" i="3" s="1"/>
  <c r="AI233" i="3"/>
  <c r="AC233" i="3" s="1"/>
  <c r="AH233" i="3"/>
  <c r="AB233" i="3" s="1"/>
  <c r="AG233" i="3"/>
  <c r="AA233" i="3" s="1"/>
  <c r="AF233" i="3"/>
  <c r="Z233" i="3" s="1"/>
  <c r="AE233" i="3"/>
  <c r="Y233" i="3" s="1"/>
  <c r="AI232" i="3"/>
  <c r="AC232" i="3" s="1"/>
  <c r="AH232" i="3"/>
  <c r="AB232" i="3" s="1"/>
  <c r="AG232" i="3"/>
  <c r="AA232" i="3" s="1"/>
  <c r="AF232" i="3"/>
  <c r="Z232" i="3" s="1"/>
  <c r="AE232" i="3"/>
  <c r="Y232" i="3" s="1"/>
  <c r="AI231" i="3"/>
  <c r="AC231" i="3" s="1"/>
  <c r="AH231" i="3"/>
  <c r="AB231" i="3" s="1"/>
  <c r="AG231" i="3"/>
  <c r="AA231" i="3" s="1"/>
  <c r="AF231" i="3"/>
  <c r="Z231" i="3" s="1"/>
  <c r="AE231" i="3"/>
  <c r="Y231" i="3" s="1"/>
  <c r="AI230" i="3"/>
  <c r="AC230" i="3" s="1"/>
  <c r="AH230" i="3"/>
  <c r="AB230" i="3" s="1"/>
  <c r="AG230" i="3"/>
  <c r="AA230" i="3" s="1"/>
  <c r="AF230" i="3"/>
  <c r="Z230" i="3" s="1"/>
  <c r="AE230" i="3"/>
  <c r="Y230" i="3" s="1"/>
  <c r="AI229" i="3"/>
  <c r="AC229" i="3" s="1"/>
  <c r="AH229" i="3"/>
  <c r="AB229" i="3" s="1"/>
  <c r="AG229" i="3"/>
  <c r="AA229" i="3" s="1"/>
  <c r="AF229" i="3"/>
  <c r="Z229" i="3" s="1"/>
  <c r="AE229" i="3"/>
  <c r="Y229" i="3" s="1"/>
  <c r="AI228" i="3"/>
  <c r="AC228" i="3" s="1"/>
  <c r="AH228" i="3"/>
  <c r="AB228" i="3" s="1"/>
  <c r="AG228" i="3"/>
  <c r="AA228" i="3" s="1"/>
  <c r="AF228" i="3"/>
  <c r="Z228" i="3" s="1"/>
  <c r="AE228" i="3"/>
  <c r="Y228" i="3" s="1"/>
  <c r="AI227" i="3"/>
  <c r="AC227" i="3" s="1"/>
  <c r="AH227" i="3"/>
  <c r="AB227" i="3" s="1"/>
  <c r="AG227" i="3"/>
  <c r="AA227" i="3" s="1"/>
  <c r="AF227" i="3"/>
  <c r="Z227" i="3" s="1"/>
  <c r="AE227" i="3"/>
  <c r="Y227" i="3" s="1"/>
  <c r="AI226" i="3"/>
  <c r="AC226" i="3" s="1"/>
  <c r="AH226" i="3"/>
  <c r="AB226" i="3" s="1"/>
  <c r="AG226" i="3"/>
  <c r="AA226" i="3" s="1"/>
  <c r="AF226" i="3"/>
  <c r="Z226" i="3" s="1"/>
  <c r="AE226" i="3"/>
  <c r="Y226" i="3" s="1"/>
  <c r="AI225" i="3"/>
  <c r="AC225" i="3" s="1"/>
  <c r="AH225" i="3"/>
  <c r="AB225" i="3" s="1"/>
  <c r="AG225" i="3"/>
  <c r="AA225" i="3" s="1"/>
  <c r="AF225" i="3"/>
  <c r="Z225" i="3" s="1"/>
  <c r="AE225" i="3"/>
  <c r="Y225" i="3" s="1"/>
  <c r="AI224" i="3"/>
  <c r="AC224" i="3" s="1"/>
  <c r="AH224" i="3"/>
  <c r="AB224" i="3" s="1"/>
  <c r="AG224" i="3"/>
  <c r="AA224" i="3" s="1"/>
  <c r="AF224" i="3"/>
  <c r="Z224" i="3" s="1"/>
  <c r="AE224" i="3"/>
  <c r="Y224" i="3" s="1"/>
  <c r="AI223" i="3"/>
  <c r="AC223" i="3" s="1"/>
  <c r="AH223" i="3"/>
  <c r="AB223" i="3" s="1"/>
  <c r="AG223" i="3"/>
  <c r="AA223" i="3" s="1"/>
  <c r="AF223" i="3"/>
  <c r="Z223" i="3" s="1"/>
  <c r="AE223" i="3"/>
  <c r="Y223" i="3" s="1"/>
  <c r="AI222" i="3"/>
  <c r="AC222" i="3" s="1"/>
  <c r="AH222" i="3"/>
  <c r="AB222" i="3" s="1"/>
  <c r="AG222" i="3"/>
  <c r="AA222" i="3" s="1"/>
  <c r="AF222" i="3"/>
  <c r="Z222" i="3" s="1"/>
  <c r="AE222" i="3"/>
  <c r="Y222" i="3" s="1"/>
  <c r="AI221" i="3"/>
  <c r="AC221" i="3" s="1"/>
  <c r="AH221" i="3"/>
  <c r="AB221" i="3" s="1"/>
  <c r="AG221" i="3"/>
  <c r="AA221" i="3" s="1"/>
  <c r="AF221" i="3"/>
  <c r="Z221" i="3" s="1"/>
  <c r="AE221" i="3"/>
  <c r="Y221" i="3" s="1"/>
  <c r="AI220" i="3"/>
  <c r="AC220" i="3" s="1"/>
  <c r="AH220" i="3"/>
  <c r="AB220" i="3" s="1"/>
  <c r="AG220" i="3"/>
  <c r="AA220" i="3" s="1"/>
  <c r="AF220" i="3"/>
  <c r="Z220" i="3" s="1"/>
  <c r="AE220" i="3"/>
  <c r="Y220" i="3" s="1"/>
  <c r="AI219" i="3"/>
  <c r="AC219" i="3" s="1"/>
  <c r="AH219" i="3"/>
  <c r="AB219" i="3" s="1"/>
  <c r="AG219" i="3"/>
  <c r="AA219" i="3" s="1"/>
  <c r="AF219" i="3"/>
  <c r="Z219" i="3" s="1"/>
  <c r="AE219" i="3"/>
  <c r="Y219" i="3" s="1"/>
  <c r="AI218" i="3"/>
  <c r="AC218" i="3" s="1"/>
  <c r="AH218" i="3"/>
  <c r="AB218" i="3" s="1"/>
  <c r="AG218" i="3"/>
  <c r="AA218" i="3" s="1"/>
  <c r="AF218" i="3"/>
  <c r="Z218" i="3" s="1"/>
  <c r="AE218" i="3"/>
  <c r="Y218" i="3" s="1"/>
  <c r="AI217" i="3"/>
  <c r="AC217" i="3" s="1"/>
  <c r="AH217" i="3"/>
  <c r="AB217" i="3" s="1"/>
  <c r="AG217" i="3"/>
  <c r="AA217" i="3" s="1"/>
  <c r="AF217" i="3"/>
  <c r="Z217" i="3" s="1"/>
  <c r="AE217" i="3"/>
  <c r="Y217" i="3" s="1"/>
  <c r="AI216" i="3"/>
  <c r="AC216" i="3" s="1"/>
  <c r="AH216" i="3"/>
  <c r="AB216" i="3" s="1"/>
  <c r="AG216" i="3"/>
  <c r="AA216" i="3" s="1"/>
  <c r="AF216" i="3"/>
  <c r="Z216" i="3" s="1"/>
  <c r="AE216" i="3"/>
  <c r="Y216" i="3" s="1"/>
  <c r="AI215" i="3"/>
  <c r="AC215" i="3" s="1"/>
  <c r="AH215" i="3"/>
  <c r="AB215" i="3" s="1"/>
  <c r="AG215" i="3"/>
  <c r="AA215" i="3" s="1"/>
  <c r="AF215" i="3"/>
  <c r="Z215" i="3" s="1"/>
  <c r="AE215" i="3"/>
  <c r="Y215" i="3" s="1"/>
  <c r="AI214" i="3"/>
  <c r="AC214" i="3" s="1"/>
  <c r="AH214" i="3"/>
  <c r="AB214" i="3" s="1"/>
  <c r="AG214" i="3"/>
  <c r="AA214" i="3" s="1"/>
  <c r="AF214" i="3"/>
  <c r="Z214" i="3" s="1"/>
  <c r="AE214" i="3"/>
  <c r="Y214" i="3" s="1"/>
  <c r="AI213" i="3"/>
  <c r="AC213" i="3" s="1"/>
  <c r="AH213" i="3"/>
  <c r="AB213" i="3" s="1"/>
  <c r="AG213" i="3"/>
  <c r="AA213" i="3" s="1"/>
  <c r="AF213" i="3"/>
  <c r="Z213" i="3" s="1"/>
  <c r="AE213" i="3"/>
  <c r="Y213" i="3" s="1"/>
  <c r="AI212" i="3"/>
  <c r="AC212" i="3" s="1"/>
  <c r="AH212" i="3"/>
  <c r="AB212" i="3" s="1"/>
  <c r="AG212" i="3"/>
  <c r="AA212" i="3" s="1"/>
  <c r="AF212" i="3"/>
  <c r="Z212" i="3" s="1"/>
  <c r="AE212" i="3"/>
  <c r="Y212" i="3" s="1"/>
  <c r="AI211" i="3"/>
  <c r="AC211" i="3" s="1"/>
  <c r="AH211" i="3"/>
  <c r="AB211" i="3" s="1"/>
  <c r="AG211" i="3"/>
  <c r="AA211" i="3" s="1"/>
  <c r="AF211" i="3"/>
  <c r="Z211" i="3" s="1"/>
  <c r="AE211" i="3"/>
  <c r="Y211" i="3" s="1"/>
  <c r="AI210" i="3"/>
  <c r="AC210" i="3" s="1"/>
  <c r="AH210" i="3"/>
  <c r="AB210" i="3" s="1"/>
  <c r="AG210" i="3"/>
  <c r="AA210" i="3" s="1"/>
  <c r="AF210" i="3"/>
  <c r="Z210" i="3" s="1"/>
  <c r="AE210" i="3"/>
  <c r="Y210" i="3" s="1"/>
  <c r="AI209" i="3"/>
  <c r="AC209" i="3" s="1"/>
  <c r="AH209" i="3"/>
  <c r="AB209" i="3" s="1"/>
  <c r="AG209" i="3"/>
  <c r="AA209" i="3" s="1"/>
  <c r="AF209" i="3"/>
  <c r="Z209" i="3" s="1"/>
  <c r="AE209" i="3"/>
  <c r="Y209" i="3" s="1"/>
  <c r="AI208" i="3"/>
  <c r="AC208" i="3" s="1"/>
  <c r="AH208" i="3"/>
  <c r="AB208" i="3" s="1"/>
  <c r="AG208" i="3"/>
  <c r="AA208" i="3" s="1"/>
  <c r="AF208" i="3"/>
  <c r="Z208" i="3" s="1"/>
  <c r="AE208" i="3"/>
  <c r="Y208" i="3" s="1"/>
  <c r="AI207" i="3"/>
  <c r="AC207" i="3" s="1"/>
  <c r="AH207" i="3"/>
  <c r="AB207" i="3" s="1"/>
  <c r="AG207" i="3"/>
  <c r="AA207" i="3" s="1"/>
  <c r="AF207" i="3"/>
  <c r="Z207" i="3" s="1"/>
  <c r="AE207" i="3"/>
  <c r="Y207" i="3" s="1"/>
  <c r="AI206" i="3"/>
  <c r="AC206" i="3" s="1"/>
  <c r="AH206" i="3"/>
  <c r="AB206" i="3" s="1"/>
  <c r="AG206" i="3"/>
  <c r="AA206" i="3" s="1"/>
  <c r="AF206" i="3"/>
  <c r="Z206" i="3" s="1"/>
  <c r="AE206" i="3"/>
  <c r="Y206" i="3" s="1"/>
  <c r="AI205" i="3"/>
  <c r="AC205" i="3" s="1"/>
  <c r="AH205" i="3"/>
  <c r="AB205" i="3" s="1"/>
  <c r="AG205" i="3"/>
  <c r="AA205" i="3" s="1"/>
  <c r="AF205" i="3"/>
  <c r="Z205" i="3" s="1"/>
  <c r="AE205" i="3"/>
  <c r="Y205" i="3" s="1"/>
  <c r="AI204" i="3"/>
  <c r="AC204" i="3" s="1"/>
  <c r="AH204" i="3"/>
  <c r="AB204" i="3" s="1"/>
  <c r="AG204" i="3"/>
  <c r="AA204" i="3" s="1"/>
  <c r="AF204" i="3"/>
  <c r="Z204" i="3" s="1"/>
  <c r="AE204" i="3"/>
  <c r="Y204" i="3" s="1"/>
  <c r="AI203" i="3"/>
  <c r="AC203" i="3" s="1"/>
  <c r="AH203" i="3"/>
  <c r="AB203" i="3" s="1"/>
  <c r="AG203" i="3"/>
  <c r="AA203" i="3" s="1"/>
  <c r="AF203" i="3"/>
  <c r="Z203" i="3" s="1"/>
  <c r="AE203" i="3"/>
  <c r="Y203" i="3" s="1"/>
  <c r="AI202" i="3"/>
  <c r="AC202" i="3" s="1"/>
  <c r="AH202" i="3"/>
  <c r="AB202" i="3" s="1"/>
  <c r="AG202" i="3"/>
  <c r="AA202" i="3" s="1"/>
  <c r="AF202" i="3"/>
  <c r="Z202" i="3" s="1"/>
  <c r="AE202" i="3"/>
  <c r="Y202" i="3" s="1"/>
  <c r="AI201" i="3"/>
  <c r="AC201" i="3" s="1"/>
  <c r="AH201" i="3"/>
  <c r="AB201" i="3" s="1"/>
  <c r="AG201" i="3"/>
  <c r="AA201" i="3" s="1"/>
  <c r="AF201" i="3"/>
  <c r="Z201" i="3" s="1"/>
  <c r="AE201" i="3"/>
  <c r="Y201" i="3" s="1"/>
  <c r="AI200" i="3"/>
  <c r="AC200" i="3" s="1"/>
  <c r="AH200" i="3"/>
  <c r="AB200" i="3" s="1"/>
  <c r="AG200" i="3"/>
  <c r="AA200" i="3" s="1"/>
  <c r="AF200" i="3"/>
  <c r="Z200" i="3" s="1"/>
  <c r="AE200" i="3"/>
  <c r="Y200" i="3" s="1"/>
  <c r="AI199" i="3"/>
  <c r="AC199" i="3" s="1"/>
  <c r="AH199" i="3"/>
  <c r="AB199" i="3" s="1"/>
  <c r="AG199" i="3"/>
  <c r="AA199" i="3" s="1"/>
  <c r="AF199" i="3"/>
  <c r="Z199" i="3" s="1"/>
  <c r="AE199" i="3"/>
  <c r="Y199" i="3" s="1"/>
  <c r="AI198" i="3"/>
  <c r="AC198" i="3" s="1"/>
  <c r="AH198" i="3"/>
  <c r="AB198" i="3" s="1"/>
  <c r="AG198" i="3"/>
  <c r="AA198" i="3" s="1"/>
  <c r="AF198" i="3"/>
  <c r="Z198" i="3" s="1"/>
  <c r="AE198" i="3"/>
  <c r="Y198" i="3" s="1"/>
  <c r="AI197" i="3"/>
  <c r="AC197" i="3" s="1"/>
  <c r="AH197" i="3"/>
  <c r="AB197" i="3" s="1"/>
  <c r="AG197" i="3"/>
  <c r="AA197" i="3" s="1"/>
  <c r="AF197" i="3"/>
  <c r="Z197" i="3" s="1"/>
  <c r="AE197" i="3"/>
  <c r="Y197" i="3" s="1"/>
  <c r="AI196" i="3"/>
  <c r="AC196" i="3" s="1"/>
  <c r="AH196" i="3"/>
  <c r="AB196" i="3" s="1"/>
  <c r="AG196" i="3"/>
  <c r="AA196" i="3" s="1"/>
  <c r="AF196" i="3"/>
  <c r="Z196" i="3" s="1"/>
  <c r="AE196" i="3"/>
  <c r="Y196" i="3" s="1"/>
  <c r="AI195" i="3"/>
  <c r="AC195" i="3" s="1"/>
  <c r="AH195" i="3"/>
  <c r="AB195" i="3" s="1"/>
  <c r="AG195" i="3"/>
  <c r="AA195" i="3" s="1"/>
  <c r="AF195" i="3"/>
  <c r="Z195" i="3" s="1"/>
  <c r="AE195" i="3"/>
  <c r="Y195" i="3" s="1"/>
  <c r="AI194" i="3"/>
  <c r="AC194" i="3" s="1"/>
  <c r="AH194" i="3"/>
  <c r="AB194" i="3" s="1"/>
  <c r="AG194" i="3"/>
  <c r="AA194" i="3" s="1"/>
  <c r="AF194" i="3"/>
  <c r="Z194" i="3" s="1"/>
  <c r="AE194" i="3"/>
  <c r="Y194" i="3" s="1"/>
  <c r="AI193" i="3"/>
  <c r="AC193" i="3" s="1"/>
  <c r="AH193" i="3"/>
  <c r="AB193" i="3" s="1"/>
  <c r="AG193" i="3"/>
  <c r="AA193" i="3" s="1"/>
  <c r="AF193" i="3"/>
  <c r="Z193" i="3" s="1"/>
  <c r="AE193" i="3"/>
  <c r="Y193" i="3" s="1"/>
  <c r="AI192" i="3"/>
  <c r="AC192" i="3" s="1"/>
  <c r="AH192" i="3"/>
  <c r="AB192" i="3" s="1"/>
  <c r="AG192" i="3"/>
  <c r="AA192" i="3" s="1"/>
  <c r="AF192" i="3"/>
  <c r="Z192" i="3" s="1"/>
  <c r="AE192" i="3"/>
  <c r="Y192" i="3" s="1"/>
  <c r="AI191" i="3"/>
  <c r="AC191" i="3" s="1"/>
  <c r="AH191" i="3"/>
  <c r="AB191" i="3" s="1"/>
  <c r="AG191" i="3"/>
  <c r="AA191" i="3" s="1"/>
  <c r="AF191" i="3"/>
  <c r="Z191" i="3" s="1"/>
  <c r="AE191" i="3"/>
  <c r="Y191" i="3" s="1"/>
  <c r="AI190" i="3"/>
  <c r="AC190" i="3" s="1"/>
  <c r="AH190" i="3"/>
  <c r="AB190" i="3" s="1"/>
  <c r="AG190" i="3"/>
  <c r="AA190" i="3" s="1"/>
  <c r="AF190" i="3"/>
  <c r="Z190" i="3" s="1"/>
  <c r="AE190" i="3"/>
  <c r="Y190" i="3" s="1"/>
  <c r="AI189" i="3"/>
  <c r="AC189" i="3" s="1"/>
  <c r="AH189" i="3"/>
  <c r="AB189" i="3" s="1"/>
  <c r="AG189" i="3"/>
  <c r="AA189" i="3" s="1"/>
  <c r="AF189" i="3"/>
  <c r="Z189" i="3" s="1"/>
  <c r="AE189" i="3"/>
  <c r="Y189" i="3" s="1"/>
  <c r="AI188" i="3"/>
  <c r="AC188" i="3" s="1"/>
  <c r="AH188" i="3"/>
  <c r="AB188" i="3" s="1"/>
  <c r="AG188" i="3"/>
  <c r="AA188" i="3" s="1"/>
  <c r="AF188" i="3"/>
  <c r="Z188" i="3" s="1"/>
  <c r="AE188" i="3"/>
  <c r="Y188" i="3" s="1"/>
  <c r="AI187" i="3"/>
  <c r="AC187" i="3" s="1"/>
  <c r="AH187" i="3"/>
  <c r="AB187" i="3" s="1"/>
  <c r="AG187" i="3"/>
  <c r="AA187" i="3" s="1"/>
  <c r="AF187" i="3"/>
  <c r="Z187" i="3" s="1"/>
  <c r="AE187" i="3"/>
  <c r="Y187" i="3" s="1"/>
  <c r="AI186" i="3"/>
  <c r="AC186" i="3" s="1"/>
  <c r="AH186" i="3"/>
  <c r="AB186" i="3" s="1"/>
  <c r="AG186" i="3"/>
  <c r="AA186" i="3" s="1"/>
  <c r="AF186" i="3"/>
  <c r="Z186" i="3" s="1"/>
  <c r="AE186" i="3"/>
  <c r="Y186" i="3" s="1"/>
  <c r="AI185" i="3"/>
  <c r="AC185" i="3" s="1"/>
  <c r="AH185" i="3"/>
  <c r="AB185" i="3" s="1"/>
  <c r="AG185" i="3"/>
  <c r="AA185" i="3" s="1"/>
  <c r="AF185" i="3"/>
  <c r="Z185" i="3" s="1"/>
  <c r="AE185" i="3"/>
  <c r="Y185" i="3" s="1"/>
  <c r="AI184" i="3"/>
  <c r="AC184" i="3" s="1"/>
  <c r="AH184" i="3"/>
  <c r="AB184" i="3" s="1"/>
  <c r="AG184" i="3"/>
  <c r="AA184" i="3" s="1"/>
  <c r="AF184" i="3"/>
  <c r="Z184" i="3" s="1"/>
  <c r="AE184" i="3"/>
  <c r="Y184" i="3" s="1"/>
  <c r="AI183" i="3"/>
  <c r="AC183" i="3" s="1"/>
  <c r="AH183" i="3"/>
  <c r="AB183" i="3" s="1"/>
  <c r="AG183" i="3"/>
  <c r="AA183" i="3" s="1"/>
  <c r="AF183" i="3"/>
  <c r="Z183" i="3" s="1"/>
  <c r="AE183" i="3"/>
  <c r="Y183" i="3" s="1"/>
  <c r="AI182" i="3"/>
  <c r="AC182" i="3" s="1"/>
  <c r="AH182" i="3"/>
  <c r="AB182" i="3" s="1"/>
  <c r="AG182" i="3"/>
  <c r="AA182" i="3" s="1"/>
  <c r="AF182" i="3"/>
  <c r="Z182" i="3" s="1"/>
  <c r="AE182" i="3"/>
  <c r="Y182" i="3" s="1"/>
  <c r="AI181" i="3"/>
  <c r="AC181" i="3" s="1"/>
  <c r="AH181" i="3"/>
  <c r="AB181" i="3" s="1"/>
  <c r="AG181" i="3"/>
  <c r="AA181" i="3" s="1"/>
  <c r="AF181" i="3"/>
  <c r="Z181" i="3" s="1"/>
  <c r="AE181" i="3"/>
  <c r="Y181" i="3" s="1"/>
  <c r="AI180" i="3"/>
  <c r="AC180" i="3" s="1"/>
  <c r="AH180" i="3"/>
  <c r="AB180" i="3" s="1"/>
  <c r="AG180" i="3"/>
  <c r="AA180" i="3" s="1"/>
  <c r="AF180" i="3"/>
  <c r="Z180" i="3" s="1"/>
  <c r="AE180" i="3"/>
  <c r="Y180" i="3" s="1"/>
  <c r="AI179" i="3"/>
  <c r="AC179" i="3" s="1"/>
  <c r="AH179" i="3"/>
  <c r="AB179" i="3" s="1"/>
  <c r="AG179" i="3"/>
  <c r="AA179" i="3" s="1"/>
  <c r="AF179" i="3"/>
  <c r="Z179" i="3" s="1"/>
  <c r="AE179" i="3"/>
  <c r="Y179" i="3" s="1"/>
  <c r="AI178" i="3"/>
  <c r="AC178" i="3" s="1"/>
  <c r="AH178" i="3"/>
  <c r="AB178" i="3" s="1"/>
  <c r="AG178" i="3"/>
  <c r="AA178" i="3" s="1"/>
  <c r="AF178" i="3"/>
  <c r="Z178" i="3" s="1"/>
  <c r="AE178" i="3"/>
  <c r="Y178" i="3" s="1"/>
  <c r="AI177" i="3"/>
  <c r="AC177" i="3" s="1"/>
  <c r="AH177" i="3"/>
  <c r="AB177" i="3" s="1"/>
  <c r="AG177" i="3"/>
  <c r="AA177" i="3" s="1"/>
  <c r="AF177" i="3"/>
  <c r="Z177" i="3" s="1"/>
  <c r="AE177" i="3"/>
  <c r="Y177" i="3" s="1"/>
  <c r="AI176" i="3"/>
  <c r="AC176" i="3" s="1"/>
  <c r="AH176" i="3"/>
  <c r="AB176" i="3" s="1"/>
  <c r="AG176" i="3"/>
  <c r="AA176" i="3" s="1"/>
  <c r="AF176" i="3"/>
  <c r="Z176" i="3" s="1"/>
  <c r="AE176" i="3"/>
  <c r="Y176" i="3" s="1"/>
  <c r="AI175" i="3"/>
  <c r="AC175" i="3" s="1"/>
  <c r="AH175" i="3"/>
  <c r="AB175" i="3" s="1"/>
  <c r="AG175" i="3"/>
  <c r="AA175" i="3" s="1"/>
  <c r="AF175" i="3"/>
  <c r="Z175" i="3" s="1"/>
  <c r="AE175" i="3"/>
  <c r="Y175" i="3" s="1"/>
  <c r="AI174" i="3"/>
  <c r="AC174" i="3" s="1"/>
  <c r="AH174" i="3"/>
  <c r="AB174" i="3" s="1"/>
  <c r="AG174" i="3"/>
  <c r="AA174" i="3" s="1"/>
  <c r="AF174" i="3"/>
  <c r="Z174" i="3" s="1"/>
  <c r="AE174" i="3"/>
  <c r="Y174" i="3" s="1"/>
  <c r="AI173" i="3"/>
  <c r="AC173" i="3" s="1"/>
  <c r="AH173" i="3"/>
  <c r="AB173" i="3" s="1"/>
  <c r="AG173" i="3"/>
  <c r="AA173" i="3" s="1"/>
  <c r="AF173" i="3"/>
  <c r="Z173" i="3" s="1"/>
  <c r="AE173" i="3"/>
  <c r="Y173" i="3" s="1"/>
  <c r="AI172" i="3"/>
  <c r="AC172" i="3" s="1"/>
  <c r="AH172" i="3"/>
  <c r="AB172" i="3" s="1"/>
  <c r="AG172" i="3"/>
  <c r="AA172" i="3" s="1"/>
  <c r="AF172" i="3"/>
  <c r="Z172" i="3" s="1"/>
  <c r="AE172" i="3"/>
  <c r="Y172" i="3" s="1"/>
  <c r="AI171" i="3"/>
  <c r="AC171" i="3" s="1"/>
  <c r="AH171" i="3"/>
  <c r="AB171" i="3" s="1"/>
  <c r="AG171" i="3"/>
  <c r="AA171" i="3" s="1"/>
  <c r="AF171" i="3"/>
  <c r="Z171" i="3" s="1"/>
  <c r="AE171" i="3"/>
  <c r="Y171" i="3" s="1"/>
  <c r="AI170" i="3"/>
  <c r="AC170" i="3" s="1"/>
  <c r="AH170" i="3"/>
  <c r="AB170" i="3" s="1"/>
  <c r="AG170" i="3"/>
  <c r="AA170" i="3" s="1"/>
  <c r="AF170" i="3"/>
  <c r="Z170" i="3" s="1"/>
  <c r="AE170" i="3"/>
  <c r="Y170" i="3" s="1"/>
  <c r="AI169" i="3"/>
  <c r="AC169" i="3" s="1"/>
  <c r="AH169" i="3"/>
  <c r="AB169" i="3" s="1"/>
  <c r="AG169" i="3"/>
  <c r="AA169" i="3" s="1"/>
  <c r="AF169" i="3"/>
  <c r="Z169" i="3" s="1"/>
  <c r="AE169" i="3"/>
  <c r="Y169" i="3" s="1"/>
  <c r="AI168" i="3"/>
  <c r="AC168" i="3" s="1"/>
  <c r="AH168" i="3"/>
  <c r="AB168" i="3" s="1"/>
  <c r="AG168" i="3"/>
  <c r="AA168" i="3" s="1"/>
  <c r="AF168" i="3"/>
  <c r="Z168" i="3" s="1"/>
  <c r="AE168" i="3"/>
  <c r="Y168" i="3" s="1"/>
  <c r="AI167" i="3"/>
  <c r="AH167" i="3"/>
  <c r="AG167" i="3"/>
  <c r="AF167" i="3"/>
  <c r="Z167" i="3" s="1"/>
  <c r="AE167" i="3"/>
  <c r="Y167" i="3" s="1"/>
  <c r="AI166" i="3"/>
  <c r="AH166" i="3"/>
  <c r="AG166" i="3"/>
  <c r="AF166" i="3"/>
  <c r="Z166" i="3" s="1"/>
  <c r="AE166" i="3"/>
  <c r="Y166" i="3" s="1"/>
  <c r="AI165" i="3"/>
  <c r="AH165" i="3"/>
  <c r="AG165" i="3"/>
  <c r="AF165" i="3"/>
  <c r="Z165" i="3" s="1"/>
  <c r="AE165" i="3"/>
  <c r="AI164" i="3"/>
  <c r="AH164" i="3"/>
  <c r="AG164" i="3"/>
  <c r="AF164" i="3"/>
  <c r="Z164" i="3" s="1"/>
  <c r="AE164" i="3"/>
  <c r="AI163" i="3"/>
  <c r="AH163" i="3"/>
  <c r="AG163" i="3"/>
  <c r="AF163" i="3"/>
  <c r="Z163" i="3" s="1"/>
  <c r="AE163" i="3"/>
  <c r="Y163" i="3" s="1"/>
  <c r="AI162" i="3"/>
  <c r="AH162" i="3"/>
  <c r="AG162" i="3"/>
  <c r="AF162" i="3"/>
  <c r="Z162" i="3" s="1"/>
  <c r="AE162" i="3"/>
  <c r="AI161" i="3"/>
  <c r="AH161" i="3"/>
  <c r="AG161" i="3"/>
  <c r="AF161" i="3"/>
  <c r="Z161" i="3" s="1"/>
  <c r="AE161" i="3"/>
  <c r="AI160" i="3"/>
  <c r="AH160" i="3"/>
  <c r="AG160" i="3"/>
  <c r="AF160" i="3"/>
  <c r="Z160" i="3" s="1"/>
  <c r="AE160" i="3"/>
  <c r="AI159" i="3"/>
  <c r="AH159" i="3"/>
  <c r="AG159" i="3"/>
  <c r="AF159" i="3"/>
  <c r="Z159" i="3" s="1"/>
  <c r="AE159" i="3"/>
  <c r="Y159" i="3" s="1"/>
  <c r="AI158" i="3"/>
  <c r="AH158" i="3"/>
  <c r="AG158" i="3"/>
  <c r="AF158" i="3"/>
  <c r="Z158" i="3" s="1"/>
  <c r="AE158" i="3"/>
  <c r="Y158" i="3" s="1"/>
  <c r="AI157" i="3"/>
  <c r="AH157" i="3"/>
  <c r="AG157" i="3"/>
  <c r="AF157" i="3"/>
  <c r="Z157" i="3" s="1"/>
  <c r="AE157" i="3"/>
  <c r="Y157" i="3" s="1"/>
  <c r="AI156" i="3"/>
  <c r="AH156" i="3"/>
  <c r="AG156" i="3"/>
  <c r="AF156" i="3"/>
  <c r="Z156" i="3" s="1"/>
  <c r="AE156" i="3"/>
  <c r="AI155" i="3"/>
  <c r="AH155" i="3"/>
  <c r="AG155" i="3"/>
  <c r="AF155" i="3"/>
  <c r="Z155" i="3" s="1"/>
  <c r="AE155" i="3"/>
  <c r="Y155" i="3" s="1"/>
  <c r="AI154" i="3"/>
  <c r="AH154" i="3"/>
  <c r="AG154" i="3"/>
  <c r="AF154" i="3"/>
  <c r="Z154" i="3" s="1"/>
  <c r="AE154" i="3"/>
  <c r="Y154" i="3" s="1"/>
  <c r="AI153" i="3"/>
  <c r="AH153" i="3"/>
  <c r="AG153" i="3"/>
  <c r="AF153" i="3"/>
  <c r="Z153" i="3" s="1"/>
  <c r="AE153" i="3"/>
  <c r="AI152" i="3"/>
  <c r="AH152" i="3"/>
  <c r="AG152" i="3"/>
  <c r="AF152" i="3"/>
  <c r="Z152" i="3" s="1"/>
  <c r="AE152" i="3"/>
  <c r="AI151" i="3"/>
  <c r="AH151" i="3"/>
  <c r="AG151" i="3"/>
  <c r="AF151" i="3"/>
  <c r="Z151" i="3" s="1"/>
  <c r="AE151" i="3"/>
  <c r="AI150" i="3"/>
  <c r="AH150" i="3"/>
  <c r="AG150" i="3"/>
  <c r="AF150" i="3"/>
  <c r="Z150" i="3" s="1"/>
  <c r="AE150" i="3"/>
  <c r="AI149" i="3"/>
  <c r="AH149" i="3"/>
  <c r="AG149" i="3"/>
  <c r="AF149" i="3"/>
  <c r="Z149" i="3" s="1"/>
  <c r="AE149" i="3"/>
  <c r="Y149" i="3" s="1"/>
  <c r="AI148" i="3"/>
  <c r="AH148" i="3"/>
  <c r="AG148" i="3"/>
  <c r="AF148" i="3"/>
  <c r="Z148" i="3" s="1"/>
  <c r="AE148" i="3"/>
  <c r="Y148" i="3" s="1"/>
  <c r="AI147" i="3"/>
  <c r="AH147" i="3"/>
  <c r="AG147" i="3"/>
  <c r="AF147" i="3"/>
  <c r="Z147" i="3" s="1"/>
  <c r="AE147" i="3"/>
  <c r="AI146" i="3"/>
  <c r="AH146" i="3"/>
  <c r="AG146" i="3"/>
  <c r="AF146" i="3"/>
  <c r="Z146" i="3" s="1"/>
  <c r="AE146" i="3"/>
  <c r="Y146" i="3" s="1"/>
  <c r="AI145" i="3"/>
  <c r="AH145" i="3"/>
  <c r="AG145" i="3"/>
  <c r="AF145" i="3"/>
  <c r="Z145" i="3" s="1"/>
  <c r="AE145" i="3"/>
  <c r="AI144" i="3"/>
  <c r="AH144" i="3"/>
  <c r="AG144" i="3"/>
  <c r="AF144" i="3"/>
  <c r="Z144" i="3" s="1"/>
  <c r="AE144" i="3"/>
  <c r="Y144" i="3" s="1"/>
  <c r="AI143" i="3"/>
  <c r="AH143" i="3"/>
  <c r="AG143" i="3"/>
  <c r="AF143" i="3"/>
  <c r="Z143" i="3" s="1"/>
  <c r="AE143" i="3"/>
  <c r="AI142" i="3"/>
  <c r="AH142" i="3"/>
  <c r="AG142" i="3"/>
  <c r="AF142" i="3"/>
  <c r="Z142" i="3" s="1"/>
  <c r="AE142" i="3"/>
  <c r="Y142" i="3" s="1"/>
  <c r="AI141" i="3"/>
  <c r="AH141" i="3"/>
  <c r="AG141" i="3"/>
  <c r="AF141" i="3"/>
  <c r="Z141" i="3" s="1"/>
  <c r="AE141" i="3"/>
  <c r="AI140" i="3"/>
  <c r="AH140" i="3"/>
  <c r="AG140" i="3"/>
  <c r="AF140" i="3"/>
  <c r="Z140" i="3" s="1"/>
  <c r="AE140" i="3"/>
  <c r="Y140" i="3" s="1"/>
  <c r="AI139" i="3"/>
  <c r="AH139" i="3"/>
  <c r="AG139" i="3"/>
  <c r="AF139" i="3"/>
  <c r="Z139" i="3" s="1"/>
  <c r="AE139" i="3"/>
  <c r="AI138" i="3"/>
  <c r="AH138" i="3"/>
  <c r="AG138" i="3"/>
  <c r="AF138" i="3"/>
  <c r="Z138" i="3" s="1"/>
  <c r="AE138" i="3"/>
  <c r="AI137" i="3"/>
  <c r="AH137" i="3"/>
  <c r="AG137" i="3"/>
  <c r="AF137" i="3"/>
  <c r="Z137" i="3" s="1"/>
  <c r="AE137" i="3"/>
  <c r="Y137" i="3" s="1"/>
  <c r="AI136" i="3"/>
  <c r="AH136" i="3"/>
  <c r="AG136" i="3"/>
  <c r="AF136" i="3"/>
  <c r="Z136" i="3" s="1"/>
  <c r="AE136" i="3"/>
  <c r="Y136" i="3" s="1"/>
  <c r="AI135" i="3"/>
  <c r="AH135" i="3"/>
  <c r="AG135" i="3"/>
  <c r="AF135" i="3"/>
  <c r="Z135" i="3" s="1"/>
  <c r="AE135" i="3"/>
  <c r="AI134" i="3"/>
  <c r="AH134" i="3"/>
  <c r="AG134" i="3"/>
  <c r="AF134" i="3"/>
  <c r="Z134" i="3" s="1"/>
  <c r="AE134" i="3"/>
  <c r="AI133" i="3"/>
  <c r="AH133" i="3"/>
  <c r="AG133" i="3"/>
  <c r="AF133" i="3"/>
  <c r="Z133" i="3" s="1"/>
  <c r="AE133" i="3"/>
  <c r="Y133" i="3" s="1"/>
  <c r="AI132" i="3"/>
  <c r="AH132" i="3"/>
  <c r="AG132" i="3"/>
  <c r="AF132" i="3"/>
  <c r="Z132" i="3" s="1"/>
  <c r="AE132" i="3"/>
  <c r="Y132" i="3" s="1"/>
  <c r="AI131" i="3"/>
  <c r="AH131" i="3"/>
  <c r="AG131" i="3"/>
  <c r="AF131" i="3"/>
  <c r="Z131" i="3" s="1"/>
  <c r="AE131" i="3"/>
  <c r="AI130" i="3"/>
  <c r="AH130" i="3"/>
  <c r="AG130" i="3"/>
  <c r="AF130" i="3"/>
  <c r="Z130" i="3" s="1"/>
  <c r="AE130" i="3"/>
  <c r="AI129" i="3"/>
  <c r="AH129" i="3"/>
  <c r="AG129" i="3"/>
  <c r="AF129" i="3"/>
  <c r="Z129" i="3" s="1"/>
  <c r="AE129" i="3"/>
  <c r="AI128" i="3"/>
  <c r="AH128" i="3"/>
  <c r="AG128" i="3"/>
  <c r="AF128" i="3"/>
  <c r="Z128" i="3" s="1"/>
  <c r="AE128" i="3"/>
  <c r="Y128" i="3" s="1"/>
  <c r="AI127" i="3"/>
  <c r="AH127" i="3"/>
  <c r="AG127" i="3"/>
  <c r="AF127" i="3"/>
  <c r="Z127" i="3" s="1"/>
  <c r="AE127" i="3"/>
  <c r="AI126" i="3"/>
  <c r="AH126" i="3"/>
  <c r="AG126" i="3"/>
  <c r="AF126" i="3"/>
  <c r="Z126" i="3" s="1"/>
  <c r="AE126" i="3"/>
  <c r="Y126" i="3" s="1"/>
  <c r="AI125" i="3"/>
  <c r="AH125" i="3"/>
  <c r="AG125" i="3"/>
  <c r="AF125" i="3"/>
  <c r="Z125" i="3" s="1"/>
  <c r="AE125" i="3"/>
  <c r="AI124" i="3"/>
  <c r="AH124" i="3"/>
  <c r="AG124" i="3"/>
  <c r="AF124" i="3"/>
  <c r="Z124" i="3" s="1"/>
  <c r="AE124" i="3"/>
  <c r="Y124" i="3" s="1"/>
  <c r="AI123" i="3"/>
  <c r="AH123" i="3"/>
  <c r="AG123" i="3"/>
  <c r="AF123" i="3"/>
  <c r="Z123" i="3" s="1"/>
  <c r="AE123" i="3"/>
  <c r="Y123" i="3" s="1"/>
  <c r="AI122" i="3"/>
  <c r="AH122" i="3"/>
  <c r="AG122" i="3"/>
  <c r="AF122" i="3"/>
  <c r="Z122" i="3" s="1"/>
  <c r="AE122" i="3"/>
  <c r="Y122" i="3" s="1"/>
  <c r="AI121" i="3"/>
  <c r="AH121" i="3"/>
  <c r="AG121" i="3"/>
  <c r="AF121" i="3"/>
  <c r="Z121" i="3" s="1"/>
  <c r="AE121" i="3"/>
  <c r="AI120" i="3"/>
  <c r="AH120" i="3"/>
  <c r="AG120" i="3"/>
  <c r="AF120" i="3"/>
  <c r="Z120" i="3" s="1"/>
  <c r="AE120" i="3"/>
  <c r="AI119" i="3"/>
  <c r="AH119" i="3"/>
  <c r="AG119" i="3"/>
  <c r="AF119" i="3"/>
  <c r="Z119" i="3" s="1"/>
  <c r="AE119" i="3"/>
  <c r="Y119" i="3" s="1"/>
  <c r="AI118" i="3"/>
  <c r="AH118" i="3"/>
  <c r="AG118" i="3"/>
  <c r="AF118" i="3"/>
  <c r="Z118" i="3" s="1"/>
  <c r="AE118" i="3"/>
  <c r="Y118" i="3" s="1"/>
  <c r="AI117" i="3"/>
  <c r="AH117" i="3"/>
  <c r="AG117" i="3"/>
  <c r="AF117" i="3"/>
  <c r="Z117" i="3" s="1"/>
  <c r="AE117" i="3"/>
  <c r="AI116" i="3"/>
  <c r="AH116" i="3"/>
  <c r="AG116" i="3"/>
  <c r="AF116" i="3"/>
  <c r="Z116" i="3" s="1"/>
  <c r="AE116" i="3"/>
  <c r="Y116" i="3" s="1"/>
  <c r="AI115" i="3"/>
  <c r="AH115" i="3"/>
  <c r="AG115" i="3"/>
  <c r="AF115" i="3"/>
  <c r="Z115" i="3" s="1"/>
  <c r="AE115" i="3"/>
  <c r="Y115" i="3" s="1"/>
  <c r="AI114" i="3"/>
  <c r="AH114" i="3"/>
  <c r="AG114" i="3"/>
  <c r="AF114" i="3"/>
  <c r="Z114" i="3" s="1"/>
  <c r="AE114" i="3"/>
  <c r="Y114" i="3" s="1"/>
  <c r="AI113" i="3"/>
  <c r="AH113" i="3"/>
  <c r="AG113" i="3"/>
  <c r="AF113" i="3"/>
  <c r="Z113" i="3" s="1"/>
  <c r="AE113" i="3"/>
  <c r="Y113" i="3" s="1"/>
  <c r="AI112" i="3"/>
  <c r="AH112" i="3"/>
  <c r="AG112" i="3"/>
  <c r="AF112" i="3"/>
  <c r="Z112" i="3" s="1"/>
  <c r="AE112" i="3"/>
  <c r="Y112" i="3" s="1"/>
  <c r="AI111" i="3"/>
  <c r="AH111" i="3"/>
  <c r="AG111" i="3"/>
  <c r="AF111" i="3"/>
  <c r="Z111" i="3" s="1"/>
  <c r="AE111" i="3"/>
  <c r="Y111" i="3" s="1"/>
  <c r="AI110" i="3"/>
  <c r="AH110" i="3"/>
  <c r="AG110" i="3"/>
  <c r="AF110" i="3"/>
  <c r="Z110" i="3" s="1"/>
  <c r="AE110" i="3"/>
  <c r="AI109" i="3"/>
  <c r="AH109" i="3"/>
  <c r="AG109" i="3"/>
  <c r="AF109" i="3"/>
  <c r="Z109" i="3" s="1"/>
  <c r="AE109" i="3"/>
  <c r="Y109" i="3" s="1"/>
  <c r="AI108" i="3"/>
  <c r="AH108" i="3"/>
  <c r="AG108" i="3"/>
  <c r="AF108" i="3"/>
  <c r="Z108" i="3" s="1"/>
  <c r="AE108" i="3"/>
  <c r="Y108" i="3" s="1"/>
  <c r="AI107" i="3"/>
  <c r="AH107" i="3"/>
  <c r="AG107" i="3"/>
  <c r="AF107" i="3"/>
  <c r="AE107" i="3"/>
  <c r="AI106" i="3"/>
  <c r="AH106" i="3"/>
  <c r="AG106" i="3"/>
  <c r="AF106" i="3"/>
  <c r="AE106" i="3"/>
  <c r="AI105" i="3"/>
  <c r="AH105" i="3"/>
  <c r="AG105" i="3"/>
  <c r="AF105" i="3"/>
  <c r="AE105" i="3"/>
  <c r="AI104" i="3"/>
  <c r="AH104" i="3"/>
  <c r="AG104" i="3"/>
  <c r="AF104" i="3"/>
  <c r="AE104" i="3"/>
  <c r="AI103" i="3"/>
  <c r="AH103" i="3"/>
  <c r="AG103" i="3"/>
  <c r="AF103" i="3"/>
  <c r="AE103" i="3"/>
  <c r="AI102" i="3"/>
  <c r="AH102" i="3"/>
  <c r="AG102" i="3"/>
  <c r="AF102" i="3"/>
  <c r="AE102" i="3"/>
  <c r="AI101" i="3"/>
  <c r="AH101" i="3"/>
  <c r="AG101" i="3"/>
  <c r="AF101" i="3"/>
  <c r="AE101" i="3"/>
  <c r="AI100" i="3"/>
  <c r="AH100" i="3"/>
  <c r="AG100" i="3"/>
  <c r="AF100" i="3"/>
  <c r="AE100" i="3"/>
  <c r="AI99" i="3"/>
  <c r="AH99" i="3"/>
  <c r="AG99" i="3"/>
  <c r="AF99" i="3"/>
  <c r="AE99" i="3"/>
  <c r="AI98" i="3"/>
  <c r="AH98" i="3"/>
  <c r="AG98" i="3"/>
  <c r="AF98" i="3"/>
  <c r="AE98" i="3"/>
  <c r="AW98" i="3" s="1"/>
  <c r="Y98" i="3" s="1"/>
  <c r="AI97" i="3"/>
  <c r="AH97" i="3"/>
  <c r="AG97" i="3"/>
  <c r="AF97" i="3"/>
  <c r="AE97" i="3"/>
  <c r="AI96" i="3"/>
  <c r="AH96" i="3"/>
  <c r="AG96" i="3"/>
  <c r="AF96" i="3"/>
  <c r="AE96" i="3"/>
  <c r="AI95" i="3"/>
  <c r="AH95" i="3"/>
  <c r="AG95" i="3"/>
  <c r="AF95" i="3"/>
  <c r="AE95" i="3"/>
  <c r="AI94" i="3"/>
  <c r="AH94" i="3"/>
  <c r="AG94" i="3"/>
  <c r="AF94" i="3"/>
  <c r="AE94" i="3"/>
  <c r="AI93" i="3"/>
  <c r="AH93" i="3"/>
  <c r="AG93" i="3"/>
  <c r="AF93" i="3"/>
  <c r="AE93" i="3"/>
  <c r="AI92" i="3"/>
  <c r="AH92" i="3"/>
  <c r="AG92" i="3"/>
  <c r="AF92" i="3"/>
  <c r="AE92" i="3"/>
  <c r="AI91" i="3"/>
  <c r="AH91" i="3"/>
  <c r="AG91" i="3"/>
  <c r="AF91" i="3"/>
  <c r="AE91" i="3"/>
  <c r="AI90" i="3"/>
  <c r="AH90" i="3"/>
  <c r="AG90" i="3"/>
  <c r="AF90" i="3"/>
  <c r="AE90" i="3"/>
  <c r="AI89" i="3"/>
  <c r="AH89" i="3"/>
  <c r="AG89" i="3"/>
  <c r="AF89" i="3"/>
  <c r="AE89" i="3"/>
  <c r="AI88" i="3"/>
  <c r="AH88" i="3"/>
  <c r="AG88" i="3"/>
  <c r="AF88" i="3"/>
  <c r="AE88" i="3"/>
  <c r="AI87" i="3"/>
  <c r="AH87" i="3"/>
  <c r="AG87" i="3"/>
  <c r="AF87" i="3"/>
  <c r="AE87" i="3"/>
  <c r="AI86" i="3"/>
  <c r="AH86" i="3"/>
  <c r="AG86" i="3"/>
  <c r="AF86" i="3"/>
  <c r="AE86" i="3"/>
  <c r="AI85" i="3"/>
  <c r="AH85" i="3"/>
  <c r="AG85" i="3"/>
  <c r="AF85" i="3"/>
  <c r="AE85" i="3"/>
  <c r="AW85" i="3" s="1"/>
  <c r="Y85" i="3" s="1"/>
  <c r="AI84" i="3"/>
  <c r="AH84" i="3"/>
  <c r="AG84" i="3"/>
  <c r="AF84" i="3"/>
  <c r="AE84" i="3"/>
  <c r="AI83" i="3"/>
  <c r="AH83" i="3"/>
  <c r="AG83" i="3"/>
  <c r="AF83" i="3"/>
  <c r="AE83" i="3"/>
  <c r="AW83" i="3" s="1"/>
  <c r="Y83" i="3" s="1"/>
  <c r="AI82" i="3"/>
  <c r="AH82" i="3"/>
  <c r="AG82" i="3"/>
  <c r="AF82" i="3"/>
  <c r="AE82" i="3"/>
  <c r="AI81" i="3"/>
  <c r="AH81" i="3"/>
  <c r="AG81" i="3"/>
  <c r="AF81" i="3"/>
  <c r="AX81" i="3" s="1"/>
  <c r="Z81" i="3" s="1"/>
  <c r="AE81" i="3"/>
  <c r="AI80" i="3"/>
  <c r="AH80" i="3"/>
  <c r="AG80" i="3"/>
  <c r="AF80" i="3"/>
  <c r="AE80" i="3"/>
  <c r="AI79" i="3"/>
  <c r="AH79" i="3"/>
  <c r="AG79" i="3"/>
  <c r="AF79" i="3"/>
  <c r="AE79" i="3"/>
  <c r="AI78" i="3"/>
  <c r="AH78" i="3"/>
  <c r="AG78" i="3"/>
  <c r="AF78" i="3"/>
  <c r="AE78" i="3"/>
  <c r="AI77" i="3"/>
  <c r="AH77" i="3"/>
  <c r="AG77" i="3"/>
  <c r="AF77" i="3"/>
  <c r="AE77" i="3"/>
  <c r="AI76" i="3"/>
  <c r="AH76" i="3"/>
  <c r="AG76" i="3"/>
  <c r="AF76" i="3"/>
  <c r="AE76" i="3"/>
  <c r="AI75" i="3"/>
  <c r="AH75" i="3"/>
  <c r="AG75" i="3"/>
  <c r="AF75" i="3"/>
  <c r="AE75" i="3"/>
  <c r="AI74" i="3"/>
  <c r="AH74" i="3"/>
  <c r="AG74" i="3"/>
  <c r="AF74" i="3"/>
  <c r="AE74" i="3"/>
  <c r="AI73" i="3"/>
  <c r="AH73" i="3"/>
  <c r="AG73" i="3"/>
  <c r="AF73" i="3"/>
  <c r="AE73" i="3"/>
  <c r="AI72" i="3"/>
  <c r="AH72" i="3"/>
  <c r="AG72" i="3"/>
  <c r="AF72" i="3"/>
  <c r="AE72" i="3"/>
  <c r="AI71" i="3"/>
  <c r="AH71" i="3"/>
  <c r="AG71" i="3"/>
  <c r="AF71" i="3"/>
  <c r="AE71" i="3"/>
  <c r="AI70" i="3"/>
  <c r="AH70" i="3"/>
  <c r="AG70" i="3"/>
  <c r="AF70" i="3"/>
  <c r="AE70" i="3"/>
  <c r="AW70" i="3" s="1"/>
  <c r="Y70" i="3" s="1"/>
  <c r="AI69" i="3"/>
  <c r="AH69" i="3"/>
  <c r="AG69" i="3"/>
  <c r="AF69" i="3"/>
  <c r="AE69" i="3"/>
  <c r="AW69" i="3" s="1"/>
  <c r="Y69" i="3" s="1"/>
  <c r="AI68" i="3"/>
  <c r="AH68" i="3"/>
  <c r="AG68" i="3"/>
  <c r="AF68" i="3"/>
  <c r="AE68" i="3"/>
  <c r="AI67" i="3"/>
  <c r="AH67" i="3"/>
  <c r="AG67" i="3"/>
  <c r="AF67" i="3"/>
  <c r="AE67" i="3"/>
  <c r="AI66" i="3"/>
  <c r="AH66" i="3"/>
  <c r="AG66" i="3"/>
  <c r="AF66" i="3"/>
  <c r="AE66" i="3"/>
  <c r="AI65" i="3"/>
  <c r="AH65" i="3"/>
  <c r="AG65" i="3"/>
  <c r="AF65" i="3"/>
  <c r="AE65" i="3"/>
  <c r="AI64" i="3"/>
  <c r="AH64" i="3"/>
  <c r="AG64" i="3"/>
  <c r="AF64" i="3"/>
  <c r="AE64" i="3"/>
  <c r="AI63" i="3"/>
  <c r="AH63" i="3"/>
  <c r="AG63" i="3"/>
  <c r="AF63" i="3"/>
  <c r="AE63" i="3"/>
  <c r="AI62" i="3"/>
  <c r="AH62" i="3"/>
  <c r="AG62" i="3"/>
  <c r="AF62" i="3"/>
  <c r="AE62" i="3"/>
  <c r="AI61" i="3"/>
  <c r="AH61" i="3"/>
  <c r="AG61" i="3"/>
  <c r="AF61" i="3"/>
  <c r="AE61" i="3"/>
  <c r="AI60" i="3"/>
  <c r="AH60" i="3"/>
  <c r="AG60" i="3"/>
  <c r="AF60" i="3"/>
  <c r="AE60" i="3"/>
  <c r="AI59" i="3"/>
  <c r="AH59" i="3"/>
  <c r="AG59" i="3"/>
  <c r="AF59" i="3"/>
  <c r="AE59" i="3"/>
  <c r="AI58" i="3"/>
  <c r="AH58" i="3"/>
  <c r="AG58" i="3"/>
  <c r="AF58" i="3"/>
  <c r="AE58" i="3"/>
  <c r="AI57" i="3"/>
  <c r="AH57" i="3"/>
  <c r="AG57" i="3"/>
  <c r="AF57" i="3"/>
  <c r="AE57" i="3"/>
  <c r="AI56" i="3"/>
  <c r="AH56" i="3"/>
  <c r="AG56" i="3"/>
  <c r="AF56" i="3"/>
  <c r="AE56" i="3"/>
  <c r="AI55" i="3"/>
  <c r="AH55" i="3"/>
  <c r="AG55" i="3"/>
  <c r="AF55" i="3"/>
  <c r="AE55" i="3"/>
  <c r="AI54" i="3"/>
  <c r="AH54" i="3"/>
  <c r="AG54" i="3"/>
  <c r="AF54" i="3"/>
  <c r="AE54" i="3"/>
  <c r="AI53" i="3"/>
  <c r="AH53" i="3"/>
  <c r="AG53" i="3"/>
  <c r="AF53" i="3"/>
  <c r="AE53" i="3"/>
  <c r="AI52" i="3"/>
  <c r="AH52" i="3"/>
  <c r="AG52" i="3"/>
  <c r="AF52" i="3"/>
  <c r="AE52" i="3"/>
  <c r="AI51" i="3"/>
  <c r="AH51" i="3"/>
  <c r="AG51" i="3"/>
  <c r="AF51" i="3"/>
  <c r="AE51" i="3"/>
  <c r="AI50" i="3"/>
  <c r="AH50" i="3"/>
  <c r="AG50" i="3"/>
  <c r="AF50" i="3"/>
  <c r="AE50" i="3"/>
  <c r="AI49" i="3"/>
  <c r="AH49" i="3"/>
  <c r="AG49" i="3"/>
  <c r="AF49" i="3"/>
  <c r="AE49" i="3"/>
  <c r="AI48" i="3"/>
  <c r="AH48" i="3"/>
  <c r="AG48" i="3"/>
  <c r="AF48" i="3"/>
  <c r="AE48" i="3"/>
  <c r="AI47" i="3"/>
  <c r="AH47" i="3"/>
  <c r="AG47" i="3"/>
  <c r="AF47" i="3"/>
  <c r="AE47" i="3"/>
  <c r="AI46" i="3"/>
  <c r="AH46" i="3"/>
  <c r="AG46" i="3"/>
  <c r="AF46" i="3"/>
  <c r="AE46" i="3"/>
  <c r="AI45" i="3"/>
  <c r="AH45" i="3"/>
  <c r="AG45" i="3"/>
  <c r="AF45" i="3"/>
  <c r="AE45" i="3"/>
  <c r="AI44" i="3"/>
  <c r="AH44" i="3"/>
  <c r="AG44" i="3"/>
  <c r="AF44" i="3"/>
  <c r="AE44" i="3"/>
  <c r="AI43" i="3"/>
  <c r="AH43" i="3"/>
  <c r="AG43" i="3"/>
  <c r="AF43" i="3"/>
  <c r="AE43" i="3"/>
  <c r="AI42" i="3"/>
  <c r="AH42" i="3"/>
  <c r="AG42" i="3"/>
  <c r="AF42" i="3"/>
  <c r="AE42" i="3"/>
  <c r="AW42" i="3" s="1"/>
  <c r="Y42" i="3" s="1"/>
  <c r="AI41" i="3"/>
  <c r="AH41" i="3"/>
  <c r="AG41" i="3"/>
  <c r="AF41" i="3"/>
  <c r="AE41" i="3"/>
  <c r="AI40" i="3"/>
  <c r="AH40" i="3"/>
  <c r="AG40" i="3"/>
  <c r="AF40" i="3"/>
  <c r="AE40" i="3"/>
  <c r="AI39" i="3"/>
  <c r="AH39" i="3"/>
  <c r="AG39" i="3"/>
  <c r="AF39" i="3"/>
  <c r="AE39" i="3"/>
  <c r="AI38" i="3"/>
  <c r="AH38" i="3"/>
  <c r="AG38" i="3"/>
  <c r="AF38" i="3"/>
  <c r="AE38" i="3"/>
  <c r="AW38" i="3" s="1"/>
  <c r="Y38" i="3" s="1"/>
  <c r="AI37" i="3"/>
  <c r="AH37" i="3"/>
  <c r="AG37" i="3"/>
  <c r="AF37" i="3"/>
  <c r="AE37" i="3"/>
  <c r="AI36" i="3"/>
  <c r="AH36" i="3"/>
  <c r="AG36" i="3"/>
  <c r="AF36" i="3"/>
  <c r="AE36" i="3"/>
  <c r="AI35" i="3"/>
  <c r="AH35" i="3"/>
  <c r="AG35" i="3"/>
  <c r="AF35" i="3"/>
  <c r="AE35" i="3"/>
  <c r="AI34" i="3"/>
  <c r="AH34" i="3"/>
  <c r="AG34" i="3"/>
  <c r="AF34" i="3"/>
  <c r="AE34" i="3"/>
  <c r="AI33" i="3"/>
  <c r="AH33" i="3"/>
  <c r="AG33" i="3"/>
  <c r="AF33" i="3"/>
  <c r="AE33" i="3"/>
  <c r="AI32" i="3"/>
  <c r="AH32" i="3"/>
  <c r="AG32" i="3"/>
  <c r="AF32" i="3"/>
  <c r="AE32" i="3"/>
  <c r="AI31" i="3"/>
  <c r="AH31" i="3"/>
  <c r="AG31" i="3"/>
  <c r="AF31" i="3"/>
  <c r="AE31" i="3"/>
  <c r="AI30" i="3"/>
  <c r="AH30" i="3"/>
  <c r="AG30" i="3"/>
  <c r="AF30" i="3"/>
  <c r="AE30" i="3"/>
  <c r="AI29" i="3"/>
  <c r="AH29" i="3"/>
  <c r="AG29" i="3"/>
  <c r="AF29" i="3"/>
  <c r="AE29" i="3"/>
  <c r="AI28" i="3"/>
  <c r="AH28" i="3"/>
  <c r="AG28" i="3"/>
  <c r="AF28" i="3"/>
  <c r="AE28" i="3"/>
  <c r="AI27" i="3"/>
  <c r="AH27" i="3"/>
  <c r="AG27" i="3"/>
  <c r="AF27" i="3"/>
  <c r="AE27" i="3"/>
  <c r="AW27" i="3" s="1"/>
  <c r="Y27" i="3" s="1"/>
  <c r="AI26" i="3"/>
  <c r="AH26" i="3"/>
  <c r="AG26" i="3"/>
  <c r="AF26" i="3"/>
  <c r="AE26" i="3"/>
  <c r="AI25" i="3"/>
  <c r="AH25" i="3"/>
  <c r="AG25" i="3"/>
  <c r="AF25" i="3"/>
  <c r="AE25" i="3"/>
  <c r="AI24" i="3"/>
  <c r="AH24" i="3"/>
  <c r="AG24" i="3"/>
  <c r="AF24" i="3"/>
  <c r="AE24" i="3"/>
  <c r="AI23" i="3"/>
  <c r="AH23" i="3"/>
  <c r="AG23" i="3"/>
  <c r="AF23" i="3"/>
  <c r="AE23" i="3"/>
  <c r="AI22" i="3"/>
  <c r="AH22" i="3"/>
  <c r="AG22" i="3"/>
  <c r="AF22" i="3"/>
  <c r="AE22" i="3"/>
  <c r="AI21" i="3"/>
  <c r="AH21" i="3"/>
  <c r="AG21" i="3"/>
  <c r="AF21" i="3"/>
  <c r="AE21" i="3"/>
  <c r="AI20" i="3"/>
  <c r="AH20" i="3"/>
  <c r="AG20" i="3"/>
  <c r="AF20" i="3"/>
  <c r="AE20" i="3"/>
  <c r="AI19" i="3"/>
  <c r="AH19" i="3"/>
  <c r="AG19" i="3"/>
  <c r="AF19" i="3"/>
  <c r="AE19" i="3"/>
  <c r="AW19" i="3" s="1"/>
  <c r="Y19" i="3" s="1"/>
  <c r="AI18" i="3"/>
  <c r="AH18" i="3"/>
  <c r="AG18" i="3"/>
  <c r="AF18" i="3"/>
  <c r="AE18" i="3"/>
  <c r="AI17" i="3"/>
  <c r="AH17" i="3"/>
  <c r="AG17" i="3"/>
  <c r="AF17" i="3"/>
  <c r="AE17" i="3"/>
  <c r="AI16" i="3"/>
  <c r="AH16" i="3"/>
  <c r="AG16" i="3"/>
  <c r="AF16" i="3"/>
  <c r="AE16" i="3"/>
  <c r="AI15" i="3"/>
  <c r="AH15" i="3"/>
  <c r="AG15" i="3"/>
  <c r="AF15" i="3"/>
  <c r="AE15" i="3"/>
  <c r="AI14" i="3"/>
  <c r="AH14" i="3"/>
  <c r="AG14" i="3"/>
  <c r="AF14" i="3"/>
  <c r="AE14" i="3"/>
  <c r="AI13" i="3"/>
  <c r="AH13" i="3"/>
  <c r="AG13" i="3"/>
  <c r="AF13" i="3"/>
  <c r="AE13" i="3"/>
  <c r="AI12" i="3"/>
  <c r="AH12" i="3"/>
  <c r="AG12" i="3"/>
  <c r="AF12" i="3"/>
  <c r="AE12" i="3"/>
  <c r="AI11" i="3"/>
  <c r="AC11" i="3" s="1"/>
  <c r="AH11" i="3"/>
  <c r="AB11" i="3" s="1"/>
  <c r="AG11" i="3"/>
  <c r="AA11" i="3" s="1"/>
  <c r="AF11" i="3"/>
  <c r="AE11" i="3"/>
  <c r="Z7" i="3"/>
  <c r="AI10" i="3"/>
  <c r="AH10" i="3"/>
  <c r="AG10" i="3"/>
  <c r="AF10" i="3"/>
  <c r="AE10" i="3"/>
  <c r="AC10" i="3"/>
  <c r="AB10" i="3"/>
  <c r="AA10" i="3"/>
  <c r="Z10" i="3"/>
  <c r="Y10" i="3"/>
  <c r="AX39" i="3" l="1"/>
  <c r="Z39" i="3" s="1"/>
  <c r="AX63" i="3"/>
  <c r="Z63" i="3" s="1"/>
  <c r="AX103" i="3"/>
  <c r="Z103" i="3" s="1"/>
  <c r="AX20" i="3"/>
  <c r="Z20" i="3" s="1"/>
  <c r="AX36" i="3"/>
  <c r="Z36" i="3" s="1"/>
  <c r="AX52" i="3"/>
  <c r="Z52" i="3" s="1"/>
  <c r="AX76" i="3"/>
  <c r="Z76" i="3" s="1"/>
  <c r="AX17" i="3"/>
  <c r="Z17" i="3" s="1"/>
  <c r="AX25" i="3"/>
  <c r="Z25" i="3" s="1"/>
  <c r="AX33" i="3"/>
  <c r="Z33" i="3" s="1"/>
  <c r="AX41" i="3"/>
  <c r="Z41" i="3" s="1"/>
  <c r="AX49" i="3"/>
  <c r="Z49" i="3" s="1"/>
  <c r="AX57" i="3"/>
  <c r="Z57" i="3" s="1"/>
  <c r="AX65" i="3"/>
  <c r="Z65" i="3" s="1"/>
  <c r="AX73" i="3"/>
  <c r="Z73" i="3" s="1"/>
  <c r="AX89" i="3"/>
  <c r="Z89" i="3" s="1"/>
  <c r="AX97" i="3"/>
  <c r="Z97" i="3" s="1"/>
  <c r="AX105" i="3"/>
  <c r="Z105" i="3" s="1"/>
  <c r="AX14" i="3"/>
  <c r="Z14" i="3" s="1"/>
  <c r="AX22" i="3"/>
  <c r="Z22" i="3" s="1"/>
  <c r="AX30" i="3"/>
  <c r="Z30" i="3" s="1"/>
  <c r="AX38" i="3"/>
  <c r="Z38" i="3" s="1"/>
  <c r="AX46" i="3"/>
  <c r="Z46" i="3" s="1"/>
  <c r="AX54" i="3"/>
  <c r="Z54" i="3" s="1"/>
  <c r="AX62" i="3"/>
  <c r="Z62" i="3" s="1"/>
  <c r="AX70" i="3"/>
  <c r="Z70" i="3" s="1"/>
  <c r="AX78" i="3"/>
  <c r="Z78" i="3" s="1"/>
  <c r="AX86" i="3"/>
  <c r="Z86" i="3" s="1"/>
  <c r="AX94" i="3"/>
  <c r="Z94" i="3" s="1"/>
  <c r="AX102" i="3"/>
  <c r="Z102" i="3" s="1"/>
  <c r="AX23" i="3"/>
  <c r="Z23" i="3" s="1"/>
  <c r="AX47" i="3"/>
  <c r="Z47" i="3" s="1"/>
  <c r="AX84" i="3"/>
  <c r="Z84" i="3" s="1"/>
  <c r="AX35" i="3"/>
  <c r="Z35" i="3" s="1"/>
  <c r="AX51" i="3"/>
  <c r="Z51" i="3" s="1"/>
  <c r="AX96" i="3"/>
  <c r="Z96" i="3" s="1"/>
  <c r="AX104" i="3"/>
  <c r="Z104" i="3" s="1"/>
  <c r="AX31" i="3"/>
  <c r="Z31" i="3" s="1"/>
  <c r="AX79" i="3"/>
  <c r="Z79" i="3" s="1"/>
  <c r="AX95" i="3"/>
  <c r="Z95" i="3" s="1"/>
  <c r="AX12" i="3"/>
  <c r="Z12" i="3" s="1"/>
  <c r="AX28" i="3"/>
  <c r="Z28" i="3" s="1"/>
  <c r="AX60" i="3"/>
  <c r="Z60" i="3" s="1"/>
  <c r="AX92" i="3"/>
  <c r="Z92" i="3" s="1"/>
  <c r="AX19" i="3"/>
  <c r="Z19" i="3" s="1"/>
  <c r="AX43" i="3"/>
  <c r="Z43" i="3" s="1"/>
  <c r="AX67" i="3"/>
  <c r="Z67" i="3" s="1"/>
  <c r="AX83" i="3"/>
  <c r="Z83" i="3" s="1"/>
  <c r="AX107" i="3"/>
  <c r="Z107" i="3" s="1"/>
  <c r="AX24" i="3"/>
  <c r="Z24" i="3" s="1"/>
  <c r="AX40" i="3"/>
  <c r="Z40" i="3" s="1"/>
  <c r="AX56" i="3"/>
  <c r="Z56" i="3" s="1"/>
  <c r="AX72" i="3"/>
  <c r="Z72" i="3" s="1"/>
  <c r="AX88" i="3"/>
  <c r="Z88" i="3" s="1"/>
  <c r="AX13" i="3"/>
  <c r="Z13" i="3" s="1"/>
  <c r="AX21" i="3"/>
  <c r="Z21" i="3" s="1"/>
  <c r="AX29" i="3"/>
  <c r="Z29" i="3" s="1"/>
  <c r="AX37" i="3"/>
  <c r="Z37" i="3" s="1"/>
  <c r="AX45" i="3"/>
  <c r="Z45" i="3" s="1"/>
  <c r="AX53" i="3"/>
  <c r="Z53" i="3" s="1"/>
  <c r="AX61" i="3"/>
  <c r="Z61" i="3" s="1"/>
  <c r="AX69" i="3"/>
  <c r="Z69" i="3" s="1"/>
  <c r="AX77" i="3"/>
  <c r="Z77" i="3" s="1"/>
  <c r="AX85" i="3"/>
  <c r="Z85" i="3" s="1"/>
  <c r="AX93" i="3"/>
  <c r="Z93" i="3" s="1"/>
  <c r="AX101" i="3"/>
  <c r="Z101" i="3" s="1"/>
  <c r="AX15" i="3"/>
  <c r="Z15" i="3" s="1"/>
  <c r="AX55" i="3"/>
  <c r="Z55" i="3" s="1"/>
  <c r="AX71" i="3"/>
  <c r="Z71" i="3" s="1"/>
  <c r="AX87" i="3"/>
  <c r="Z87" i="3" s="1"/>
  <c r="AX44" i="3"/>
  <c r="Z44" i="3" s="1"/>
  <c r="AX68" i="3"/>
  <c r="Z68" i="3" s="1"/>
  <c r="AX100" i="3"/>
  <c r="Z100" i="3" s="1"/>
  <c r="AX11" i="3"/>
  <c r="Z11" i="3" s="1"/>
  <c r="AX27" i="3"/>
  <c r="Z27" i="3" s="1"/>
  <c r="AX59" i="3"/>
  <c r="Z59" i="3" s="1"/>
  <c r="AX75" i="3"/>
  <c r="Z75" i="3" s="1"/>
  <c r="AX91" i="3"/>
  <c r="Z91" i="3" s="1"/>
  <c r="AX99" i="3"/>
  <c r="Z99" i="3" s="1"/>
  <c r="AX16" i="3"/>
  <c r="Z16" i="3" s="1"/>
  <c r="AX32" i="3"/>
  <c r="Z32" i="3" s="1"/>
  <c r="AX48" i="3"/>
  <c r="Z48" i="3" s="1"/>
  <c r="AX64" i="3"/>
  <c r="Z64" i="3" s="1"/>
  <c r="AX80" i="3"/>
  <c r="Z80" i="3" s="1"/>
  <c r="AX18" i="3"/>
  <c r="Z18" i="3" s="1"/>
  <c r="AX26" i="3"/>
  <c r="Z26" i="3" s="1"/>
  <c r="AX34" i="3"/>
  <c r="Z34" i="3" s="1"/>
  <c r="AX42" i="3"/>
  <c r="Z42" i="3" s="1"/>
  <c r="AX50" i="3"/>
  <c r="Z50" i="3" s="1"/>
  <c r="AX58" i="3"/>
  <c r="Z58" i="3" s="1"/>
  <c r="AX66" i="3"/>
  <c r="Z66" i="3" s="1"/>
  <c r="AX74" i="3"/>
  <c r="Z74" i="3" s="1"/>
  <c r="AX82" i="3"/>
  <c r="Z82" i="3" s="1"/>
  <c r="AX90" i="3"/>
  <c r="Z90" i="3" s="1"/>
  <c r="AX98" i="3"/>
  <c r="Z98" i="3" s="1"/>
  <c r="AX106" i="3"/>
  <c r="Z106" i="3" s="1"/>
  <c r="AW25" i="3"/>
  <c r="Y25" i="3" s="1"/>
  <c r="AW57" i="3"/>
  <c r="Y57" i="3" s="1"/>
  <c r="AW89" i="3"/>
  <c r="Y89" i="3" s="1"/>
  <c r="AW97" i="3"/>
  <c r="Y97" i="3" s="1"/>
  <c r="AW54" i="3"/>
  <c r="Y54" i="3" s="1"/>
  <c r="AW94" i="3"/>
  <c r="Y94" i="3" s="1"/>
  <c r="AW102" i="3"/>
  <c r="Y102" i="3" s="1"/>
  <c r="AW17" i="3"/>
  <c r="Y17" i="3" s="1"/>
  <c r="AW65" i="3"/>
  <c r="Y65" i="3" s="1"/>
  <c r="AW73" i="3"/>
  <c r="Y73" i="3" s="1"/>
  <c r="AW105" i="3"/>
  <c r="Y105" i="3" s="1"/>
  <c r="AW22" i="3"/>
  <c r="Y22" i="3" s="1"/>
  <c r="AW46" i="3"/>
  <c r="Y46" i="3" s="1"/>
  <c r="AW62" i="3"/>
  <c r="Y62" i="3" s="1"/>
  <c r="AW78" i="3"/>
  <c r="Y78" i="3" s="1"/>
  <c r="AW86" i="3"/>
  <c r="Y86" i="3" s="1"/>
  <c r="AW41" i="3"/>
  <c r="Y41" i="3" s="1"/>
  <c r="AW49" i="3"/>
  <c r="Y49" i="3" s="1"/>
  <c r="AW11" i="3"/>
  <c r="Y11" i="3" s="1"/>
  <c r="AW35" i="3"/>
  <c r="Y35" i="3" s="1"/>
  <c r="AW43" i="3"/>
  <c r="Y43" i="3" s="1"/>
  <c r="AW51" i="3"/>
  <c r="Y51" i="3" s="1"/>
  <c r="AW59" i="3"/>
  <c r="Y59" i="3" s="1"/>
  <c r="AW67" i="3"/>
  <c r="Y67" i="3" s="1"/>
  <c r="AW75" i="3"/>
  <c r="Y75" i="3" s="1"/>
  <c r="AW91" i="3"/>
  <c r="Y91" i="3" s="1"/>
  <c r="AW99" i="3"/>
  <c r="Y99" i="3" s="1"/>
  <c r="AW107" i="3"/>
  <c r="Y107" i="3" s="1"/>
  <c r="AW16" i="3"/>
  <c r="Y16" i="3" s="1"/>
  <c r="AW24" i="3"/>
  <c r="Y24" i="3" s="1"/>
  <c r="AW32" i="3"/>
  <c r="Y32" i="3" s="1"/>
  <c r="AW40" i="3"/>
  <c r="Y40" i="3" s="1"/>
  <c r="AW48" i="3"/>
  <c r="Y48" i="3" s="1"/>
  <c r="AW56" i="3"/>
  <c r="Y56" i="3" s="1"/>
  <c r="AW64" i="3"/>
  <c r="Y64" i="3" s="1"/>
  <c r="AW72" i="3"/>
  <c r="Y72" i="3" s="1"/>
  <c r="AW80" i="3"/>
  <c r="Y80" i="3" s="1"/>
  <c r="AW88" i="3"/>
  <c r="Y88" i="3" s="1"/>
  <c r="AW96" i="3"/>
  <c r="Y96" i="3" s="1"/>
  <c r="AW104" i="3"/>
  <c r="Y104" i="3" s="1"/>
  <c r="AW33" i="3"/>
  <c r="Y33" i="3" s="1"/>
  <c r="AW81" i="3"/>
  <c r="Y81" i="3" s="1"/>
  <c r="AW14" i="3"/>
  <c r="Y14" i="3" s="1"/>
  <c r="AW30" i="3"/>
  <c r="Y30" i="3" s="1"/>
  <c r="AW13" i="3"/>
  <c r="Y13" i="3" s="1"/>
  <c r="AW21" i="3"/>
  <c r="Y21" i="3" s="1"/>
  <c r="AW61" i="3"/>
  <c r="Y61" i="3" s="1"/>
  <c r="AW82" i="3"/>
  <c r="Y82" i="3" s="1"/>
  <c r="AW106" i="3"/>
  <c r="Y106" i="3" s="1"/>
  <c r="AW29" i="3"/>
  <c r="Y29" i="3" s="1"/>
  <c r="AW53" i="3"/>
  <c r="Y53" i="3" s="1"/>
  <c r="AW93" i="3"/>
  <c r="Y93" i="3" s="1"/>
  <c r="AW18" i="3"/>
  <c r="Y18" i="3" s="1"/>
  <c r="AW50" i="3"/>
  <c r="Y50" i="3" s="1"/>
  <c r="AW74" i="3"/>
  <c r="Y74" i="3" s="1"/>
  <c r="AW90" i="3"/>
  <c r="Y90" i="3" s="1"/>
  <c r="AW15" i="3"/>
  <c r="Y15" i="3" s="1"/>
  <c r="AW23" i="3"/>
  <c r="Y23" i="3" s="1"/>
  <c r="AW31" i="3"/>
  <c r="Y31" i="3" s="1"/>
  <c r="AW39" i="3"/>
  <c r="Y39" i="3" s="1"/>
  <c r="AW47" i="3"/>
  <c r="Y47" i="3" s="1"/>
  <c r="AW55" i="3"/>
  <c r="Y55" i="3" s="1"/>
  <c r="AW63" i="3"/>
  <c r="Y63" i="3" s="1"/>
  <c r="AW71" i="3"/>
  <c r="Y71" i="3" s="1"/>
  <c r="AW79" i="3"/>
  <c r="Y79" i="3" s="1"/>
  <c r="AW87" i="3"/>
  <c r="Y87" i="3" s="1"/>
  <c r="AW95" i="3"/>
  <c r="Y95" i="3" s="1"/>
  <c r="AW103" i="3"/>
  <c r="Y103" i="3" s="1"/>
  <c r="AW37" i="3"/>
  <c r="Y37" i="3" s="1"/>
  <c r="AW45" i="3"/>
  <c r="Y45" i="3" s="1"/>
  <c r="AW77" i="3"/>
  <c r="Y77" i="3" s="1"/>
  <c r="AW101" i="3"/>
  <c r="Y101" i="3" s="1"/>
  <c r="AW26" i="3"/>
  <c r="Y26" i="3" s="1"/>
  <c r="AW34" i="3"/>
  <c r="Y34" i="3" s="1"/>
  <c r="AW58" i="3"/>
  <c r="Y58" i="3" s="1"/>
  <c r="AW66" i="3"/>
  <c r="Y66" i="3" s="1"/>
  <c r="AW12" i="3"/>
  <c r="Y12" i="3" s="1"/>
  <c r="AW20" i="3"/>
  <c r="Y20" i="3" s="1"/>
  <c r="AW28" i="3"/>
  <c r="Y28" i="3" s="1"/>
  <c r="AW36" i="3"/>
  <c r="Y36" i="3" s="1"/>
  <c r="AW44" i="3"/>
  <c r="Y44" i="3" s="1"/>
  <c r="AW52" i="3"/>
  <c r="Y52" i="3" s="1"/>
  <c r="AW60" i="3"/>
  <c r="Y60" i="3" s="1"/>
  <c r="AW68" i="3"/>
  <c r="Y68" i="3" s="1"/>
  <c r="AW76" i="3"/>
  <c r="Y76" i="3" s="1"/>
  <c r="AW84" i="3"/>
  <c r="Y84" i="3" s="1"/>
  <c r="AW92" i="3"/>
  <c r="Y92" i="3" s="1"/>
  <c r="AW100" i="3"/>
  <c r="Y100" i="3" s="1"/>
  <c r="Y125" i="3"/>
  <c r="Y145" i="3"/>
  <c r="Y121" i="3"/>
  <c r="Y135" i="3"/>
  <c r="Y131" i="3"/>
  <c r="Y152" i="3"/>
  <c r="Y162" i="3"/>
  <c r="Y110" i="3"/>
  <c r="Y141" i="3"/>
  <c r="Y161" i="3"/>
  <c r="Y129" i="3"/>
  <c r="Y151" i="3"/>
  <c r="Y139" i="3"/>
  <c r="Y143" i="3"/>
  <c r="Y150" i="3"/>
  <c r="Y130" i="3"/>
  <c r="Y147" i="3"/>
  <c r="Y160" i="3"/>
  <c r="Y138" i="3"/>
  <c r="Y156" i="3"/>
  <c r="Y164" i="3"/>
  <c r="Y134" i="3"/>
  <c r="Y165" i="3"/>
  <c r="Y153" i="3"/>
  <c r="Y120" i="3"/>
  <c r="Y117" i="3"/>
  <c r="Y127" i="3"/>
  <c r="AC12" i="3"/>
  <c r="AB12" i="3"/>
  <c r="AA12" i="3"/>
  <c r="K12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AC13" i="3" l="1"/>
  <c r="AB13" i="3"/>
  <c r="AA13" i="3"/>
  <c r="F9" i="2"/>
  <c r="AC14" i="3" l="1"/>
  <c r="AB14" i="3"/>
  <c r="AA14" i="3"/>
  <c r="D15" i="2"/>
  <c r="S37" i="10"/>
  <c r="S36" i="10"/>
  <c r="S35" i="10"/>
  <c r="S34" i="10"/>
  <c r="S33" i="10"/>
  <c r="S32" i="10"/>
  <c r="S31" i="10"/>
  <c r="S30" i="10"/>
  <c r="S29" i="10"/>
  <c r="S28" i="10"/>
  <c r="AC15" i="3" l="1"/>
  <c r="AB15" i="3"/>
  <c r="AA15" i="3"/>
  <c r="E15" i="2"/>
  <c r="AC16" i="3" l="1"/>
  <c r="AB16" i="3"/>
  <c r="AA16" i="3"/>
  <c r="M76" i="10"/>
  <c r="C76" i="10"/>
  <c r="M75" i="10"/>
  <c r="C75" i="10"/>
  <c r="M74" i="10"/>
  <c r="C74" i="10"/>
  <c r="M73" i="10"/>
  <c r="C73" i="10"/>
  <c r="M72" i="10"/>
  <c r="C72" i="10"/>
  <c r="M71" i="10"/>
  <c r="C71" i="10"/>
  <c r="M70" i="10"/>
  <c r="C70" i="10"/>
  <c r="M69" i="10"/>
  <c r="C69" i="10"/>
  <c r="M68" i="10"/>
  <c r="C68" i="10"/>
  <c r="M67" i="10"/>
  <c r="C67" i="10"/>
  <c r="M63" i="10"/>
  <c r="C63" i="10"/>
  <c r="M62" i="10"/>
  <c r="C62" i="10"/>
  <c r="M61" i="10"/>
  <c r="C61" i="10"/>
  <c r="M60" i="10"/>
  <c r="C60" i="10"/>
  <c r="M59" i="10"/>
  <c r="C59" i="10"/>
  <c r="M58" i="10"/>
  <c r="C58" i="10"/>
  <c r="M57" i="10"/>
  <c r="C57" i="10"/>
  <c r="M56" i="10"/>
  <c r="C56" i="10"/>
  <c r="M55" i="10"/>
  <c r="C55" i="10"/>
  <c r="M54" i="10"/>
  <c r="C54" i="10"/>
  <c r="M50" i="10"/>
  <c r="C50" i="10"/>
  <c r="M49" i="10"/>
  <c r="C49" i="10"/>
  <c r="M48" i="10"/>
  <c r="C48" i="10"/>
  <c r="M47" i="10"/>
  <c r="C47" i="10"/>
  <c r="M46" i="10"/>
  <c r="C46" i="10"/>
  <c r="M45" i="10"/>
  <c r="C45" i="10"/>
  <c r="M44" i="10"/>
  <c r="C44" i="10"/>
  <c r="M43" i="10"/>
  <c r="C43" i="10"/>
  <c r="M42" i="10"/>
  <c r="C42" i="10"/>
  <c r="M41" i="10"/>
  <c r="C41" i="10"/>
  <c r="M37" i="10"/>
  <c r="C37" i="10"/>
  <c r="M36" i="10"/>
  <c r="C36" i="10"/>
  <c r="M35" i="10"/>
  <c r="C35" i="10"/>
  <c r="M34" i="10"/>
  <c r="C34" i="10"/>
  <c r="M33" i="10"/>
  <c r="C33" i="10"/>
  <c r="M32" i="10"/>
  <c r="C32" i="10"/>
  <c r="M31" i="10"/>
  <c r="C31" i="10"/>
  <c r="M30" i="10"/>
  <c r="C30" i="10"/>
  <c r="M29" i="10"/>
  <c r="C29" i="10"/>
  <c r="M28" i="10"/>
  <c r="C28" i="10"/>
  <c r="AC17" i="3" l="1"/>
  <c r="AB17" i="3"/>
  <c r="AA17" i="3"/>
  <c r="S76" i="10"/>
  <c r="S75" i="10"/>
  <c r="S74" i="10"/>
  <c r="S73" i="10"/>
  <c r="S72" i="10"/>
  <c r="S71" i="10"/>
  <c r="S70" i="10"/>
  <c r="S69" i="10"/>
  <c r="S68" i="10"/>
  <c r="S67" i="10"/>
  <c r="S63" i="10"/>
  <c r="S62" i="10"/>
  <c r="S61" i="10"/>
  <c r="S60" i="10"/>
  <c r="S59" i="10"/>
  <c r="S58" i="10"/>
  <c r="S57" i="10"/>
  <c r="S56" i="10"/>
  <c r="S55" i="10"/>
  <c r="S54" i="10"/>
  <c r="S50" i="10"/>
  <c r="S49" i="10"/>
  <c r="S48" i="10"/>
  <c r="S47" i="10"/>
  <c r="S46" i="10"/>
  <c r="S45" i="10"/>
  <c r="S44" i="10"/>
  <c r="S43" i="10"/>
  <c r="S42" i="10"/>
  <c r="S41" i="10"/>
  <c r="J76" i="10"/>
  <c r="J75" i="10"/>
  <c r="J74" i="10"/>
  <c r="J73" i="10"/>
  <c r="J72" i="10"/>
  <c r="J71" i="10"/>
  <c r="J70" i="10"/>
  <c r="J69" i="10"/>
  <c r="J68" i="10"/>
  <c r="J67" i="10"/>
  <c r="J63" i="10"/>
  <c r="J62" i="10"/>
  <c r="J61" i="10"/>
  <c r="J60" i="10"/>
  <c r="J59" i="10"/>
  <c r="J58" i="10"/>
  <c r="J57" i="10"/>
  <c r="J56" i="10"/>
  <c r="J55" i="10"/>
  <c r="J54" i="10"/>
  <c r="J50" i="10"/>
  <c r="J49" i="10"/>
  <c r="J48" i="10"/>
  <c r="J47" i="10"/>
  <c r="J46" i="10"/>
  <c r="J45" i="10"/>
  <c r="J44" i="10"/>
  <c r="J43" i="10"/>
  <c r="J42" i="10"/>
  <c r="J41" i="10"/>
  <c r="J37" i="10"/>
  <c r="J36" i="10"/>
  <c r="J35" i="10"/>
  <c r="J34" i="10"/>
  <c r="J33" i="10"/>
  <c r="J32" i="10"/>
  <c r="J31" i="10"/>
  <c r="J30" i="10"/>
  <c r="J29" i="10"/>
  <c r="J28" i="10"/>
  <c r="AC18" i="3" l="1"/>
  <c r="AB18" i="3"/>
  <c r="AA18" i="3"/>
  <c r="B12" i="10"/>
  <c r="B14" i="10"/>
  <c r="J66" i="10"/>
  <c r="S66" i="10"/>
  <c r="S53" i="10"/>
  <c r="J53" i="10"/>
  <c r="J40" i="10"/>
  <c r="S40" i="10"/>
  <c r="S27" i="10"/>
  <c r="J27" i="10"/>
  <c r="BF19" i="10"/>
  <c r="BF20" i="10"/>
  <c r="BF21" i="10"/>
  <c r="BF22" i="10"/>
  <c r="BF23" i="10"/>
  <c r="BF24" i="10"/>
  <c r="BF25" i="10"/>
  <c r="BF26" i="10"/>
  <c r="BF27" i="10"/>
  <c r="BF28" i="10"/>
  <c r="BF29" i="10"/>
  <c r="BF30" i="10"/>
  <c r="BF31" i="10"/>
  <c r="BF32" i="10"/>
  <c r="BF33" i="10"/>
  <c r="BF34" i="10"/>
  <c r="BF35" i="10"/>
  <c r="BF36" i="10"/>
  <c r="BF37" i="10"/>
  <c r="BF38" i="10"/>
  <c r="BF39" i="10"/>
  <c r="BF40" i="10"/>
  <c r="BF41" i="10"/>
  <c r="BF42" i="10"/>
  <c r="BF43" i="10"/>
  <c r="BF44" i="10"/>
  <c r="BF45" i="10"/>
  <c r="BF46" i="10"/>
  <c r="BF47" i="10"/>
  <c r="BF48" i="10"/>
  <c r="BF49" i="10"/>
  <c r="BF50" i="10"/>
  <c r="BF51" i="10"/>
  <c r="BF52" i="10"/>
  <c r="BF53" i="10"/>
  <c r="BF54" i="10"/>
  <c r="BF55" i="10"/>
  <c r="BF56" i="10"/>
  <c r="BF57" i="10"/>
  <c r="BF58" i="10"/>
  <c r="BF59" i="10"/>
  <c r="BF60" i="10"/>
  <c r="BF61" i="10"/>
  <c r="BF62" i="10"/>
  <c r="BF63" i="10"/>
  <c r="BF64" i="10"/>
  <c r="BF65" i="10"/>
  <c r="BF18" i="10"/>
  <c r="BF17" i="10"/>
  <c r="BF16" i="10"/>
  <c r="BF15" i="10"/>
  <c r="BF14" i="10"/>
  <c r="AC19" i="3" l="1"/>
  <c r="AB19" i="3"/>
  <c r="AA19" i="3"/>
  <c r="BI36" i="10"/>
  <c r="BK36" i="10" s="1"/>
  <c r="BI65" i="10"/>
  <c r="BJ65" i="10" s="1"/>
  <c r="BI23" i="10"/>
  <c r="D24" i="10" s="1"/>
  <c r="BH22" i="10"/>
  <c r="B23" i="10" s="1"/>
  <c r="BH54" i="10"/>
  <c r="BI34" i="10"/>
  <c r="BH39" i="10"/>
  <c r="BI27" i="10"/>
  <c r="BI59" i="10"/>
  <c r="BH24" i="10"/>
  <c r="BH64" i="10"/>
  <c r="BI60" i="10"/>
  <c r="BH17" i="10"/>
  <c r="B18" i="10" s="1"/>
  <c r="BH33" i="10"/>
  <c r="BH41" i="10"/>
  <c r="BH49" i="10"/>
  <c r="BH57" i="10"/>
  <c r="BH65" i="10"/>
  <c r="BI21" i="10"/>
  <c r="D22" i="10" s="1"/>
  <c r="BI29" i="10"/>
  <c r="BI37" i="10"/>
  <c r="BI45" i="10"/>
  <c r="BI53" i="10"/>
  <c r="BI61" i="10"/>
  <c r="BH14" i="10"/>
  <c r="B15" i="10" s="1"/>
  <c r="BH46" i="10"/>
  <c r="BI26" i="10"/>
  <c r="BI58" i="10"/>
  <c r="BH15" i="10"/>
  <c r="B16" i="10" s="1"/>
  <c r="BH47" i="10"/>
  <c r="BI19" i="10"/>
  <c r="D20" i="10" s="1"/>
  <c r="BI51" i="10"/>
  <c r="BH40" i="10"/>
  <c r="BI20" i="10"/>
  <c r="D21" i="10" s="1"/>
  <c r="BI44" i="10"/>
  <c r="BH25" i="10"/>
  <c r="BH18" i="10"/>
  <c r="B19" i="10" s="1"/>
  <c r="BH26" i="10"/>
  <c r="BH34" i="10"/>
  <c r="BH42" i="10"/>
  <c r="BH50" i="10"/>
  <c r="BH58" i="10"/>
  <c r="BI14" i="10"/>
  <c r="D15" i="10" s="1"/>
  <c r="BI22" i="10"/>
  <c r="D23" i="10" s="1"/>
  <c r="BI30" i="10"/>
  <c r="BI38" i="10"/>
  <c r="BI46" i="10"/>
  <c r="BI54" i="10"/>
  <c r="BI62" i="10"/>
  <c r="BH38" i="10"/>
  <c r="BI18" i="10"/>
  <c r="D19" i="10" s="1"/>
  <c r="BI50" i="10"/>
  <c r="BH31" i="10"/>
  <c r="BH63" i="10"/>
  <c r="BI43" i="10"/>
  <c r="BH16" i="10"/>
  <c r="B17" i="10" s="1"/>
  <c r="BH48" i="10"/>
  <c r="BI28" i="10"/>
  <c r="BI52" i="10"/>
  <c r="BH19" i="10"/>
  <c r="B20" i="10" s="1"/>
  <c r="BH35" i="10"/>
  <c r="BH51" i="10"/>
  <c r="BI15" i="10"/>
  <c r="D16" i="10" s="1"/>
  <c r="BI31" i="10"/>
  <c r="BI47" i="10"/>
  <c r="BI63" i="10"/>
  <c r="BH20" i="10"/>
  <c r="B21" i="10" s="1"/>
  <c r="BH28" i="10"/>
  <c r="BH36" i="10"/>
  <c r="BH44" i="10"/>
  <c r="BH52" i="10"/>
  <c r="BH60" i="10"/>
  <c r="BI16" i="10"/>
  <c r="D17" i="10" s="1"/>
  <c r="BI24" i="10"/>
  <c r="BI32" i="10"/>
  <c r="BI40" i="10"/>
  <c r="BI48" i="10"/>
  <c r="BI56" i="10"/>
  <c r="BI64" i="10"/>
  <c r="BH30" i="10"/>
  <c r="BH62" i="10"/>
  <c r="BI42" i="10"/>
  <c r="BH23" i="10"/>
  <c r="B24" i="10" s="1"/>
  <c r="BH55" i="10"/>
  <c r="BI35" i="10"/>
  <c r="BH32" i="10"/>
  <c r="BH56" i="10"/>
  <c r="BH27" i="10"/>
  <c r="BH43" i="10"/>
  <c r="BH59" i="10"/>
  <c r="BI39" i="10"/>
  <c r="BI55" i="10"/>
  <c r="BH21" i="10"/>
  <c r="B22" i="10" s="1"/>
  <c r="BH29" i="10"/>
  <c r="BH37" i="10"/>
  <c r="BH45" i="10"/>
  <c r="BH53" i="10"/>
  <c r="BH61" i="10"/>
  <c r="BI17" i="10"/>
  <c r="D18" i="10" s="1"/>
  <c r="BI25" i="10"/>
  <c r="BI33" i="10"/>
  <c r="BI41" i="10"/>
  <c r="BI49" i="10"/>
  <c r="BI57" i="10"/>
  <c r="F12" i="10"/>
  <c r="R9" i="10"/>
  <c r="O9" i="10"/>
  <c r="C9" i="10"/>
  <c r="BE12" i="10"/>
  <c r="AC20" i="3" l="1"/>
  <c r="AB20" i="3"/>
  <c r="AA20" i="3"/>
  <c r="K29" i="3"/>
  <c r="K31" i="3"/>
  <c r="K26" i="3"/>
  <c r="K33" i="3"/>
  <c r="K28" i="3"/>
  <c r="K25" i="3"/>
  <c r="K32" i="3"/>
  <c r="K27" i="3"/>
  <c r="K34" i="3"/>
  <c r="K30" i="3"/>
  <c r="K17" i="3"/>
  <c r="K16" i="3"/>
  <c r="K14" i="3"/>
  <c r="K15" i="3"/>
  <c r="K19" i="3"/>
  <c r="K13" i="3"/>
  <c r="K20" i="3"/>
  <c r="K18" i="3"/>
  <c r="K21" i="3"/>
  <c r="BK65" i="10"/>
  <c r="BJ36" i="10"/>
  <c r="BK23" i="10"/>
  <c r="BJ23" i="10"/>
  <c r="BJ33" i="10"/>
  <c r="BK33" i="10"/>
  <c r="BJ55" i="10"/>
  <c r="BK55" i="10"/>
  <c r="BK50" i="10"/>
  <c r="BJ50" i="10"/>
  <c r="BJ32" i="10"/>
  <c r="BK32" i="10"/>
  <c r="BJ14" i="10"/>
  <c r="BK14" i="10"/>
  <c r="BK26" i="10"/>
  <c r="BJ26" i="10"/>
  <c r="BJ63" i="10"/>
  <c r="BK63" i="10"/>
  <c r="BJ47" i="10"/>
  <c r="BK47" i="10"/>
  <c r="BK59" i="10"/>
  <c r="BJ59" i="10"/>
  <c r="BJ25" i="10"/>
  <c r="BK25" i="10"/>
  <c r="BK60" i="10"/>
  <c r="BJ60" i="10"/>
  <c r="BK52" i="10"/>
  <c r="BJ52" i="10"/>
  <c r="BK28" i="10"/>
  <c r="BJ28" i="10"/>
  <c r="BJ16" i="10"/>
  <c r="BK16" i="10"/>
  <c r="BJ57" i="10"/>
  <c r="BK57" i="10"/>
  <c r="BJ31" i="10"/>
  <c r="BK31" i="10"/>
  <c r="BJ54" i="10"/>
  <c r="BK54" i="10"/>
  <c r="BK51" i="10"/>
  <c r="BJ51" i="10"/>
  <c r="BK61" i="10"/>
  <c r="BJ61" i="10"/>
  <c r="BK27" i="10"/>
  <c r="BJ27" i="10"/>
  <c r="BK35" i="10"/>
  <c r="BJ35" i="10"/>
  <c r="BK37" i="10"/>
  <c r="BJ37" i="10"/>
  <c r="BJ40" i="10"/>
  <c r="BK40" i="10"/>
  <c r="BK22" i="10"/>
  <c r="BJ22" i="10"/>
  <c r="BK29" i="10"/>
  <c r="BJ29" i="10"/>
  <c r="BJ39" i="10"/>
  <c r="BK39" i="10"/>
  <c r="BK18" i="10"/>
  <c r="BJ18" i="10"/>
  <c r="BK21" i="10"/>
  <c r="BJ21" i="10"/>
  <c r="BJ24" i="10"/>
  <c r="BK24" i="10"/>
  <c r="BJ20" i="10"/>
  <c r="BK20" i="10"/>
  <c r="BJ64" i="10"/>
  <c r="BK64" i="10"/>
  <c r="BJ15" i="10"/>
  <c r="BK15" i="10"/>
  <c r="BK43" i="10"/>
  <c r="BJ43" i="10"/>
  <c r="BJ46" i="10"/>
  <c r="BK46" i="10"/>
  <c r="BK19" i="10"/>
  <c r="BJ19" i="10"/>
  <c r="BK53" i="10"/>
  <c r="BJ53" i="10"/>
  <c r="BJ48" i="10"/>
  <c r="BK48" i="10"/>
  <c r="BK30" i="10"/>
  <c r="BJ30" i="10"/>
  <c r="BK58" i="10"/>
  <c r="BJ58" i="10"/>
  <c r="BJ17" i="10"/>
  <c r="BK17" i="10"/>
  <c r="BK44" i="10"/>
  <c r="BJ44" i="10"/>
  <c r="BJ42" i="10"/>
  <c r="BK42" i="10"/>
  <c r="BJ62" i="10"/>
  <c r="BK62" i="10"/>
  <c r="BJ49" i="10"/>
  <c r="BK49" i="10"/>
  <c r="BJ41" i="10"/>
  <c r="BK41" i="10"/>
  <c r="BJ56" i="10"/>
  <c r="BK56" i="10"/>
  <c r="BJ38" i="10"/>
  <c r="BK38" i="10"/>
  <c r="BK45" i="10"/>
  <c r="BJ45" i="10"/>
  <c r="BJ34" i="10"/>
  <c r="BK34" i="10"/>
  <c r="G45" i="8"/>
  <c r="AC21" i="3" l="1"/>
  <c r="AB21" i="3"/>
  <c r="AA21" i="3"/>
  <c r="M37" i="3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126" i="3" s="1"/>
  <c r="M127" i="3" s="1"/>
  <c r="M128" i="3" s="1"/>
  <c r="M129" i="3" s="1"/>
  <c r="M130" i="3" s="1"/>
  <c r="M131" i="3" s="1"/>
  <c r="M132" i="3" s="1"/>
  <c r="M133" i="3" s="1"/>
  <c r="M134" i="3" s="1"/>
  <c r="M135" i="3" s="1"/>
  <c r="M136" i="3" s="1"/>
  <c r="M137" i="3" s="1"/>
  <c r="M138" i="3" s="1"/>
  <c r="M139" i="3" s="1"/>
  <c r="M140" i="3" s="1"/>
  <c r="M141" i="3" s="1"/>
  <c r="M142" i="3" s="1"/>
  <c r="M143" i="3" s="1"/>
  <c r="M144" i="3" s="1"/>
  <c r="M145" i="3" s="1"/>
  <c r="M146" i="3" s="1"/>
  <c r="M147" i="3" s="1"/>
  <c r="M148" i="3" s="1"/>
  <c r="M149" i="3" s="1"/>
  <c r="M150" i="3" s="1"/>
  <c r="M151" i="3" s="1"/>
  <c r="M152" i="3" s="1"/>
  <c r="M153" i="3" s="1"/>
  <c r="M154" i="3" s="1"/>
  <c r="M155" i="3" s="1"/>
  <c r="M156" i="3" s="1"/>
  <c r="M157" i="3" s="1"/>
  <c r="M158" i="3" s="1"/>
  <c r="M159" i="3" s="1"/>
  <c r="M160" i="3" s="1"/>
  <c r="M161" i="3" s="1"/>
  <c r="M162" i="3" s="1"/>
  <c r="M163" i="3" s="1"/>
  <c r="M164" i="3" s="1"/>
  <c r="M165" i="3" s="1"/>
  <c r="M166" i="3" s="1"/>
  <c r="M167" i="3" s="1"/>
  <c r="M168" i="3" s="1"/>
  <c r="M169" i="3" s="1"/>
  <c r="M170" i="3" s="1"/>
  <c r="M171" i="3" s="1"/>
  <c r="M172" i="3" s="1"/>
  <c r="M173" i="3" s="1"/>
  <c r="M174" i="3" s="1"/>
  <c r="M175" i="3" s="1"/>
  <c r="M176" i="3" s="1"/>
  <c r="M177" i="3" s="1"/>
  <c r="M178" i="3" s="1"/>
  <c r="M179" i="3" s="1"/>
  <c r="M180" i="3" s="1"/>
  <c r="M181" i="3" s="1"/>
  <c r="M182" i="3" s="1"/>
  <c r="M183" i="3" s="1"/>
  <c r="M184" i="3" s="1"/>
  <c r="M185" i="3" s="1"/>
  <c r="M186" i="3" s="1"/>
  <c r="M187" i="3" s="1"/>
  <c r="M188" i="3" s="1"/>
  <c r="M189" i="3" s="1"/>
  <c r="M190" i="3" s="1"/>
  <c r="M191" i="3" s="1"/>
  <c r="M192" i="3" s="1"/>
  <c r="M193" i="3" s="1"/>
  <c r="M194" i="3" s="1"/>
  <c r="M195" i="3" s="1"/>
  <c r="M196" i="3" s="1"/>
  <c r="M197" i="3" s="1"/>
  <c r="M198" i="3" s="1"/>
  <c r="M199" i="3" s="1"/>
  <c r="M200" i="3" s="1"/>
  <c r="M201" i="3" s="1"/>
  <c r="M202" i="3" s="1"/>
  <c r="M203" i="3" s="1"/>
  <c r="M204" i="3" s="1"/>
  <c r="M205" i="3" s="1"/>
  <c r="M206" i="3" s="1"/>
  <c r="M207" i="3" s="1"/>
  <c r="M208" i="3" s="1"/>
  <c r="M209" i="3" s="1"/>
  <c r="M210" i="3" s="1"/>
  <c r="M211" i="3" s="1"/>
  <c r="M212" i="3" s="1"/>
  <c r="M213" i="3" s="1"/>
  <c r="M214" i="3" s="1"/>
  <c r="M215" i="3" s="1"/>
  <c r="M216" i="3" s="1"/>
  <c r="M217" i="3" s="1"/>
  <c r="M218" i="3" s="1"/>
  <c r="M219" i="3" s="1"/>
  <c r="M220" i="3" s="1"/>
  <c r="M221" i="3" s="1"/>
  <c r="M222" i="3" s="1"/>
  <c r="M223" i="3" s="1"/>
  <c r="M224" i="3" s="1"/>
  <c r="M225" i="3" s="1"/>
  <c r="M226" i="3" s="1"/>
  <c r="M227" i="3" s="1"/>
  <c r="M228" i="3" s="1"/>
  <c r="M229" i="3" s="1"/>
  <c r="M230" i="3" s="1"/>
  <c r="M231" i="3" s="1"/>
  <c r="M232" i="3" s="1"/>
  <c r="M233" i="3" s="1"/>
  <c r="M234" i="3" s="1"/>
  <c r="M235" i="3" s="1"/>
  <c r="M236" i="3" s="1"/>
  <c r="M237" i="3" s="1"/>
  <c r="M238" i="3" s="1"/>
  <c r="M239" i="3" s="1"/>
  <c r="M240" i="3" s="1"/>
  <c r="M241" i="3" s="1"/>
  <c r="M242" i="3" s="1"/>
  <c r="M243" i="3" s="1"/>
  <c r="M244" i="3" s="1"/>
  <c r="M245" i="3" s="1"/>
  <c r="M246" i="3" s="1"/>
  <c r="M247" i="3" s="1"/>
  <c r="M248" i="3" s="1"/>
  <c r="M249" i="3" s="1"/>
  <c r="M250" i="3" s="1"/>
  <c r="M251" i="3" s="1"/>
  <c r="M252" i="3" s="1"/>
  <c r="M253" i="3" s="1"/>
  <c r="M254" i="3" s="1"/>
  <c r="M255" i="3" s="1"/>
  <c r="M256" i="3" s="1"/>
  <c r="M257" i="3" s="1"/>
  <c r="M258" i="3" s="1"/>
  <c r="M259" i="3" s="1"/>
  <c r="M260" i="3" s="1"/>
  <c r="M261" i="3" s="1"/>
  <c r="M262" i="3" s="1"/>
  <c r="M263" i="3" s="1"/>
  <c r="M264" i="3" s="1"/>
  <c r="M265" i="3" s="1"/>
  <c r="M266" i="3" s="1"/>
  <c r="M267" i="3" s="1"/>
  <c r="M268" i="3" s="1"/>
  <c r="M269" i="3" s="1"/>
  <c r="M270" i="3" s="1"/>
  <c r="M271" i="3" s="1"/>
  <c r="M272" i="3" s="1"/>
  <c r="M273" i="3" s="1"/>
  <c r="M274" i="3" s="1"/>
  <c r="M275" i="3" s="1"/>
  <c r="M276" i="3" s="1"/>
  <c r="M277" i="3" s="1"/>
  <c r="M278" i="3" s="1"/>
  <c r="M279" i="3" s="1"/>
  <c r="M280" i="3" s="1"/>
  <c r="M281" i="3" s="1"/>
  <c r="M282" i="3" s="1"/>
  <c r="M283" i="3" s="1"/>
  <c r="M284" i="3" s="1"/>
  <c r="M285" i="3" s="1"/>
  <c r="M286" i="3" s="1"/>
  <c r="M287" i="3" s="1"/>
  <c r="M288" i="3" s="1"/>
  <c r="M289" i="3" s="1"/>
  <c r="M290" i="3" s="1"/>
  <c r="M291" i="3" s="1"/>
  <c r="M292" i="3" s="1"/>
  <c r="M293" i="3" s="1"/>
  <c r="M294" i="3" s="1"/>
  <c r="M295" i="3" s="1"/>
  <c r="M296" i="3" s="1"/>
  <c r="M297" i="3" s="1"/>
  <c r="M298" i="3" s="1"/>
  <c r="M299" i="3" s="1"/>
  <c r="M300" i="3" s="1"/>
  <c r="M301" i="3" s="1"/>
  <c r="M302" i="3" s="1"/>
  <c r="M303" i="3" s="1"/>
  <c r="M304" i="3" s="1"/>
  <c r="M305" i="3" s="1"/>
  <c r="M306" i="3" s="1"/>
  <c r="M307" i="3" s="1"/>
  <c r="M308" i="3" s="1"/>
  <c r="M309" i="3" s="1"/>
  <c r="M310" i="3" s="1"/>
  <c r="M311" i="3" s="1"/>
  <c r="M312" i="3" s="1"/>
  <c r="M313" i="3" s="1"/>
  <c r="M314" i="3" s="1"/>
  <c r="M315" i="3" s="1"/>
  <c r="M316" i="3" s="1"/>
  <c r="M317" i="3" s="1"/>
  <c r="M318" i="3" s="1"/>
  <c r="M319" i="3" s="1"/>
  <c r="M320" i="3" s="1"/>
  <c r="M321" i="3" s="1"/>
  <c r="M322" i="3" s="1"/>
  <c r="M323" i="3" s="1"/>
  <c r="M324" i="3" s="1"/>
  <c r="M325" i="3" s="1"/>
  <c r="M326" i="3" s="1"/>
  <c r="M327" i="3" s="1"/>
  <c r="M328" i="3" s="1"/>
  <c r="M329" i="3" s="1"/>
  <c r="M330" i="3" s="1"/>
  <c r="M331" i="3" s="1"/>
  <c r="M332" i="3" s="1"/>
  <c r="M333" i="3" s="1"/>
  <c r="M334" i="3" s="1"/>
  <c r="M335" i="3" s="1"/>
  <c r="M336" i="3" s="1"/>
  <c r="M337" i="3" s="1"/>
  <c r="M338" i="3" s="1"/>
  <c r="M339" i="3" s="1"/>
  <c r="M340" i="3" s="1"/>
  <c r="M341" i="3" s="1"/>
  <c r="M342" i="3" s="1"/>
  <c r="M343" i="3" s="1"/>
  <c r="M344" i="3" s="1"/>
  <c r="M345" i="3" s="1"/>
  <c r="M346" i="3" s="1"/>
  <c r="M347" i="3" s="1"/>
  <c r="M348" i="3" s="1"/>
  <c r="M349" i="3" s="1"/>
  <c r="M350" i="3" s="1"/>
  <c r="M351" i="3" s="1"/>
  <c r="M352" i="3" s="1"/>
  <c r="M353" i="3" s="1"/>
  <c r="M354" i="3" s="1"/>
  <c r="M355" i="3" s="1"/>
  <c r="M356" i="3" s="1"/>
  <c r="M357" i="3" s="1"/>
  <c r="M358" i="3" s="1"/>
  <c r="M359" i="3" s="1"/>
  <c r="M360" i="3" s="1"/>
  <c r="M361" i="3" s="1"/>
  <c r="M362" i="3" s="1"/>
  <c r="M363" i="3" s="1"/>
  <c r="M364" i="3" s="1"/>
  <c r="M365" i="3" s="1"/>
  <c r="M366" i="3" s="1"/>
  <c r="M367" i="3" s="1"/>
  <c r="M368" i="3" s="1"/>
  <c r="M369" i="3" s="1"/>
  <c r="M370" i="3" s="1"/>
  <c r="M371" i="3" s="1"/>
  <c r="M372" i="3" s="1"/>
  <c r="M373" i="3" s="1"/>
  <c r="M374" i="3" s="1"/>
  <c r="M375" i="3" s="1"/>
  <c r="M376" i="3" s="1"/>
  <c r="M377" i="3" s="1"/>
  <c r="M378" i="3" s="1"/>
  <c r="M379" i="3" s="1"/>
  <c r="M380" i="3" s="1"/>
  <c r="M381" i="3" s="1"/>
  <c r="M382" i="3" s="1"/>
  <c r="M383" i="3" s="1"/>
  <c r="M384" i="3" s="1"/>
  <c r="M385" i="3" s="1"/>
  <c r="M386" i="3" s="1"/>
  <c r="M387" i="3" s="1"/>
  <c r="M388" i="3" s="1"/>
  <c r="M389" i="3" s="1"/>
  <c r="M390" i="3" s="1"/>
  <c r="M391" i="3" s="1"/>
  <c r="M392" i="3" s="1"/>
  <c r="M393" i="3" s="1"/>
  <c r="M394" i="3" s="1"/>
  <c r="M395" i="3" s="1"/>
  <c r="M396" i="3" s="1"/>
  <c r="M397" i="3" s="1"/>
  <c r="M398" i="3" s="1"/>
  <c r="M399" i="3" s="1"/>
  <c r="M400" i="3" s="1"/>
  <c r="M401" i="3" s="1"/>
  <c r="M402" i="3" s="1"/>
  <c r="M403" i="3" s="1"/>
  <c r="M404" i="3" s="1"/>
  <c r="M405" i="3" s="1"/>
  <c r="M406" i="3" s="1"/>
  <c r="M407" i="3" s="1"/>
  <c r="M408" i="3" s="1"/>
  <c r="M409" i="3" s="1"/>
  <c r="M410" i="3" s="1"/>
  <c r="M411" i="3" s="1"/>
  <c r="M412" i="3" s="1"/>
  <c r="M413" i="3" s="1"/>
  <c r="M414" i="3" s="1"/>
  <c r="M415" i="3" s="1"/>
  <c r="M416" i="3" s="1"/>
  <c r="M417" i="3" s="1"/>
  <c r="M418" i="3" s="1"/>
  <c r="M419" i="3" s="1"/>
  <c r="M420" i="3" s="1"/>
  <c r="M421" i="3" s="1"/>
  <c r="M422" i="3" s="1"/>
  <c r="M423" i="3" s="1"/>
  <c r="M424" i="3" s="1"/>
  <c r="M425" i="3" s="1"/>
  <c r="M426" i="3" s="1"/>
  <c r="M427" i="3" s="1"/>
  <c r="M428" i="3" s="1"/>
  <c r="M429" i="3" s="1"/>
  <c r="M430" i="3" s="1"/>
  <c r="M431" i="3" s="1"/>
  <c r="M432" i="3" s="1"/>
  <c r="M433" i="3" s="1"/>
  <c r="M434" i="3" s="1"/>
  <c r="M435" i="3" s="1"/>
  <c r="M436" i="3" s="1"/>
  <c r="M437" i="3" s="1"/>
  <c r="M438" i="3" s="1"/>
  <c r="M439" i="3" s="1"/>
  <c r="M440" i="3" s="1"/>
  <c r="M441" i="3" s="1"/>
  <c r="M442" i="3" s="1"/>
  <c r="M443" i="3" s="1"/>
  <c r="M444" i="3" s="1"/>
  <c r="M445" i="3" s="1"/>
  <c r="M446" i="3" s="1"/>
  <c r="M447" i="3" s="1"/>
  <c r="M448" i="3" s="1"/>
  <c r="M449" i="3" s="1"/>
  <c r="M450" i="3" s="1"/>
  <c r="M451" i="3" s="1"/>
  <c r="M452" i="3" s="1"/>
  <c r="M453" i="3" s="1"/>
  <c r="M454" i="3" s="1"/>
  <c r="M455" i="3" s="1"/>
  <c r="M456" i="3" s="1"/>
  <c r="M457" i="3" s="1"/>
  <c r="M458" i="3" s="1"/>
  <c r="M459" i="3" s="1"/>
  <c r="M460" i="3" s="1"/>
  <c r="M461" i="3" s="1"/>
  <c r="M462" i="3" s="1"/>
  <c r="M463" i="3" s="1"/>
  <c r="M464" i="3" s="1"/>
  <c r="M465" i="3" s="1"/>
  <c r="M466" i="3" s="1"/>
  <c r="M467" i="3" s="1"/>
  <c r="M468" i="3" s="1"/>
  <c r="M469" i="3" s="1"/>
  <c r="M470" i="3" s="1"/>
  <c r="M471" i="3" s="1"/>
  <c r="M472" i="3" s="1"/>
  <c r="M473" i="3" s="1"/>
  <c r="M474" i="3" s="1"/>
  <c r="M475" i="3" s="1"/>
  <c r="M476" i="3" s="1"/>
  <c r="M477" i="3" s="1"/>
  <c r="M478" i="3" s="1"/>
  <c r="M479" i="3" s="1"/>
  <c r="M480" i="3" s="1"/>
  <c r="M481" i="3" s="1"/>
  <c r="M482" i="3" s="1"/>
  <c r="M483" i="3" s="1"/>
  <c r="M484" i="3" s="1"/>
  <c r="M485" i="3" s="1"/>
  <c r="M486" i="3" s="1"/>
  <c r="M487" i="3" s="1"/>
  <c r="M488" i="3" s="1"/>
  <c r="M489" i="3" s="1"/>
  <c r="M490" i="3" s="1"/>
  <c r="M491" i="3" s="1"/>
  <c r="M492" i="3" s="1"/>
  <c r="M493" i="3" s="1"/>
  <c r="M494" i="3" s="1"/>
  <c r="M495" i="3" s="1"/>
  <c r="M496" i="3" s="1"/>
  <c r="M497" i="3" s="1"/>
  <c r="M498" i="3" s="1"/>
  <c r="M499" i="3" s="1"/>
  <c r="M500" i="3" s="1"/>
  <c r="M501" i="3" s="1"/>
  <c r="M502" i="3" s="1"/>
  <c r="M503" i="3" s="1"/>
  <c r="M504" i="3" s="1"/>
  <c r="M505" i="3" s="1"/>
  <c r="M506" i="3" s="1"/>
  <c r="M507" i="3" s="1"/>
  <c r="M508" i="3" s="1"/>
  <c r="M509" i="3" s="1"/>
  <c r="M510" i="3" s="1"/>
  <c r="M511" i="3" s="1"/>
  <c r="M512" i="3" s="1"/>
  <c r="M513" i="3" s="1"/>
  <c r="M514" i="3" s="1"/>
  <c r="M515" i="3" s="1"/>
  <c r="M516" i="3" s="1"/>
  <c r="M517" i="3" s="1"/>
  <c r="M518" i="3" s="1"/>
  <c r="M519" i="3" s="1"/>
  <c r="M520" i="3" s="1"/>
  <c r="M521" i="3" s="1"/>
  <c r="M522" i="3" s="1"/>
  <c r="M523" i="3" s="1"/>
  <c r="M524" i="3" s="1"/>
  <c r="M525" i="3" s="1"/>
  <c r="M526" i="3" s="1"/>
  <c r="M527" i="3" s="1"/>
  <c r="M528" i="3" s="1"/>
  <c r="M529" i="3" s="1"/>
  <c r="M530" i="3" s="1"/>
  <c r="M531" i="3" s="1"/>
  <c r="M532" i="3" s="1"/>
  <c r="M533" i="3" s="1"/>
  <c r="M534" i="3" s="1"/>
  <c r="M535" i="3" s="1"/>
  <c r="M536" i="3" s="1"/>
  <c r="L37" i="3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L105" i="3" s="1"/>
  <c r="L106" i="3" s="1"/>
  <c r="L107" i="3" s="1"/>
  <c r="L108" i="3" s="1"/>
  <c r="L109" i="3" s="1"/>
  <c r="L110" i="3" s="1"/>
  <c r="L111" i="3" s="1"/>
  <c r="L112" i="3" s="1"/>
  <c r="L113" i="3" s="1"/>
  <c r="L114" i="3" s="1"/>
  <c r="L115" i="3" s="1"/>
  <c r="L116" i="3" s="1"/>
  <c r="L117" i="3" s="1"/>
  <c r="L118" i="3" s="1"/>
  <c r="L119" i="3" s="1"/>
  <c r="L120" i="3" s="1"/>
  <c r="L121" i="3" s="1"/>
  <c r="L122" i="3" s="1"/>
  <c r="L123" i="3" s="1"/>
  <c r="L124" i="3" s="1"/>
  <c r="L125" i="3" s="1"/>
  <c r="L126" i="3" s="1"/>
  <c r="L127" i="3" s="1"/>
  <c r="L128" i="3" s="1"/>
  <c r="L129" i="3" s="1"/>
  <c r="L130" i="3" s="1"/>
  <c r="L131" i="3" s="1"/>
  <c r="L132" i="3" s="1"/>
  <c r="L133" i="3" s="1"/>
  <c r="L134" i="3" s="1"/>
  <c r="L135" i="3" s="1"/>
  <c r="L136" i="3" s="1"/>
  <c r="L137" i="3" s="1"/>
  <c r="L138" i="3" s="1"/>
  <c r="L139" i="3" s="1"/>
  <c r="L140" i="3" s="1"/>
  <c r="L141" i="3" s="1"/>
  <c r="L142" i="3" s="1"/>
  <c r="L143" i="3" s="1"/>
  <c r="L144" i="3" s="1"/>
  <c r="L145" i="3" s="1"/>
  <c r="L146" i="3" s="1"/>
  <c r="L147" i="3" s="1"/>
  <c r="L148" i="3" s="1"/>
  <c r="L149" i="3" s="1"/>
  <c r="L150" i="3" s="1"/>
  <c r="L151" i="3" s="1"/>
  <c r="L152" i="3" s="1"/>
  <c r="L153" i="3" s="1"/>
  <c r="L154" i="3" s="1"/>
  <c r="L155" i="3" s="1"/>
  <c r="L156" i="3" s="1"/>
  <c r="L157" i="3" s="1"/>
  <c r="L158" i="3" s="1"/>
  <c r="L159" i="3" s="1"/>
  <c r="L160" i="3" s="1"/>
  <c r="L161" i="3" s="1"/>
  <c r="L162" i="3" s="1"/>
  <c r="L163" i="3" s="1"/>
  <c r="L164" i="3" s="1"/>
  <c r="L165" i="3" s="1"/>
  <c r="L166" i="3" s="1"/>
  <c r="L167" i="3" s="1"/>
  <c r="L168" i="3" s="1"/>
  <c r="L169" i="3" s="1"/>
  <c r="L170" i="3" s="1"/>
  <c r="L171" i="3" s="1"/>
  <c r="L172" i="3" s="1"/>
  <c r="L173" i="3" s="1"/>
  <c r="L174" i="3" s="1"/>
  <c r="L175" i="3" s="1"/>
  <c r="L176" i="3" s="1"/>
  <c r="L177" i="3" s="1"/>
  <c r="L178" i="3" s="1"/>
  <c r="L179" i="3" s="1"/>
  <c r="L180" i="3" s="1"/>
  <c r="L181" i="3" s="1"/>
  <c r="L182" i="3" s="1"/>
  <c r="L183" i="3" s="1"/>
  <c r="L184" i="3" s="1"/>
  <c r="L185" i="3" s="1"/>
  <c r="L186" i="3" s="1"/>
  <c r="L187" i="3" s="1"/>
  <c r="L188" i="3" s="1"/>
  <c r="L189" i="3" s="1"/>
  <c r="L190" i="3" s="1"/>
  <c r="L191" i="3" s="1"/>
  <c r="L192" i="3" s="1"/>
  <c r="L193" i="3" s="1"/>
  <c r="L194" i="3" s="1"/>
  <c r="L195" i="3" s="1"/>
  <c r="L196" i="3" s="1"/>
  <c r="L197" i="3" s="1"/>
  <c r="L198" i="3" s="1"/>
  <c r="L199" i="3" s="1"/>
  <c r="L200" i="3" s="1"/>
  <c r="L201" i="3" s="1"/>
  <c r="L202" i="3" s="1"/>
  <c r="L203" i="3" s="1"/>
  <c r="L204" i="3" s="1"/>
  <c r="L205" i="3" s="1"/>
  <c r="L206" i="3" s="1"/>
  <c r="L207" i="3" s="1"/>
  <c r="L208" i="3" s="1"/>
  <c r="L209" i="3" s="1"/>
  <c r="L210" i="3" s="1"/>
  <c r="L211" i="3" s="1"/>
  <c r="L212" i="3" s="1"/>
  <c r="L213" i="3" s="1"/>
  <c r="L214" i="3" s="1"/>
  <c r="L215" i="3" s="1"/>
  <c r="L216" i="3" s="1"/>
  <c r="L217" i="3" s="1"/>
  <c r="L218" i="3" s="1"/>
  <c r="L219" i="3" s="1"/>
  <c r="L220" i="3" s="1"/>
  <c r="L221" i="3" s="1"/>
  <c r="L222" i="3" s="1"/>
  <c r="L223" i="3" s="1"/>
  <c r="L224" i="3" s="1"/>
  <c r="L225" i="3" s="1"/>
  <c r="L226" i="3" s="1"/>
  <c r="L227" i="3" s="1"/>
  <c r="L228" i="3" s="1"/>
  <c r="L229" i="3" s="1"/>
  <c r="L230" i="3" s="1"/>
  <c r="L231" i="3" s="1"/>
  <c r="L232" i="3" s="1"/>
  <c r="L233" i="3" s="1"/>
  <c r="L234" i="3" s="1"/>
  <c r="L235" i="3" s="1"/>
  <c r="L236" i="3" s="1"/>
  <c r="L237" i="3" s="1"/>
  <c r="L238" i="3" s="1"/>
  <c r="L239" i="3" s="1"/>
  <c r="L240" i="3" s="1"/>
  <c r="L241" i="3" s="1"/>
  <c r="L242" i="3" s="1"/>
  <c r="L243" i="3" s="1"/>
  <c r="L244" i="3" s="1"/>
  <c r="L245" i="3" s="1"/>
  <c r="L246" i="3" s="1"/>
  <c r="L247" i="3" s="1"/>
  <c r="L248" i="3" s="1"/>
  <c r="L249" i="3" s="1"/>
  <c r="L250" i="3" s="1"/>
  <c r="L251" i="3" s="1"/>
  <c r="L252" i="3" s="1"/>
  <c r="L253" i="3" s="1"/>
  <c r="L254" i="3" s="1"/>
  <c r="L255" i="3" s="1"/>
  <c r="L256" i="3" s="1"/>
  <c r="L257" i="3" s="1"/>
  <c r="L258" i="3" s="1"/>
  <c r="L259" i="3" s="1"/>
  <c r="L260" i="3" s="1"/>
  <c r="L261" i="3" s="1"/>
  <c r="L262" i="3" s="1"/>
  <c r="L263" i="3" s="1"/>
  <c r="L264" i="3" s="1"/>
  <c r="L265" i="3" s="1"/>
  <c r="L266" i="3" s="1"/>
  <c r="L267" i="3" s="1"/>
  <c r="L268" i="3" s="1"/>
  <c r="L269" i="3" s="1"/>
  <c r="L270" i="3" s="1"/>
  <c r="L271" i="3" s="1"/>
  <c r="L272" i="3" s="1"/>
  <c r="L273" i="3" s="1"/>
  <c r="L274" i="3" s="1"/>
  <c r="L275" i="3" s="1"/>
  <c r="L276" i="3" s="1"/>
  <c r="L277" i="3" s="1"/>
  <c r="L278" i="3" s="1"/>
  <c r="L279" i="3" s="1"/>
  <c r="L280" i="3" s="1"/>
  <c r="L281" i="3" s="1"/>
  <c r="L282" i="3" s="1"/>
  <c r="L283" i="3" s="1"/>
  <c r="L284" i="3" s="1"/>
  <c r="L285" i="3" s="1"/>
  <c r="L286" i="3" s="1"/>
  <c r="L287" i="3" s="1"/>
  <c r="L288" i="3" s="1"/>
  <c r="L289" i="3" s="1"/>
  <c r="L290" i="3" s="1"/>
  <c r="L291" i="3" s="1"/>
  <c r="L292" i="3" s="1"/>
  <c r="L293" i="3" s="1"/>
  <c r="L294" i="3" s="1"/>
  <c r="L295" i="3" s="1"/>
  <c r="L296" i="3" s="1"/>
  <c r="L297" i="3" s="1"/>
  <c r="L298" i="3" s="1"/>
  <c r="L299" i="3" s="1"/>
  <c r="L300" i="3" s="1"/>
  <c r="L301" i="3" s="1"/>
  <c r="L302" i="3" s="1"/>
  <c r="L303" i="3" s="1"/>
  <c r="L304" i="3" s="1"/>
  <c r="L305" i="3" s="1"/>
  <c r="L306" i="3" s="1"/>
  <c r="L307" i="3" s="1"/>
  <c r="L308" i="3" s="1"/>
  <c r="L309" i="3" s="1"/>
  <c r="L310" i="3" s="1"/>
  <c r="L311" i="3" s="1"/>
  <c r="L312" i="3" s="1"/>
  <c r="L313" i="3" s="1"/>
  <c r="L314" i="3" s="1"/>
  <c r="L315" i="3" s="1"/>
  <c r="L316" i="3" s="1"/>
  <c r="L317" i="3" s="1"/>
  <c r="L318" i="3" s="1"/>
  <c r="L319" i="3" s="1"/>
  <c r="L320" i="3" s="1"/>
  <c r="L321" i="3" s="1"/>
  <c r="L322" i="3" s="1"/>
  <c r="L323" i="3" s="1"/>
  <c r="L324" i="3" s="1"/>
  <c r="L325" i="3" s="1"/>
  <c r="L326" i="3" s="1"/>
  <c r="L327" i="3" s="1"/>
  <c r="L328" i="3" s="1"/>
  <c r="L329" i="3" s="1"/>
  <c r="L330" i="3" s="1"/>
  <c r="L331" i="3" s="1"/>
  <c r="L332" i="3" s="1"/>
  <c r="L333" i="3" s="1"/>
  <c r="L334" i="3" s="1"/>
  <c r="L335" i="3" s="1"/>
  <c r="L336" i="3" s="1"/>
  <c r="L337" i="3" s="1"/>
  <c r="L338" i="3" s="1"/>
  <c r="L339" i="3" s="1"/>
  <c r="L340" i="3" s="1"/>
  <c r="L341" i="3" s="1"/>
  <c r="L342" i="3" s="1"/>
  <c r="L343" i="3" s="1"/>
  <c r="L344" i="3" s="1"/>
  <c r="L345" i="3" s="1"/>
  <c r="L346" i="3" s="1"/>
  <c r="L347" i="3" s="1"/>
  <c r="L348" i="3" s="1"/>
  <c r="L349" i="3" s="1"/>
  <c r="L350" i="3" s="1"/>
  <c r="L351" i="3" s="1"/>
  <c r="L352" i="3" s="1"/>
  <c r="L353" i="3" s="1"/>
  <c r="L354" i="3" s="1"/>
  <c r="L355" i="3" s="1"/>
  <c r="L356" i="3" s="1"/>
  <c r="L357" i="3" s="1"/>
  <c r="L358" i="3" s="1"/>
  <c r="L359" i="3" s="1"/>
  <c r="L360" i="3" s="1"/>
  <c r="L361" i="3" s="1"/>
  <c r="L362" i="3" s="1"/>
  <c r="L363" i="3" s="1"/>
  <c r="L364" i="3" s="1"/>
  <c r="L365" i="3" s="1"/>
  <c r="L366" i="3" s="1"/>
  <c r="L367" i="3" s="1"/>
  <c r="L368" i="3" s="1"/>
  <c r="L369" i="3" s="1"/>
  <c r="L370" i="3" s="1"/>
  <c r="L371" i="3" s="1"/>
  <c r="L372" i="3" s="1"/>
  <c r="L373" i="3" s="1"/>
  <c r="L374" i="3" s="1"/>
  <c r="L375" i="3" s="1"/>
  <c r="L376" i="3" s="1"/>
  <c r="L377" i="3" s="1"/>
  <c r="L378" i="3" s="1"/>
  <c r="L379" i="3" s="1"/>
  <c r="L380" i="3" s="1"/>
  <c r="L381" i="3" s="1"/>
  <c r="L382" i="3" s="1"/>
  <c r="L383" i="3" s="1"/>
  <c r="L384" i="3" s="1"/>
  <c r="L385" i="3" s="1"/>
  <c r="L386" i="3" s="1"/>
  <c r="L387" i="3" s="1"/>
  <c r="L388" i="3" s="1"/>
  <c r="L389" i="3" s="1"/>
  <c r="L390" i="3" s="1"/>
  <c r="L391" i="3" s="1"/>
  <c r="L392" i="3" s="1"/>
  <c r="L393" i="3" s="1"/>
  <c r="L394" i="3" s="1"/>
  <c r="L395" i="3" s="1"/>
  <c r="L396" i="3" s="1"/>
  <c r="L397" i="3" s="1"/>
  <c r="L398" i="3" s="1"/>
  <c r="L399" i="3" s="1"/>
  <c r="L400" i="3" s="1"/>
  <c r="L401" i="3" s="1"/>
  <c r="L402" i="3" s="1"/>
  <c r="L403" i="3" s="1"/>
  <c r="L404" i="3" s="1"/>
  <c r="L405" i="3" s="1"/>
  <c r="L406" i="3" s="1"/>
  <c r="L407" i="3" s="1"/>
  <c r="L408" i="3" s="1"/>
  <c r="L409" i="3" s="1"/>
  <c r="L410" i="3" s="1"/>
  <c r="L411" i="3" s="1"/>
  <c r="L412" i="3" s="1"/>
  <c r="L413" i="3" s="1"/>
  <c r="L414" i="3" s="1"/>
  <c r="L415" i="3" s="1"/>
  <c r="L416" i="3" s="1"/>
  <c r="L417" i="3" s="1"/>
  <c r="L418" i="3" s="1"/>
  <c r="L419" i="3" s="1"/>
  <c r="L420" i="3" s="1"/>
  <c r="L421" i="3" s="1"/>
  <c r="L422" i="3" s="1"/>
  <c r="L423" i="3" s="1"/>
  <c r="L424" i="3" s="1"/>
  <c r="L425" i="3" s="1"/>
  <c r="L426" i="3" s="1"/>
  <c r="L427" i="3" s="1"/>
  <c r="L428" i="3" s="1"/>
  <c r="L429" i="3" s="1"/>
  <c r="L430" i="3" s="1"/>
  <c r="L431" i="3" s="1"/>
  <c r="L432" i="3" s="1"/>
  <c r="L433" i="3" s="1"/>
  <c r="L434" i="3" s="1"/>
  <c r="L435" i="3" s="1"/>
  <c r="L436" i="3" s="1"/>
  <c r="L437" i="3" s="1"/>
  <c r="L438" i="3" s="1"/>
  <c r="L439" i="3" s="1"/>
  <c r="L440" i="3" s="1"/>
  <c r="L441" i="3" s="1"/>
  <c r="L442" i="3" s="1"/>
  <c r="L443" i="3" s="1"/>
  <c r="L444" i="3" s="1"/>
  <c r="L445" i="3" s="1"/>
  <c r="L446" i="3" s="1"/>
  <c r="L447" i="3" s="1"/>
  <c r="L448" i="3" s="1"/>
  <c r="L449" i="3" s="1"/>
  <c r="L450" i="3" s="1"/>
  <c r="L451" i="3" s="1"/>
  <c r="L452" i="3" s="1"/>
  <c r="L453" i="3" s="1"/>
  <c r="L454" i="3" s="1"/>
  <c r="L455" i="3" s="1"/>
  <c r="L456" i="3" s="1"/>
  <c r="L457" i="3" s="1"/>
  <c r="L458" i="3" s="1"/>
  <c r="L459" i="3" s="1"/>
  <c r="L460" i="3" s="1"/>
  <c r="L461" i="3" s="1"/>
  <c r="L462" i="3" s="1"/>
  <c r="L463" i="3" s="1"/>
  <c r="L464" i="3" s="1"/>
  <c r="L465" i="3" s="1"/>
  <c r="L466" i="3" s="1"/>
  <c r="L467" i="3" s="1"/>
  <c r="L468" i="3" s="1"/>
  <c r="L469" i="3" s="1"/>
  <c r="L470" i="3" s="1"/>
  <c r="L471" i="3" s="1"/>
  <c r="L472" i="3" s="1"/>
  <c r="L473" i="3" s="1"/>
  <c r="L474" i="3" s="1"/>
  <c r="L475" i="3" s="1"/>
  <c r="L476" i="3" s="1"/>
  <c r="L477" i="3" s="1"/>
  <c r="L478" i="3" s="1"/>
  <c r="L479" i="3" s="1"/>
  <c r="L480" i="3" s="1"/>
  <c r="L481" i="3" s="1"/>
  <c r="L482" i="3" s="1"/>
  <c r="L483" i="3" s="1"/>
  <c r="L484" i="3" s="1"/>
  <c r="L485" i="3" s="1"/>
  <c r="L486" i="3" s="1"/>
  <c r="L487" i="3" s="1"/>
  <c r="L488" i="3" s="1"/>
  <c r="L489" i="3" s="1"/>
  <c r="L490" i="3" s="1"/>
  <c r="L491" i="3" s="1"/>
  <c r="L492" i="3" s="1"/>
  <c r="L493" i="3" s="1"/>
  <c r="L494" i="3" s="1"/>
  <c r="L495" i="3" s="1"/>
  <c r="L496" i="3" s="1"/>
  <c r="L497" i="3" s="1"/>
  <c r="L498" i="3" s="1"/>
  <c r="L499" i="3" s="1"/>
  <c r="L500" i="3" s="1"/>
  <c r="L501" i="3" s="1"/>
  <c r="L502" i="3" s="1"/>
  <c r="L503" i="3" s="1"/>
  <c r="L504" i="3" s="1"/>
  <c r="L505" i="3" s="1"/>
  <c r="L506" i="3" s="1"/>
  <c r="L507" i="3" s="1"/>
  <c r="L508" i="3" s="1"/>
  <c r="L509" i="3" s="1"/>
  <c r="L510" i="3" s="1"/>
  <c r="L511" i="3" s="1"/>
  <c r="L512" i="3" s="1"/>
  <c r="L513" i="3" s="1"/>
  <c r="L514" i="3" s="1"/>
  <c r="L515" i="3" s="1"/>
  <c r="L516" i="3" s="1"/>
  <c r="L517" i="3" s="1"/>
  <c r="L518" i="3" s="1"/>
  <c r="L519" i="3" s="1"/>
  <c r="L520" i="3" s="1"/>
  <c r="L521" i="3" s="1"/>
  <c r="L522" i="3" s="1"/>
  <c r="L523" i="3" s="1"/>
  <c r="L524" i="3" s="1"/>
  <c r="L525" i="3" s="1"/>
  <c r="L526" i="3" s="1"/>
  <c r="L527" i="3" s="1"/>
  <c r="L528" i="3" s="1"/>
  <c r="L529" i="3" s="1"/>
  <c r="L530" i="3" s="1"/>
  <c r="L531" i="3" s="1"/>
  <c r="L532" i="3" s="1"/>
  <c r="L533" i="3" s="1"/>
  <c r="L534" i="3" s="1"/>
  <c r="L535" i="3" s="1"/>
  <c r="L536" i="3" s="1"/>
  <c r="K37" i="3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126" i="3" s="1"/>
  <c r="K127" i="3" s="1"/>
  <c r="K128" i="3" s="1"/>
  <c r="K129" i="3" s="1"/>
  <c r="K130" i="3" s="1"/>
  <c r="K131" i="3" s="1"/>
  <c r="K132" i="3" s="1"/>
  <c r="K133" i="3" s="1"/>
  <c r="K134" i="3" s="1"/>
  <c r="K135" i="3" s="1"/>
  <c r="K136" i="3" s="1"/>
  <c r="K137" i="3" s="1"/>
  <c r="K138" i="3" s="1"/>
  <c r="K139" i="3" s="1"/>
  <c r="K140" i="3" s="1"/>
  <c r="K141" i="3" s="1"/>
  <c r="K142" i="3" s="1"/>
  <c r="K143" i="3" s="1"/>
  <c r="K144" i="3" s="1"/>
  <c r="K145" i="3" s="1"/>
  <c r="K146" i="3" s="1"/>
  <c r="K147" i="3" s="1"/>
  <c r="K148" i="3" s="1"/>
  <c r="K149" i="3" s="1"/>
  <c r="K150" i="3" s="1"/>
  <c r="K151" i="3" s="1"/>
  <c r="K152" i="3" s="1"/>
  <c r="K153" i="3" s="1"/>
  <c r="K154" i="3" s="1"/>
  <c r="K155" i="3" s="1"/>
  <c r="K156" i="3" s="1"/>
  <c r="K157" i="3" s="1"/>
  <c r="K158" i="3" s="1"/>
  <c r="K159" i="3" s="1"/>
  <c r="K160" i="3" s="1"/>
  <c r="K161" i="3" s="1"/>
  <c r="K162" i="3" s="1"/>
  <c r="K163" i="3" s="1"/>
  <c r="K164" i="3" s="1"/>
  <c r="K165" i="3" s="1"/>
  <c r="K166" i="3" s="1"/>
  <c r="K167" i="3" s="1"/>
  <c r="K168" i="3" s="1"/>
  <c r="K169" i="3" s="1"/>
  <c r="K170" i="3" s="1"/>
  <c r="K171" i="3" s="1"/>
  <c r="K172" i="3" s="1"/>
  <c r="K173" i="3" s="1"/>
  <c r="K174" i="3" s="1"/>
  <c r="K175" i="3" s="1"/>
  <c r="K176" i="3" s="1"/>
  <c r="K177" i="3" s="1"/>
  <c r="K178" i="3" s="1"/>
  <c r="K179" i="3" s="1"/>
  <c r="K180" i="3" s="1"/>
  <c r="K181" i="3" s="1"/>
  <c r="K182" i="3" s="1"/>
  <c r="K183" i="3" s="1"/>
  <c r="K184" i="3" s="1"/>
  <c r="K185" i="3" s="1"/>
  <c r="K186" i="3" s="1"/>
  <c r="K187" i="3" s="1"/>
  <c r="K188" i="3" s="1"/>
  <c r="K189" i="3" s="1"/>
  <c r="K190" i="3" s="1"/>
  <c r="K191" i="3" s="1"/>
  <c r="K192" i="3" s="1"/>
  <c r="K193" i="3" s="1"/>
  <c r="K194" i="3" s="1"/>
  <c r="K195" i="3" s="1"/>
  <c r="K196" i="3" s="1"/>
  <c r="K197" i="3" s="1"/>
  <c r="K198" i="3" s="1"/>
  <c r="K199" i="3" s="1"/>
  <c r="K200" i="3" s="1"/>
  <c r="K201" i="3" s="1"/>
  <c r="K202" i="3" s="1"/>
  <c r="K203" i="3" s="1"/>
  <c r="K204" i="3" s="1"/>
  <c r="K205" i="3" s="1"/>
  <c r="K206" i="3" s="1"/>
  <c r="K207" i="3" s="1"/>
  <c r="K208" i="3" s="1"/>
  <c r="K209" i="3" s="1"/>
  <c r="K210" i="3" s="1"/>
  <c r="K211" i="3" s="1"/>
  <c r="K212" i="3" s="1"/>
  <c r="K213" i="3" s="1"/>
  <c r="K214" i="3" s="1"/>
  <c r="K215" i="3" s="1"/>
  <c r="K216" i="3" s="1"/>
  <c r="K217" i="3" s="1"/>
  <c r="K218" i="3" s="1"/>
  <c r="K219" i="3" s="1"/>
  <c r="K220" i="3" s="1"/>
  <c r="K221" i="3" s="1"/>
  <c r="K222" i="3" s="1"/>
  <c r="K223" i="3" s="1"/>
  <c r="K224" i="3" s="1"/>
  <c r="K225" i="3" s="1"/>
  <c r="K226" i="3" s="1"/>
  <c r="K227" i="3" s="1"/>
  <c r="K228" i="3" s="1"/>
  <c r="K229" i="3" s="1"/>
  <c r="K230" i="3" s="1"/>
  <c r="K231" i="3" s="1"/>
  <c r="K232" i="3" s="1"/>
  <c r="K233" i="3" s="1"/>
  <c r="K234" i="3" s="1"/>
  <c r="K235" i="3" s="1"/>
  <c r="K236" i="3" s="1"/>
  <c r="K237" i="3" s="1"/>
  <c r="K238" i="3" s="1"/>
  <c r="K239" i="3" s="1"/>
  <c r="K240" i="3" s="1"/>
  <c r="K241" i="3" s="1"/>
  <c r="K242" i="3" s="1"/>
  <c r="K243" i="3" s="1"/>
  <c r="K244" i="3" s="1"/>
  <c r="K245" i="3" s="1"/>
  <c r="K246" i="3" s="1"/>
  <c r="K247" i="3" s="1"/>
  <c r="K248" i="3" s="1"/>
  <c r="K249" i="3" s="1"/>
  <c r="K250" i="3" s="1"/>
  <c r="K251" i="3" s="1"/>
  <c r="K252" i="3" s="1"/>
  <c r="K253" i="3" s="1"/>
  <c r="K254" i="3" s="1"/>
  <c r="K255" i="3" s="1"/>
  <c r="K256" i="3" s="1"/>
  <c r="K257" i="3" s="1"/>
  <c r="K258" i="3" s="1"/>
  <c r="K259" i="3" s="1"/>
  <c r="K260" i="3" s="1"/>
  <c r="K261" i="3" s="1"/>
  <c r="K262" i="3" s="1"/>
  <c r="K263" i="3" s="1"/>
  <c r="K264" i="3" s="1"/>
  <c r="K265" i="3" s="1"/>
  <c r="K266" i="3" s="1"/>
  <c r="K267" i="3" s="1"/>
  <c r="K268" i="3" s="1"/>
  <c r="K269" i="3" s="1"/>
  <c r="K270" i="3" s="1"/>
  <c r="K271" i="3" s="1"/>
  <c r="K272" i="3" s="1"/>
  <c r="K273" i="3" s="1"/>
  <c r="K274" i="3" s="1"/>
  <c r="K275" i="3" s="1"/>
  <c r="K276" i="3" s="1"/>
  <c r="K277" i="3" s="1"/>
  <c r="K278" i="3" s="1"/>
  <c r="K279" i="3" s="1"/>
  <c r="K280" i="3" s="1"/>
  <c r="K281" i="3" s="1"/>
  <c r="K282" i="3" s="1"/>
  <c r="K283" i="3" s="1"/>
  <c r="K284" i="3" s="1"/>
  <c r="K285" i="3" s="1"/>
  <c r="K286" i="3" s="1"/>
  <c r="K287" i="3" s="1"/>
  <c r="K288" i="3" s="1"/>
  <c r="K289" i="3" s="1"/>
  <c r="K290" i="3" s="1"/>
  <c r="K291" i="3" s="1"/>
  <c r="K292" i="3" s="1"/>
  <c r="K293" i="3" s="1"/>
  <c r="K294" i="3" s="1"/>
  <c r="K295" i="3" s="1"/>
  <c r="K296" i="3" s="1"/>
  <c r="K297" i="3" s="1"/>
  <c r="K298" i="3" s="1"/>
  <c r="K299" i="3" s="1"/>
  <c r="K300" i="3" s="1"/>
  <c r="K301" i="3" s="1"/>
  <c r="K302" i="3" s="1"/>
  <c r="K303" i="3" s="1"/>
  <c r="K304" i="3" s="1"/>
  <c r="K305" i="3" s="1"/>
  <c r="K306" i="3" s="1"/>
  <c r="K307" i="3" s="1"/>
  <c r="K308" i="3" s="1"/>
  <c r="K309" i="3" s="1"/>
  <c r="K310" i="3" s="1"/>
  <c r="K311" i="3" s="1"/>
  <c r="K312" i="3" s="1"/>
  <c r="K313" i="3" s="1"/>
  <c r="K314" i="3" s="1"/>
  <c r="K315" i="3" s="1"/>
  <c r="K316" i="3" s="1"/>
  <c r="K317" i="3" s="1"/>
  <c r="K318" i="3" s="1"/>
  <c r="K319" i="3" s="1"/>
  <c r="K320" i="3" s="1"/>
  <c r="K321" i="3" s="1"/>
  <c r="K322" i="3" s="1"/>
  <c r="K323" i="3" s="1"/>
  <c r="K324" i="3" s="1"/>
  <c r="K325" i="3" s="1"/>
  <c r="K326" i="3" s="1"/>
  <c r="K327" i="3" s="1"/>
  <c r="K328" i="3" s="1"/>
  <c r="K329" i="3" s="1"/>
  <c r="K330" i="3" s="1"/>
  <c r="K331" i="3" s="1"/>
  <c r="K332" i="3" s="1"/>
  <c r="K333" i="3" s="1"/>
  <c r="K334" i="3" s="1"/>
  <c r="K335" i="3" s="1"/>
  <c r="K336" i="3" s="1"/>
  <c r="K337" i="3" s="1"/>
  <c r="K338" i="3" s="1"/>
  <c r="K339" i="3" s="1"/>
  <c r="K340" i="3" s="1"/>
  <c r="K341" i="3" s="1"/>
  <c r="K342" i="3" s="1"/>
  <c r="K343" i="3" s="1"/>
  <c r="K344" i="3" s="1"/>
  <c r="K345" i="3" s="1"/>
  <c r="K346" i="3" s="1"/>
  <c r="K347" i="3" s="1"/>
  <c r="K348" i="3" s="1"/>
  <c r="K349" i="3" s="1"/>
  <c r="K350" i="3" s="1"/>
  <c r="K351" i="3" s="1"/>
  <c r="K352" i="3" s="1"/>
  <c r="K353" i="3" s="1"/>
  <c r="K354" i="3" s="1"/>
  <c r="K355" i="3" s="1"/>
  <c r="K356" i="3" s="1"/>
  <c r="K357" i="3" s="1"/>
  <c r="K358" i="3" s="1"/>
  <c r="K359" i="3" s="1"/>
  <c r="K360" i="3" s="1"/>
  <c r="K361" i="3" s="1"/>
  <c r="K362" i="3" s="1"/>
  <c r="K363" i="3" s="1"/>
  <c r="K364" i="3" s="1"/>
  <c r="K365" i="3" s="1"/>
  <c r="K366" i="3" s="1"/>
  <c r="K367" i="3" s="1"/>
  <c r="K368" i="3" s="1"/>
  <c r="K369" i="3" s="1"/>
  <c r="K370" i="3" s="1"/>
  <c r="K371" i="3" s="1"/>
  <c r="K372" i="3" s="1"/>
  <c r="K373" i="3" s="1"/>
  <c r="K374" i="3" s="1"/>
  <c r="K375" i="3" s="1"/>
  <c r="K376" i="3" s="1"/>
  <c r="K377" i="3" s="1"/>
  <c r="K378" i="3" s="1"/>
  <c r="K379" i="3" s="1"/>
  <c r="K380" i="3" s="1"/>
  <c r="K381" i="3" s="1"/>
  <c r="K382" i="3" s="1"/>
  <c r="K383" i="3" s="1"/>
  <c r="K384" i="3" s="1"/>
  <c r="K385" i="3" s="1"/>
  <c r="K386" i="3" s="1"/>
  <c r="K387" i="3" s="1"/>
  <c r="K388" i="3" s="1"/>
  <c r="K389" i="3" s="1"/>
  <c r="K390" i="3" s="1"/>
  <c r="K391" i="3" s="1"/>
  <c r="K392" i="3" s="1"/>
  <c r="K393" i="3" s="1"/>
  <c r="K394" i="3" s="1"/>
  <c r="K395" i="3" s="1"/>
  <c r="K396" i="3" s="1"/>
  <c r="K397" i="3" s="1"/>
  <c r="K398" i="3" s="1"/>
  <c r="K399" i="3" s="1"/>
  <c r="K400" i="3" s="1"/>
  <c r="K401" i="3" s="1"/>
  <c r="K402" i="3" s="1"/>
  <c r="K403" i="3" s="1"/>
  <c r="K404" i="3" s="1"/>
  <c r="K405" i="3" s="1"/>
  <c r="K406" i="3" s="1"/>
  <c r="K407" i="3" s="1"/>
  <c r="K408" i="3" s="1"/>
  <c r="K409" i="3" s="1"/>
  <c r="K410" i="3" s="1"/>
  <c r="K411" i="3" s="1"/>
  <c r="K412" i="3" s="1"/>
  <c r="K413" i="3" s="1"/>
  <c r="K414" i="3" s="1"/>
  <c r="K415" i="3" s="1"/>
  <c r="K416" i="3" s="1"/>
  <c r="K417" i="3" s="1"/>
  <c r="K418" i="3" s="1"/>
  <c r="K419" i="3" s="1"/>
  <c r="K420" i="3" s="1"/>
  <c r="K421" i="3" s="1"/>
  <c r="K422" i="3" s="1"/>
  <c r="K423" i="3" s="1"/>
  <c r="K424" i="3" s="1"/>
  <c r="K425" i="3" s="1"/>
  <c r="K426" i="3" s="1"/>
  <c r="K427" i="3" s="1"/>
  <c r="K428" i="3" s="1"/>
  <c r="K429" i="3" s="1"/>
  <c r="K430" i="3" s="1"/>
  <c r="K431" i="3" s="1"/>
  <c r="K432" i="3" s="1"/>
  <c r="K433" i="3" s="1"/>
  <c r="K434" i="3" s="1"/>
  <c r="K435" i="3" s="1"/>
  <c r="K436" i="3" s="1"/>
  <c r="K437" i="3" s="1"/>
  <c r="K438" i="3" s="1"/>
  <c r="K439" i="3" s="1"/>
  <c r="K440" i="3" s="1"/>
  <c r="K441" i="3" s="1"/>
  <c r="K442" i="3" s="1"/>
  <c r="K443" i="3" s="1"/>
  <c r="K444" i="3" s="1"/>
  <c r="K445" i="3" s="1"/>
  <c r="K446" i="3" s="1"/>
  <c r="K447" i="3" s="1"/>
  <c r="K448" i="3" s="1"/>
  <c r="K449" i="3" s="1"/>
  <c r="K450" i="3" s="1"/>
  <c r="K451" i="3" s="1"/>
  <c r="K452" i="3" s="1"/>
  <c r="K453" i="3" s="1"/>
  <c r="K454" i="3" s="1"/>
  <c r="K455" i="3" s="1"/>
  <c r="K456" i="3" s="1"/>
  <c r="K457" i="3" s="1"/>
  <c r="K458" i="3" s="1"/>
  <c r="K459" i="3" s="1"/>
  <c r="K460" i="3" s="1"/>
  <c r="K461" i="3" s="1"/>
  <c r="K462" i="3" s="1"/>
  <c r="K463" i="3" s="1"/>
  <c r="K464" i="3" s="1"/>
  <c r="K465" i="3" s="1"/>
  <c r="K466" i="3" s="1"/>
  <c r="K467" i="3" s="1"/>
  <c r="K468" i="3" s="1"/>
  <c r="K469" i="3" s="1"/>
  <c r="K470" i="3" s="1"/>
  <c r="K471" i="3" s="1"/>
  <c r="K472" i="3" s="1"/>
  <c r="K473" i="3" s="1"/>
  <c r="K474" i="3" s="1"/>
  <c r="K475" i="3" s="1"/>
  <c r="K476" i="3" s="1"/>
  <c r="K477" i="3" s="1"/>
  <c r="K478" i="3" s="1"/>
  <c r="K479" i="3" s="1"/>
  <c r="K480" i="3" s="1"/>
  <c r="K481" i="3" s="1"/>
  <c r="K482" i="3" s="1"/>
  <c r="K483" i="3" s="1"/>
  <c r="K484" i="3" s="1"/>
  <c r="K485" i="3" s="1"/>
  <c r="K486" i="3" s="1"/>
  <c r="K487" i="3" s="1"/>
  <c r="K488" i="3" s="1"/>
  <c r="K489" i="3" s="1"/>
  <c r="K490" i="3" s="1"/>
  <c r="K491" i="3" s="1"/>
  <c r="K492" i="3" s="1"/>
  <c r="K493" i="3" s="1"/>
  <c r="K494" i="3" s="1"/>
  <c r="K495" i="3" s="1"/>
  <c r="K496" i="3" s="1"/>
  <c r="K497" i="3" s="1"/>
  <c r="K498" i="3" s="1"/>
  <c r="K499" i="3" s="1"/>
  <c r="K500" i="3" s="1"/>
  <c r="K501" i="3" s="1"/>
  <c r="K502" i="3" s="1"/>
  <c r="K503" i="3" s="1"/>
  <c r="K504" i="3" s="1"/>
  <c r="K505" i="3" s="1"/>
  <c r="K506" i="3" s="1"/>
  <c r="K507" i="3" s="1"/>
  <c r="K508" i="3" s="1"/>
  <c r="K509" i="3" s="1"/>
  <c r="K510" i="3" s="1"/>
  <c r="K511" i="3" s="1"/>
  <c r="K512" i="3" s="1"/>
  <c r="K513" i="3" s="1"/>
  <c r="K514" i="3" s="1"/>
  <c r="K515" i="3" s="1"/>
  <c r="K516" i="3" s="1"/>
  <c r="K517" i="3" s="1"/>
  <c r="K518" i="3" s="1"/>
  <c r="K519" i="3" s="1"/>
  <c r="K520" i="3" s="1"/>
  <c r="K521" i="3" s="1"/>
  <c r="K522" i="3" s="1"/>
  <c r="K523" i="3" s="1"/>
  <c r="K524" i="3" s="1"/>
  <c r="K525" i="3" s="1"/>
  <c r="K526" i="3" s="1"/>
  <c r="K527" i="3" s="1"/>
  <c r="K528" i="3" s="1"/>
  <c r="K529" i="3" s="1"/>
  <c r="K530" i="3" s="1"/>
  <c r="K531" i="3" s="1"/>
  <c r="K532" i="3" s="1"/>
  <c r="K533" i="3" s="1"/>
  <c r="K534" i="3" s="1"/>
  <c r="K535" i="3" s="1"/>
  <c r="K536" i="3" s="1"/>
  <c r="H23" i="3"/>
  <c r="H10" i="3"/>
  <c r="AC22" i="3" l="1"/>
  <c r="AB22" i="3"/>
  <c r="AA22" i="3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AC23" i="3" l="1"/>
  <c r="AB23" i="3"/>
  <c r="AA23" i="3"/>
  <c r="C1" i="8"/>
  <c r="C47" i="8"/>
  <c r="AC24" i="3" l="1"/>
  <c r="AB24" i="3"/>
  <c r="AA24" i="3"/>
  <c r="L46" i="8"/>
  <c r="M46" i="8"/>
  <c r="C46" i="8"/>
  <c r="I56" i="8"/>
  <c r="I58" i="8"/>
  <c r="I55" i="8"/>
  <c r="I54" i="8"/>
  <c r="H54" i="8" s="1"/>
  <c r="I57" i="8"/>
  <c r="E49" i="8"/>
  <c r="D49" i="8" s="1"/>
  <c r="A47" i="8"/>
  <c r="G49" i="8" s="1"/>
  <c r="F49" i="8" s="1"/>
  <c r="G35" i="3"/>
  <c r="D36" i="3"/>
  <c r="T37" i="3" s="1"/>
  <c r="D10" i="2"/>
  <c r="D9" i="2"/>
  <c r="E5" i="3"/>
  <c r="E4" i="3"/>
  <c r="H55" i="8"/>
  <c r="C49" i="8"/>
  <c r="H57" i="8"/>
  <c r="H56" i="8"/>
  <c r="H58" i="8"/>
  <c r="AC25" i="3" l="1"/>
  <c r="AB25" i="3"/>
  <c r="AA25" i="3"/>
  <c r="M49" i="8"/>
  <c r="M54" i="8" s="1"/>
  <c r="N50" i="8"/>
  <c r="N49" i="8"/>
  <c r="Y6" i="3"/>
  <c r="R63" i="3"/>
  <c r="C51" i="8"/>
  <c r="C52" i="8"/>
  <c r="C57" i="8"/>
  <c r="C58" i="8"/>
  <c r="C56" i="8"/>
  <c r="C53" i="8"/>
  <c r="C55" i="8"/>
  <c r="C54" i="8"/>
  <c r="C50" i="8"/>
  <c r="E55" i="8"/>
  <c r="E54" i="8"/>
  <c r="E50" i="8"/>
  <c r="D50" i="8" s="1"/>
  <c r="E57" i="8"/>
  <c r="E56" i="8"/>
  <c r="E53" i="8"/>
  <c r="E52" i="8"/>
  <c r="E58" i="8"/>
  <c r="E51" i="8"/>
  <c r="R44" i="3"/>
  <c r="R40" i="3"/>
  <c r="R66" i="3"/>
  <c r="R42" i="3"/>
  <c r="R83" i="3"/>
  <c r="R58" i="3"/>
  <c r="R49" i="3"/>
  <c r="R81" i="3"/>
  <c r="R62" i="3"/>
  <c r="R51" i="3"/>
  <c r="R57" i="3"/>
  <c r="R79" i="3"/>
  <c r="R55" i="3"/>
  <c r="R76" i="3"/>
  <c r="R87" i="3"/>
  <c r="R71" i="3"/>
  <c r="R84" i="3"/>
  <c r="R77" i="3"/>
  <c r="R48" i="3"/>
  <c r="R52" i="3"/>
  <c r="R56" i="3"/>
  <c r="R68" i="3"/>
  <c r="R72" i="3"/>
  <c r="R70" i="3"/>
  <c r="R85" i="3"/>
  <c r="R61" i="3"/>
  <c r="R59" i="3"/>
  <c r="R46" i="3"/>
  <c r="R65" i="3"/>
  <c r="R45" i="3"/>
  <c r="R50" i="3"/>
  <c r="R43" i="3"/>
  <c r="R60" i="3"/>
  <c r="R53" i="3"/>
  <c r="R38" i="3"/>
  <c r="R67" i="3"/>
  <c r="R80" i="3"/>
  <c r="R64" i="3"/>
  <c r="R69" i="3"/>
  <c r="R74" i="3"/>
  <c r="R39" i="3"/>
  <c r="R82" i="3"/>
  <c r="R86" i="3"/>
  <c r="R47" i="3"/>
  <c r="R54" i="3"/>
  <c r="R75" i="3"/>
  <c r="R73" i="3"/>
  <c r="R78" i="3"/>
  <c r="R41" i="3"/>
  <c r="D51" i="8"/>
  <c r="D55" i="8"/>
  <c r="J54" i="8"/>
  <c r="J56" i="8"/>
  <c r="J57" i="8"/>
  <c r="D57" i="8"/>
  <c r="D53" i="8"/>
  <c r="D54" i="8"/>
  <c r="D56" i="8"/>
  <c r="D58" i="8"/>
  <c r="J55" i="8"/>
  <c r="B49" i="8"/>
  <c r="J52" i="8"/>
  <c r="J58" i="8"/>
  <c r="J51" i="8"/>
  <c r="D52" i="8"/>
  <c r="J53" i="8"/>
  <c r="AC26" i="3" l="1"/>
  <c r="AB26" i="3"/>
  <c r="AA26" i="3"/>
  <c r="M51" i="8"/>
  <c r="M52" i="8"/>
  <c r="M53" i="8"/>
  <c r="M50" i="8"/>
  <c r="V58" i="3"/>
  <c r="W58" i="3" s="1"/>
  <c r="V62" i="3"/>
  <c r="W62" i="3" s="1"/>
  <c r="V66" i="3"/>
  <c r="W66" i="3" s="1"/>
  <c r="V70" i="3"/>
  <c r="W70" i="3" s="1"/>
  <c r="V74" i="3"/>
  <c r="W74" i="3" s="1"/>
  <c r="V78" i="3"/>
  <c r="W78" i="3" s="1"/>
  <c r="V82" i="3"/>
  <c r="W82" i="3" s="1"/>
  <c r="V86" i="3"/>
  <c r="W86" i="3" s="1"/>
  <c r="V69" i="3"/>
  <c r="W69" i="3" s="1"/>
  <c r="V85" i="3"/>
  <c r="W85" i="3" s="1"/>
  <c r="V63" i="3"/>
  <c r="W63" i="3" s="1"/>
  <c r="V67" i="3"/>
  <c r="W67" i="3" s="1"/>
  <c r="V75" i="3"/>
  <c r="W75" i="3" s="1"/>
  <c r="V83" i="3"/>
  <c r="W83" i="3" s="1"/>
  <c r="V64" i="3"/>
  <c r="W64" i="3" s="1"/>
  <c r="V72" i="3"/>
  <c r="W72" i="3" s="1"/>
  <c r="V80" i="3"/>
  <c r="W80" i="3" s="1"/>
  <c r="V61" i="3"/>
  <c r="W61" i="3" s="1"/>
  <c r="V77" i="3"/>
  <c r="W77" i="3" s="1"/>
  <c r="V59" i="3"/>
  <c r="W59" i="3" s="1"/>
  <c r="V71" i="3"/>
  <c r="W71" i="3" s="1"/>
  <c r="V79" i="3"/>
  <c r="W79" i="3" s="1"/>
  <c r="V87" i="3"/>
  <c r="W87" i="3" s="1"/>
  <c r="V68" i="3"/>
  <c r="W68" i="3" s="1"/>
  <c r="V76" i="3"/>
  <c r="W76" i="3" s="1"/>
  <c r="V84" i="3"/>
  <c r="W84" i="3" s="1"/>
  <c r="V65" i="3"/>
  <c r="W65" i="3" s="1"/>
  <c r="V81" i="3"/>
  <c r="W81" i="3" s="1"/>
  <c r="V60" i="3"/>
  <c r="W60" i="3" s="1"/>
  <c r="V73" i="3"/>
  <c r="W73" i="3" s="1"/>
  <c r="V48" i="3"/>
  <c r="W48" i="3" s="1"/>
  <c r="V52" i="3"/>
  <c r="W52" i="3" s="1"/>
  <c r="V56" i="3"/>
  <c r="W56" i="3" s="1"/>
  <c r="V55" i="3"/>
  <c r="W55" i="3" s="1"/>
  <c r="V49" i="3"/>
  <c r="W49" i="3" s="1"/>
  <c r="V57" i="3"/>
  <c r="W57" i="3" s="1"/>
  <c r="V53" i="3"/>
  <c r="W53" i="3" s="1"/>
  <c r="V51" i="3"/>
  <c r="W51" i="3" s="1"/>
  <c r="V50" i="3"/>
  <c r="W50" i="3" s="1"/>
  <c r="V54" i="3"/>
  <c r="W54" i="3" s="1"/>
  <c r="V38" i="3"/>
  <c r="V42" i="3"/>
  <c r="W42" i="3" s="1"/>
  <c r="V46" i="3"/>
  <c r="W46" i="3" s="1"/>
  <c r="V43" i="3"/>
  <c r="W43" i="3" s="1"/>
  <c r="V39" i="3"/>
  <c r="W39" i="3" s="1"/>
  <c r="V40" i="3"/>
  <c r="W40" i="3" s="1"/>
  <c r="V41" i="3"/>
  <c r="W41" i="3" s="1"/>
  <c r="V45" i="3"/>
  <c r="W45" i="3" s="1"/>
  <c r="V44" i="3"/>
  <c r="W44" i="3" s="1"/>
  <c r="V47" i="3"/>
  <c r="W47" i="3" s="1"/>
  <c r="J50" i="8"/>
  <c r="K54" i="8"/>
  <c r="K55" i="8"/>
  <c r="K58" i="8"/>
  <c r="K53" i="8"/>
  <c r="K56" i="8"/>
  <c r="K57" i="8"/>
  <c r="K52" i="8"/>
  <c r="K51" i="8"/>
  <c r="B52" i="8"/>
  <c r="B50" i="8"/>
  <c r="B51" i="8"/>
  <c r="B55" i="8"/>
  <c r="B58" i="8"/>
  <c r="B54" i="8"/>
  <c r="B53" i="8"/>
  <c r="B56" i="8"/>
  <c r="B57" i="8"/>
  <c r="AC27" i="3" l="1"/>
  <c r="AB27" i="3"/>
  <c r="AA27" i="3"/>
  <c r="W38" i="3"/>
  <c r="G52" i="8"/>
  <c r="G53" i="8"/>
  <c r="G55" i="8"/>
  <c r="G56" i="8"/>
  <c r="G54" i="8"/>
  <c r="G57" i="8"/>
  <c r="G58" i="8"/>
  <c r="F56" i="8"/>
  <c r="F55" i="8"/>
  <c r="F58" i="8"/>
  <c r="F54" i="8"/>
  <c r="F57" i="8"/>
  <c r="F53" i="8"/>
  <c r="F52" i="8"/>
  <c r="AC28" i="3" l="1"/>
  <c r="AB28" i="3"/>
  <c r="AA28" i="3"/>
  <c r="AC29" i="3" l="1"/>
  <c r="AB29" i="3"/>
  <c r="AA29" i="3"/>
  <c r="AC30" i="3" l="1"/>
  <c r="AB30" i="3"/>
  <c r="AA30" i="3"/>
  <c r="AC31" i="3" l="1"/>
  <c r="AB31" i="3"/>
  <c r="AA31" i="3"/>
  <c r="AC32" i="3" l="1"/>
  <c r="AB32" i="3"/>
  <c r="AA32" i="3"/>
  <c r="AC33" i="3" l="1"/>
  <c r="AB33" i="3"/>
  <c r="AA33" i="3"/>
  <c r="AC34" i="3" l="1"/>
  <c r="AB34" i="3"/>
  <c r="AA34" i="3"/>
  <c r="AC35" i="3" l="1"/>
  <c r="AB35" i="3"/>
  <c r="AA35" i="3"/>
  <c r="AC36" i="3" l="1"/>
  <c r="AB36" i="3"/>
  <c r="AA36" i="3"/>
  <c r="AC37" i="3" l="1"/>
  <c r="AB37" i="3"/>
  <c r="AA37" i="3"/>
  <c r="AC38" i="3" l="1"/>
  <c r="AB38" i="3"/>
  <c r="AA38" i="3"/>
  <c r="AC39" i="3" l="1"/>
  <c r="AB39" i="3"/>
  <c r="AA39" i="3"/>
  <c r="AC40" i="3" l="1"/>
  <c r="AB40" i="3"/>
  <c r="AA40" i="3"/>
  <c r="AC41" i="3" l="1"/>
  <c r="AB41" i="3"/>
  <c r="AA41" i="3"/>
  <c r="AC42" i="3" l="1"/>
  <c r="AB42" i="3"/>
  <c r="AA42" i="3"/>
  <c r="AC43" i="3" l="1"/>
  <c r="AB43" i="3"/>
  <c r="AA43" i="3"/>
  <c r="AC44" i="3" l="1"/>
  <c r="AB44" i="3"/>
  <c r="AA44" i="3"/>
  <c r="AC45" i="3" l="1"/>
  <c r="AB45" i="3"/>
  <c r="AA45" i="3"/>
  <c r="AC46" i="3" l="1"/>
  <c r="AB46" i="3"/>
  <c r="AA46" i="3"/>
  <c r="AC47" i="3" l="1"/>
  <c r="AB47" i="3"/>
  <c r="AA47" i="3"/>
  <c r="AC48" i="3" l="1"/>
  <c r="AB48" i="3"/>
  <c r="AA48" i="3"/>
  <c r="AC49" i="3" l="1"/>
  <c r="AB49" i="3"/>
  <c r="AA49" i="3"/>
  <c r="AC50" i="3" l="1"/>
  <c r="AB50" i="3"/>
  <c r="AA50" i="3"/>
  <c r="AC51" i="3" l="1"/>
  <c r="AB51" i="3"/>
  <c r="AA51" i="3"/>
  <c r="AC52" i="3" l="1"/>
  <c r="AB52" i="3"/>
  <c r="AA52" i="3"/>
  <c r="AC53" i="3" l="1"/>
  <c r="AB53" i="3"/>
  <c r="AA53" i="3"/>
  <c r="AC54" i="3" l="1"/>
  <c r="AB54" i="3"/>
  <c r="AA54" i="3"/>
  <c r="AC55" i="3" l="1"/>
  <c r="AB55" i="3"/>
  <c r="AA55" i="3"/>
  <c r="AC56" i="3" l="1"/>
  <c r="AB56" i="3"/>
  <c r="AA56" i="3"/>
  <c r="AC57" i="3" l="1"/>
  <c r="AB57" i="3"/>
  <c r="AA57" i="3"/>
  <c r="AC58" i="3" l="1"/>
  <c r="AB58" i="3"/>
  <c r="AA58" i="3"/>
  <c r="AC59" i="3" l="1"/>
  <c r="AB59" i="3"/>
  <c r="AA59" i="3"/>
  <c r="AC60" i="3" l="1"/>
  <c r="AB60" i="3"/>
  <c r="AA60" i="3"/>
  <c r="AC61" i="3" l="1"/>
  <c r="AB61" i="3"/>
  <c r="AA61" i="3"/>
  <c r="AC62" i="3" l="1"/>
  <c r="AB62" i="3"/>
  <c r="AA62" i="3"/>
  <c r="AC63" i="3" l="1"/>
  <c r="AB63" i="3"/>
  <c r="AA63" i="3"/>
  <c r="AC64" i="3" l="1"/>
  <c r="AB64" i="3"/>
  <c r="AA64" i="3"/>
  <c r="AC65" i="3" l="1"/>
  <c r="AB65" i="3"/>
  <c r="AA65" i="3"/>
  <c r="AC66" i="3" l="1"/>
  <c r="AB66" i="3"/>
  <c r="AA66" i="3"/>
  <c r="AC67" i="3" l="1"/>
  <c r="AB67" i="3"/>
  <c r="AA67" i="3"/>
  <c r="AC68" i="3" l="1"/>
  <c r="AB68" i="3"/>
  <c r="AA68" i="3"/>
  <c r="AC69" i="3" l="1"/>
  <c r="AB69" i="3"/>
  <c r="AA69" i="3"/>
  <c r="AC70" i="3" l="1"/>
  <c r="AB70" i="3"/>
  <c r="AA70" i="3"/>
  <c r="AC71" i="3" l="1"/>
  <c r="AB71" i="3"/>
  <c r="AA71" i="3"/>
  <c r="AC72" i="3" l="1"/>
  <c r="AB72" i="3"/>
  <c r="AA72" i="3"/>
  <c r="AC73" i="3" l="1"/>
  <c r="AB73" i="3"/>
  <c r="AA73" i="3"/>
  <c r="AC74" i="3" l="1"/>
  <c r="AB74" i="3"/>
  <c r="AA74" i="3"/>
  <c r="AC75" i="3" l="1"/>
  <c r="AB75" i="3"/>
  <c r="AA75" i="3"/>
  <c r="AC76" i="3" l="1"/>
  <c r="AB76" i="3"/>
  <c r="AA76" i="3"/>
  <c r="AC77" i="3" l="1"/>
  <c r="AB77" i="3"/>
  <c r="AA77" i="3"/>
  <c r="AC78" i="3" l="1"/>
  <c r="AB78" i="3"/>
  <c r="AA78" i="3"/>
  <c r="AC79" i="3" l="1"/>
  <c r="AB79" i="3"/>
  <c r="AA79" i="3"/>
  <c r="AC80" i="3" l="1"/>
  <c r="AB80" i="3"/>
  <c r="AA80" i="3"/>
  <c r="AC81" i="3" l="1"/>
  <c r="AB81" i="3"/>
  <c r="AA81" i="3"/>
  <c r="AC82" i="3" l="1"/>
  <c r="AB82" i="3"/>
  <c r="AA82" i="3"/>
  <c r="AC83" i="3" l="1"/>
  <c r="AB83" i="3"/>
  <c r="AA83" i="3"/>
  <c r="AC84" i="3" l="1"/>
  <c r="AB84" i="3"/>
  <c r="AA84" i="3"/>
  <c r="AC85" i="3" l="1"/>
  <c r="AB85" i="3"/>
  <c r="AA85" i="3"/>
  <c r="AC86" i="3" l="1"/>
  <c r="AB86" i="3"/>
  <c r="AA86" i="3"/>
  <c r="AC87" i="3" l="1"/>
  <c r="AB87" i="3"/>
  <c r="AA87" i="3"/>
  <c r="AC88" i="3" l="1"/>
  <c r="AB88" i="3"/>
  <c r="AA88" i="3"/>
  <c r="AC89" i="3" l="1"/>
  <c r="AB89" i="3"/>
  <c r="AA89" i="3"/>
  <c r="AC90" i="3" l="1"/>
  <c r="AB90" i="3"/>
  <c r="AA90" i="3"/>
  <c r="AC91" i="3" l="1"/>
  <c r="AB91" i="3"/>
  <c r="AA91" i="3"/>
  <c r="AC92" i="3" l="1"/>
  <c r="AB92" i="3"/>
  <c r="AA92" i="3"/>
  <c r="AC93" i="3" l="1"/>
  <c r="AB93" i="3"/>
  <c r="AA93" i="3"/>
  <c r="AC94" i="3" l="1"/>
  <c r="AB94" i="3"/>
  <c r="AA94" i="3"/>
  <c r="AC95" i="3" l="1"/>
  <c r="AB95" i="3"/>
  <c r="AA95" i="3"/>
  <c r="AC96" i="3" l="1"/>
  <c r="AB96" i="3"/>
  <c r="AA96" i="3"/>
  <c r="AC97" i="3" l="1"/>
  <c r="AB97" i="3"/>
  <c r="AA97" i="3"/>
  <c r="AC98" i="3" l="1"/>
  <c r="AB98" i="3"/>
  <c r="AA98" i="3"/>
  <c r="AC99" i="3" l="1"/>
  <c r="AB99" i="3"/>
  <c r="AA99" i="3"/>
  <c r="AC100" i="3" l="1"/>
  <c r="AB100" i="3"/>
  <c r="AA100" i="3"/>
  <c r="AC101" i="3" l="1"/>
  <c r="AB101" i="3"/>
  <c r="AA101" i="3"/>
  <c r="AC102" i="3" l="1"/>
  <c r="AB102" i="3"/>
  <c r="AA102" i="3"/>
  <c r="AC103" i="3" l="1"/>
  <c r="AB103" i="3"/>
  <c r="AA103" i="3"/>
  <c r="AC104" i="3" l="1"/>
  <c r="AB104" i="3"/>
  <c r="AA104" i="3"/>
  <c r="AC105" i="3" l="1"/>
  <c r="AB105" i="3"/>
  <c r="AA105" i="3"/>
  <c r="AC106" i="3" l="1"/>
  <c r="AB106" i="3"/>
  <c r="AA106" i="3"/>
  <c r="AC107" i="3" l="1"/>
  <c r="AB107" i="3"/>
  <c r="AA107" i="3"/>
  <c r="AC108" i="3" l="1"/>
  <c r="AB108" i="3"/>
  <c r="AA108" i="3"/>
  <c r="AC109" i="3" l="1"/>
  <c r="AB109" i="3"/>
  <c r="AA109" i="3"/>
  <c r="AC110" i="3" l="1"/>
  <c r="AB110" i="3"/>
  <c r="AA110" i="3"/>
  <c r="AC111" i="3" l="1"/>
  <c r="AB111" i="3"/>
  <c r="AA111" i="3"/>
  <c r="AC112" i="3" l="1"/>
  <c r="AB112" i="3"/>
  <c r="AA112" i="3"/>
  <c r="AC113" i="3" l="1"/>
  <c r="AB113" i="3"/>
  <c r="AA113" i="3"/>
  <c r="AC114" i="3" l="1"/>
  <c r="AB114" i="3"/>
  <c r="AA114" i="3"/>
  <c r="AC115" i="3" l="1"/>
  <c r="AB115" i="3"/>
  <c r="AA115" i="3"/>
  <c r="AC116" i="3" l="1"/>
  <c r="AB116" i="3"/>
  <c r="AA116" i="3"/>
  <c r="AC117" i="3" l="1"/>
  <c r="AB117" i="3"/>
  <c r="AA117" i="3"/>
  <c r="AC118" i="3" l="1"/>
  <c r="AB118" i="3"/>
  <c r="AA118" i="3"/>
  <c r="AC119" i="3" l="1"/>
  <c r="AB119" i="3"/>
  <c r="AA119" i="3"/>
  <c r="AC120" i="3" l="1"/>
  <c r="AB120" i="3"/>
  <c r="AA120" i="3"/>
  <c r="AC121" i="3" l="1"/>
  <c r="AB121" i="3"/>
  <c r="AA121" i="3"/>
  <c r="AC122" i="3" l="1"/>
  <c r="AB122" i="3"/>
  <c r="AA122" i="3"/>
  <c r="AC123" i="3" l="1"/>
  <c r="AB123" i="3"/>
  <c r="AA123" i="3"/>
  <c r="AC124" i="3" l="1"/>
  <c r="AB124" i="3"/>
  <c r="AA124" i="3"/>
  <c r="AC125" i="3" l="1"/>
  <c r="AB125" i="3"/>
  <c r="AA125" i="3"/>
  <c r="AC126" i="3" l="1"/>
  <c r="AB126" i="3"/>
  <c r="AA126" i="3"/>
  <c r="AC127" i="3" l="1"/>
  <c r="AB127" i="3"/>
  <c r="AA127" i="3"/>
  <c r="AC128" i="3" l="1"/>
  <c r="AB128" i="3"/>
  <c r="AA128" i="3"/>
  <c r="AC129" i="3" l="1"/>
  <c r="AB129" i="3"/>
  <c r="AA129" i="3"/>
  <c r="AC130" i="3" l="1"/>
  <c r="AB130" i="3"/>
  <c r="AA130" i="3"/>
  <c r="AC131" i="3" l="1"/>
  <c r="AB131" i="3"/>
  <c r="AA131" i="3"/>
  <c r="AC132" i="3" l="1"/>
  <c r="AB132" i="3"/>
  <c r="AA132" i="3"/>
  <c r="AC133" i="3" l="1"/>
  <c r="AB133" i="3"/>
  <c r="AA133" i="3"/>
  <c r="AC134" i="3" l="1"/>
  <c r="AB134" i="3"/>
  <c r="AA134" i="3"/>
  <c r="AC135" i="3" l="1"/>
  <c r="AB135" i="3"/>
  <c r="AA135" i="3"/>
  <c r="AC136" i="3" l="1"/>
  <c r="AB136" i="3"/>
  <c r="AA136" i="3"/>
  <c r="AC137" i="3" l="1"/>
  <c r="AB137" i="3"/>
  <c r="AA137" i="3"/>
  <c r="AC138" i="3" l="1"/>
  <c r="AB138" i="3"/>
  <c r="AA138" i="3"/>
  <c r="AC139" i="3" l="1"/>
  <c r="AB139" i="3"/>
  <c r="AA139" i="3"/>
  <c r="AC140" i="3" l="1"/>
  <c r="AB140" i="3"/>
  <c r="AA140" i="3"/>
  <c r="AC141" i="3" l="1"/>
  <c r="AB141" i="3"/>
  <c r="AA141" i="3"/>
  <c r="AC142" i="3" l="1"/>
  <c r="AB142" i="3"/>
  <c r="AA142" i="3"/>
  <c r="AC143" i="3" l="1"/>
  <c r="AB143" i="3"/>
  <c r="AA143" i="3"/>
  <c r="AC144" i="3" l="1"/>
  <c r="AB144" i="3"/>
  <c r="AA144" i="3"/>
  <c r="AC145" i="3" l="1"/>
  <c r="AB145" i="3"/>
  <c r="AA145" i="3"/>
  <c r="AC146" i="3" l="1"/>
  <c r="AB146" i="3"/>
  <c r="AA146" i="3"/>
  <c r="AC147" i="3" l="1"/>
  <c r="AB147" i="3"/>
  <c r="AA147" i="3"/>
  <c r="AC148" i="3" l="1"/>
  <c r="AB148" i="3"/>
  <c r="AA148" i="3"/>
  <c r="AC149" i="3" l="1"/>
  <c r="AB149" i="3"/>
  <c r="AA149" i="3"/>
  <c r="AC150" i="3" l="1"/>
  <c r="AB150" i="3"/>
  <c r="AA150" i="3"/>
  <c r="AC151" i="3" l="1"/>
  <c r="AB151" i="3"/>
  <c r="AA151" i="3"/>
  <c r="AC152" i="3" l="1"/>
  <c r="AB152" i="3"/>
  <c r="AA152" i="3"/>
  <c r="AC153" i="3" l="1"/>
  <c r="AB153" i="3"/>
  <c r="AA153" i="3"/>
  <c r="AC154" i="3" l="1"/>
  <c r="AB154" i="3"/>
  <c r="AA154" i="3"/>
  <c r="AC155" i="3" l="1"/>
  <c r="AB155" i="3"/>
  <c r="AA155" i="3"/>
  <c r="AC156" i="3" l="1"/>
  <c r="AB156" i="3"/>
  <c r="AA156" i="3"/>
  <c r="AC157" i="3" l="1"/>
  <c r="AB157" i="3"/>
  <c r="AA157" i="3"/>
  <c r="AC158" i="3" l="1"/>
  <c r="AB158" i="3"/>
  <c r="AA158" i="3"/>
  <c r="AC159" i="3" l="1"/>
  <c r="AB159" i="3"/>
  <c r="AA159" i="3"/>
  <c r="AC160" i="3" l="1"/>
  <c r="AB160" i="3"/>
  <c r="AA160" i="3"/>
  <c r="AC161" i="3" l="1"/>
  <c r="AB161" i="3"/>
  <c r="AA161" i="3"/>
  <c r="AC162" i="3" l="1"/>
  <c r="AB162" i="3"/>
  <c r="AA162" i="3"/>
  <c r="AC163" i="3" l="1"/>
  <c r="AB163" i="3"/>
  <c r="AA163" i="3"/>
  <c r="AC164" i="3" l="1"/>
  <c r="AB164" i="3"/>
  <c r="AA164" i="3"/>
  <c r="AC165" i="3" l="1"/>
  <c r="AB165" i="3"/>
  <c r="AA165" i="3"/>
  <c r="AC167" i="3" l="1"/>
  <c r="AC166" i="3"/>
  <c r="AB167" i="3"/>
  <c r="AB166" i="3"/>
  <c r="AA167" i="3"/>
  <c r="AA16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yqian7</author>
  </authors>
  <commentList>
    <comment ref="D44" authorId="0" shapeId="0" xr:uid="{00000000-0006-0000-0900-000001000000}">
      <text>
        <r>
          <rPr>
            <sz val="9"/>
            <color indexed="81"/>
            <rFont val="Tahoma"/>
            <family val="2"/>
          </rPr>
          <t>Select created views
Click "View &amp; Settings" button to specify views and settings</t>
        </r>
      </text>
    </comment>
    <comment ref="D4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YES:</t>
        </r>
        <r>
          <rPr>
            <sz val="9"/>
            <color indexed="81"/>
            <rFont val="Tahoma"/>
            <family val="2"/>
          </rPr>
          <t xml:space="preserve"> If there's no data for the attribute requried, consolidate to the upper level
</t>
        </r>
        <r>
          <rPr>
            <b/>
            <sz val="9"/>
            <color indexed="81"/>
            <rFont val="Tahoma"/>
            <family val="2"/>
          </rPr>
          <t xml:space="preserve">NO: </t>
        </r>
        <r>
          <rPr>
            <sz val="9"/>
            <color indexed="81"/>
            <rFont val="Tahoma"/>
            <family val="2"/>
          </rPr>
          <t>Keep the structure exactly the same as the view set up</t>
        </r>
      </text>
    </comment>
  </commentList>
</comments>
</file>

<file path=xl/sharedStrings.xml><?xml version="1.0" encoding="utf-8"?>
<sst xmlns="http://schemas.openxmlformats.org/spreadsheetml/2006/main" count="8224" uniqueCount="7931">
  <si>
    <t>Asset Class</t>
  </si>
  <si>
    <t>Fund Company</t>
  </si>
  <si>
    <t>Industry</t>
  </si>
  <si>
    <t>Objective</t>
  </si>
  <si>
    <t>Region</t>
  </si>
  <si>
    <t>Manage Style</t>
  </si>
  <si>
    <t>Market Cap</t>
  </si>
  <si>
    <t>Maturity Band</t>
  </si>
  <si>
    <t>Rating Class</t>
  </si>
  <si>
    <t>Country of Domi.</t>
  </si>
  <si>
    <t>Fund List</t>
  </si>
  <si>
    <t>Start Date</t>
  </si>
  <si>
    <t>End Date</t>
  </si>
  <si>
    <t>Periodicity</t>
  </si>
  <si>
    <t>Currency</t>
  </si>
  <si>
    <t>USD</t>
  </si>
  <si>
    <t>FUND_COMP_NAME</t>
  </si>
  <si>
    <t>FUND_OBJECTIVE_LONG</t>
  </si>
  <si>
    <t>FUND_MKT_CAP_FOCUS</t>
  </si>
  <si>
    <t>FUND_STRATEGY</t>
  </si>
  <si>
    <t>FUND_MGMT_STYLE</t>
  </si>
  <si>
    <t>FUND_TYP</t>
  </si>
  <si>
    <t>FUND_GEO_FOCUS</t>
  </si>
  <si>
    <t>FUND_ASSET_CLASS_FOCUS</t>
  </si>
  <si>
    <t>FUND_INDUSTRY_FOCUS</t>
  </si>
  <si>
    <t>MGR_COUNTRY_NAME</t>
  </si>
  <si>
    <t>MGR_CITY_NAME</t>
  </si>
  <si>
    <t>NAV_CRNCY</t>
  </si>
  <si>
    <t>FUND_RTG_CLASS_FOCUS</t>
  </si>
  <si>
    <t>FUND_MATURITY_BAND_FOCUS</t>
  </si>
  <si>
    <t>CNTRY_OF_DOMICILE</t>
  </si>
  <si>
    <t>Strategy</t>
  </si>
  <si>
    <t>Fund Type</t>
  </si>
  <si>
    <t>View</t>
  </si>
  <si>
    <t>View Name</t>
  </si>
  <si>
    <t>Attribte Name</t>
  </si>
  <si>
    <t>Default</t>
  </si>
  <si>
    <t>Manager City</t>
  </si>
  <si>
    <t>Manager Country</t>
  </si>
  <si>
    <t>NAV Currency</t>
  </si>
  <si>
    <t>Skip Level</t>
  </si>
  <si>
    <t>YES</t>
  </si>
  <si>
    <t>Monthly</t>
  </si>
  <si>
    <t>Universe</t>
  </si>
  <si>
    <t>Stats</t>
  </si>
  <si>
    <t>Original Universe:</t>
  </si>
  <si>
    <t>Excluding Money Market Fund:</t>
  </si>
  <si>
    <t>Excluding Insufficient Data Fund:</t>
  </si>
  <si>
    <t>Num Money Fund:</t>
  </si>
  <si>
    <t>Num Insufficent Data Fund:</t>
  </si>
  <si>
    <t>Ticker</t>
  </si>
  <si>
    <t>Name</t>
  </si>
  <si>
    <t>Value</t>
  </si>
  <si>
    <t>Total In Flow</t>
  </si>
  <si>
    <t>Total Out Flow</t>
  </si>
  <si>
    <t>Last Per</t>
  </si>
  <si>
    <t>Start to End</t>
  </si>
  <si>
    <t>Next Level Net Flow Chart</t>
  </si>
  <si>
    <t>Historical Fund Flow</t>
  </si>
  <si>
    <t>In</t>
  </si>
  <si>
    <t>Out</t>
  </si>
  <si>
    <t>Net</t>
  </si>
  <si>
    <t>Attribute</t>
  </si>
  <si>
    <t>Attribute Value</t>
  </si>
  <si>
    <t>Map To</t>
  </si>
  <si>
    <t>International</t>
  </si>
  <si>
    <t>Multi</t>
  </si>
  <si>
    <t>Eurozone</t>
  </si>
  <si>
    <t>CEE</t>
  </si>
  <si>
    <t>European Union</t>
  </si>
  <si>
    <t>Global</t>
  </si>
  <si>
    <t>European Region</t>
  </si>
  <si>
    <t>EMEA</t>
  </si>
  <si>
    <t>Equity</t>
  </si>
  <si>
    <t>U.S.</t>
  </si>
  <si>
    <t>US</t>
  </si>
  <si>
    <t>Fixed Income</t>
  </si>
  <si>
    <t>Aggregate Bond Intermediate</t>
  </si>
  <si>
    <t>Government</t>
  </si>
  <si>
    <t>Broad Market</t>
  </si>
  <si>
    <t>Foreign Aggregate Bond</t>
  </si>
  <si>
    <t>Corporate</t>
  </si>
  <si>
    <t>Aggregate Bond</t>
  </si>
  <si>
    <t>Government Intermediate</t>
  </si>
  <si>
    <t>Aggregate Bond Short</t>
  </si>
  <si>
    <t>General Corporate Bond</t>
  </si>
  <si>
    <t>Equal Weighted</t>
  </si>
  <si>
    <t>Period</t>
  </si>
  <si>
    <t>In Custom Top</t>
  </si>
  <si>
    <t>Out Custom Top</t>
  </si>
  <si>
    <t>Municipals</t>
  </si>
  <si>
    <t>Muni National Intermediate</t>
  </si>
  <si>
    <t>Muni National Short</t>
  </si>
  <si>
    <t>View Settings</t>
  </si>
  <si>
    <t>YTD</t>
  </si>
  <si>
    <t>QTD</t>
  </si>
  <si>
    <t>1Y</t>
  </si>
  <si>
    <t>2Y</t>
  </si>
  <si>
    <t>3Y</t>
  </si>
  <si>
    <t>4Y</t>
  </si>
  <si>
    <t>5Y</t>
  </si>
  <si>
    <t>3M</t>
  </si>
  <si>
    <t>6M</t>
  </si>
  <si>
    <t>9M</t>
  </si>
  <si>
    <t>Report Name</t>
  </si>
  <si>
    <t>Report Settings</t>
  </si>
  <si>
    <t>Fielter Field</t>
  </si>
  <si>
    <t>Fielter Value</t>
  </si>
  <si>
    <t>Breakdown By</t>
  </si>
  <si>
    <t>Weekly</t>
  </si>
  <si>
    <t>Quarterly</t>
  </si>
  <si>
    <t>Yearly</t>
  </si>
  <si>
    <t>AUM (Bln)</t>
  </si>
  <si>
    <t>Origin Universe</t>
  </si>
  <si>
    <t>Calc. Universe</t>
  </si>
  <si>
    <t>% of AUM</t>
  </si>
  <si>
    <t>Expand / Collapse to</t>
  </si>
  <si>
    <t>Funds #</t>
  </si>
  <si>
    <t>Acc In</t>
  </si>
  <si>
    <t>Acc Out</t>
  </si>
  <si>
    <t>Acc Net</t>
  </si>
  <si>
    <t>Compare</t>
  </si>
  <si>
    <t>Num Comp</t>
  </si>
  <si>
    <t>Sort By</t>
  </si>
  <si>
    <t>Is Sorting</t>
  </si>
  <si>
    <t>Show Up To</t>
  </si>
  <si>
    <t>NO</t>
  </si>
  <si>
    <t>Calc Mode</t>
  </si>
  <si>
    <t>Report Title:</t>
  </si>
  <si>
    <t>Period Detail:</t>
  </si>
  <si>
    <t>Setting Detail:</t>
  </si>
  <si>
    <t>Top Ten In Flow</t>
  </si>
  <si>
    <t>Top Ten Out Flow</t>
  </si>
  <si>
    <t># Funds</t>
  </si>
  <si>
    <t>In Flow</t>
  </si>
  <si>
    <t>Out Flow</t>
  </si>
  <si>
    <t>Net Flow</t>
  </si>
  <si>
    <t>% of Univ.</t>
  </si>
  <si>
    <t>Data for Breakdown Chart</t>
  </si>
  <si>
    <t>Breakdown</t>
  </si>
  <si>
    <t>Flow</t>
  </si>
  <si>
    <t>XMFF_REP</t>
  </si>
  <si>
    <t>Comp Mode</t>
  </si>
  <si>
    <t>Government Long</t>
  </si>
  <si>
    <t>Asian Pacific Region</t>
  </si>
  <si>
    <t>Long Term Corporate Bond</t>
  </si>
  <si>
    <t>Government Bond</t>
  </si>
  <si>
    <t>Intermediate Corporate Bond</t>
  </si>
  <si>
    <t>Foreign Corporate Bond</t>
  </si>
  <si>
    <t>Emerging Markets Bond</t>
  </si>
  <si>
    <t>Aggregate Bond Long</t>
  </si>
  <si>
    <t>Foreign Government Bond</t>
  </si>
  <si>
    <t>Commodity</t>
  </si>
  <si>
    <t>Muni California Long</t>
  </si>
  <si>
    <t>EM Bond Lcl Curr</t>
  </si>
  <si>
    <t>Muni High Yield</t>
  </si>
  <si>
    <t>Short Term Corporate Bond</t>
  </si>
  <si>
    <t>Muni National Long</t>
  </si>
  <si>
    <t>Muni CA Intermediate and Short</t>
  </si>
  <si>
    <t>Government Short</t>
  </si>
  <si>
    <t>Muni New York Long</t>
  </si>
  <si>
    <t>Muni NY Intermediate and Short</t>
  </si>
  <si>
    <t>Muni Single State Long</t>
  </si>
  <si>
    <t>Government Ultra Short</t>
  </si>
  <si>
    <t>Aggregate Bond Ultra Short</t>
  </si>
  <si>
    <t>Consumer Staples</t>
  </si>
  <si>
    <t>CIT1694 US EQUITY</t>
  </si>
  <si>
    <t>CIT1696 US EQUITY</t>
  </si>
  <si>
    <t>CIT1695 US EQUITY</t>
  </si>
  <si>
    <t>CIT1698 US EQUITY</t>
  </si>
  <si>
    <t>CIT1697 US EQUITY</t>
  </si>
  <si>
    <t>Consumer Discretionary</t>
  </si>
  <si>
    <t>CIT1702 US EQUITY</t>
  </si>
  <si>
    <t>Emerging Market</t>
  </si>
  <si>
    <t>CIT1703 US EQUITY</t>
  </si>
  <si>
    <t>Muni Single State Intermediate</t>
  </si>
  <si>
    <t>PMVIEQS US EQUITY</t>
  </si>
  <si>
    <t>CIT1699 US EQUITY</t>
  </si>
  <si>
    <t>China</t>
  </si>
  <si>
    <t>CIT1700 US EQUITY</t>
  </si>
  <si>
    <t>WCSEC40 US EQUITY</t>
  </si>
  <si>
    <t>WINGA50 US EQUITY</t>
  </si>
  <si>
    <t>WPIMCP2 US EQUITY</t>
  </si>
  <si>
    <t>Ultra Short Corporate Bond</t>
  </si>
  <si>
    <t>VSVPCSV US EQUITY</t>
  </si>
  <si>
    <t>WLBIEF1 US EQUITY</t>
  </si>
  <si>
    <t>WLACAVA US EQUITY</t>
  </si>
  <si>
    <t>BBHIDXS US EQUITY</t>
  </si>
  <si>
    <t>WSTRBND US EQUITY</t>
  </si>
  <si>
    <t>POPIPFA US EQUITY</t>
  </si>
  <si>
    <t>WSHODUR US EQUITY</t>
  </si>
  <si>
    <t>CIT1701 US EQUITY</t>
  </si>
  <si>
    <t>WINFIIN US EQUITY</t>
  </si>
  <si>
    <t>WGUINCO US EQUITY</t>
  </si>
  <si>
    <t>WSP500I US EQUITY</t>
  </si>
  <si>
    <t>WTMCFUV US EQUITY</t>
  </si>
  <si>
    <t>WSMCOVA US EQUITY</t>
  </si>
  <si>
    <t>WSMCOGR US EQUITY</t>
  </si>
  <si>
    <t>WSTRGRO US EQUITY</t>
  </si>
  <si>
    <t>UK</t>
  </si>
  <si>
    <t>NAV/Return or AUM data point missing</t>
  </si>
  <si>
    <t>Cons. Staples</t>
  </si>
  <si>
    <t>Cons. Disc.</t>
  </si>
  <si>
    <t>Asset Class = Fixed Income breakdown by Rating Class</t>
  </si>
  <si>
    <t>Top Ten In Flow as a % of AUM (Cap &gt; 50 Million)</t>
  </si>
  <si>
    <t>Top Ten Out Flow as a % of AUM (Cap &gt; 50 Million)</t>
  </si>
  <si>
    <t>Foreign</t>
  </si>
  <si>
    <t>Flow (Mln)</t>
  </si>
  <si>
    <t>AUM (Mln)</t>
  </si>
  <si>
    <t>Bottom Ten In Flow (Mln)</t>
  </si>
  <si>
    <t>Bottom Ten Out Flow (Mln)</t>
  </si>
  <si>
    <t>Bottom Ten In Flow (Mln) as a % of AUM (Cap &gt; 50 Million)</t>
  </si>
  <si>
    <t>Bottom Ten Out Flow (Mln) as a % of AUM (Cap &gt; 50 Million)</t>
  </si>
  <si>
    <t>Fill Cut Off</t>
  </si>
  <si>
    <t>Fill Flag</t>
  </si>
  <si>
    <t>A.C. -&gt; Region -&gt; Style</t>
  </si>
  <si>
    <t>Style -&gt; Region -&gt; A.C.</t>
  </si>
  <si>
    <t>LOCAL_OBJ_CLASS</t>
  </si>
  <si>
    <t>LOCAL_OBJ_SUB_SUBCLASS</t>
  </si>
  <si>
    <t>UK IMA</t>
  </si>
  <si>
    <t>Limit</t>
  </si>
  <si>
    <t>SBSTX US EQUITY</t>
  </si>
  <si>
    <t>SCFTX US EQUITY</t>
  </si>
  <si>
    <t>SCEMX US EQUITY</t>
  </si>
  <si>
    <t>SCCYX US EQUITY</t>
  </si>
  <si>
    <t>VTSMX US EQUITY</t>
  </si>
  <si>
    <t>VTMGX US EQUITY</t>
  </si>
  <si>
    <t>VGTSX US EQUITY</t>
  </si>
  <si>
    <t>GSZAX US EQUITY</t>
  </si>
  <si>
    <t>VTBIX US EQUITY</t>
  </si>
  <si>
    <t>BSIIX US EQUITY</t>
  </si>
  <si>
    <t>GMUEX US EQUITY</t>
  </si>
  <si>
    <t>PONAX US EQUITY</t>
  </si>
  <si>
    <t>MWTRX US EQUITY</t>
  </si>
  <si>
    <t>VTABX US EQUITY</t>
  </si>
  <si>
    <t>PTTRX US EQUITY</t>
  </si>
  <si>
    <t>TGVAX US EQUITY</t>
  </si>
  <si>
    <t>FCNTX US EQUITY</t>
  </si>
  <si>
    <t>FDGRX US EQUITY</t>
  </si>
  <si>
    <t>PUBAX US EQUITY</t>
  </si>
  <si>
    <t>AGTHX US EQUITY</t>
  </si>
  <si>
    <t>PEFIX US EQUITY</t>
  </si>
  <si>
    <t>PHDAX US EQUITY</t>
  </si>
  <si>
    <t>CHTTX US EQUITY</t>
  </si>
  <si>
    <t>GQETX US EQUITY</t>
  </si>
  <si>
    <t>FRIAX US EQUITY</t>
  </si>
  <si>
    <t>AMECX US EQUITY</t>
  </si>
  <si>
    <t>CWGIX US EQUITY</t>
  </si>
  <si>
    <t>VWELX US EQUITY</t>
  </si>
  <si>
    <t>FUSEX US EQUITY</t>
  </si>
  <si>
    <t>ABALX US EQUITY</t>
  </si>
  <si>
    <t>AIVSX US EQUITY</t>
  </si>
  <si>
    <t>AWSHX US EQUITY</t>
  </si>
  <si>
    <t>TPINX US EQUITY</t>
  </si>
  <si>
    <t>VPMCX US EQUITY</t>
  </si>
  <si>
    <t>PRGFX US EQUITY</t>
  </si>
  <si>
    <t>AMCPX US EQUITY</t>
  </si>
  <si>
    <t>VGHCX US EQUITY</t>
  </si>
  <si>
    <t>VITNX US EQUITY</t>
  </si>
  <si>
    <t>VWINX US EQUITY</t>
  </si>
  <si>
    <t>NAESX US EQUITY</t>
  </si>
  <si>
    <t>VWITX US EQUITY</t>
  </si>
  <si>
    <t>FSIGX US EQUITY</t>
  </si>
  <si>
    <t>VWIGX US EQUITY</t>
  </si>
  <si>
    <t>VBINX US EQUITY</t>
  </si>
  <si>
    <t>PREIX US EQUITY</t>
  </si>
  <si>
    <t>PTLAX US EQUITY</t>
  </si>
  <si>
    <t>VBISX US EQUITY</t>
  </si>
  <si>
    <t>PRWCX US EQUITY</t>
  </si>
  <si>
    <t>OAKBX US EQUITY</t>
  </si>
  <si>
    <t>VINIX US EQUITY</t>
  </si>
  <si>
    <t>VFINX US EQUITY</t>
  </si>
  <si>
    <t>AEPGX US EQUITY</t>
  </si>
  <si>
    <t>VBTIX US EQUITY</t>
  </si>
  <si>
    <t>CAIBX US EQUITY</t>
  </si>
  <si>
    <t>ABNDX US EQUITY</t>
  </si>
  <si>
    <t>JSOAX US EQUITY</t>
  </si>
  <si>
    <t>FBALX US EQUITY</t>
  </si>
  <si>
    <t>PRCIX US EQUITY</t>
  </si>
  <si>
    <t>VIPSX US EQUITY</t>
  </si>
  <si>
    <t>FDIVX US EQUITY</t>
  </si>
  <si>
    <t>VFIIX US EQUITY</t>
  </si>
  <si>
    <t>FSTMX US EQUITY</t>
  </si>
  <si>
    <t>SMCWX US EQUITY</t>
  </si>
  <si>
    <t>VIGRX US EQUITY</t>
  </si>
  <si>
    <t>ANCFX US EQUITY</t>
  </si>
  <si>
    <t>MALOX US EQUITY</t>
  </si>
  <si>
    <t>ANWPX US EQUITY</t>
  </si>
  <si>
    <t>SGENX US EQUITY</t>
  </si>
  <si>
    <t>HAINX US EQUITY</t>
  </si>
  <si>
    <t>VFSTX US EQUITY</t>
  </si>
  <si>
    <t>VWNFX US EQUITY</t>
  </si>
  <si>
    <t>FLPSX US EQUITY</t>
  </si>
  <si>
    <t>ODMAX US EQUITY</t>
  </si>
  <si>
    <t>VIMSX US EQUITY</t>
  </si>
  <si>
    <t>ACRNX US EQUITY</t>
  </si>
  <si>
    <t>SWPPX US EQUITY</t>
  </si>
  <si>
    <t>VMLTX US EQUITY</t>
  </si>
  <si>
    <t>NEFZX US EQUITY</t>
  </si>
  <si>
    <t>TIBAX US EQUITY</t>
  </si>
  <si>
    <t>IGRWX US EQUITY</t>
  </si>
  <si>
    <t>FPACX US EQUITY</t>
  </si>
  <si>
    <t>FBIDX US EQUITY</t>
  </si>
  <si>
    <t>MFLDX US EQUITY</t>
  </si>
  <si>
    <t>TEPLX US EQUITY</t>
  </si>
  <si>
    <t>VEIEX US EQUITY</t>
  </si>
  <si>
    <t>VFICX US EQUITY</t>
  </si>
  <si>
    <t>VWNDX US EQUITY</t>
  </si>
  <si>
    <t>FBGRX US EQUITY</t>
  </si>
  <si>
    <t>VIVAX US EQUITY</t>
  </si>
  <si>
    <t>VEIPX US EQUITY</t>
  </si>
  <si>
    <t>VWEHX US EQUITY</t>
  </si>
  <si>
    <t>OAKMX US EQUITY</t>
  </si>
  <si>
    <t>FMAGX US EQUITY</t>
  </si>
  <si>
    <t>LDLAX US EQUITY</t>
  </si>
  <si>
    <t>VEXMX US EQUITY</t>
  </si>
  <si>
    <t>DBLTX US EQUITY</t>
  </si>
  <si>
    <t>MFEBX US EQUITY</t>
  </si>
  <si>
    <t>AMRMX US EQUITY</t>
  </si>
  <si>
    <t>OAKIX US EQUITY</t>
  </si>
  <si>
    <t>MADVX US EQUITY</t>
  </si>
  <si>
    <t>PRFDX US EQUITY</t>
  </si>
  <si>
    <t>FNIAX US EQUITY</t>
  </si>
  <si>
    <t>TEDIX US EQUITY</t>
  </si>
  <si>
    <t>NEWFX US EQUITY</t>
  </si>
  <si>
    <t>LSBDX US EQUITY</t>
  </si>
  <si>
    <t>TRBCX US EQUITY</t>
  </si>
  <si>
    <t>WOBDX US EQUITY</t>
  </si>
  <si>
    <t>FPURX US EQUITY</t>
  </si>
  <si>
    <t>HACAX US EQUITY</t>
  </si>
  <si>
    <t>RPMGX US EQUITY</t>
  </si>
  <si>
    <t>TEMTX US EQUITY</t>
  </si>
  <si>
    <t>DFCEX US EQUITY</t>
  </si>
  <si>
    <t>LZEMX US EQUITY</t>
  </si>
  <si>
    <t>FRDPX US EQUITY</t>
  </si>
  <si>
    <t>PRRIX US EQUITY</t>
  </si>
  <si>
    <t>FEPAX US EQUITY</t>
  </si>
  <si>
    <t>FTBFX US EQUITY</t>
  </si>
  <si>
    <t>JAMCX US EQUITY</t>
  </si>
  <si>
    <t>JILBX US EQUITY</t>
  </si>
  <si>
    <t>FFRBX US EQUITY</t>
  </si>
  <si>
    <t>VDIGX US EQUITY</t>
  </si>
  <si>
    <t>TRVLX US EQUITY</t>
  </si>
  <si>
    <t>AHITX US EQUITY</t>
  </si>
  <si>
    <t>DFEVX US EQUITY</t>
  </si>
  <si>
    <t>VGSIX US EQUITY</t>
  </si>
  <si>
    <t>MLAAX US EQUITY</t>
  </si>
  <si>
    <t>NYVTX US EQUITY</t>
  </si>
  <si>
    <t>MGIAX US EQUITY</t>
  </si>
  <si>
    <t>OOSCX US EQUITY</t>
  </si>
  <si>
    <t>OHYFX US EQUITY</t>
  </si>
  <si>
    <t>FAGIX US EQUITY</t>
  </si>
  <si>
    <t>VMRGX US EQUITY</t>
  </si>
  <si>
    <t>WACPX US EQUITY</t>
  </si>
  <si>
    <t>OPPAX US EQUITY</t>
  </si>
  <si>
    <t>GSMCX US EQUITY</t>
  </si>
  <si>
    <t>DFEOX US EQUITY</t>
  </si>
  <si>
    <t>IVWAX US EQUITY</t>
  </si>
  <si>
    <t>LGBBX US EQUITY</t>
  </si>
  <si>
    <t>TRIGX US EQUITY</t>
  </si>
  <si>
    <t>FFRHX US EQUITY</t>
  </si>
  <si>
    <t>SEEGX US EQUITY</t>
  </si>
  <si>
    <t>VWESX US EQUITY</t>
  </si>
  <si>
    <t>FSEMX US EQUITY</t>
  </si>
  <si>
    <t>PRNHX US EQUITY</t>
  </si>
  <si>
    <t>DFLVX US EQUITY</t>
  </si>
  <si>
    <t>JILGX US EQUITY</t>
  </si>
  <si>
    <t>PTSHX US EQUITY</t>
  </si>
  <si>
    <t>FSIIX US EQUITY</t>
  </si>
  <si>
    <t>FSPSX US EQUITY</t>
  </si>
  <si>
    <t>LCEAX US EQUITY</t>
  </si>
  <si>
    <t>VAFAX US EQUITY</t>
  </si>
  <si>
    <t>FKGRX US EQUITY</t>
  </si>
  <si>
    <t>FEQIX US EQUITY</t>
  </si>
  <si>
    <t>PRHYX US EQUITY</t>
  </si>
  <si>
    <t>FDVLX US EQUITY</t>
  </si>
  <si>
    <t>AIBAX US EQUITY</t>
  </si>
  <si>
    <t>NHMAX US EQUITY</t>
  </si>
  <si>
    <t>PEEAX US EQUITY</t>
  </si>
  <si>
    <t>PBSMX US EQUITY</t>
  </si>
  <si>
    <t>PCRIX US EQUITY</t>
  </si>
  <si>
    <t>ANEFX US EQUITY</t>
  </si>
  <si>
    <t>YACKX US EQUITY</t>
  </si>
  <si>
    <t>GMOIX US EQUITY</t>
  </si>
  <si>
    <t>BHYIX US EQUITY</t>
  </si>
  <si>
    <t>NBGNX US EQUITY</t>
  </si>
  <si>
    <t>ACEIX US EQUITY</t>
  </si>
  <si>
    <t>VGENX US EQUITY</t>
  </si>
  <si>
    <t>FIGSX US EQUITY</t>
  </si>
  <si>
    <t>FINVX US EQUITY</t>
  </si>
  <si>
    <t>DFISX US EQUITY</t>
  </si>
  <si>
    <t>PRHSX US EQUITY</t>
  </si>
  <si>
    <t>DFGBX US EQUITY</t>
  </si>
  <si>
    <t>PRSVX US EQUITY</t>
  </si>
  <si>
    <t>FEMSX US EQUITY</t>
  </si>
  <si>
    <t>JAVLX US EQUITY</t>
  </si>
  <si>
    <t>JVMIX US EQUITY</t>
  </si>
  <si>
    <t>FMIHX US EQUITY</t>
  </si>
  <si>
    <t>FSHNX US EQUITY</t>
  </si>
  <si>
    <t>NFJEX US EQUITY</t>
  </si>
  <si>
    <t>ACSTX US EQUITY</t>
  </si>
  <si>
    <t>FVSAX US EQUITY</t>
  </si>
  <si>
    <t>CWBFX US EQUITY</t>
  </si>
  <si>
    <t>FFFDX US EQUITY</t>
  </si>
  <si>
    <t>FKTFX US EQUITY</t>
  </si>
  <si>
    <t>EBBLX US EQUITY</t>
  </si>
  <si>
    <t>PRITX US EQUITY</t>
  </si>
  <si>
    <t>VWSTX US EQUITY</t>
  </si>
  <si>
    <t>DFQTX US EQUITY</t>
  </si>
  <si>
    <t>DISVX US EQUITY</t>
  </si>
  <si>
    <t>TROSX US EQUITY</t>
  </si>
  <si>
    <t>FBIOX US EQUITY</t>
  </si>
  <si>
    <t>VISVX US EQUITY</t>
  </si>
  <si>
    <t>AFTEX US EQUITY</t>
  </si>
  <si>
    <t>SVAAX US EQUITY</t>
  </si>
  <si>
    <t>PBARX US EQUITY</t>
  </si>
  <si>
    <t>DFSTX US EQUITY</t>
  </si>
  <si>
    <t>LBSAX US EQUITY</t>
  </si>
  <si>
    <t>FFTWX US EQUITY</t>
  </si>
  <si>
    <t>BIICX US EQUITY</t>
  </si>
  <si>
    <t>VFWSX US EQUITY</t>
  </si>
  <si>
    <t>PGBAX US EQUITY</t>
  </si>
  <si>
    <t>OTCFX US EQUITY</t>
  </si>
  <si>
    <t>VASVX US EQUITY</t>
  </si>
  <si>
    <t>ACGIX US EQUITY</t>
  </si>
  <si>
    <t>ABRZX US EQUITY</t>
  </si>
  <si>
    <t>FSIAX US EQUITY</t>
  </si>
  <si>
    <t>LBNDX US EQUITY</t>
  </si>
  <si>
    <t>FMCSX US EQUITY</t>
  </si>
  <si>
    <t>FGLGX US EQUITY</t>
  </si>
  <si>
    <t>YAFFX US EQUITY</t>
  </si>
  <si>
    <t>JNBAX US EQUITY</t>
  </si>
  <si>
    <t>HLLVX US EQUITY</t>
  </si>
  <si>
    <t>VISGX US EQUITY</t>
  </si>
  <si>
    <t>MFEGX US EQUITY</t>
  </si>
  <si>
    <t>JLPSX US EQUITY</t>
  </si>
  <si>
    <t>FSAEX US EQUITY</t>
  </si>
  <si>
    <t>FKTIX US EQUITY</t>
  </si>
  <si>
    <t>TRLGX US EQUITY</t>
  </si>
  <si>
    <t>ABEMX US EQUITY</t>
  </si>
  <si>
    <t>VHCOX US EQUITY</t>
  </si>
  <si>
    <t>SHRAX US EQUITY</t>
  </si>
  <si>
    <t>FNKLX US EQUITY</t>
  </si>
  <si>
    <t>DFIEX US EQUITY</t>
  </si>
  <si>
    <t>ITHAX US EQUITY</t>
  </si>
  <si>
    <t>TRMCX US EQUITY</t>
  </si>
  <si>
    <t>VEXPX US EQUITY</t>
  </si>
  <si>
    <t>WARDX US EQUITY</t>
  </si>
  <si>
    <t>JABRX US EQUITY</t>
  </si>
  <si>
    <t>DFSVX US EQUITY</t>
  </si>
  <si>
    <t>FAIDX US EQUITY</t>
  </si>
  <si>
    <t>FIGRX US EQUITY</t>
  </si>
  <si>
    <t>PELBX US EQUITY</t>
  </si>
  <si>
    <t>JVLAX US EQUITY</t>
  </si>
  <si>
    <t>SGROX US EQUITY</t>
  </si>
  <si>
    <t>FOCPX US EQUITY</t>
  </si>
  <si>
    <t>VBIIX US EQUITY</t>
  </si>
  <si>
    <t>JUEAX US EQUITY</t>
  </si>
  <si>
    <t>IGIFX US EQUITY</t>
  </si>
  <si>
    <t>FRSTX US EQUITY</t>
  </si>
  <si>
    <t>PMBMX US EQUITY</t>
  </si>
  <si>
    <t>TIEIX US EQUITY</t>
  </si>
  <si>
    <t>TGTRX US EQUITY</t>
  </si>
  <si>
    <t>HIEMX US EQUITY</t>
  </si>
  <si>
    <t>OIBAX US EQUITY</t>
  </si>
  <si>
    <t>FDGFX US EQUITY</t>
  </si>
  <si>
    <t>MKHCX US EQUITY</t>
  </si>
  <si>
    <t>FSICX US EQUITY</t>
  </si>
  <si>
    <t>FASMX US EQUITY</t>
  </si>
  <si>
    <t>FFAMX US EQUITY</t>
  </si>
  <si>
    <t>JMVCX US EQUITY</t>
  </si>
  <si>
    <t>GATEX US EQUITY</t>
  </si>
  <si>
    <t>VWLTX US EQUITY</t>
  </si>
  <si>
    <t>LFRAX US EQUITY</t>
  </si>
  <si>
    <t>FRHIX US EQUITY</t>
  </si>
  <si>
    <t>TGLMX US EQUITY</t>
  </si>
  <si>
    <t>IHGIX US EQUITY</t>
  </si>
  <si>
    <t>VCAIX US EQUITY</t>
  </si>
  <si>
    <t>JAFIX US EQUITY</t>
  </si>
  <si>
    <t>FHAIX US EQUITY</t>
  </si>
  <si>
    <t>BGCIX US EQUITY</t>
  </si>
  <si>
    <t>VFISX US EQUITY</t>
  </si>
  <si>
    <t>CIVIX US EQUITY</t>
  </si>
  <si>
    <t>PDINX US EQUITY</t>
  </si>
  <si>
    <t>FGMNX US EQUITY</t>
  </si>
  <si>
    <t>VPCCX US EQUITY</t>
  </si>
  <si>
    <t>MIGFX US EQUITY</t>
  </si>
  <si>
    <t>STSMX US EQUITY</t>
  </si>
  <si>
    <t>PRPFX US EQUITY</t>
  </si>
  <si>
    <t>UMBWX US EQUITY</t>
  </si>
  <si>
    <t>GMOEX US EQUITY</t>
  </si>
  <si>
    <t>HLIEX US EQUITY</t>
  </si>
  <si>
    <t>PRMSX US EQUITY</t>
  </si>
  <si>
    <t>BGRFX US EQUITY</t>
  </si>
  <si>
    <t>PSVIX US EQUITY</t>
  </si>
  <si>
    <t>EXWAX US EQUITY</t>
  </si>
  <si>
    <t>FSHBX US EQUITY</t>
  </si>
  <si>
    <t>SAMBX US EQUITY</t>
  </si>
  <si>
    <t>PTSGX US EQUITY</t>
  </si>
  <si>
    <t>PRWBX US EQUITY</t>
  </si>
  <si>
    <t>TEMWX US EQUITY</t>
  </si>
  <si>
    <t>OAEIX US EQUITY</t>
  </si>
  <si>
    <t>MMUFX US EQUITY</t>
  </si>
  <si>
    <t>PLMAX US EQUITY</t>
  </si>
  <si>
    <t>SNXFX US EQUITY</t>
  </si>
  <si>
    <t>FSCRX US EQUITY</t>
  </si>
  <si>
    <t>OAKLX US EQUITY</t>
  </si>
  <si>
    <t>GSSMX US EQUITY</t>
  </si>
  <si>
    <t>MPEGX US EQUITY</t>
  </si>
  <si>
    <t>TEMFX US EQUITY</t>
  </si>
  <si>
    <t>PLGJX US EQUITY</t>
  </si>
  <si>
    <t>FGRIX US EQUITY</t>
  </si>
  <si>
    <t>VWAHX US EQUITY</t>
  </si>
  <si>
    <t>HIACX US EQUITY</t>
  </si>
  <si>
    <t>JANSX US EQUITY</t>
  </si>
  <si>
    <t>MRIBX US EQUITY</t>
  </si>
  <si>
    <t>MSIGX US EQUITY</t>
  </si>
  <si>
    <t>OSTIX US EQUITY</t>
  </si>
  <si>
    <t>UMLGX US EQUITY</t>
  </si>
  <si>
    <t>OPSIX US EQUITY</t>
  </si>
  <si>
    <t>FSPHX US EQUITY</t>
  </si>
  <si>
    <t>EAFAX US EQUITY</t>
  </si>
  <si>
    <t>FAUDX US EQUITY</t>
  </si>
  <si>
    <t>LTMFX US EQUITY</t>
  </si>
  <si>
    <t>TFEQX US EQUITY</t>
  </si>
  <si>
    <t>AGDBX US EQUITY</t>
  </si>
  <si>
    <t>FKUSX US EQUITY</t>
  </si>
  <si>
    <t>FFVFX US EQUITY</t>
  </si>
  <si>
    <t>CHTRX US EQUITY</t>
  </si>
  <si>
    <t>MQIFX US EQUITY</t>
  </si>
  <si>
    <t>AIDAX US EQUITY</t>
  </si>
  <si>
    <t>SNDPX US EQUITY</t>
  </si>
  <si>
    <t>DFREX US EQUITY</t>
  </si>
  <si>
    <t>RMUNX US EQUITY</t>
  </si>
  <si>
    <t>FVWSX US EQUITY</t>
  </si>
  <si>
    <t>AQMIX US EQUITY</t>
  </si>
  <si>
    <t>FDMLX US EQUITY</t>
  </si>
  <si>
    <t>INUTX US EQUITY</t>
  </si>
  <si>
    <t>VEURX US EQUITY</t>
  </si>
  <si>
    <t>AMUSX US EQUITY</t>
  </si>
  <si>
    <t>MEDAX US EQUITY</t>
  </si>
  <si>
    <t>NOSIX US EQUITY</t>
  </si>
  <si>
    <t>SMUAX US EQUITY</t>
  </si>
  <si>
    <t>DFGFX US EQUITY</t>
  </si>
  <si>
    <t>VBLTX US EQUITY</t>
  </si>
  <si>
    <t>SPHIX US EQUITY</t>
  </si>
  <si>
    <t>POAGX US EQUITY</t>
  </si>
  <si>
    <t>RFCSX US EQUITY</t>
  </si>
  <si>
    <t>DFIVX US EQUITY</t>
  </si>
  <si>
    <t>MSFRX US EQUITY</t>
  </si>
  <si>
    <t>MIEIX US EQUITY</t>
  </si>
  <si>
    <t>PCLAX US EQUITY</t>
  </si>
  <si>
    <t>PSRAX US EQUITY</t>
  </si>
  <si>
    <t>PFORX US EQUITY</t>
  </si>
  <si>
    <t>ACTHX US EQUITY</t>
  </si>
  <si>
    <t>LAFFX US EQUITY</t>
  </si>
  <si>
    <t>MITTX US EQUITY</t>
  </si>
  <si>
    <t>ACINX US EQUITY</t>
  </si>
  <si>
    <t>DFIHX US EQUITY</t>
  </si>
  <si>
    <t>VTRIX US EQUITY</t>
  </si>
  <si>
    <t>AIIEX US EQUITY</t>
  </si>
  <si>
    <t>PVSAX US EQUITY</t>
  </si>
  <si>
    <t>FDCAX US EQUITY</t>
  </si>
  <si>
    <t>JVAAX US EQUITY</t>
  </si>
  <si>
    <t>VTAPX US EQUITY</t>
  </si>
  <si>
    <t>FDSAX US EQUITY</t>
  </si>
  <si>
    <t>FBLEX US EQUITY</t>
  </si>
  <si>
    <t>FFIDX US EQUITY</t>
  </si>
  <si>
    <t>PIGIX US EQUITY</t>
  </si>
  <si>
    <t>DDVAX US EQUITY</t>
  </si>
  <si>
    <t>JHAAX US EQUITY</t>
  </si>
  <si>
    <t>KAUFX US EQUITY</t>
  </si>
  <si>
    <t>VQNPX US EQUITY</t>
  </si>
  <si>
    <t>LDFVX US EQUITY</t>
  </si>
  <si>
    <t>DGAGX US EQUITY</t>
  </si>
  <si>
    <t>SLASX US EQUITY</t>
  </si>
  <si>
    <t>PEYAX US EQUITY</t>
  </si>
  <si>
    <t>TCIEX US EQUITY</t>
  </si>
  <si>
    <t>OARDX US EQUITY</t>
  </si>
  <si>
    <t>FBNDX US EQUITY</t>
  </si>
  <si>
    <t>FGBAX US EQUITY</t>
  </si>
  <si>
    <t>HABDX US EQUITY</t>
  </si>
  <si>
    <t>PTCIX US EQUITY</t>
  </si>
  <si>
    <t>SOPAX US EQUITY</t>
  </si>
  <si>
    <t>PEIIX US EQUITY</t>
  </si>
  <si>
    <t>GBLAX US EQUITY</t>
  </si>
  <si>
    <t>VTCIX US EQUITY</t>
  </si>
  <si>
    <t>VWUSX US EQUITY</t>
  </si>
  <si>
    <t>DFUSX US EQUITY</t>
  </si>
  <si>
    <t>DPDFX US EQUITY</t>
  </si>
  <si>
    <t>FPNIX US EQUITY</t>
  </si>
  <si>
    <t>FHIGX US EQUITY</t>
  </si>
  <si>
    <t>SHAPX US EQUITY</t>
  </si>
  <si>
    <t>EISMX US EQUITY</t>
  </si>
  <si>
    <t>MERFX US EQUITY</t>
  </si>
  <si>
    <t>FLVCX US EQUITY</t>
  </si>
  <si>
    <t>FEQTX US EQUITY</t>
  </si>
  <si>
    <t>FASIX US EQUITY</t>
  </si>
  <si>
    <t>FTAWX US EQUITY</t>
  </si>
  <si>
    <t>DFTCX US EQUITY</t>
  </si>
  <si>
    <t>FDFFX US EQUITY</t>
  </si>
  <si>
    <t>TOLLX US EQUITY</t>
  </si>
  <si>
    <t>FNMIX US EQUITY</t>
  </si>
  <si>
    <t>DEMSX US EQUITY</t>
  </si>
  <si>
    <t>DFSCX US EQUITY</t>
  </si>
  <si>
    <t>FLTMX US EQUITY</t>
  </si>
  <si>
    <t>FZIAX US EQUITY</t>
  </si>
  <si>
    <t>MLPDX US EQUITY</t>
  </si>
  <si>
    <t>PRNEX US EQUITY</t>
  </si>
  <si>
    <t>PRGNX US EQUITY</t>
  </si>
  <si>
    <t>GHAAX US EQUITY</t>
  </si>
  <si>
    <t>EPSPX US EQUITY</t>
  </si>
  <si>
    <t>LCMAX US EQUITY</t>
  </si>
  <si>
    <t>CMCPX US EQUITY</t>
  </si>
  <si>
    <t>VHGEX US EQUITY</t>
  </si>
  <si>
    <t>GFRAX US EQUITY</t>
  </si>
  <si>
    <t>EAGMX US EQUITY</t>
  </si>
  <si>
    <t>FMILX US EQUITY</t>
  </si>
  <si>
    <t>BEGRX US EQUITY</t>
  </si>
  <si>
    <t>SHMMX US EQUITY</t>
  </si>
  <si>
    <t>SPECX US EQUITY</t>
  </si>
  <si>
    <t>MGRAX US EQUITY</t>
  </si>
  <si>
    <t>PRAFX US EQUITY</t>
  </si>
  <si>
    <t>OICAX US EQUITY</t>
  </si>
  <si>
    <t>HFMCX US EQUITY</t>
  </si>
  <si>
    <t>MABAX US EQUITY</t>
  </si>
  <si>
    <t>MSIQX US EQUITY</t>
  </si>
  <si>
    <t>TBIIX US EQUITY</t>
  </si>
  <si>
    <t>FNYTX US EQUITY</t>
  </si>
  <si>
    <t>ORNAX US EQUITY</t>
  </si>
  <si>
    <t>PIIIX US EQUITY</t>
  </si>
  <si>
    <t>BSCFX US EQUITY</t>
  </si>
  <si>
    <t>TRLIX US EQUITY</t>
  </si>
  <si>
    <t>GGOSX US EQUITY</t>
  </si>
  <si>
    <t>MIDAX US EQUITY</t>
  </si>
  <si>
    <t>PIODX US EQUITY</t>
  </si>
  <si>
    <t>VSEQX US EQUITY</t>
  </si>
  <si>
    <t>OIBFX US EQUITY</t>
  </si>
  <si>
    <t>SCMBX US EQUITY</t>
  </si>
  <si>
    <t>OPTFX US EQUITY</t>
  </si>
  <si>
    <t>FFFCX US EQUITY</t>
  </si>
  <si>
    <t>NHFIX US EQUITY</t>
  </si>
  <si>
    <t>FDSSX US EQUITY</t>
  </si>
  <si>
    <t>PEBIX US EQUITY</t>
  </si>
  <si>
    <t>JENSX US EQUITY</t>
  </si>
  <si>
    <t>TIMVX US EQUITY</t>
  </si>
  <si>
    <t>USSPX US EQUITY</t>
  </si>
  <si>
    <t>PREMX US EQUITY</t>
  </si>
  <si>
    <t>JPIEX US EQUITY</t>
  </si>
  <si>
    <t>GSHAX US EQUITY</t>
  </si>
  <si>
    <t>FARCX US EQUITY</t>
  </si>
  <si>
    <t>MANLX US EQUITY</t>
  </si>
  <si>
    <t>TRREX US EQUITY</t>
  </si>
  <si>
    <t>PPSIX US EQUITY</t>
  </si>
  <si>
    <t>TIGRX US EQUITY</t>
  </si>
  <si>
    <t>RPIBX US EQUITY</t>
  </si>
  <si>
    <t>HBLAX US EQUITY</t>
  </si>
  <si>
    <t>EKJAX US EQUITY</t>
  </si>
  <si>
    <t>IGLAX US EQUITY</t>
  </si>
  <si>
    <t>ICSRX US EQUITY</t>
  </si>
  <si>
    <t>VSGBX US EQUITY</t>
  </si>
  <si>
    <t>MLPAX US EQUITY</t>
  </si>
  <si>
    <t>EHSTX US EQUITY</t>
  </si>
  <si>
    <t>PSTIX US EQUITY</t>
  </si>
  <si>
    <t>VFITX US EQUITY</t>
  </si>
  <si>
    <t>JGMAX US EQUITY</t>
  </si>
  <si>
    <t>PGRWX US EQUITY</t>
  </si>
  <si>
    <t>FTRBX US EQUITY</t>
  </si>
  <si>
    <t>FAFRX US EQUITY</t>
  </si>
  <si>
    <t>EMGAX US EQUITY</t>
  </si>
  <si>
    <t>FKUTX US EQUITY</t>
  </si>
  <si>
    <t>DFFVX US EQUITY</t>
  </si>
  <si>
    <t>PLRIX US EQUITY</t>
  </si>
  <si>
    <t>FSOPX US EQUITY</t>
  </si>
  <si>
    <t>TGEIX US EQUITY</t>
  </si>
  <si>
    <t>LISIX US EQUITY</t>
  </si>
  <si>
    <t>SPQAX US EQUITY</t>
  </si>
  <si>
    <t>RSNRX US EQUITY</t>
  </si>
  <si>
    <t>NOINX US EQUITY</t>
  </si>
  <si>
    <t>FLCBX US EQUITY</t>
  </si>
  <si>
    <t>EAEMX US EQUITY</t>
  </si>
  <si>
    <t>JILMX US EQUITY</t>
  </si>
  <si>
    <t>FBDAX US EQUITY</t>
  </si>
  <si>
    <t>SMGIX US EQUITY</t>
  </si>
  <si>
    <t>JILAX US EQUITY</t>
  </si>
  <si>
    <t>HLMIX US EQUITY</t>
  </si>
  <si>
    <t>DFEMX US EQUITY</t>
  </si>
  <si>
    <t>FCSDX US EQUITY</t>
  </si>
  <si>
    <t>FSDIX US EQUITY</t>
  </si>
  <si>
    <t>MRBBX US EQUITY</t>
  </si>
  <si>
    <t>JADGX US EQUITY</t>
  </si>
  <si>
    <t>RINSX US EQUITY</t>
  </si>
  <si>
    <t>FRIFX US EQUITY</t>
  </si>
  <si>
    <t>FRINX US EQUITY</t>
  </si>
  <si>
    <t>PRDGX US EQUITY</t>
  </si>
  <si>
    <t>EVIBX US EQUITY</t>
  </si>
  <si>
    <t>MCGFX US EQUITY</t>
  </si>
  <si>
    <t>MFRFX US EQUITY</t>
  </si>
  <si>
    <t>JIPAX US EQUITY</t>
  </si>
  <si>
    <t>POGRX US EQUITY</t>
  </si>
  <si>
    <t>ASBFX US EQUITY</t>
  </si>
  <si>
    <t>NUVBX US EQUITY</t>
  </si>
  <si>
    <t>JMGIX US EQUITY</t>
  </si>
  <si>
    <t>GABFX US EQUITY</t>
  </si>
  <si>
    <t>PMEGX US EQUITY</t>
  </si>
  <si>
    <t>PRASX US EQUITY</t>
  </si>
  <si>
    <t>FRESX US EQUITY</t>
  </si>
  <si>
    <t>STFGX US EQUITY</t>
  </si>
  <si>
    <t>JAMRX US EQUITY</t>
  </si>
  <si>
    <t>JCNAX US EQUITY</t>
  </si>
  <si>
    <t>FAASX US EQUITY</t>
  </si>
  <si>
    <t>FASGX US EQUITY</t>
  </si>
  <si>
    <t>RPBAX US EQUITY</t>
  </si>
  <si>
    <t>JIGRX US EQUITY</t>
  </si>
  <si>
    <t>SHSAX US EQUITY</t>
  </si>
  <si>
    <t>HQIAX US EQUITY</t>
  </si>
  <si>
    <t>PRIDX US EQUITY</t>
  </si>
  <si>
    <t>LIBAX US EQUITY</t>
  </si>
  <si>
    <t>FLTDX US EQUITY</t>
  </si>
  <si>
    <t>VHIBX US EQUITY</t>
  </si>
  <si>
    <t>GABAX US EQUITY</t>
  </si>
  <si>
    <t>NHINX US EQUITY</t>
  </si>
  <si>
    <t>SWTSX US EQUITY</t>
  </si>
  <si>
    <t>PHYTX US EQUITY</t>
  </si>
  <si>
    <t>PVLIX US EQUITY</t>
  </si>
  <si>
    <t>PXTAX US EQUITY</t>
  </si>
  <si>
    <t>MPGFX US EQUITY</t>
  </si>
  <si>
    <t>PYSAX US EQUITY</t>
  </si>
  <si>
    <t>PLFMX US EQUITY</t>
  </si>
  <si>
    <t>FKITX US EQUITY</t>
  </si>
  <si>
    <t>GSDUX US EQUITY</t>
  </si>
  <si>
    <t>PRWAX US EQUITY</t>
  </si>
  <si>
    <t>HIADX US EQUITY</t>
  </si>
  <si>
    <t>PVOYX US EQUITY</t>
  </si>
  <si>
    <t>SMVFX US EQUITY</t>
  </si>
  <si>
    <t>CISGX US EQUITY</t>
  </si>
  <si>
    <t>AQEAX US EQUITY</t>
  </si>
  <si>
    <t>FGRTX US EQUITY</t>
  </si>
  <si>
    <t>FGTAX US EQUITY</t>
  </si>
  <si>
    <t>GTDDX US EQUITY</t>
  </si>
  <si>
    <t>JPHAX US EQUITY</t>
  </si>
  <si>
    <t>VDAIX US EQUITY</t>
  </si>
  <si>
    <t>WBIGX US EQUITY</t>
  </si>
  <si>
    <t>PWWIX US EQUITY</t>
  </si>
  <si>
    <t>COLTX US EQUITY</t>
  </si>
  <si>
    <t>STDIX US EQUITY</t>
  </si>
  <si>
    <t>THOPX US EQUITY</t>
  </si>
  <si>
    <t>PRSCX US EQUITY</t>
  </si>
  <si>
    <t>DISAX US EQUITY</t>
  </si>
  <si>
    <t>LAGWX US EQUITY</t>
  </si>
  <si>
    <t>FOSFX US EQUITY</t>
  </si>
  <si>
    <t>FIHBX US EQUITY</t>
  </si>
  <si>
    <t>PCBRX US EQUITY</t>
  </si>
  <si>
    <t>GOBSX US EQUITY</t>
  </si>
  <si>
    <t>GLRBX US EQUITY</t>
  </si>
  <si>
    <t>IVIOX US EQUITY</t>
  </si>
  <si>
    <t>USATX US EQUITY</t>
  </si>
  <si>
    <t>RPIFX US EQUITY</t>
  </si>
  <si>
    <t>FAGOX US EQUITY</t>
  </si>
  <si>
    <t>DFEQX US EQUITY</t>
  </si>
  <si>
    <t>VSCAX US EQUITY</t>
  </si>
  <si>
    <t>MSEQX US EQUITY</t>
  </si>
  <si>
    <t>HWMIX US EQUITY</t>
  </si>
  <si>
    <t>ANAGX US EQUITY</t>
  </si>
  <si>
    <t>OPGIX US EQUITY</t>
  </si>
  <si>
    <t>HFOAX US EQUITY</t>
  </si>
  <si>
    <t>PNOPX US EQUITY</t>
  </si>
  <si>
    <t>SNIDX US EQUITY</t>
  </si>
  <si>
    <t>VSITX US EQUITY</t>
  </si>
  <si>
    <t>JNUSX US EQUITY</t>
  </si>
  <si>
    <t>FASHX US EQUITY</t>
  </si>
  <si>
    <t>FSTFX US EQUITY</t>
  </si>
  <si>
    <t>MDFGX US EQUITY</t>
  </si>
  <si>
    <t>SFLNX US EQUITY</t>
  </si>
  <si>
    <t>VLCAX US EQUITY</t>
  </si>
  <si>
    <t>FGOVX US EQUITY</t>
  </si>
  <si>
    <t>FVIAX US EQUITY</t>
  </si>
  <si>
    <t>ABXAX US EQUITY</t>
  </si>
  <si>
    <t>SNIVX US EQUITY</t>
  </si>
  <si>
    <t>NAMAX US EQUITY</t>
  </si>
  <si>
    <t>EITEX US EQUITY</t>
  </si>
  <si>
    <t>NMPAX US EQUITY</t>
  </si>
  <si>
    <t>OPMBX US EQUITY</t>
  </si>
  <si>
    <t>FCONX US EQUITY</t>
  </si>
  <si>
    <t>HRSCX US EQUITY</t>
  </si>
  <si>
    <t>SCSMX US EQUITY</t>
  </si>
  <si>
    <t>FRSGX US EQUITY</t>
  </si>
  <si>
    <t>BFMSX US EQUITY</t>
  </si>
  <si>
    <t>OAKGX US EQUITY</t>
  </si>
  <si>
    <t>PRSMX US EQUITY</t>
  </si>
  <si>
    <t>VHDYX US EQUITY</t>
  </si>
  <si>
    <t>DTMMX US EQUITY</t>
  </si>
  <si>
    <t>RSEAX US EQUITY</t>
  </si>
  <si>
    <t>PESPX US EQUITY</t>
  </si>
  <si>
    <t>DTMVX US EQUITY</t>
  </si>
  <si>
    <t>RGEAX US EQUITY</t>
  </si>
  <si>
    <t>EGFIX US EQUITY</t>
  </si>
  <si>
    <t>PRGWX US EQUITY</t>
  </si>
  <si>
    <t>DEMAX US EQUITY</t>
  </si>
  <si>
    <t>GSRAX US EQUITY</t>
  </si>
  <si>
    <t>HIABX US EQUITY</t>
  </si>
  <si>
    <t>TFCIX US EQUITY</t>
  </si>
  <si>
    <t>VNYTX US EQUITY</t>
  </si>
  <si>
    <t>JGRTX US EQUITY</t>
  </si>
  <si>
    <t>FKCGX US EQUITY</t>
  </si>
  <si>
    <t>DFVEX US EQUITY</t>
  </si>
  <si>
    <t>MLPFX US EQUITY</t>
  </si>
  <si>
    <t>FMUSX US EQUITY</t>
  </si>
  <si>
    <t>MWLDX US EQUITY</t>
  </si>
  <si>
    <t>GMCDX US EQUITY</t>
  </si>
  <si>
    <t>JEITX US EQUITY</t>
  </si>
  <si>
    <t>EANAX US EQUITY</t>
  </si>
  <si>
    <t>FTHRX US EQUITY</t>
  </si>
  <si>
    <t>OPITX US EQUITY</t>
  </si>
  <si>
    <t>PDBAX US EQUITY</t>
  </si>
  <si>
    <t>PRUAX US EQUITY</t>
  </si>
  <si>
    <t>HGOAX US EQUITY</t>
  </si>
  <si>
    <t>PFATX US EQUITY</t>
  </si>
  <si>
    <t>SLMCX US EQUITY</t>
  </si>
  <si>
    <t>TIIEX US EQUITY</t>
  </si>
  <si>
    <t>BCOIX US EQUITY</t>
  </si>
  <si>
    <t>LHYAX US EQUITY</t>
  </si>
  <si>
    <t>LTNYX US EQUITY</t>
  </si>
  <si>
    <t>PDIIX US EQUITY</t>
  </si>
  <si>
    <t>PURAX US EQUITY</t>
  </si>
  <si>
    <t>HFQAX US EQUITY</t>
  </si>
  <si>
    <t>TAREX US EQUITY</t>
  </si>
  <si>
    <t>AFJAX US EQUITY</t>
  </si>
  <si>
    <t>GHYBX US EQUITY</t>
  </si>
  <si>
    <t>OAKEX US EQUITY</t>
  </si>
  <si>
    <t>FSCTX US EQUITY</t>
  </si>
  <si>
    <t>TMLCX US EQUITY</t>
  </si>
  <si>
    <t>JEMSX US EQUITY</t>
  </si>
  <si>
    <t>PBMJX US EQUITY</t>
  </si>
  <si>
    <t>PGOAX US EQUITY</t>
  </si>
  <si>
    <t>FEAFX US EQUITY</t>
  </si>
  <si>
    <t>NINDX US EQUITY</t>
  </si>
  <si>
    <t>LVOAX US EQUITY</t>
  </si>
  <si>
    <t>PRMTX US EQUITY</t>
  </si>
  <si>
    <t>CCCAX US EQUITY</t>
  </si>
  <si>
    <t>FEVAX US EQUITY</t>
  </si>
  <si>
    <t>JPIAX US EQUITY</t>
  </si>
  <si>
    <t>BSPIX US EQUITY</t>
  </si>
  <si>
    <t>NLSAX US EQUITY</t>
  </si>
  <si>
    <t>THDAX US EQUITY</t>
  </si>
  <si>
    <t>JASBX US EQUITY</t>
  </si>
  <si>
    <t>VSNGX US EQUITY</t>
  </si>
  <si>
    <t>PRDAX US EQUITY</t>
  </si>
  <si>
    <t>STTRX US EQUITY</t>
  </si>
  <si>
    <t>MEURX US EQUITY</t>
  </si>
  <si>
    <t>FLCSX US EQUITY</t>
  </si>
  <si>
    <t>USAIX US EQUITY</t>
  </si>
  <si>
    <t>PEOPX US EQUITY</t>
  </si>
  <si>
    <t>NTAUX US EQUITY</t>
  </si>
  <si>
    <t>GAFAX US EQUITY</t>
  </si>
  <si>
    <t>PLVIX US EQUITY</t>
  </si>
  <si>
    <t>VADAX US EQUITY</t>
  </si>
  <si>
    <t>CSIEX US EQUITY</t>
  </si>
  <si>
    <t>PRFHX US EQUITY</t>
  </si>
  <si>
    <t>LTEBX US EQUITY</t>
  </si>
  <si>
    <t>JCVBX US EQUITY</t>
  </si>
  <si>
    <t>VCITX US EQUITY</t>
  </si>
  <si>
    <t>CPXAX US EQUITY</t>
  </si>
  <si>
    <t>AMHIX US EQUITY</t>
  </si>
  <si>
    <t>FCPVX US EQUITY</t>
  </si>
  <si>
    <t>FDEBX US EQUITY</t>
  </si>
  <si>
    <t>PTSAX US EQUITY</t>
  </si>
  <si>
    <t>FEMKX US EQUITY</t>
  </si>
  <si>
    <t>STHRX US EQUITY</t>
  </si>
  <si>
    <t>FULBX US EQUITY</t>
  </si>
  <si>
    <t>DFUVX US EQUITY</t>
  </si>
  <si>
    <t>HADAX US EQUITY</t>
  </si>
  <si>
    <t>TINCX US EQUITY</t>
  </si>
  <si>
    <t>FSTSX US EQUITY</t>
  </si>
  <si>
    <t>NMSCX US EQUITY</t>
  </si>
  <si>
    <t>FCVAX US EQUITY</t>
  </si>
  <si>
    <t>PGUIX US EQUITY</t>
  </si>
  <si>
    <t>EXOSX US EQUITY</t>
  </si>
  <si>
    <t>GABEX US EQUITY</t>
  </si>
  <si>
    <t>MAHQX US EQUITY</t>
  </si>
  <si>
    <t>VUSTX US EQUITY</t>
  </si>
  <si>
    <t>NICSX US EQUITY</t>
  </si>
  <si>
    <t>EMNAX US EQUITY</t>
  </si>
  <si>
    <t>FAEGX US EQUITY</t>
  </si>
  <si>
    <t>TAGRX US EQUITY</t>
  </si>
  <si>
    <t>BUFSX US EQUITY</t>
  </si>
  <si>
    <t>FDAFX US EQUITY</t>
  </si>
  <si>
    <t>VTMSX US EQUITY</t>
  </si>
  <si>
    <t>AKRIX US EQUITY</t>
  </si>
  <si>
    <t>MMIEX US EQUITY</t>
  </si>
  <si>
    <t>VSEAX US EQUITY</t>
  </si>
  <si>
    <t>DUGAX US EQUITY</t>
  </si>
  <si>
    <t>PBHAX US EQUITY</t>
  </si>
  <si>
    <t>SCDGX US EQUITY</t>
  </si>
  <si>
    <t>FATWX US EQUITY</t>
  </si>
  <si>
    <t>AIOAX US EQUITY</t>
  </si>
  <si>
    <t>REMSX US EQUITY</t>
  </si>
  <si>
    <t>LISAX US EQUITY</t>
  </si>
  <si>
    <t>DFALX US EQUITY</t>
  </si>
  <si>
    <t>LEGAX US EQUITY</t>
  </si>
  <si>
    <t>FIIAX US EQUITY</t>
  </si>
  <si>
    <t>VMGRX US EQUITY</t>
  </si>
  <si>
    <t>THIFX US EQUITY</t>
  </si>
  <si>
    <t>JHFIX US EQUITY</t>
  </si>
  <si>
    <t>DTMIX US EQUITY</t>
  </si>
  <si>
    <t>OSMAX US EQUITY</t>
  </si>
  <si>
    <t>DMCVX US EQUITY</t>
  </si>
  <si>
    <t>WATFX US EQUITY</t>
  </si>
  <si>
    <t>FMLSX US EQUITY</t>
  </si>
  <si>
    <t>LMVTX US EQUITY</t>
  </si>
  <si>
    <t>ADAIX US EQUITY</t>
  </si>
  <si>
    <t>VPACX US EQUITY</t>
  </si>
  <si>
    <t>PRRSX US EQUITY</t>
  </si>
  <si>
    <t>GABSX US EQUITY</t>
  </si>
  <si>
    <t>GEDTX US EQUITY</t>
  </si>
  <si>
    <t>POSKX US EQUITY</t>
  </si>
  <si>
    <t>DFITX US EQUITY</t>
  </si>
  <si>
    <t>VPAIX US EQUITY</t>
  </si>
  <si>
    <t>VMVIX US EQUITY</t>
  </si>
  <si>
    <t>SXFIX US EQUITY</t>
  </si>
  <si>
    <t>VGRAX US EQUITY</t>
  </si>
  <si>
    <t>FSCSX US EQUITY</t>
  </si>
  <si>
    <t>HRVIX US EQUITY</t>
  </si>
  <si>
    <t>ALARX US EQUITY</t>
  </si>
  <si>
    <t>ANGLX US EQUITY</t>
  </si>
  <si>
    <t>KSCVX US EQUITY</t>
  </si>
  <si>
    <t>PFUIX US EQUITY</t>
  </si>
  <si>
    <t>BERIX US EQUITY</t>
  </si>
  <si>
    <t>PGBPX US EQUITY</t>
  </si>
  <si>
    <t>HLIPX US EQUITY</t>
  </si>
  <si>
    <t>FACVX US EQUITY</t>
  </si>
  <si>
    <t>FCVSX US EQUITY</t>
  </si>
  <si>
    <t>SSMVX US EQUITY</t>
  </si>
  <si>
    <t>DEVLX US EQUITY</t>
  </si>
  <si>
    <t>JISZX US EQUITY</t>
  </si>
  <si>
    <t>NMIEX US EQUITY</t>
  </si>
  <si>
    <t>INDZX US EQUITY</t>
  </si>
  <si>
    <t>TIHYX US EQUITY</t>
  </si>
  <si>
    <t>VINEX US EQUITY</t>
  </si>
  <si>
    <t>CMPIX US EQUITY</t>
  </si>
  <si>
    <t>BIAGX US EQUITY</t>
  </si>
  <si>
    <t>TILRX US EQUITY</t>
  </si>
  <si>
    <t>SEITX US EQUITY</t>
  </si>
  <si>
    <t>NMUAX US EQUITY</t>
  </si>
  <si>
    <t>JIBCX US EQUITY</t>
  </si>
  <si>
    <t>HWDAX US EQUITY</t>
  </si>
  <si>
    <t>FRVLX US EQUITY</t>
  </si>
  <si>
    <t>PINZX US EQUITY</t>
  </si>
  <si>
    <t>JWGRX US EQUITY</t>
  </si>
  <si>
    <t>DIPSX US EQUITY</t>
  </si>
  <si>
    <t>PJFAX US EQUITY</t>
  </si>
  <si>
    <t>ITAAX US EQUITY</t>
  </si>
  <si>
    <t>LIDAX US EQUITY</t>
  </si>
  <si>
    <t>FSPTX US EQUITY</t>
  </si>
  <si>
    <t>BCSIX US EQUITY</t>
  </si>
  <si>
    <t>JGYAX US EQUITY</t>
  </si>
  <si>
    <t>BFMCX US EQUITY</t>
  </si>
  <si>
    <t>BAGIX US EQUITY</t>
  </si>
  <si>
    <t>MCBVX US EQUITY</t>
  </si>
  <si>
    <t>SSPIX US EQUITY</t>
  </si>
  <si>
    <t>GTAGX US EQUITY</t>
  </si>
  <si>
    <t>JARTX US EQUITY</t>
  </si>
  <si>
    <t>BJBHX US EQUITY</t>
  </si>
  <si>
    <t>VGPMX US EQUITY</t>
  </si>
  <si>
    <t>PWCIX US EQUITY</t>
  </si>
  <si>
    <t>NBHAX US EQUITY</t>
  </si>
  <si>
    <t>NSTMX US EQUITY</t>
  </si>
  <si>
    <t>SBLTX US EQUITY</t>
  </si>
  <si>
    <t>TIBFX US EQUITY</t>
  </si>
  <si>
    <t>VSIEX US EQUITY</t>
  </si>
  <si>
    <t>RSFLX US EQUITY</t>
  </si>
  <si>
    <t>LAVLX US EQUITY</t>
  </si>
  <si>
    <t>FACNX US EQUITY</t>
  </si>
  <si>
    <t>FICDX US EQUITY</t>
  </si>
  <si>
    <t>ABBSX US EQUITY</t>
  </si>
  <si>
    <t>NBSRX US EQUITY</t>
  </si>
  <si>
    <t>BFRAX US EQUITY</t>
  </si>
  <si>
    <t>PADAX US EQUITY</t>
  </si>
  <si>
    <t>VMGIX US EQUITY</t>
  </si>
  <si>
    <t>PHLCX US EQUITY</t>
  </si>
  <si>
    <t>PMBIX US EQUITY</t>
  </si>
  <si>
    <t>HFECX US EQUITY</t>
  </si>
  <si>
    <t>MASAX US EQUITY</t>
  </si>
  <si>
    <t>SSGSX US EQUITY</t>
  </si>
  <si>
    <t>GARIX US EQUITY</t>
  </si>
  <si>
    <t>PMDRX US EQUITY</t>
  </si>
  <si>
    <t>TISEX US EQUITY</t>
  </si>
  <si>
    <t>MMHBX US EQUITY</t>
  </si>
  <si>
    <t>HLEMX US EQUITY</t>
  </si>
  <si>
    <t>TMDIX US EQUITY</t>
  </si>
  <si>
    <t>ARBFX US EQUITY</t>
  </si>
  <si>
    <t>TRHYX US EQUITY</t>
  </si>
  <si>
    <t>PRTAX US EQUITY</t>
  </si>
  <si>
    <t>MAFRX US EQUITY</t>
  </si>
  <si>
    <t>CNSAX US EQUITY</t>
  </si>
  <si>
    <t>ANNAX US EQUITY</t>
  </si>
  <si>
    <t>MGFIX US EQUITY</t>
  </si>
  <si>
    <t>BARAX US EQUITY</t>
  </si>
  <si>
    <t>FFFAX US EQUITY</t>
  </si>
  <si>
    <t>GRMSX US EQUITY</t>
  </si>
  <si>
    <t>WFILX US EQUITY</t>
  </si>
  <si>
    <t>MFBFX US EQUITY</t>
  </si>
  <si>
    <t>NOSGX US EQUITY</t>
  </si>
  <si>
    <t>TRPSX US EQUITY</t>
  </si>
  <si>
    <t>FAEMX US EQUITY</t>
  </si>
  <si>
    <t>TIBDX US EQUITY</t>
  </si>
  <si>
    <t>JHYAX US EQUITY</t>
  </si>
  <si>
    <t>SWISX US EQUITY</t>
  </si>
  <si>
    <t>AFRAX US EQUITY</t>
  </si>
  <si>
    <t>JEVAX US EQUITY</t>
  </si>
  <si>
    <t>FSENX US EQUITY</t>
  </si>
  <si>
    <t>BPRAX US EQUITY</t>
  </si>
  <si>
    <t>AZNAX US EQUITY</t>
  </si>
  <si>
    <t>SLGAX US EQUITY</t>
  </si>
  <si>
    <t>MNTRX US EQUITY</t>
  </si>
  <si>
    <t>BSBIX US EQUITY</t>
  </si>
  <si>
    <t>TISPX US EQUITY</t>
  </si>
  <si>
    <t>CGRWX US EQUITY</t>
  </si>
  <si>
    <t>FSGEX US EQUITY</t>
  </si>
  <si>
    <t>JICPX US EQUITY</t>
  </si>
  <si>
    <t>LSGIX US EQUITY</t>
  </si>
  <si>
    <t>OPPEX US EQUITY</t>
  </si>
  <si>
    <t>TAVFX US EQUITY</t>
  </si>
  <si>
    <t>ISFAX US EQUITY</t>
  </si>
  <si>
    <t>NOITX US EQUITY</t>
  </si>
  <si>
    <t>CAPFX US EQUITY</t>
  </si>
  <si>
    <t>TVRAX US EQUITY</t>
  </si>
  <si>
    <t>SWSSX US EQUITY</t>
  </si>
  <si>
    <t>REBSX US EQUITY</t>
  </si>
  <si>
    <t>FDAGX US EQUITY</t>
  </si>
  <si>
    <t>FDFAX US EQUITY</t>
  </si>
  <si>
    <t>WFTRX US EQUITY</t>
  </si>
  <si>
    <t>FBLAX US EQUITY</t>
  </si>
  <si>
    <t>WBIIX US EQUITY</t>
  </si>
  <si>
    <t>TILVX US EQUITY</t>
  </si>
  <si>
    <t>FEIRX US EQUITY</t>
  </si>
  <si>
    <t>UMBMX US EQUITY</t>
  </si>
  <si>
    <t>USCRX US EQUITY</t>
  </si>
  <si>
    <t>OMBIX US EQUITY</t>
  </si>
  <si>
    <t>NSBAX US EQUITY</t>
  </si>
  <si>
    <t>FTABX US EQUITY</t>
  </si>
  <si>
    <t>MRLAX US EQUITY</t>
  </si>
  <si>
    <t>CLSPX US EQUITY</t>
  </si>
  <si>
    <t>JITRX US EQUITY</t>
  </si>
  <si>
    <t>CHDEX US EQUITY</t>
  </si>
  <si>
    <t>IARCX US EQUITY</t>
  </si>
  <si>
    <t>DIFAX US EQUITY</t>
  </si>
  <si>
    <t>CRIMX US EQUITY</t>
  </si>
  <si>
    <t>VPEIX US EQUITY</t>
  </si>
  <si>
    <t>LSGBX US EQUITY</t>
  </si>
  <si>
    <t>WAAEX US EQUITY</t>
  </si>
  <si>
    <t>LSDAX US EQUITY</t>
  </si>
  <si>
    <t>SHLMX US EQUITY</t>
  </si>
  <si>
    <t>FMFAX US EQUITY</t>
  </si>
  <si>
    <t>FSDPX US EQUITY</t>
  </si>
  <si>
    <t>USTEX US EQUITY</t>
  </si>
  <si>
    <t>SVIIX US EQUITY</t>
  </si>
  <si>
    <t>BIBDX US EQUITY</t>
  </si>
  <si>
    <t>GTSAX US EQUITY</t>
  </si>
  <si>
    <t>TXRAX US EQUITY</t>
  </si>
  <si>
    <t>MUBFX US EQUITY</t>
  </si>
  <si>
    <t>FMCAX US EQUITY</t>
  </si>
  <si>
    <t>FSSMX US EQUITY</t>
  </si>
  <si>
    <t>FLAAX US EQUITY</t>
  </si>
  <si>
    <t>DSPIX US EQUITY</t>
  </si>
  <si>
    <t>CBALX US EQUITY</t>
  </si>
  <si>
    <t>LMOPX US EQUITY</t>
  </si>
  <si>
    <t>LRSCX US EQUITY</t>
  </si>
  <si>
    <t>MMIBX US EQUITY</t>
  </si>
  <si>
    <t>FLDAX US EQUITY</t>
  </si>
  <si>
    <t>JIEMX US EQUITY</t>
  </si>
  <si>
    <t>BAEIX US EQUITY</t>
  </si>
  <si>
    <t>MFGSX US EQUITY</t>
  </si>
  <si>
    <t>OPOCX US EQUITY</t>
  </si>
  <si>
    <t>PSHIX US EQUITY</t>
  </si>
  <si>
    <t>SWANX US EQUITY</t>
  </si>
  <si>
    <t>IMOAX US EQUITY</t>
  </si>
  <si>
    <t>FDESX US EQUITY</t>
  </si>
  <si>
    <t>FISCX US EQUITY</t>
  </si>
  <si>
    <t>FTFIX US EQUITY</t>
  </si>
  <si>
    <t>FKDNX US EQUITY</t>
  </si>
  <si>
    <t>GASFX US EQUITY</t>
  </si>
  <si>
    <t>PTWAX US EQUITY</t>
  </si>
  <si>
    <t>DTMEX US EQUITY</t>
  </si>
  <si>
    <t>SUBFX US EQUITY</t>
  </si>
  <si>
    <t>DBIRX US EQUITY</t>
  </si>
  <si>
    <t>SWOIX US EQUITY</t>
  </si>
  <si>
    <t>JAVTX US EQUITY</t>
  </si>
  <si>
    <t>PSRZX US EQUITY</t>
  </si>
  <si>
    <t>SHMDX US EQUITY</t>
  </si>
  <si>
    <t>GSMAX US EQUITY</t>
  </si>
  <si>
    <t>JAGLX US EQUITY</t>
  </si>
  <si>
    <t>JORAX US EQUITY</t>
  </si>
  <si>
    <t>PAXWX US EQUITY</t>
  </si>
  <si>
    <t>USIBX US EQUITY</t>
  </si>
  <si>
    <t>FISEX US EQUITY</t>
  </si>
  <si>
    <t>ACSBX US EQUITY</t>
  </si>
  <si>
    <t>FMPAX US EQUITY</t>
  </si>
  <si>
    <t>FSMVX US EQUITY</t>
  </si>
  <si>
    <t>SWDSX US EQUITY</t>
  </si>
  <si>
    <t>DBLFX US EQUITY</t>
  </si>
  <si>
    <t>DFFGX US EQUITY</t>
  </si>
  <si>
    <t>GAMDX US EQUITY</t>
  </si>
  <si>
    <t>LITAX US EQUITY</t>
  </si>
  <si>
    <t>NSMIX US EQUITY</t>
  </si>
  <si>
    <t>FAHYX US EQUITY</t>
  </si>
  <si>
    <t>JIVIX US EQUITY</t>
  </si>
  <si>
    <t>JHNBX US EQUITY</t>
  </si>
  <si>
    <t>ASFAX US EQUITY</t>
  </si>
  <si>
    <t>FDEGX US EQUITY</t>
  </si>
  <si>
    <t>MEMKX US EQUITY</t>
  </si>
  <si>
    <t>PHSIX US EQUITY</t>
  </si>
  <si>
    <t>INEAX US EQUITY</t>
  </si>
  <si>
    <t>VKMMX US EQUITY</t>
  </si>
  <si>
    <t>VPGRX US EQUITY</t>
  </si>
  <si>
    <t>COSIX US EQUITY</t>
  </si>
  <si>
    <t>NOBOX US EQUITY</t>
  </si>
  <si>
    <t>ORIGX US EQUITY</t>
  </si>
  <si>
    <t>STFRX US EQUITY</t>
  </si>
  <si>
    <t>MSSGX US EQUITY</t>
  </si>
  <si>
    <t>ICEVX US EQUITY</t>
  </si>
  <si>
    <t>HLGEX US EQUITY</t>
  </si>
  <si>
    <t>POSAX US EQUITY</t>
  </si>
  <si>
    <t>MSPIX US EQUITY</t>
  </si>
  <si>
    <t>APGAX US EQUITY</t>
  </si>
  <si>
    <t>NMMEX US EQUITY</t>
  </si>
  <si>
    <t>FDMMX US EQUITY</t>
  </si>
  <si>
    <t>WFTAX US EQUITY</t>
  </si>
  <si>
    <t>NEFRX US EQUITY</t>
  </si>
  <si>
    <t>NOEMX US EQUITY</t>
  </si>
  <si>
    <t>DFTWX US EQUITY</t>
  </si>
  <si>
    <t>DFTSX US EQUITY</t>
  </si>
  <si>
    <t>PSDTX US EQUITY</t>
  </si>
  <si>
    <t>MSAVX US EQUITY</t>
  </si>
  <si>
    <t>TIGAX US EQUITY</t>
  </si>
  <si>
    <t>VCVSX US EQUITY</t>
  </si>
  <si>
    <t>FCSSX US EQUITY</t>
  </si>
  <si>
    <t>PRIAX US EQUITY</t>
  </si>
  <si>
    <t>DFSMX US EQUITY</t>
  </si>
  <si>
    <t>SHDAX US EQUITY</t>
  </si>
  <si>
    <t>LGILX US EQUITY</t>
  </si>
  <si>
    <t>DBLSX US EQUITY</t>
  </si>
  <si>
    <t>PTSIX US EQUITY</t>
  </si>
  <si>
    <t>MNDAX US EQUITY</t>
  </si>
  <si>
    <t>LAMAX US EQUITY</t>
  </si>
  <si>
    <t>NGIBX US EQUITY</t>
  </si>
  <si>
    <t>TRLVX US EQUITY</t>
  </si>
  <si>
    <t>TILCX US EQUITY</t>
  </si>
  <si>
    <t>SIEMX US EQUITY</t>
  </si>
  <si>
    <t>STADX US EQUITY</t>
  </si>
  <si>
    <t>RSPFX US EQUITY</t>
  </si>
  <si>
    <t>FINPX US EQUITY</t>
  </si>
  <si>
    <t>FIPAX US EQUITY</t>
  </si>
  <si>
    <t>TRPBX US EQUITY</t>
  </si>
  <si>
    <t>PRFSX US EQUITY</t>
  </si>
  <si>
    <t>USSTX US EQUITY</t>
  </si>
  <si>
    <t>MERDX US EQUITY</t>
  </si>
  <si>
    <t>TORIX US EQUITY</t>
  </si>
  <si>
    <t>GMIEX US EQUITY</t>
  </si>
  <si>
    <t>SHFVX US EQUITY</t>
  </si>
  <si>
    <t>FADIX US EQUITY</t>
  </si>
  <si>
    <t>SOPFX US EQUITY</t>
  </si>
  <si>
    <t>AMAGX US EQUITY</t>
  </si>
  <si>
    <t>OPTAX US EQUITY</t>
  </si>
  <si>
    <t>OAKWX US EQUITY</t>
  </si>
  <si>
    <t>GARTX US EQUITY</t>
  </si>
  <si>
    <t>CSHAX US EQUITY</t>
  </si>
  <si>
    <t>DGLRX US EQUITY</t>
  </si>
  <si>
    <t>TEDMX US EQUITY</t>
  </si>
  <si>
    <t>MPMCX US EQUITY</t>
  </si>
  <si>
    <t>MGRFX US EQUITY</t>
  </si>
  <si>
    <t>FTQGX US EQUITY</t>
  </si>
  <si>
    <t>FISAX US EQUITY</t>
  </si>
  <si>
    <t>VNJTX US EQUITY</t>
  </si>
  <si>
    <t>NVHAX US EQUITY</t>
  </si>
  <si>
    <t>WHGIX US EQUITY</t>
  </si>
  <si>
    <t>UMBIX US EQUITY</t>
  </si>
  <si>
    <t>JVIAX US EQUITY</t>
  </si>
  <si>
    <t>GUSTX US EQUITY</t>
  </si>
  <si>
    <t>HLEIX US EQUITY</t>
  </si>
  <si>
    <t>FSGRX US EQUITY</t>
  </si>
  <si>
    <t>TILIX US EQUITY</t>
  </si>
  <si>
    <t>MDXBX US EQUITY</t>
  </si>
  <si>
    <t>FSELX US EQUITY</t>
  </si>
  <si>
    <t>PIOBX US EQUITY</t>
  </si>
  <si>
    <t>SAAAX US EQUITY</t>
  </si>
  <si>
    <t>FKSCX US EQUITY</t>
  </si>
  <si>
    <t>CHCYX US EQUITY</t>
  </si>
  <si>
    <t>CAAPX US EQUITY</t>
  </si>
  <si>
    <t>PMSAX US EQUITY</t>
  </si>
  <si>
    <t>REASX US EQUITY</t>
  </si>
  <si>
    <t>AEDAX US EQUITY</t>
  </si>
  <si>
    <t>MWHYX US EQUITY</t>
  </si>
  <si>
    <t>PRENX US EQUITY</t>
  </si>
  <si>
    <t>TCILX US EQUITY</t>
  </si>
  <si>
    <t>VCVLX US EQUITY</t>
  </si>
  <si>
    <t>PGRTX US EQUITY</t>
  </si>
  <si>
    <t>RWGIX US EQUITY</t>
  </si>
  <si>
    <t>FEXPX US EQUITY</t>
  </si>
  <si>
    <t>TGCEX US EQUITY</t>
  </si>
  <si>
    <t>JSCVX US EQUITY</t>
  </si>
  <si>
    <t>SMMIX US EQUITY</t>
  </si>
  <si>
    <t>DFVIX US EQUITY</t>
  </si>
  <si>
    <t>TLGUX US EQUITY</t>
  </si>
  <si>
    <t>CSDAX US EQUITY</t>
  </si>
  <si>
    <t>FRCIX US EQUITY</t>
  </si>
  <si>
    <t>ARGFX US EQUITY</t>
  </si>
  <si>
    <t>HWHIX US EQUITY</t>
  </si>
  <si>
    <t>DBPIX US EQUITY</t>
  </si>
  <si>
    <t>TEVIX US EQUITY</t>
  </si>
  <si>
    <t>SVTAX US EQUITY</t>
  </si>
  <si>
    <t>FFEIX US EQUITY</t>
  </si>
  <si>
    <t>PYHIX US EQUITY</t>
  </si>
  <si>
    <t>LAUSX US EQUITY</t>
  </si>
  <si>
    <t>FMUEX US EQUITY</t>
  </si>
  <si>
    <t>PZCRX US EQUITY</t>
  </si>
  <si>
    <t>HYMAX US EQUITY</t>
  </si>
  <si>
    <t>VTWIX US EQUITY</t>
  </si>
  <si>
    <t>ACAPX US EQUITY</t>
  </si>
  <si>
    <t>DFTEX US EQUITY</t>
  </si>
  <si>
    <t>JCUAX US EQUITY</t>
  </si>
  <si>
    <t>FLMLX US EQUITY</t>
  </si>
  <si>
    <t>FSLCX US EQUITY</t>
  </si>
  <si>
    <t>GSDAX US EQUITY</t>
  </si>
  <si>
    <t>HSTAX US EQUITY</t>
  </si>
  <si>
    <t>EXBAX US EQUITY</t>
  </si>
  <si>
    <t>LTVPX US EQUITY</t>
  </si>
  <si>
    <t>LANSX US EQUITY</t>
  </si>
  <si>
    <t>JFIVX US EQUITY</t>
  </si>
  <si>
    <t>SIGVX US EQUITY</t>
  </si>
  <si>
    <t>NPRTX US EQUITY</t>
  </si>
  <si>
    <t>FBTAX US EQUITY</t>
  </si>
  <si>
    <t>QVGIX US EQUITY</t>
  </si>
  <si>
    <t>GGHCX US EQUITY</t>
  </si>
  <si>
    <t>JIADX US EQUITY</t>
  </si>
  <si>
    <t>IIIIX US EQUITY</t>
  </si>
  <si>
    <t>USSBX US EQUITY</t>
  </si>
  <si>
    <t>PINVX US EQUITY</t>
  </si>
  <si>
    <t>ANIAX US EQUITY</t>
  </si>
  <si>
    <t>SNNYX US EQUITY</t>
  </si>
  <si>
    <t>LEXCX US EQUITY</t>
  </si>
  <si>
    <t>STHBX US EQUITY</t>
  </si>
  <si>
    <t>JIMSX US EQUITY</t>
  </si>
  <si>
    <t>RGIAX US EQUITY</t>
  </si>
  <si>
    <t>TLIIX US EQUITY</t>
  </si>
  <si>
    <t>GSBFX US EQUITY</t>
  </si>
  <si>
    <t>MBLRX US EQUITY</t>
  </si>
  <si>
    <t>CMGUX US EQUITY</t>
  </si>
  <si>
    <t>FCAMX US EQUITY</t>
  </si>
  <si>
    <t>IIBAX US EQUITY</t>
  </si>
  <si>
    <t>URTLX US EQUITY</t>
  </si>
  <si>
    <t>GIIAX US EQUITY</t>
  </si>
  <si>
    <t>SHYTX US EQUITY</t>
  </si>
  <si>
    <t>MNBAX US EQUITY</t>
  </si>
  <si>
    <t>CSLGX US EQUITY</t>
  </si>
  <si>
    <t>TRPWX US EQUITY</t>
  </si>
  <si>
    <t>TAHYX US EQUITY</t>
  </si>
  <si>
    <t>FNMAX US EQUITY</t>
  </si>
  <si>
    <t>FTFMX US EQUITY</t>
  </si>
  <si>
    <t>JIOAX US EQUITY</t>
  </si>
  <si>
    <t>BPTRX US EQUITY</t>
  </si>
  <si>
    <t>CDEIX US EQUITY</t>
  </si>
  <si>
    <t>FCTFX US EQUITY</t>
  </si>
  <si>
    <t>GWPAX US EQUITY</t>
  </si>
  <si>
    <t>AUGAX US EQUITY</t>
  </si>
  <si>
    <t>COVAX US EQUITY</t>
  </si>
  <si>
    <t>USIFX US EQUITY</t>
  </si>
  <si>
    <t>DISSX US EQUITY</t>
  </si>
  <si>
    <t>AALGX US EQUITY</t>
  </si>
  <si>
    <t>TWQAX US EQUITY</t>
  </si>
  <si>
    <t>MAMTX US EQUITY</t>
  </si>
  <si>
    <t>FFVAX US EQUITY</t>
  </si>
  <si>
    <t>JIMAX US EQUITY</t>
  </si>
  <si>
    <t>DREQX US EQUITY</t>
  </si>
  <si>
    <t>HIMCX US EQUITY</t>
  </si>
  <si>
    <t>ITBAX US EQUITY</t>
  </si>
  <si>
    <t>ABTHX US EQUITY</t>
  </si>
  <si>
    <t>NUSFX US EQUITY</t>
  </si>
  <si>
    <t>DIBAX US EQUITY</t>
  </si>
  <si>
    <t>STCSX US EQUITY</t>
  </si>
  <si>
    <t>DDBIX US EQUITY</t>
  </si>
  <si>
    <t>FOHIX US EQUITY</t>
  </si>
  <si>
    <t>MPNIX US EQUITY</t>
  </si>
  <si>
    <t>TASVX US EQUITY</t>
  </si>
  <si>
    <t>HYFAX US EQUITY</t>
  </si>
  <si>
    <t>FGINX US EQUITY</t>
  </si>
  <si>
    <t>SHYAX US EQUITY</t>
  </si>
  <si>
    <t>PAEAX US EQUITY</t>
  </si>
  <si>
    <t>PRESX US EQUITY</t>
  </si>
  <si>
    <t>RRESX US EQUITY</t>
  </si>
  <si>
    <t>GMODX US EQUITY</t>
  </si>
  <si>
    <t>FCMAX US EQUITY</t>
  </si>
  <si>
    <t>USISX US EQUITY</t>
  </si>
  <si>
    <t>ASLAX US EQUITY</t>
  </si>
  <si>
    <t>PABUX US EQUITY</t>
  </si>
  <si>
    <t>KLCIX US EQUITY</t>
  </si>
  <si>
    <t>FSMEX US EQUITY</t>
  </si>
  <si>
    <t>WGRNX US EQUITY</t>
  </si>
  <si>
    <t>PIOTX US EQUITY</t>
  </si>
  <si>
    <t>EXDAX US EQUITY</t>
  </si>
  <si>
    <t>SGINX US EQUITY</t>
  </si>
  <si>
    <t>FGFBX US EQUITY</t>
  </si>
  <si>
    <t>MWEBX US EQUITY</t>
  </si>
  <si>
    <t>USGRX US EQUITY</t>
  </si>
  <si>
    <t>OAMIX US EQUITY</t>
  </si>
  <si>
    <t>MTLFX US EQUITY</t>
  </si>
  <si>
    <t>SDGAX US EQUITY</t>
  </si>
  <si>
    <t>PGMIX US EQUITY</t>
  </si>
  <si>
    <t>KIFAX US EQUITY</t>
  </si>
  <si>
    <t>PHRAX US EQUITY</t>
  </si>
  <si>
    <t>TRMVX US EQUITY</t>
  </si>
  <si>
    <t>MXFAX US EQUITY</t>
  </si>
  <si>
    <t>OTCAX US EQUITY</t>
  </si>
  <si>
    <t>CMPGX US EQUITY</t>
  </si>
  <si>
    <t>STFBX US EQUITY</t>
  </si>
  <si>
    <t>VTMFX US EQUITY</t>
  </si>
  <si>
    <t>LEIFX US EQUITY</t>
  </si>
  <si>
    <t>VPCIX US EQUITY</t>
  </si>
  <si>
    <t>FWAFX US EQUITY</t>
  </si>
  <si>
    <t>FWWFX US EQUITY</t>
  </si>
  <si>
    <t>DEFIX US EQUITY</t>
  </si>
  <si>
    <t>OEQAX US EQUITY</t>
  </si>
  <si>
    <t>UMEMX US EQUITY</t>
  </si>
  <si>
    <t>WAIGX US EQUITY</t>
  </si>
  <si>
    <t>SAIFX US EQUITY</t>
  </si>
  <si>
    <t>BJBGX US EQUITY</t>
  </si>
  <si>
    <t>PINCX US EQUITY</t>
  </si>
  <si>
    <t>CRAIX US EQUITY</t>
  </si>
  <si>
    <t>TFMAX US EQUITY</t>
  </si>
  <si>
    <t>PSOPX US EQUITY</t>
  </si>
  <si>
    <t>AEMGX US EQUITY</t>
  </si>
  <si>
    <t>DREVX US EQUITY</t>
  </si>
  <si>
    <t>MCBDX US EQUITY</t>
  </si>
  <si>
    <t>SBMAX US EQUITY</t>
  </si>
  <si>
    <t>RIMSX US EQUITY</t>
  </si>
  <si>
    <t>AUSAX US EQUITY</t>
  </si>
  <si>
    <t>FACTX US EQUITY</t>
  </si>
  <si>
    <t>FPHAX US EQUITY</t>
  </si>
  <si>
    <t>ASAIX US EQUITY</t>
  </si>
  <si>
    <t>GSLIX US EQUITY</t>
  </si>
  <si>
    <t>HLMEX US EQUITY</t>
  </si>
  <si>
    <t>AAMBX US EQUITY</t>
  </si>
  <si>
    <t>TGLDX US EQUITY</t>
  </si>
  <si>
    <t>USHYX US EQUITY</t>
  </si>
  <si>
    <t>TRSGX US EQUITY</t>
  </si>
  <si>
    <t>AMHYX US EQUITY</t>
  </si>
  <si>
    <t>FCDAX US EQUITY</t>
  </si>
  <si>
    <t>FDSCX US EQUITY</t>
  </si>
  <si>
    <t>GOCBX US EQUITY</t>
  </si>
  <si>
    <t>FDBBX US EQUITY</t>
  </si>
  <si>
    <t>WAEMX US EQUITY</t>
  </si>
  <si>
    <t>KDCAX US EQUITY</t>
  </si>
  <si>
    <t>STRFX US EQUITY</t>
  </si>
  <si>
    <t>RGCAX US EQUITY</t>
  </si>
  <si>
    <t>SELCX US EQUITY</t>
  </si>
  <si>
    <t>AMANX US EQUITY</t>
  </si>
  <si>
    <t>MVUSX US EQUITY</t>
  </si>
  <si>
    <t>BRMBX US EQUITY</t>
  </si>
  <si>
    <t>RRRAX US EQUITY</t>
  </si>
  <si>
    <t>BUFBX US EQUITY</t>
  </si>
  <si>
    <t>MQLFX US EQUITY</t>
  </si>
  <si>
    <t>TISBX US EQUITY</t>
  </si>
  <si>
    <t>QFVOX US EQUITY</t>
  </si>
  <si>
    <t>HDPSX US EQUITY</t>
  </si>
  <si>
    <t>MSILX US EQUITY</t>
  </si>
  <si>
    <t>LTRAX US EQUITY</t>
  </si>
  <si>
    <t>NGREX US EQUITY</t>
  </si>
  <si>
    <t>FASPX US EQUITY</t>
  </si>
  <si>
    <t>FSLSX US EQUITY</t>
  </si>
  <si>
    <t>FAMRX US EQUITY</t>
  </si>
  <si>
    <t>QVSCX US EQUITY</t>
  </si>
  <si>
    <t>NABAX US EQUITY</t>
  </si>
  <si>
    <t>BISIX US EQUITY</t>
  </si>
  <si>
    <t>TIREX US EQUITY</t>
  </si>
  <si>
    <t>VPGIX US EQUITY</t>
  </si>
  <si>
    <t>LSFAX US EQUITY</t>
  </si>
  <si>
    <t>DAGVX US EQUITY</t>
  </si>
  <si>
    <t>PRGMX US EQUITY</t>
  </si>
  <si>
    <t>FSCHX US EQUITY</t>
  </si>
  <si>
    <t>FABLX US EQUITY</t>
  </si>
  <si>
    <t>JPIVX US EQUITY</t>
  </si>
  <si>
    <t>HIAOX US EQUITY</t>
  </si>
  <si>
    <t>NOFIX US EQUITY</t>
  </si>
  <si>
    <t>GGEYX US EQUITY</t>
  </si>
  <si>
    <t>TAFTX US EQUITY</t>
  </si>
  <si>
    <t>PEQIX US EQUITY</t>
  </si>
  <si>
    <t>PGHYX US EQUITY</t>
  </si>
  <si>
    <t>BEMIX US EQUITY</t>
  </si>
  <si>
    <t>NGUAX US EQUITY</t>
  </si>
  <si>
    <t>VPINX US EQUITY</t>
  </si>
  <si>
    <t>FEYAX US EQUITY</t>
  </si>
  <si>
    <t>AGREX US EQUITY</t>
  </si>
  <si>
    <t>RFASX US EQUITY</t>
  </si>
  <si>
    <t>OMOBX US EQUITY</t>
  </si>
  <si>
    <t>SCMTX US EQUITY</t>
  </si>
  <si>
    <t>SCETX US EQUITY</t>
  </si>
  <si>
    <t>QUASX US EQUITY</t>
  </si>
  <si>
    <t>PPVIX US EQUITY</t>
  </si>
  <si>
    <t>AIZAX US EQUITY</t>
  </si>
  <si>
    <t>SIMTX US EQUITY</t>
  </si>
  <si>
    <t>SVSPX US EQUITY</t>
  </si>
  <si>
    <t>WEFIX US EQUITY</t>
  </si>
  <si>
    <t>PPQMX US EQUITY</t>
  </si>
  <si>
    <t>HFCIX US EQUITY</t>
  </si>
  <si>
    <t>PTUZX US EQUITY</t>
  </si>
  <si>
    <t>DFMVX US EQUITY</t>
  </si>
  <si>
    <t>TRSSX US EQUITY</t>
  </si>
  <si>
    <t>NMCAX US EQUITY</t>
  </si>
  <si>
    <t>FMIMX US EQUITY</t>
  </si>
  <si>
    <t>DRTAX US EQUITY</t>
  </si>
  <si>
    <t>PCLVX US EQUITY</t>
  </si>
  <si>
    <t>HYSAX US EQUITY</t>
  </si>
  <si>
    <t>AABCX US EQUITY</t>
  </si>
  <si>
    <t>JMBAX US EQUITY</t>
  </si>
  <si>
    <t>HCTAX US EQUITY</t>
  </si>
  <si>
    <t>FTOIX US EQUITY</t>
  </si>
  <si>
    <t>FRBSX US EQUITY</t>
  </si>
  <si>
    <t>PATHX US EQUITY</t>
  </si>
  <si>
    <t>IHOAX US EQUITY</t>
  </si>
  <si>
    <t>WTIBX US EQUITY</t>
  </si>
  <si>
    <t>FFHCX US EQUITY</t>
  </si>
  <si>
    <t>FDEQX US EQUITY</t>
  </si>
  <si>
    <t>VMPAX US EQUITY</t>
  </si>
  <si>
    <t>FSTEX US EQUITY</t>
  </si>
  <si>
    <t>PHSTX US EQUITY</t>
  </si>
  <si>
    <t>LIIAX US EQUITY</t>
  </si>
  <si>
    <t>CRARX US EQUITY</t>
  </si>
  <si>
    <t>BIMIX US EQUITY</t>
  </si>
  <si>
    <t>OPGSX US EQUITY</t>
  </si>
  <si>
    <t>FMNEX US EQUITY</t>
  </si>
  <si>
    <t>WFQWX US EQUITY</t>
  </si>
  <si>
    <t>JFTAX US EQUITY</t>
  </si>
  <si>
    <t>TISIX US EQUITY</t>
  </si>
  <si>
    <t>GSPAX US EQUITY</t>
  </si>
  <si>
    <t>FIEUX US EQUITY</t>
  </si>
  <si>
    <t>HAGOX US EQUITY</t>
  </si>
  <si>
    <t>SMEAX US EQUITY</t>
  </si>
  <si>
    <t>PHIGX US EQUITY</t>
  </si>
  <si>
    <t>PRSIX US EQUITY</t>
  </si>
  <si>
    <t>PCTEX US EQUITY</t>
  </si>
  <si>
    <t>MITFX US EQUITY</t>
  </si>
  <si>
    <t>GLIFX US EQUITY</t>
  </si>
  <si>
    <t>SHIAX US EQUITY</t>
  </si>
  <si>
    <t>CAMSX US EQUITY</t>
  </si>
  <si>
    <t>AITFX US EQUITY</t>
  </si>
  <si>
    <t>EMHSX US EQUITY</t>
  </si>
  <si>
    <t>PSCSX US EQUITY</t>
  </si>
  <si>
    <t>RIMOX US EQUITY</t>
  </si>
  <si>
    <t>NPSAX US EQUITY</t>
  </si>
  <si>
    <t>SNEMX US EQUITY</t>
  </si>
  <si>
    <t>ETTGX US EQUITY</t>
  </si>
  <si>
    <t>KHYAX US EQUITY</t>
  </si>
  <si>
    <t>TFSCX US EQUITY</t>
  </si>
  <si>
    <t>GSTGX US EQUITY</t>
  </si>
  <si>
    <t>GXSAX US EQUITY</t>
  </si>
  <si>
    <t>DFVQX US EQUITY</t>
  </si>
  <si>
    <t>RSVAX US EQUITY</t>
  </si>
  <si>
    <t>CIPSX US EQUITY</t>
  </si>
  <si>
    <t>GABCX US EQUITY</t>
  </si>
  <si>
    <t>FKCIX US EQUITY</t>
  </si>
  <si>
    <t>FGDAX US EQUITY</t>
  </si>
  <si>
    <t>FSAGX US EQUITY</t>
  </si>
  <si>
    <t>MFWTX US EQUITY</t>
  </si>
  <si>
    <t>GIEYX US EQUITY</t>
  </si>
  <si>
    <t>LSFIX US EQUITY</t>
  </si>
  <si>
    <t>GVEZX US EQUITY</t>
  </si>
  <si>
    <t>MMHAX US EQUITY</t>
  </si>
  <si>
    <t>STSCX US EQUITY</t>
  </si>
  <si>
    <t>HIASX US EQUITY</t>
  </si>
  <si>
    <t>FBDIX US EQUITY</t>
  </si>
  <si>
    <t>DPLTX US EQUITY</t>
  </si>
  <si>
    <t>PMHAX US EQUITY</t>
  </si>
  <si>
    <t>SGGDX US EQUITY</t>
  </si>
  <si>
    <t>SRVEX US EQUITY</t>
  </si>
  <si>
    <t>BREIX US EQUITY</t>
  </si>
  <si>
    <t>LSVEX US EQUITY</t>
  </si>
  <si>
    <t>VEUAX US EQUITY</t>
  </si>
  <si>
    <t>MHITX US EQUITY</t>
  </si>
  <si>
    <t>ATIAX US EQUITY</t>
  </si>
  <si>
    <t>SMAPX US EQUITY</t>
  </si>
  <si>
    <t>JFVAX US EQUITY</t>
  </si>
  <si>
    <t>MBCLX US EQUITY</t>
  </si>
  <si>
    <t>SITEX US EQUITY</t>
  </si>
  <si>
    <t>FRSLX US EQUITY</t>
  </si>
  <si>
    <t>JPDEX US EQUITY</t>
  </si>
  <si>
    <t>ESAAX US EQUITY</t>
  </si>
  <si>
    <t>FPPTX US EQUITY</t>
  </si>
  <si>
    <t>FMALX US EQUITY</t>
  </si>
  <si>
    <t>NSITX US EQUITY</t>
  </si>
  <si>
    <t>OALGX US EQUITY</t>
  </si>
  <si>
    <t>PFIDX US EQUITY</t>
  </si>
  <si>
    <t>PRGIX US EQUITY</t>
  </si>
  <si>
    <t>TLVUX US EQUITY</t>
  </si>
  <si>
    <t>BDMAX US EQUITY</t>
  </si>
  <si>
    <t>FHKAX US EQUITY</t>
  </si>
  <si>
    <t>FHKCX US EQUITY</t>
  </si>
  <si>
    <t>FTRNX US EQUITY</t>
  </si>
  <si>
    <t>NSTLX US EQUITY</t>
  </si>
  <si>
    <t>AMVAX US EQUITY</t>
  </si>
  <si>
    <t>FATEX US EQUITY</t>
  </si>
  <si>
    <t>WWNPX US EQUITY</t>
  </si>
  <si>
    <t>JFIAX US EQUITY</t>
  </si>
  <si>
    <t>FDSVX US EQUITY</t>
  </si>
  <si>
    <t>OPCAX US EQUITY</t>
  </si>
  <si>
    <t>PMZAX US EQUITY</t>
  </si>
  <si>
    <t>PGEOX US EQUITY</t>
  </si>
  <si>
    <t>TPLGX US EQUITY</t>
  </si>
  <si>
    <t>MYHAX US EQUITY</t>
  </si>
  <si>
    <t>LCRAX US EQUITY</t>
  </si>
  <si>
    <t>ESIYX US EQUITY</t>
  </si>
  <si>
    <t>NWHVX US EQUITY</t>
  </si>
  <si>
    <t>PCLCX US EQUITY</t>
  </si>
  <si>
    <t>PGOIX US EQUITY</t>
  </si>
  <si>
    <t>NOMIX US EQUITY</t>
  </si>
  <si>
    <t>EXEYX US EQUITY</t>
  </si>
  <si>
    <t>GSCAX US EQUITY</t>
  </si>
  <si>
    <t>WFQDX US EQUITY</t>
  </si>
  <si>
    <t>FSTIX US EQUITY</t>
  </si>
  <si>
    <t>VRGWX US EQUITY</t>
  </si>
  <si>
    <t>RNSIX US EQUITY</t>
  </si>
  <si>
    <t>DRSLX US EQUITY</t>
  </si>
  <si>
    <t>ABWAX US EQUITY</t>
  </si>
  <si>
    <t>WAFMX US EQUITY</t>
  </si>
  <si>
    <t>PZRMX US EQUITY</t>
  </si>
  <si>
    <t>FCAGX US EQUITY</t>
  </si>
  <si>
    <t>FCPGX US EQUITY</t>
  </si>
  <si>
    <t>SEMVX US EQUITY</t>
  </si>
  <si>
    <t>HLGAX US EQUITY</t>
  </si>
  <si>
    <t>OPGVX US EQUITY</t>
  </si>
  <si>
    <t>PMDAX US EQUITY</t>
  </si>
  <si>
    <t>SVBAX US EQUITY</t>
  </si>
  <si>
    <t>CSMIX US EQUITY</t>
  </si>
  <si>
    <t>SEIMX US EQUITY</t>
  </si>
  <si>
    <t>DRGTX US EQUITY</t>
  </si>
  <si>
    <t>WEMMX US EQUITY</t>
  </si>
  <si>
    <t>FSAAX US EQUITY</t>
  </si>
  <si>
    <t>FSANX US EQUITY</t>
  </si>
  <si>
    <t>GMXAX US EQUITY</t>
  </si>
  <si>
    <t>GIFAX US EQUITY</t>
  </si>
  <si>
    <t>STVSX US EQUITY</t>
  </si>
  <si>
    <t>LROAX US EQUITY</t>
  </si>
  <si>
    <t>NCOAX US EQUITY</t>
  </si>
  <si>
    <t>MNSGX US EQUITY</t>
  </si>
  <si>
    <t>MRGAX US EQUITY</t>
  </si>
  <si>
    <t>OALVX US EQUITY</t>
  </si>
  <si>
    <t>OREAX US EQUITY</t>
  </si>
  <si>
    <t>VSTBX US EQUITY</t>
  </si>
  <si>
    <t>UBVLX US EQUITY</t>
  </si>
  <si>
    <t>FRPAX US EQUITY</t>
  </si>
  <si>
    <t>PCGRX US EQUITY</t>
  </si>
  <si>
    <t>JPDVX US EQUITY</t>
  </si>
  <si>
    <t>NVLIX US EQUITY</t>
  </si>
  <si>
    <t>FEHAX US EQUITY</t>
  </si>
  <si>
    <t>RLVSX US EQUITY</t>
  </si>
  <si>
    <t>URFRX US EQUITY</t>
  </si>
  <si>
    <t>DRNYX US EQUITY</t>
  </si>
  <si>
    <t>TEMGX US EQUITY</t>
  </si>
  <si>
    <t>PACIX US EQUITY</t>
  </si>
  <si>
    <t>PPUAX US EQUITY</t>
  </si>
  <si>
    <t>TSIAX US EQUITY</t>
  </si>
  <si>
    <t>JXBSX US EQUITY</t>
  </si>
  <si>
    <t>MPISX US EQUITY</t>
  </si>
  <si>
    <t>PRGTX US EQUITY</t>
  </si>
  <si>
    <t>LABAX US EQUITY</t>
  </si>
  <si>
    <t>CFIMX US EQUITY</t>
  </si>
  <si>
    <t>JLDAX US EQUITY</t>
  </si>
  <si>
    <t>EVBAX US EQUITY</t>
  </si>
  <si>
    <t>MPSTX US EQUITY</t>
  </si>
  <si>
    <t>FCSRX US EQUITY</t>
  </si>
  <si>
    <t>PPTMX US EQUITY</t>
  </si>
  <si>
    <t>VRVIX US EQUITY</t>
  </si>
  <si>
    <t>OPIGX US EQUITY</t>
  </si>
  <si>
    <t>THIMX US EQUITY</t>
  </si>
  <si>
    <t>OPNYX US EQUITY</t>
  </si>
  <si>
    <t>ARDNX US EQUITY</t>
  </si>
  <si>
    <t>DSCVX US EQUITY</t>
  </si>
  <si>
    <t>MGEMX US EQUITY</t>
  </si>
  <si>
    <t>VFTSX US EQUITY</t>
  </si>
  <si>
    <t>FSIPX US EQUITY</t>
  </si>
  <si>
    <t>FSRRX US EQUITY</t>
  </si>
  <si>
    <t>KUSAX US EQUITY</t>
  </si>
  <si>
    <t>REDSX US EQUITY</t>
  </si>
  <si>
    <t>LSSCX US EQUITY</t>
  </si>
  <si>
    <t>LGLAX US EQUITY</t>
  </si>
  <si>
    <t>JEEAX US EQUITY</t>
  </si>
  <si>
    <t>FRNJX US EQUITY</t>
  </si>
  <si>
    <t>LTAOX US EQUITY</t>
  </si>
  <si>
    <t>HRTVX US EQUITY</t>
  </si>
  <si>
    <t>DGCAX US EQUITY</t>
  </si>
  <si>
    <t>PSPTX US EQUITY</t>
  </si>
  <si>
    <t>MKTRX US EQUITY</t>
  </si>
  <si>
    <t>AWSAX US EQUITY</t>
  </si>
  <si>
    <t>RTLCX US EQUITY</t>
  </si>
  <si>
    <t>FLATX US EQUITY</t>
  </si>
  <si>
    <t>FLFAX US EQUITY</t>
  </si>
  <si>
    <t>TGCFX US EQUITY</t>
  </si>
  <si>
    <t>FSESX US EQUITY</t>
  </si>
  <si>
    <t>MAGCX US EQUITY</t>
  </si>
  <si>
    <t>PGAIX US EQUITY</t>
  </si>
  <si>
    <t>JEMDX US EQUITY</t>
  </si>
  <si>
    <t>IHIYX US EQUITY</t>
  </si>
  <si>
    <t>FREDX US EQUITY</t>
  </si>
  <si>
    <t>DTRIX US EQUITY</t>
  </si>
  <si>
    <t>FIJEX US EQUITY</t>
  </si>
  <si>
    <t>LGMAX US EQUITY</t>
  </si>
  <si>
    <t>DFCIX US EQUITY</t>
  </si>
  <si>
    <t>FMMLX US EQUITY</t>
  </si>
  <si>
    <t>ZDPFEX US EQUITY</t>
  </si>
  <si>
    <t>UMAFX US EQUITY</t>
  </si>
  <si>
    <t>VILLX US EQUITY</t>
  </si>
  <si>
    <t>FEDCX US EQUITY</t>
  </si>
  <si>
    <t>DSEFX US EQUITY</t>
  </si>
  <si>
    <t>ASRAX US EQUITY</t>
  </si>
  <si>
    <t>RSBEX US EQUITY</t>
  </si>
  <si>
    <t>LSMAX US EQUITY</t>
  </si>
  <si>
    <t>TGIGX US EQUITY</t>
  </si>
  <si>
    <t>LCCMX US EQUITY</t>
  </si>
  <si>
    <t>PSTKX US EQUITY</t>
  </si>
  <si>
    <t>MBDFX US EQUITY</t>
  </si>
  <si>
    <t>EIVAX US EQUITY</t>
  </si>
  <si>
    <t>KDHAX US EQUITY</t>
  </si>
  <si>
    <t>PGOFX US EQUITY</t>
  </si>
  <si>
    <t>OSTFX US EQUITY</t>
  </si>
  <si>
    <t>AMFAX US EQUITY</t>
  </si>
  <si>
    <t>EXHAX US EQUITY</t>
  </si>
  <si>
    <t>HIAIX US EQUITY</t>
  </si>
  <si>
    <t>ICAUX US EQUITY</t>
  </si>
  <si>
    <t>TADAX US EQUITY</t>
  </si>
  <si>
    <t>KDSAX US EQUITY</t>
  </si>
  <si>
    <t>FSHSX US EQUITY</t>
  </si>
  <si>
    <t>VVPLX US EQUITY</t>
  </si>
  <si>
    <t>TIEUX US EQUITY</t>
  </si>
  <si>
    <t>SDVGX US EQUITY</t>
  </si>
  <si>
    <t>GENIX US EQUITY</t>
  </si>
  <si>
    <t>ICSCX US EQUITY</t>
  </si>
  <si>
    <t>GHUAX US EQUITY</t>
  </si>
  <si>
    <t>FFTFX US EQUITY</t>
  </si>
  <si>
    <t>FIBAX US EQUITY</t>
  </si>
  <si>
    <t>FSEAX US EQUITY</t>
  </si>
  <si>
    <t>URTRX US EQUITY</t>
  </si>
  <si>
    <t>FIDSX US EQUITY</t>
  </si>
  <si>
    <t>SFSNX US EQUITY</t>
  </si>
  <si>
    <t>WPOPX US EQUITY</t>
  </si>
  <si>
    <t>KLGAX US EQUITY</t>
  </si>
  <si>
    <t>USAWX US EQUITY</t>
  </si>
  <si>
    <t>USGLX US EQUITY</t>
  </si>
  <si>
    <t>OGGFX US EQUITY</t>
  </si>
  <si>
    <t>USAAX US EQUITY</t>
  </si>
  <si>
    <t>SUMAX US EQUITY</t>
  </si>
  <si>
    <t>WVALX US EQUITY</t>
  </si>
  <si>
    <t>RLDAX US EQUITY</t>
  </si>
  <si>
    <t>FRORX US EQUITY</t>
  </si>
  <si>
    <t>USAUX US EQUITY</t>
  </si>
  <si>
    <t>FCYIX US EQUITY</t>
  </si>
  <si>
    <t>NBIIX US EQUITY</t>
  </si>
  <si>
    <t>MBLHX US EQUITY</t>
  </si>
  <si>
    <t>GMFSX US EQUITY</t>
  </si>
  <si>
    <t>IIVAX US EQUITY</t>
  </si>
  <si>
    <t>RFRAX US EQUITY</t>
  </si>
  <si>
    <t>BTIIX US EQUITY</t>
  </si>
  <si>
    <t>FSSVX US EQUITY</t>
  </si>
  <si>
    <t>EKOAX US EQUITY</t>
  </si>
  <si>
    <t>DVEAX US EQUITY</t>
  </si>
  <si>
    <t>RSEGX US EQUITY</t>
  </si>
  <si>
    <t>LIFAX US EQUITY</t>
  </si>
  <si>
    <t>PEMIX US EQUITY</t>
  </si>
  <si>
    <t>PDMAX US EQUITY</t>
  </si>
  <si>
    <t>NMTAX US EQUITY</t>
  </si>
  <si>
    <t>FALGX US EQUITY</t>
  </si>
  <si>
    <t>MIAAX US EQUITY</t>
  </si>
  <si>
    <t>SUFAX US EQUITY</t>
  </si>
  <si>
    <t>VMATX US EQUITY</t>
  </si>
  <si>
    <t>SMDLX US EQUITY</t>
  </si>
  <si>
    <t>FADAX US EQUITY</t>
  </si>
  <si>
    <t>SMCDX US EQUITY</t>
  </si>
  <si>
    <t>PTRNX US EQUITY</t>
  </si>
  <si>
    <t>BOPAX US EQUITY</t>
  </si>
  <si>
    <t>PGSIX US EQUITY</t>
  </si>
  <si>
    <t>DRCAX US EQUITY</t>
  </si>
  <si>
    <t>MOTMX US EQUITY</t>
  </si>
  <si>
    <t>MGRSX US EQUITY</t>
  </si>
  <si>
    <t>PBIMX US EQUITY</t>
  </si>
  <si>
    <t>VVOAX US EQUITY</t>
  </si>
  <si>
    <t>SVOAX US EQUITY</t>
  </si>
  <si>
    <t>ICLAX US EQUITY</t>
  </si>
  <si>
    <t>DRITX US EQUITY</t>
  </si>
  <si>
    <t>TVAFX US EQUITY</t>
  </si>
  <si>
    <t>MSUSX US EQUITY</t>
  </si>
  <si>
    <t>FRMOX US EQUITY</t>
  </si>
  <si>
    <t>VUVLX US EQUITY</t>
  </si>
  <si>
    <t>DFSHX US EQUITY</t>
  </si>
  <si>
    <t>HSGFX US EQUITY</t>
  </si>
  <si>
    <t>LTAPX US EQUITY</t>
  </si>
  <si>
    <t>HIPAX US EQUITY</t>
  </si>
  <si>
    <t>FIVFX US EQUITY</t>
  </si>
  <si>
    <t>CMFAX US EQUITY</t>
  </si>
  <si>
    <t>AMOMX US EQUITY</t>
  </si>
  <si>
    <t>WPVLX US EQUITY</t>
  </si>
  <si>
    <t>STIAX US EQUITY</t>
  </si>
  <si>
    <t>ERBAX US EQUITY</t>
  </si>
  <si>
    <t>PBQAX US EQUITY</t>
  </si>
  <si>
    <t>PMFMX US EQUITY</t>
  </si>
  <si>
    <t>FKRCX US EQUITY</t>
  </si>
  <si>
    <t>TFOAX US EQUITY</t>
  </si>
  <si>
    <t>NFEBX US EQUITY</t>
  </si>
  <si>
    <t>FHIIX US EQUITY</t>
  </si>
  <si>
    <t>USBSX US EQUITY</t>
  </si>
  <si>
    <t>ALDAX US EQUITY</t>
  </si>
  <si>
    <t>AICAX US EQUITY</t>
  </si>
  <si>
    <t>SNCAX US EQUITY</t>
  </si>
  <si>
    <t>FTTMX US EQUITY</t>
  </si>
  <si>
    <t>FXNCX US EQUITY</t>
  </si>
  <si>
    <t>ALMAX US EQUITY</t>
  </si>
  <si>
    <t>EGRAX US EQUITY</t>
  </si>
  <si>
    <t>PCIEX US EQUITY</t>
  </si>
  <si>
    <t>JXGSX US EQUITY</t>
  </si>
  <si>
    <t>RCSAX US EQUITY</t>
  </si>
  <si>
    <t>SBLBX US EQUITY</t>
  </si>
  <si>
    <t>BMBIX US EQUITY</t>
  </si>
  <si>
    <t>INEGX US EQUITY</t>
  </si>
  <si>
    <t>NFRAX US EQUITY</t>
  </si>
  <si>
    <t>ATOIX US EQUITY</t>
  </si>
  <si>
    <t>FSNGX US EQUITY</t>
  </si>
  <si>
    <t>DCMSX US EQUITY</t>
  </si>
  <si>
    <t>LSSIX US EQUITY</t>
  </si>
  <si>
    <t>CVFCX US EQUITY</t>
  </si>
  <si>
    <t>TSCIX US EQUITY</t>
  </si>
  <si>
    <t>VPAOX US EQUITY</t>
  </si>
  <si>
    <t>HWSIX US EQUITY</t>
  </si>
  <si>
    <t>VFCAX US EQUITY</t>
  </si>
  <si>
    <t>NBRFX US EQUITY</t>
  </si>
  <si>
    <t>POMIX US EQUITY</t>
  </si>
  <si>
    <t>CMSCX US EQUITY</t>
  </si>
  <si>
    <t>VVPSX US EQUITY</t>
  </si>
  <si>
    <t>PRLAX US EQUITY</t>
  </si>
  <si>
    <t>EMTMX US EQUITY</t>
  </si>
  <si>
    <t>ICPAX US EQUITY</t>
  </si>
  <si>
    <t>BIEMX US EQUITY</t>
  </si>
  <si>
    <t>PEIBX US EQUITY</t>
  </si>
  <si>
    <t>VPDAX US EQUITY</t>
  </si>
  <si>
    <t>JAGTX US EQUITY</t>
  </si>
  <si>
    <t>NOIAX US EQUITY</t>
  </si>
  <si>
    <t>FALTX US EQUITY</t>
  </si>
  <si>
    <t>IEMFX US EQUITY</t>
  </si>
  <si>
    <t>PINDX US EQUITY</t>
  </si>
  <si>
    <t>MPBFX US EQUITY</t>
  </si>
  <si>
    <t>WFGDX US EQUITY</t>
  </si>
  <si>
    <t>TIOPX US EQUITY</t>
  </si>
  <si>
    <t>NMANX US EQUITY</t>
  </si>
  <si>
    <t>FMINX US EQUITY</t>
  </si>
  <si>
    <t>TEQAX US EQUITY</t>
  </si>
  <si>
    <t>FIASX US EQUITY</t>
  </si>
  <si>
    <t>FISMX US EQUITY</t>
  </si>
  <si>
    <t>RAIMX US EQUITY</t>
  </si>
  <si>
    <t>FIUIX US EQUITY</t>
  </si>
  <si>
    <t>CSIFX US EQUITY</t>
  </si>
  <si>
    <t>BMDIX US EQUITY</t>
  </si>
  <si>
    <t>CRIAX US EQUITY</t>
  </si>
  <si>
    <t>FGUSX US EQUITY</t>
  </si>
  <si>
    <t>AMLPX US EQUITY</t>
  </si>
  <si>
    <t>GSFIX US EQUITY</t>
  </si>
  <si>
    <t>PITAX US EQUITY</t>
  </si>
  <si>
    <t>CSVFX US EQUITY</t>
  </si>
  <si>
    <t>FNARX US EQUITY</t>
  </si>
  <si>
    <t>KTRAX US EQUITY</t>
  </si>
  <si>
    <t>PSSMX US EQUITY</t>
  </si>
  <si>
    <t>POVSX US EQUITY</t>
  </si>
  <si>
    <t>WBMAX US EQUITY</t>
  </si>
  <si>
    <t>SDSCX US EQUITY</t>
  </si>
  <si>
    <t>FBSOX US EQUITY</t>
  </si>
  <si>
    <t>BVAOX US EQUITY</t>
  </si>
  <si>
    <t>TFIIX US EQUITY</t>
  </si>
  <si>
    <t>TEQLX US EQUITY</t>
  </si>
  <si>
    <t>JIHDX US EQUITY</t>
  </si>
  <si>
    <t>PMARX US EQUITY</t>
  </si>
  <si>
    <t>MPITX US EQUITY</t>
  </si>
  <si>
    <t>NWAAX US EQUITY</t>
  </si>
  <si>
    <t>IIRSX US EQUITY</t>
  </si>
  <si>
    <t>SCPIX US EQUITY</t>
  </si>
  <si>
    <t>MPIBX US EQUITY</t>
  </si>
  <si>
    <t>WBGSX US EQUITY</t>
  </si>
  <si>
    <t>HOVLX US EQUITY</t>
  </si>
  <si>
    <t>DFESX US EQUITY</t>
  </si>
  <si>
    <t>FMSFX US EQUITY</t>
  </si>
  <si>
    <t>FOMCX US EQUITY</t>
  </si>
  <si>
    <t>ASIAX US EQUITY</t>
  </si>
  <si>
    <t>RPHIX US EQUITY</t>
  </si>
  <si>
    <t>GCIAX US EQUITY</t>
  </si>
  <si>
    <t>WGROX US EQUITY</t>
  </si>
  <si>
    <t>DGRIX US EQUITY</t>
  </si>
  <si>
    <t>SLVAX US EQUITY</t>
  </si>
  <si>
    <t>SWHFX US EQUITY</t>
  </si>
  <si>
    <t>WFFFX US EQUITY</t>
  </si>
  <si>
    <t>FAMVX US EQUITY</t>
  </si>
  <si>
    <t>GSCGX US EQUITY</t>
  </si>
  <si>
    <t>BPAIX US EQUITY</t>
  </si>
  <si>
    <t>PQIZX US EQUITY</t>
  </si>
  <si>
    <t>GICAX US EQUITY</t>
  </si>
  <si>
    <t>EBDIX US EQUITY</t>
  </si>
  <si>
    <t>WBGBX US EQUITY</t>
  </si>
  <si>
    <t>ACCBX US EQUITY</t>
  </si>
  <si>
    <t>PCSIX US EQUITY</t>
  </si>
  <si>
    <t>FMUAX US EQUITY</t>
  </si>
  <si>
    <t>ATASX US EQUITY</t>
  </si>
  <si>
    <t>PTHYX US EQUITY</t>
  </si>
  <si>
    <t>ALTHX US EQUITY</t>
  </si>
  <si>
    <t>PSFRX US EQUITY</t>
  </si>
  <si>
    <t>FAHIX US EQUITY</t>
  </si>
  <si>
    <t>GIGAX US EQUITY</t>
  </si>
  <si>
    <t>PHYIX US EQUITY</t>
  </si>
  <si>
    <t>MFOCX US EQUITY</t>
  </si>
  <si>
    <t>SAMFX US EQUITY</t>
  </si>
  <si>
    <t>CEMIX US EQUITY</t>
  </si>
  <si>
    <t>MWCIX US EQUITY</t>
  </si>
  <si>
    <t>SAHIX US EQUITY</t>
  </si>
  <si>
    <t>FTGOX US EQUITY</t>
  </si>
  <si>
    <t>JINRX US EQUITY</t>
  </si>
  <si>
    <t>EMKIX US EQUITY</t>
  </si>
  <si>
    <t>SWLBX US EQUITY</t>
  </si>
  <si>
    <t>ALSCX US EQUITY</t>
  </si>
  <si>
    <t>SNPAX US EQUITY</t>
  </si>
  <si>
    <t>PYSBX US EQUITY</t>
  </si>
  <si>
    <t>RMSAX US EQUITY</t>
  </si>
  <si>
    <t>KCTAX US EQUITY</t>
  </si>
  <si>
    <t>LKSCX US EQUITY</t>
  </si>
  <si>
    <t>KYTFX US EQUITY</t>
  </si>
  <si>
    <t>FASFX US EQUITY</t>
  </si>
  <si>
    <t>PTAEX US EQUITY</t>
  </si>
  <si>
    <t>HSCSX US EQUITY</t>
  </si>
  <si>
    <t>NSIDX US EQUITY</t>
  </si>
  <si>
    <t>FKNIX US EQUITY</t>
  </si>
  <si>
    <t>FJSIX US EQUITY</t>
  </si>
  <si>
    <t>FNCMX US EQUITY</t>
  </si>
  <si>
    <t>AASCX US EQUITY</t>
  </si>
  <si>
    <t>FSUTX US EQUITY</t>
  </si>
  <si>
    <t>SFNNX US EQUITY</t>
  </si>
  <si>
    <t>PKPPX US EQUITY</t>
  </si>
  <si>
    <t>MFVSX US EQUITY</t>
  </si>
  <si>
    <t>PEQUX US EQUITY</t>
  </si>
  <si>
    <t>IHSAX US EQUITY</t>
  </si>
  <si>
    <t>VOHIX US EQUITY</t>
  </si>
  <si>
    <t>AUNAX US EQUITY</t>
  </si>
  <si>
    <t>HTRAX US EQUITY</t>
  </si>
  <si>
    <t>GUIQX US EQUITY</t>
  </si>
  <si>
    <t>CFICX US EQUITY</t>
  </si>
  <si>
    <t>NMMCX US EQUITY</t>
  </si>
  <si>
    <t>NMMGX US EQUITY</t>
  </si>
  <si>
    <t>PCONX US EQUITY</t>
  </si>
  <si>
    <t>RRGAX US EQUITY</t>
  </si>
  <si>
    <t>MCOAX US EQUITY</t>
  </si>
  <si>
    <t>PRVAX US EQUITY</t>
  </si>
  <si>
    <t>MCBIX US EQUITY</t>
  </si>
  <si>
    <t>PFLRX US EQUITY</t>
  </si>
  <si>
    <t>FTAZX US EQUITY</t>
  </si>
  <si>
    <t>MXXVX US EQUITY</t>
  </si>
  <si>
    <t>IGTAX US EQUITY</t>
  </si>
  <si>
    <t>AUIAX US EQUITY</t>
  </si>
  <si>
    <t>VRNIX US EQUITY</t>
  </si>
  <si>
    <t>EGLAX US EQUITY</t>
  </si>
  <si>
    <t>MUIFX US EQUITY</t>
  </si>
  <si>
    <t>MASNX US EQUITY</t>
  </si>
  <si>
    <t>SAMHX US EQUITY</t>
  </si>
  <si>
    <t>PSIAX US EQUITY</t>
  </si>
  <si>
    <t>AAPEX US EQUITY</t>
  </si>
  <si>
    <t>IPFIX US EQUITY</t>
  </si>
  <si>
    <t>WIISX US EQUITY</t>
  </si>
  <si>
    <t>HLGFX US EQUITY</t>
  </si>
  <si>
    <t>TWWDX US EQUITY</t>
  </si>
  <si>
    <t>MTMIX US EQUITY</t>
  </si>
  <si>
    <t>FCLAX US EQUITY</t>
  </si>
  <si>
    <t>WAARX US EQUITY</t>
  </si>
  <si>
    <t>RSDGX US EQUITY</t>
  </si>
  <si>
    <t>MADCX US EQUITY</t>
  </si>
  <si>
    <t>FIUSX US EQUITY</t>
  </si>
  <si>
    <t>GLDYX US EQUITY</t>
  </si>
  <si>
    <t>WSCVX US EQUITY</t>
  </si>
  <si>
    <t>PDMIX US EQUITY</t>
  </si>
  <si>
    <t>MACPX US EQUITY</t>
  </si>
  <si>
    <t>TCGCX US EQUITY</t>
  </si>
  <si>
    <t>HGHAX US EQUITY</t>
  </si>
  <si>
    <t>SIFAX US EQUITY</t>
  </si>
  <si>
    <t>FTSMX US EQUITY</t>
  </si>
  <si>
    <t>OUSGX US EQUITY</t>
  </si>
  <si>
    <t>JTCAX US EQUITY</t>
  </si>
  <si>
    <t>FRAAX US EQUITY</t>
  </si>
  <si>
    <t>IVFAX US EQUITY</t>
  </si>
  <si>
    <t>WFSPX US EQUITY</t>
  </si>
  <si>
    <t>LCORX US EQUITY</t>
  </si>
  <si>
    <t>PRINX US EQUITY</t>
  </si>
  <si>
    <t>UVALX US EQUITY</t>
  </si>
  <si>
    <t>BPLEX US EQUITY</t>
  </si>
  <si>
    <t>MKTBX US EQUITY</t>
  </si>
  <si>
    <t>FAMGX US EQUITY</t>
  </si>
  <si>
    <t>OPATX US EQUITY</t>
  </si>
  <si>
    <t>MASPX US EQUITY</t>
  </si>
  <si>
    <t>TWAAX US EQUITY</t>
  </si>
  <si>
    <t>USAGX US EQUITY</t>
  </si>
  <si>
    <t>THOAX US EQUITY</t>
  </si>
  <si>
    <t>AVEDX US EQUITY</t>
  </si>
  <si>
    <t>IFRAX US EQUITY</t>
  </si>
  <si>
    <t>VASCX US EQUITY</t>
  </si>
  <si>
    <t>FCBYX US EQUITY</t>
  </si>
  <si>
    <t>FIAGX US EQUITY</t>
  </si>
  <si>
    <t>FIGFX US EQUITY</t>
  </si>
  <si>
    <t>PJMDX US EQUITY</t>
  </si>
  <si>
    <t>SUSAX US EQUITY</t>
  </si>
  <si>
    <t>FHCBX US EQUITY</t>
  </si>
  <si>
    <t>GABVX US EQUITY</t>
  </si>
  <si>
    <t>DRFMX US EQUITY</t>
  </si>
  <si>
    <t>VAAAX US EQUITY</t>
  </si>
  <si>
    <t>FTAAX US EQUITY</t>
  </si>
  <si>
    <t>FTANX US EQUITY</t>
  </si>
  <si>
    <t>LEXNX US EQUITY</t>
  </si>
  <si>
    <t>WCMIX US EQUITY</t>
  </si>
  <si>
    <t>PBMFX US EQUITY</t>
  </si>
  <si>
    <t>PRDSX US EQUITY</t>
  </si>
  <si>
    <t>TSFAX US EQUITY</t>
  </si>
  <si>
    <t>MEMAX US EQUITY</t>
  </si>
  <si>
    <t>CBRAX US EQUITY</t>
  </si>
  <si>
    <t>QVOPX US EQUITY</t>
  </si>
  <si>
    <t>AQIYX US EQUITY</t>
  </si>
  <si>
    <t>SSIGX US EQUITY</t>
  </si>
  <si>
    <t>FFANX US EQUITY</t>
  </si>
  <si>
    <t>FFNAX US EQUITY</t>
  </si>
  <si>
    <t>FSDAX US EQUITY</t>
  </si>
  <si>
    <t>SFCIX US EQUITY</t>
  </si>
  <si>
    <t>FBMPX US EQUITY</t>
  </si>
  <si>
    <t>FAGNX US EQUITY</t>
  </si>
  <si>
    <t>SSSFX US EQUITY</t>
  </si>
  <si>
    <t>IBSMX US EQUITY</t>
  </si>
  <si>
    <t>FVDFX US EQUITY</t>
  </si>
  <si>
    <t>MSGSX US EQUITY</t>
  </si>
  <si>
    <t>PYEMX US EQUITY</t>
  </si>
  <si>
    <t>STBCX US EQUITY</t>
  </si>
  <si>
    <t>PIGLX US EQUITY</t>
  </si>
  <si>
    <t>GPAFX US EQUITY</t>
  </si>
  <si>
    <t>TEMLX US EQUITY</t>
  </si>
  <si>
    <t>OAAIX US EQUITY</t>
  </si>
  <si>
    <t>GDAFX US EQUITY</t>
  </si>
  <si>
    <t>PNIGX US EQUITY</t>
  </si>
  <si>
    <t>FRNRX US EQUITY</t>
  </si>
  <si>
    <t>HIAGX US EQUITY</t>
  </si>
  <si>
    <t>CAMOX US EQUITY</t>
  </si>
  <si>
    <t>RLCAX US EQUITY</t>
  </si>
  <si>
    <t>IEDAX US EQUITY</t>
  </si>
  <si>
    <t>TFSMX US EQUITY</t>
  </si>
  <si>
    <t>SGVAX US EQUITY</t>
  </si>
  <si>
    <t>CFBNX US EQUITY</t>
  </si>
  <si>
    <t>GMDYX US EQUITY</t>
  </si>
  <si>
    <t>LUBIX US EQUITY</t>
  </si>
  <si>
    <t>HHBUX US EQUITY</t>
  </si>
  <si>
    <t>FMGEX US EQUITY</t>
  </si>
  <si>
    <t>MFCFX US EQUITY</t>
  </si>
  <si>
    <t>CULAX US EQUITY</t>
  </si>
  <si>
    <t>GPIIX US EQUITY</t>
  </si>
  <si>
    <t>SCOBX US EQUITY</t>
  </si>
  <si>
    <t>VPMIX US EQUITY</t>
  </si>
  <si>
    <t>SMVLX US EQUITY</t>
  </si>
  <si>
    <t>GMRAX US EQUITY</t>
  </si>
  <si>
    <t>BRWIX US EQUITY</t>
  </si>
  <si>
    <t>FSTGX US EQUITY</t>
  </si>
  <si>
    <t>JPGSX US EQUITY</t>
  </si>
  <si>
    <t>LACFX US EQUITY</t>
  </si>
  <si>
    <t>FACFX US EQUITY</t>
  </si>
  <si>
    <t>MALMX US EQUITY</t>
  </si>
  <si>
    <t>PMAIX US EQUITY</t>
  </si>
  <si>
    <t>PSGIX US EQUITY</t>
  </si>
  <si>
    <t>HLQVX US EQUITY</t>
  </si>
  <si>
    <t>NBSSX US EQUITY</t>
  </si>
  <si>
    <t>GRSPX US EQUITY</t>
  </si>
  <si>
    <t>WUSAX US EQUITY</t>
  </si>
  <si>
    <t>FSREX US EQUITY</t>
  </si>
  <si>
    <t>LBLAX US EQUITY</t>
  </si>
  <si>
    <t>FAEIX US EQUITY</t>
  </si>
  <si>
    <t>MBLVX US EQUITY</t>
  </si>
  <si>
    <t>WMCIX US EQUITY</t>
  </si>
  <si>
    <t>HLMGX US EQUITY</t>
  </si>
  <si>
    <t>AQRIX US EQUITY</t>
  </si>
  <si>
    <t>FRFLX US EQUITY</t>
  </si>
  <si>
    <t>SFAAX US EQUITY</t>
  </si>
  <si>
    <t>ETHYX US EQUITY</t>
  </si>
  <si>
    <t>PNVAX US EQUITY</t>
  </si>
  <si>
    <t>SNAEX US EQUITY</t>
  </si>
  <si>
    <t>COVIX US EQUITY</t>
  </si>
  <si>
    <t>HSDAX US EQUITY</t>
  </si>
  <si>
    <t>AAUTX US EQUITY</t>
  </si>
  <si>
    <t>RCRAX US EQUITY</t>
  </si>
  <si>
    <t>DITEX US EQUITY</t>
  </si>
  <si>
    <t>FITRX US EQUITY</t>
  </si>
  <si>
    <t>VEDTX US EQUITY</t>
  </si>
  <si>
    <t>ASTEX US EQUITY</t>
  </si>
  <si>
    <t>TIIUX US EQUITY</t>
  </si>
  <si>
    <t>EFIPX US EQUITY</t>
  </si>
  <si>
    <t>SCTAX US EQUITY</t>
  </si>
  <si>
    <t>MRSCX US EQUITY</t>
  </si>
  <si>
    <t>INIVX US EQUITY</t>
  </si>
  <si>
    <t>LBWAX US EQUITY</t>
  </si>
  <si>
    <t>SCINX US EQUITY</t>
  </si>
  <si>
    <t>IIRLX US EQUITY</t>
  </si>
  <si>
    <t>SNIEX US EQUITY</t>
  </si>
  <si>
    <t>PQNAX US EQUITY</t>
  </si>
  <si>
    <t>FHEAX US EQUITY</t>
  </si>
  <si>
    <t>FCBAX US EQUITY</t>
  </si>
  <si>
    <t>FCBFX US EQUITY</t>
  </si>
  <si>
    <t>LBHYX US EQUITY</t>
  </si>
  <si>
    <t>FSHAX US EQUITY</t>
  </si>
  <si>
    <t>MGSFX US EQUITY</t>
  </si>
  <si>
    <t>DPUAX US EQUITY</t>
  </si>
  <si>
    <t>FSRPX US EQUITY</t>
  </si>
  <si>
    <t>GERAX US EQUITY</t>
  </si>
  <si>
    <t>NWCPX US EQUITY</t>
  </si>
  <si>
    <t>SENTX US EQUITY</t>
  </si>
  <si>
    <t>VPIPX US EQUITY</t>
  </si>
  <si>
    <t>PCBAX US EQUITY</t>
  </si>
  <si>
    <t>PNBAX US EQUITY</t>
  </si>
  <si>
    <t>SEATX US EQUITY</t>
  </si>
  <si>
    <t>HULAX US EQUITY</t>
  </si>
  <si>
    <t>FFTYX US EQUITY</t>
  </si>
  <si>
    <t>GBIAX US EQUITY</t>
  </si>
  <si>
    <t>CPASX US EQUITY</t>
  </si>
  <si>
    <t>LIMKX US EQUITY</t>
  </si>
  <si>
    <t>FSCKX US EQUITY</t>
  </si>
  <si>
    <t>KGSCX US EQUITY</t>
  </si>
  <si>
    <t>RYOCX US EQUITY</t>
  </si>
  <si>
    <t>ASHAX US EQUITY</t>
  </si>
  <si>
    <t>DRMBX US EQUITY</t>
  </si>
  <si>
    <t>MBAIX US EQUITY</t>
  </si>
  <si>
    <t>RSMIX US EQUITY</t>
  </si>
  <si>
    <t>TMMAX US EQUITY</t>
  </si>
  <si>
    <t>NOTEX US EQUITY</t>
  </si>
  <si>
    <t>CSIBX US EQUITY</t>
  </si>
  <si>
    <t>ACTWX US EQUITY</t>
  </si>
  <si>
    <t>LHIAX US EQUITY</t>
  </si>
  <si>
    <t>RSGCX US EQUITY</t>
  </si>
  <si>
    <t>WSCAX US EQUITY</t>
  </si>
  <si>
    <t>DDIAX US EQUITY</t>
  </si>
  <si>
    <t>FSHCX US EQUITY</t>
  </si>
  <si>
    <t>DMUSX US EQUITY</t>
  </si>
  <si>
    <t>WSMDX US EQUITY</t>
  </si>
  <si>
    <t>JPMNX US EQUITY</t>
  </si>
  <si>
    <t>SYAMX US EQUITY</t>
  </si>
  <si>
    <t>LMGAX US EQUITY</t>
  </si>
  <si>
    <t>EXITX US EQUITY</t>
  </si>
  <si>
    <t>LMISX US EQUITY</t>
  </si>
  <si>
    <t>IDITX US EQUITY</t>
  </si>
  <si>
    <t>VKLMX US EQUITY</t>
  </si>
  <si>
    <t>FLARX US EQUITY</t>
  </si>
  <si>
    <t>WFQYX US EQUITY</t>
  </si>
  <si>
    <t>INFIX US EQUITY</t>
  </si>
  <si>
    <t>TACWX US EQUITY</t>
  </si>
  <si>
    <t>ITCBX US EQUITY</t>
  </si>
  <si>
    <t>AGOVX US EQUITY</t>
  </si>
  <si>
    <t>FSBAX US EQUITY</t>
  </si>
  <si>
    <t>OVEIX US EQUITY</t>
  </si>
  <si>
    <t>HWLIX US EQUITY</t>
  </si>
  <si>
    <t>PYHRX US EQUITY</t>
  </si>
  <si>
    <t>PSLDX US EQUITY</t>
  </si>
  <si>
    <t>ALTFX US EQUITY</t>
  </si>
  <si>
    <t>PIDIX US EQUITY</t>
  </si>
  <si>
    <t>UMMGX US EQUITY</t>
  </si>
  <si>
    <t>DRLAX US EQUITY</t>
  </si>
  <si>
    <t>SAXIX US EQUITY</t>
  </si>
  <si>
    <t>PEXMX US EQUITY</t>
  </si>
  <si>
    <t>MVALX US EQUITY</t>
  </si>
  <si>
    <t>STAEX US EQUITY</t>
  </si>
  <si>
    <t>USCAX US EQUITY</t>
  </si>
  <si>
    <t>FCSTX US EQUITY</t>
  </si>
  <si>
    <t>EMBIX US EQUITY</t>
  </si>
  <si>
    <t>LMSIX US EQUITY</t>
  </si>
  <si>
    <t>TCSGX US EQUITY</t>
  </si>
  <si>
    <t>MGBAX US EQUITY</t>
  </si>
  <si>
    <t>FKASX US EQUITY</t>
  </si>
  <si>
    <t>BYMMX US EQUITY</t>
  </si>
  <si>
    <t>FISPX US EQUITY</t>
  </si>
  <si>
    <t>TRISX US EQUITY</t>
  </si>
  <si>
    <t>FPBFX US EQUITY</t>
  </si>
  <si>
    <t>BRCAX US EQUITY</t>
  </si>
  <si>
    <t>VNVAX US EQUITY</t>
  </si>
  <si>
    <t>FTCHX US EQUITY</t>
  </si>
  <si>
    <t>MAAAX US EQUITY</t>
  </si>
  <si>
    <t>FAERX US EQUITY</t>
  </si>
  <si>
    <t>STXAX US EQUITY</t>
  </si>
  <si>
    <t>TGDVX US EQUITY</t>
  </si>
  <si>
    <t>EXCPX US EQUITY</t>
  </si>
  <si>
    <t>FSCPX US EQUITY</t>
  </si>
  <si>
    <t>RNCOX US EQUITY</t>
  </si>
  <si>
    <t>LTRVX US EQUITY</t>
  </si>
  <si>
    <t>SDRAX US EQUITY</t>
  </si>
  <si>
    <t>VSLIX US EQUITY</t>
  </si>
  <si>
    <t>SAHMX US EQUITY</t>
  </si>
  <si>
    <t>FASSX US EQUITY</t>
  </si>
  <si>
    <t>VSSCX US EQUITY</t>
  </si>
  <si>
    <t>SPIBX US EQUITY</t>
  </si>
  <si>
    <t>PASIX US EQUITY</t>
  </si>
  <si>
    <t>LINKX US EQUITY</t>
  </si>
  <si>
    <t>FHYTX US EQUITY</t>
  </si>
  <si>
    <t>CIPMX US EQUITY</t>
  </si>
  <si>
    <t>FRBAX US EQUITY</t>
  </si>
  <si>
    <t>TAPRX US EQUITY</t>
  </si>
  <si>
    <t>MUISX US EQUITY</t>
  </si>
  <si>
    <t>FLUAX US EQUITY</t>
  </si>
  <si>
    <t>FSLVX US EQUITY</t>
  </si>
  <si>
    <t>DMECX US EQUITY</t>
  </si>
  <si>
    <t>GPGIX US EQUITY</t>
  </si>
  <si>
    <t>ICENX US EQUITY</t>
  </si>
  <si>
    <t>STABX US EQUITY</t>
  </si>
  <si>
    <t>CLSIX US EQUITY</t>
  </si>
  <si>
    <t>BGNIX US EQUITY</t>
  </si>
  <si>
    <t>HAMGX US EQUITY</t>
  </si>
  <si>
    <t>ITTAX US EQUITY</t>
  </si>
  <si>
    <t>SMNBX US EQUITY</t>
  </si>
  <si>
    <t>FIFIX US EQUITY</t>
  </si>
  <si>
    <t>USCGX US EQUITY</t>
  </si>
  <si>
    <t>LMASX US EQUITY</t>
  </si>
  <si>
    <t>CCASX US EQUITY</t>
  </si>
  <si>
    <t>LSHIX US EQUITY</t>
  </si>
  <si>
    <t>VPSIX US EQUITY</t>
  </si>
  <si>
    <t>FSGDX US EQUITY</t>
  </si>
  <si>
    <t>NCTWX US EQUITY</t>
  </si>
  <si>
    <t>BNSAX US EQUITY</t>
  </si>
  <si>
    <t>NCSPX US EQUITY</t>
  </si>
  <si>
    <t>FRVAX US EQUITY</t>
  </si>
  <si>
    <t>VSFAX US EQUITY</t>
  </si>
  <si>
    <t>PBHMX US EQUITY</t>
  </si>
  <si>
    <t>MCFAX US EQUITY</t>
  </si>
  <si>
    <t>SKNRX US EQUITY</t>
  </si>
  <si>
    <t>OFALX US EQUITY</t>
  </si>
  <si>
    <t>PBEAX US EQUITY</t>
  </si>
  <si>
    <t>FGBLX US EQUITY</t>
  </si>
  <si>
    <t>FGLAX US EQUITY</t>
  </si>
  <si>
    <t>GCTAX US EQUITY</t>
  </si>
  <si>
    <t>PISIX US EQUITY</t>
  </si>
  <si>
    <t>VPFIX US EQUITY</t>
  </si>
  <si>
    <t>ESPAX US EQUITY</t>
  </si>
  <si>
    <t>PGROX US EQUITY</t>
  </si>
  <si>
    <t>MGJAX US EQUITY</t>
  </si>
  <si>
    <t>TCEMX US EQUITY</t>
  </si>
  <si>
    <t>AGAAX US EQUITY</t>
  </si>
  <si>
    <t>ACPSX US EQUITY</t>
  </si>
  <si>
    <t>NCVLX US EQUITY</t>
  </si>
  <si>
    <t>FITAX US EQUITY</t>
  </si>
  <si>
    <t>DBLEX US EQUITY</t>
  </si>
  <si>
    <t>FFFVX US EQUITY</t>
  </si>
  <si>
    <t>SISIX US EQUITY</t>
  </si>
  <si>
    <t>CXHYX US EQUITY</t>
  </si>
  <si>
    <t>SSEMX US EQUITY</t>
  </si>
  <si>
    <t>LICAX US EQUITY</t>
  </si>
  <si>
    <t>FFRSX US EQUITY</t>
  </si>
  <si>
    <t>DHOAX US EQUITY</t>
  </si>
  <si>
    <t>ACMTX US EQUITY</t>
  </si>
  <si>
    <t>WPFRX US EQUITY</t>
  </si>
  <si>
    <t>FGIAX US EQUITY</t>
  </si>
  <si>
    <t>USMIX US EQUITY</t>
  </si>
  <si>
    <t>JLCCX US EQUITY</t>
  </si>
  <si>
    <t>BUFTX US EQUITY</t>
  </si>
  <si>
    <t>USCBX US EQUITY</t>
  </si>
  <si>
    <t>FOPAX US EQUITY</t>
  </si>
  <si>
    <t>FSCOX US EQUITY</t>
  </si>
  <si>
    <t>AAHYX US EQUITY</t>
  </si>
  <si>
    <t>KTCAX US EQUITY</t>
  </si>
  <si>
    <t>FTRGX US EQUITY</t>
  </si>
  <si>
    <t>JIIMX US EQUITY</t>
  </si>
  <si>
    <t>CDGRX US EQUITY</t>
  </si>
  <si>
    <t>AGRFX US EQUITY</t>
  </si>
  <si>
    <t>MDILX US EQUITY</t>
  </si>
  <si>
    <t>HISCX US EQUITY</t>
  </si>
  <si>
    <t>FLVEX US EQUITY</t>
  </si>
  <si>
    <t>HSLAX US EQUITY</t>
  </si>
  <si>
    <t>CRMSX US EQUITY</t>
  </si>
  <si>
    <t>OEIAX US EQUITY</t>
  </si>
  <si>
    <t>FDCPX US EQUITY</t>
  </si>
  <si>
    <t>RPFGX US EQUITY</t>
  </si>
  <si>
    <t>OAIEX US EQUITY</t>
  </si>
  <si>
    <t>NTNYX US EQUITY</t>
  </si>
  <si>
    <t>SSEIX US EQUITY</t>
  </si>
  <si>
    <t>FIMEX US EQUITY</t>
  </si>
  <si>
    <t>MFOIX US EQUITY</t>
  </si>
  <si>
    <t>ICMAX US EQUITY</t>
  </si>
  <si>
    <t>AEDNX US EQUITY</t>
  </si>
  <si>
    <t>DFCMX US EQUITY</t>
  </si>
  <si>
    <t>DEEAX US EQUITY</t>
  </si>
  <si>
    <t>PAXHX US EQUITY</t>
  </si>
  <si>
    <t>MAPOX US EQUITY</t>
  </si>
  <si>
    <t>GMOKX US EQUITY</t>
  </si>
  <si>
    <t>FRCOX US EQUITY</t>
  </si>
  <si>
    <t>URTNX US EQUITY</t>
  </si>
  <si>
    <t>STNRX US EQUITY</t>
  </si>
  <si>
    <t>EIIGX US EQUITY</t>
  </si>
  <si>
    <t>USGAX US EQUITY</t>
  </si>
  <si>
    <t>MCRFX US EQUITY</t>
  </si>
  <si>
    <t>PGWAX US EQUITY</t>
  </si>
  <si>
    <t>GMAMX US EQUITY</t>
  </si>
  <si>
    <t>HAGAX US EQUITY</t>
  </si>
  <si>
    <t>SAMKX US EQUITY</t>
  </si>
  <si>
    <t>NEFLX US EQUITY</t>
  </si>
  <si>
    <t>JLBOX US EQUITY</t>
  </si>
  <si>
    <t>PRHAX US EQUITY</t>
  </si>
  <si>
    <t>SFLAX US EQUITY</t>
  </si>
  <si>
    <t>PLBJX US EQUITY</t>
  </si>
  <si>
    <t>ALPHX US EQUITY</t>
  </si>
  <si>
    <t>FSRFX US EQUITY</t>
  </si>
  <si>
    <t>SFBDX US EQUITY</t>
  </si>
  <si>
    <t>HFINX US EQUITY</t>
  </si>
  <si>
    <t>SSTBX US EQUITY</t>
  </si>
  <si>
    <t>PRCOX US EQUITY</t>
  </si>
  <si>
    <t>LVMAX US EQUITY</t>
  </si>
  <si>
    <t>FHIFX US EQUITY</t>
  </si>
  <si>
    <t>NEMAX US EQUITY</t>
  </si>
  <si>
    <t>HAUSX US EQUITY</t>
  </si>
  <si>
    <t>AMFQX US EQUITY</t>
  </si>
  <si>
    <t>FSLBX US EQUITY</t>
  </si>
  <si>
    <t>IACLX US EQUITY</t>
  </si>
  <si>
    <t>EABSX US EQUITY</t>
  </si>
  <si>
    <t>STHYX US EQUITY</t>
  </si>
  <si>
    <t>EATVX US EQUITY</t>
  </si>
  <si>
    <t>NSPAX US EQUITY</t>
  </si>
  <si>
    <t>OLCAX US EQUITY</t>
  </si>
  <si>
    <t>HRCVX US EQUITY</t>
  </si>
  <si>
    <t>MOSSX US EQUITY</t>
  </si>
  <si>
    <t>HIAVX US EQUITY</t>
  </si>
  <si>
    <t>LSIGX US EQUITY</t>
  </si>
  <si>
    <t>HRSVX US EQUITY</t>
  </si>
  <si>
    <t>SIIDX US EQUITY</t>
  </si>
  <si>
    <t>USVAX US EQUITY</t>
  </si>
  <si>
    <t>USSCX US EQUITY</t>
  </si>
  <si>
    <t>MWIIX US EQUITY</t>
  </si>
  <si>
    <t>BISMX US EQUITY</t>
  </si>
  <si>
    <t>PLDTX US EQUITY</t>
  </si>
  <si>
    <t>SNGVX US EQUITY</t>
  </si>
  <si>
    <t>CFWAX US EQUITY</t>
  </si>
  <si>
    <t>SWNTX US EQUITY</t>
  </si>
  <si>
    <t>EVGOX US EQUITY</t>
  </si>
  <si>
    <t>JSCSX US EQUITY</t>
  </si>
  <si>
    <t>EKBAX US EQUITY</t>
  </si>
  <si>
    <t>FOCAX US EQUITY</t>
  </si>
  <si>
    <t>RPFEX US EQUITY</t>
  </si>
  <si>
    <t>BMCAX US EQUITY</t>
  </si>
  <si>
    <t>IIRAX US EQUITY</t>
  </si>
  <si>
    <t>CSCEX US EQUITY</t>
  </si>
  <si>
    <t>SDGIX US EQUITY</t>
  </si>
  <si>
    <t>PECAX US EQUITY</t>
  </si>
  <si>
    <t>NMHYX US EQUITY</t>
  </si>
  <si>
    <t>SWSCX US EQUITY</t>
  </si>
  <si>
    <t>NMMLX US EQUITY</t>
  </si>
  <si>
    <t>FEMDX US EQUITY</t>
  </si>
  <si>
    <t>PHBLX US EQUITY</t>
  </si>
  <si>
    <t>URFFX US EQUITY</t>
  </si>
  <si>
    <t>PIUIX US EQUITY</t>
  </si>
  <si>
    <t>JIGDX US EQUITY</t>
  </si>
  <si>
    <t>HSTRX US EQUITY</t>
  </si>
  <si>
    <t>EXNAX US EQUITY</t>
  </si>
  <si>
    <t>AXEAX US EQUITY</t>
  </si>
  <si>
    <t>PCGLX US EQUITY</t>
  </si>
  <si>
    <t>BIAUX US EQUITY</t>
  </si>
  <si>
    <t>SHRCX US EQUITY</t>
  </si>
  <si>
    <t>PRPIX US EQUITY</t>
  </si>
  <si>
    <t>FGITX US EQUITY</t>
  </si>
  <si>
    <t>NIIAX US EQUITY</t>
  </si>
  <si>
    <t>DDSTX US EQUITY</t>
  </si>
  <si>
    <t>MFMPX US EQUITY</t>
  </si>
  <si>
    <t>BUFMX US EQUITY</t>
  </si>
  <si>
    <t>STMSX US EQUITY</t>
  </si>
  <si>
    <t>OACIX US EQUITY</t>
  </si>
  <si>
    <t>JISAX US EQUITY</t>
  </si>
  <si>
    <t>TCUDX US EQUITY</t>
  </si>
  <si>
    <t>SSGRX US EQUITY</t>
  </si>
  <si>
    <t>TEGOX US EQUITY</t>
  </si>
  <si>
    <t>FPIVX US EQUITY</t>
  </si>
  <si>
    <t>RDLAX US EQUITY</t>
  </si>
  <si>
    <t>FIGWX US EQUITY</t>
  </si>
  <si>
    <t>TCUUX US EQUITY</t>
  </si>
  <si>
    <t>PACAX US EQUITY</t>
  </si>
  <si>
    <t>FNORX US EQUITY</t>
  </si>
  <si>
    <t>PMLCX US EQUITY</t>
  </si>
  <si>
    <t>VSCOX US EQUITY</t>
  </si>
  <si>
    <t>FIUTX US EQUITY</t>
  </si>
  <si>
    <t>PCSVX US EQUITY</t>
  </si>
  <si>
    <t>JIREX US EQUITY</t>
  </si>
  <si>
    <t>FSTUX US EQUITY</t>
  </si>
  <si>
    <t>TSHYX US EQUITY</t>
  </si>
  <si>
    <t>EXTGX US EQUITY</t>
  </si>
  <si>
    <t>VSBMX US EQUITY</t>
  </si>
  <si>
    <t>GSCZX US EQUITY</t>
  </si>
  <si>
    <t>USNQX US EQUITY</t>
  </si>
  <si>
    <t>BNGLX US EQUITY</t>
  </si>
  <si>
    <t>FNJHX US EQUITY</t>
  </si>
  <si>
    <t>GREIX US EQUITY</t>
  </si>
  <si>
    <t>HASGX US EQUITY</t>
  </si>
  <si>
    <t>JYGAX US EQUITY</t>
  </si>
  <si>
    <t>GWSVX US EQUITY</t>
  </si>
  <si>
    <t>RIMIX US EQUITY</t>
  </si>
  <si>
    <t>HILAX US EQUITY</t>
  </si>
  <si>
    <t>FSRBX US EQUITY</t>
  </si>
  <si>
    <t>TRBUX US EQUITY</t>
  </si>
  <si>
    <t>TASCX US EQUITY</t>
  </si>
  <si>
    <t>FIIGX US EQUITY</t>
  </si>
  <si>
    <t>MSTDX US EQUITY</t>
  </si>
  <si>
    <t>MSFAX US EQUITY</t>
  </si>
  <si>
    <t>JAGRX US EQUITY</t>
  </si>
  <si>
    <t>AESAX US EQUITY</t>
  </si>
  <si>
    <t>ALCAX US EQUITY</t>
  </si>
  <si>
    <t>MACMX US EQUITY</t>
  </si>
  <si>
    <t>PIEQX US EQUITY</t>
  </si>
  <si>
    <t>PBDIX US EQUITY</t>
  </si>
  <si>
    <t>SAUFX US EQUITY</t>
  </si>
  <si>
    <t>NEFGX US EQUITY</t>
  </si>
  <si>
    <t>FEOVX US EQUITY</t>
  </si>
  <si>
    <t>WBVDX US EQUITY</t>
  </si>
  <si>
    <t>FAFIX US EQUITY</t>
  </si>
  <si>
    <t>FOHFX US EQUITY</t>
  </si>
  <si>
    <t>PYCBX US EQUITY</t>
  </si>
  <si>
    <t>BRLIX US EQUITY</t>
  </si>
  <si>
    <t>INTAX US EQUITY</t>
  </si>
  <si>
    <t>TAVIX US EQUITY</t>
  </si>
  <si>
    <t>JYIAX US EQUITY</t>
  </si>
  <si>
    <t>BLSCX US EQUITY</t>
  </si>
  <si>
    <t>DIISX US EQUITY</t>
  </si>
  <si>
    <t>BUFGX US EQUITY</t>
  </si>
  <si>
    <t>MGRIX US EQUITY</t>
  </si>
  <si>
    <t>SATRX US EQUITY</t>
  </si>
  <si>
    <t>CAGAX US EQUITY</t>
  </si>
  <si>
    <t>WAIIX US EQUITY</t>
  </si>
  <si>
    <t>AINIX US EQUITY</t>
  </si>
  <si>
    <t>GEIAX US EQUITY</t>
  </si>
  <si>
    <t>LTCAX US EQUITY</t>
  </si>
  <si>
    <t>HOSBX US EQUITY</t>
  </si>
  <si>
    <t>PCGTX US EQUITY</t>
  </si>
  <si>
    <t>INGBX US EQUITY</t>
  </si>
  <si>
    <t>CREEX US EQUITY</t>
  </si>
  <si>
    <t>PSCAX US EQUITY</t>
  </si>
  <si>
    <t>PJIAX US EQUITY</t>
  </si>
  <si>
    <t>GLVAX US EQUITY</t>
  </si>
  <si>
    <t>MDEGX US EQUITY</t>
  </si>
  <si>
    <t>MCSAX US EQUITY</t>
  </si>
  <si>
    <t>NSEIX US EQUITY</t>
  </si>
  <si>
    <t>HWCAX US EQUITY</t>
  </si>
  <si>
    <t>MAGRX US EQUITY</t>
  </si>
  <si>
    <t>KGDAX US EQUITY</t>
  </si>
  <si>
    <t>FMDTX US EQUITY</t>
  </si>
  <si>
    <t>OSDYX US EQUITY</t>
  </si>
  <si>
    <t>GOODX US EQUITY</t>
  </si>
  <si>
    <t>HASCX US EQUITY</t>
  </si>
  <si>
    <t>EVHIX US EQUITY</t>
  </si>
  <si>
    <t>JIRRX US EQUITY</t>
  </si>
  <si>
    <t>FMHTX US EQUITY</t>
  </si>
  <si>
    <t>WHGMX US EQUITY</t>
  </si>
  <si>
    <t>KSTAX US EQUITY</t>
  </si>
  <si>
    <t>FMIVX US EQUITY</t>
  </si>
  <si>
    <t>RBARX US EQUITY</t>
  </si>
  <si>
    <t>DMTFX US EQUITY</t>
  </si>
  <si>
    <t>VENAX US EQUITY</t>
  </si>
  <si>
    <t>BIIEX US EQUITY</t>
  </si>
  <si>
    <t>VRTTX US EQUITY</t>
  </si>
  <si>
    <t>TRWAX US EQUITY</t>
  </si>
  <si>
    <t>GVIEX US EQUITY</t>
  </si>
  <si>
    <t>SRFAX US EQUITY</t>
  </si>
  <si>
    <t>DEFFX US EQUITY</t>
  </si>
  <si>
    <t>HHDAX US EQUITY</t>
  </si>
  <si>
    <t>PAGVX US EQUITY</t>
  </si>
  <si>
    <t>IEGAX US EQUITY</t>
  </si>
  <si>
    <t>MOPIX US EQUITY</t>
  </si>
  <si>
    <t>SRMAX US EQUITY</t>
  </si>
  <si>
    <t>SCPYX US EQUITY</t>
  </si>
  <si>
    <t>MIEDX US EQUITY</t>
  </si>
  <si>
    <t>USEMX US EQUITY</t>
  </si>
  <si>
    <t>SCLAX US EQUITY</t>
  </si>
  <si>
    <t>HDPMX US EQUITY</t>
  </si>
  <si>
    <t>WATIX US EQUITY</t>
  </si>
  <si>
    <t>HLFMX US EQUITY</t>
  </si>
  <si>
    <t>SABTX US EQUITY</t>
  </si>
  <si>
    <t>LDMIX US EQUITY</t>
  </si>
  <si>
    <t>HLAAX US EQUITY</t>
  </si>
  <si>
    <t>GIPAX US EQUITY</t>
  </si>
  <si>
    <t>IHYAX US EQUITY</t>
  </si>
  <si>
    <t>LDMAX US EQUITY</t>
  </si>
  <si>
    <t>VICBX US EQUITY</t>
  </si>
  <si>
    <t>TBOAX US EQUITY</t>
  </si>
  <si>
    <t>CFIAX US EQUITY</t>
  </si>
  <si>
    <t>AWPBX US EQUITY</t>
  </si>
  <si>
    <t>OASGX US EQUITY</t>
  </si>
  <si>
    <t>PGBIX US EQUITY</t>
  </si>
  <si>
    <t>ACCSX US EQUITY</t>
  </si>
  <si>
    <t>PCSGX US EQUITY</t>
  </si>
  <si>
    <t>PFPFX US EQUITY</t>
  </si>
  <si>
    <t>WBSIX US EQUITY</t>
  </si>
  <si>
    <t>SEFIX US EQUITY</t>
  </si>
  <si>
    <t>BJBIX US EQUITY</t>
  </si>
  <si>
    <t>SIOAX US EQUITY</t>
  </si>
  <si>
    <t>VPTSX US EQUITY</t>
  </si>
  <si>
    <t>GABGX US EQUITY</t>
  </si>
  <si>
    <t>ATDAX US EQUITY</t>
  </si>
  <si>
    <t>VGRNX US EQUITY</t>
  </si>
  <si>
    <t>PCEMX US EQUITY</t>
  </si>
  <si>
    <t>SLAFX US EQUITY</t>
  </si>
  <si>
    <t>BGLIX US EQUITY</t>
  </si>
  <si>
    <t>PORTX US EQUITY</t>
  </si>
  <si>
    <t>PIMAX US EQUITY</t>
  </si>
  <si>
    <t>FAMKX US EQUITY</t>
  </si>
  <si>
    <t>PRISX US EQUITY</t>
  </si>
  <si>
    <t>BOSOX US EQUITY</t>
  </si>
  <si>
    <t>FMISX US EQUITY</t>
  </si>
  <si>
    <t>ALNYX US EQUITY</t>
  </si>
  <si>
    <t>DDFAX US EQUITY</t>
  </si>
  <si>
    <t>FMOAX US EQUITY</t>
  </si>
  <si>
    <t>PSLIX US EQUITY</t>
  </si>
  <si>
    <t>FRMCX US EQUITY</t>
  </si>
  <si>
    <t>VSTCX US EQUITY</t>
  </si>
  <si>
    <t>DFJSX US EQUITY</t>
  </si>
  <si>
    <t>NSEPX US EQUITY</t>
  </si>
  <si>
    <t>ESMAX US EQUITY</t>
  </si>
  <si>
    <t>ORTFX US EQUITY</t>
  </si>
  <si>
    <t>MYCTX US EQUITY</t>
  </si>
  <si>
    <t>AAAGX US EQUITY</t>
  </si>
  <si>
    <t>DRNJX US EQUITY</t>
  </si>
  <si>
    <t>BRUFX US EQUITY</t>
  </si>
  <si>
    <t>LMQAX US EQUITY</t>
  </si>
  <si>
    <t>FMIEX US EQUITY</t>
  </si>
  <si>
    <t>GPGAX US EQUITY</t>
  </si>
  <si>
    <t>HWAAX US EQUITY</t>
  </si>
  <si>
    <t>FOHTX US EQUITY</t>
  </si>
  <si>
    <t>RIMEX US EQUITY</t>
  </si>
  <si>
    <t>DFUEX US EQUITY</t>
  </si>
  <si>
    <t>EKWAX US EQUITY</t>
  </si>
  <si>
    <t>PGVAX US EQUITY</t>
  </si>
  <si>
    <t>SLLAX US EQUITY</t>
  </si>
  <si>
    <t>SHGTX US EQUITY</t>
  </si>
  <si>
    <t>JICDX US EQUITY</t>
  </si>
  <si>
    <t>OASVX US EQUITY</t>
  </si>
  <si>
    <t>FREEX US EQUITY</t>
  </si>
  <si>
    <t>FTGAX US EQUITY</t>
  </si>
  <si>
    <t>LAIEX US EQUITY</t>
  </si>
  <si>
    <t>HMVIX US EQUITY</t>
  </si>
  <si>
    <t>MUHLX US EQUITY</t>
  </si>
  <si>
    <t>SAHYX US EQUITY</t>
  </si>
  <si>
    <t>JMKAX US EQUITY</t>
  </si>
  <si>
    <t>VSPMX US EQUITY</t>
  </si>
  <si>
    <t>OEGBX US EQUITY</t>
  </si>
  <si>
    <t>DSGAX US EQUITY</t>
  </si>
  <si>
    <t>GSGRX US EQUITY</t>
  </si>
  <si>
    <t>ONJAX US EQUITY</t>
  </si>
  <si>
    <t>HIALX US EQUITY</t>
  </si>
  <si>
    <t>SDIAX US EQUITY</t>
  </si>
  <si>
    <t>GSMIX US EQUITY</t>
  </si>
  <si>
    <t>HMVAX US EQUITY</t>
  </si>
  <si>
    <t>FIMIX US EQUITY</t>
  </si>
  <si>
    <t>TANAX US EQUITY</t>
  </si>
  <si>
    <t>AVGAX US EQUITY</t>
  </si>
  <si>
    <t>LPEFX US EQUITY</t>
  </si>
  <si>
    <t>DNLDX US EQUITY</t>
  </si>
  <si>
    <t>FIGTX US EQUITY</t>
  </si>
  <si>
    <t>MTSMX US EQUITY</t>
  </si>
  <si>
    <t>WMRIX US EQUITY</t>
  </si>
  <si>
    <t>GIDAX US EQUITY</t>
  </si>
  <si>
    <t>WFVDX US EQUITY</t>
  </si>
  <si>
    <t>ICMBX US EQUITY</t>
  </si>
  <si>
    <t>BIBTX US EQUITY</t>
  </si>
  <si>
    <t>HRLAX US EQUITY</t>
  </si>
  <si>
    <t>HIAYX US EQUITY</t>
  </si>
  <si>
    <t>POGAX US EQUITY</t>
  </si>
  <si>
    <t>NVOAX US EQUITY</t>
  </si>
  <si>
    <t>FJPNX US EQUITY</t>
  </si>
  <si>
    <t>FPJAX US EQUITY</t>
  </si>
  <si>
    <t>PPCAX US EQUITY</t>
  </si>
  <si>
    <t>SSCBX US EQUITY</t>
  </si>
  <si>
    <t>AEGIX US EQUITY</t>
  </si>
  <si>
    <t>NFIAX US EQUITY</t>
  </si>
  <si>
    <t>IIGIX US EQUITY</t>
  </si>
  <si>
    <t>JHGEX US EQUITY</t>
  </si>
  <si>
    <t>SCMAX US EQUITY</t>
  </si>
  <si>
    <t>PRGSX US EQUITY</t>
  </si>
  <si>
    <t>UUSTX US EQUITY</t>
  </si>
  <si>
    <t>DELIX US EQUITY</t>
  </si>
  <si>
    <t>CIHCX US EQUITY</t>
  </si>
  <si>
    <t>NEFSX US EQUITY</t>
  </si>
  <si>
    <t>MPLCX US EQUITY</t>
  </si>
  <si>
    <t>IBALX US EQUITY</t>
  </si>
  <si>
    <t>JTAAX US EQUITY</t>
  </si>
  <si>
    <t>DPIEX US EQUITY</t>
  </si>
  <si>
    <t>EVSAX US EQUITY</t>
  </si>
  <si>
    <t>MBAAX US EQUITY</t>
  </si>
  <si>
    <t>GSYAX US EQUITY</t>
  </si>
  <si>
    <t>SNEAX US EQUITY</t>
  </si>
  <si>
    <t>IBSCX US EQUITY</t>
  </si>
  <si>
    <t>VGRIX US EQUITY</t>
  </si>
  <si>
    <t>JCRAX US EQUITY</t>
  </si>
  <si>
    <t>WEHIX US EQUITY</t>
  </si>
  <si>
    <t>CLMPX US EQUITY</t>
  </si>
  <si>
    <t>LCAAX US EQUITY</t>
  </si>
  <si>
    <t>GSGOX US EQUITY</t>
  </si>
  <si>
    <t>MMPPX US EQUITY</t>
  </si>
  <si>
    <t>MSEFX US EQUITY</t>
  </si>
  <si>
    <t>LBMGX US EQUITY</t>
  </si>
  <si>
    <t>JIQBX US EQUITY</t>
  </si>
  <si>
    <t>FTNTX US EQUITY</t>
  </si>
  <si>
    <t>KSCOX US EQUITY</t>
  </si>
  <si>
    <t>SCMGX US EQUITY</t>
  </si>
  <si>
    <t>SWBDX US EQUITY</t>
  </si>
  <si>
    <t>VKMGX US EQUITY</t>
  </si>
  <si>
    <t>CMBFX US EQUITY</t>
  </si>
  <si>
    <t>LIKKX US EQUITY</t>
  </si>
  <si>
    <t>JFGAX US EQUITY</t>
  </si>
  <si>
    <t>UUSRX US EQUITY</t>
  </si>
  <si>
    <t>NCHAX US EQUITY</t>
  </si>
  <si>
    <t>FICEX US EQUITY</t>
  </si>
  <si>
    <t>BEARX US EQUITY</t>
  </si>
  <si>
    <t>VPSVX US EQUITY</t>
  </si>
  <si>
    <t>STWRX US EQUITY</t>
  </si>
  <si>
    <t>PRCGX US EQUITY</t>
  </si>
  <si>
    <t>OGNAX US EQUITY</t>
  </si>
  <si>
    <t>GTMIX US EQUITY</t>
  </si>
  <si>
    <t>TICPX US EQUITY</t>
  </si>
  <si>
    <t>DSTAX US EQUITY</t>
  </si>
  <si>
    <t>GSARX US EQUITY</t>
  </si>
  <si>
    <t>TEGAX US EQUITY</t>
  </si>
  <si>
    <t>TGESX US EQUITY</t>
  </si>
  <si>
    <t>GSGAX US EQUITY</t>
  </si>
  <si>
    <t>BIOPX US EQUITY</t>
  </si>
  <si>
    <t>FSTKX US EQUITY</t>
  </si>
  <si>
    <t>JIEEX US EQUITY</t>
  </si>
  <si>
    <t>TMAPX US EQUITY</t>
  </si>
  <si>
    <t>HAHAX US EQUITY</t>
  </si>
  <si>
    <t>TMGAX US EQUITY</t>
  </si>
  <si>
    <t>MAEFX US EQUITY</t>
  </si>
  <si>
    <t>TFVAX US EQUITY</t>
  </si>
  <si>
    <t>GWMIX US EQUITY</t>
  </si>
  <si>
    <t>GDWTX US EQUITY</t>
  </si>
  <si>
    <t>FJSCX US EQUITY</t>
  </si>
  <si>
    <t>FISSX US EQUITY</t>
  </si>
  <si>
    <t>STYAX US EQUITY</t>
  </si>
  <si>
    <t>SCNAX US EQUITY</t>
  </si>
  <si>
    <t>RRIAX US EQUITY</t>
  </si>
  <si>
    <t>MAYHX US EQUITY</t>
  </si>
  <si>
    <t>VIDSX US EQUITY</t>
  </si>
  <si>
    <t>OBIOX US EQUITY</t>
  </si>
  <si>
    <t>RYOAX US EQUITY</t>
  </si>
  <si>
    <t>VANTX US EQUITY</t>
  </si>
  <si>
    <t>DFTIX US EQUITY</t>
  </si>
  <si>
    <t>MSVSX US EQUITY</t>
  </si>
  <si>
    <t>PHDYX US EQUITY</t>
  </si>
  <si>
    <t>PCIFX US EQUITY</t>
  </si>
  <si>
    <t>DLQAX US EQUITY</t>
  </si>
  <si>
    <t>VFSNX US EQUITY</t>
  </si>
  <si>
    <t>BICSX US EQUITY</t>
  </si>
  <si>
    <t>STLAX US EQUITY</t>
  </si>
  <si>
    <t>DIMIX US EQUITY</t>
  </si>
  <si>
    <t>MPGAX US EQUITY</t>
  </si>
  <si>
    <t>ABIAX US EQUITY</t>
  </si>
  <si>
    <t>TEFAX US EQUITY</t>
  </si>
  <si>
    <t>PRXCX US EQUITY</t>
  </si>
  <si>
    <t>NWJGX US EQUITY</t>
  </si>
  <si>
    <t>DLHAX US EQUITY</t>
  </si>
  <si>
    <t>PCFIX US EQUITY</t>
  </si>
  <si>
    <t>USGNX US EQUITY</t>
  </si>
  <si>
    <t>EVUAX US EQUITY</t>
  </si>
  <si>
    <t>GCVIX US EQUITY</t>
  </si>
  <si>
    <t>MGLAX US EQUITY</t>
  </si>
  <si>
    <t>MAIIX US EQUITY</t>
  </si>
  <si>
    <t>MISHX US EQUITY</t>
  </si>
  <si>
    <t>EMTAX US EQUITY</t>
  </si>
  <si>
    <t>FPXTX US EQUITY</t>
  </si>
  <si>
    <t>IFUNX US EQUITY</t>
  </si>
  <si>
    <t>BOTSX US EQUITY</t>
  </si>
  <si>
    <t>IIRMX US EQUITY</t>
  </si>
  <si>
    <t>ARMEX US EQUITY</t>
  </si>
  <si>
    <t>CABNX US EQUITY</t>
  </si>
  <si>
    <t>TAMBX US EQUITY</t>
  </si>
  <si>
    <t>WTIFX US EQUITY</t>
  </si>
  <si>
    <t>FMIJX US EQUITY</t>
  </si>
  <si>
    <t>WMLIX US EQUITY</t>
  </si>
  <si>
    <t>FICNX US EQUITY</t>
  </si>
  <si>
    <t>SNRAX US EQUITY</t>
  </si>
  <si>
    <t>IMNTX US EQUITY</t>
  </si>
  <si>
    <t>HLRRX US EQUITY</t>
  </si>
  <si>
    <t>GITAX US EQUITY</t>
  </si>
  <si>
    <t>WHVAX US EQUITY</t>
  </si>
  <si>
    <t>HPDSX US EQUITY</t>
  </si>
  <si>
    <t>WBGAX US EQUITY</t>
  </si>
  <si>
    <t>CCAFX US EQUITY</t>
  </si>
  <si>
    <t>TVLAX US EQUITY</t>
  </si>
  <si>
    <t>EDIAX US EQUITY</t>
  </si>
  <si>
    <t>PSTAX US EQUITY</t>
  </si>
  <si>
    <t>PRNYX US EQUITY</t>
  </si>
  <si>
    <t>MAPYX US EQUITY</t>
  </si>
  <si>
    <t>FUSGX US EQUITY</t>
  </si>
  <si>
    <t>ORSYX US EQUITY</t>
  </si>
  <si>
    <t>RLCZX US EQUITY</t>
  </si>
  <si>
    <t>PABFX US EQUITY</t>
  </si>
  <si>
    <t>NNGAX US EQUITY</t>
  </si>
  <si>
    <t>ABVBX US EQUITY</t>
  </si>
  <si>
    <t>PSBAX US EQUITY</t>
  </si>
  <si>
    <t>FSTBX US EQUITY</t>
  </si>
  <si>
    <t>PCOAX US EQUITY</t>
  </si>
  <si>
    <t>MUSEX US EQUITY</t>
  </si>
  <si>
    <t>SPVAX US EQUITY</t>
  </si>
  <si>
    <t>PYVLX US EQUITY</t>
  </si>
  <si>
    <t>RGRDX US EQUITY</t>
  </si>
  <si>
    <t>MGSDX US EQUITY</t>
  </si>
  <si>
    <t>MRMAX US EQUITY</t>
  </si>
  <si>
    <t>GXXAX US EQUITY</t>
  </si>
  <si>
    <t>MLVSX US EQUITY</t>
  </si>
  <si>
    <t>LIEMX US EQUITY</t>
  </si>
  <si>
    <t>ABNAX US EQUITY</t>
  </si>
  <si>
    <t>PTEBX US EQUITY</t>
  </si>
  <si>
    <t>BERWX US EQUITY</t>
  </si>
  <si>
    <t>SASFX US EQUITY</t>
  </si>
  <si>
    <t>GLSRX US EQUITY</t>
  </si>
  <si>
    <t>SPRAX US EQUITY</t>
  </si>
  <si>
    <t>AYBVX US EQUITY</t>
  </si>
  <si>
    <t>ARIIX US EQUITY</t>
  </si>
  <si>
    <t>VMBSX US EQUITY</t>
  </si>
  <si>
    <t>BTEAX US EQUITY</t>
  </si>
  <si>
    <t>HARRX US EQUITY</t>
  </si>
  <si>
    <t>IGLGX US EQUITY</t>
  </si>
  <si>
    <t>PMVAX US EQUITY</t>
  </si>
  <si>
    <t>WAHYX US EQUITY</t>
  </si>
  <si>
    <t>LMSFX US EQUITY</t>
  </si>
  <si>
    <t>SIGAX US EQUITY</t>
  </si>
  <si>
    <t>NCITX US EQUITY</t>
  </si>
  <si>
    <t>CPOAX US EQUITY</t>
  </si>
  <si>
    <t>UMCVX US EQUITY</t>
  </si>
  <si>
    <t>BOSVX US EQUITY</t>
  </si>
  <si>
    <t>GSSQX US EQUITY</t>
  </si>
  <si>
    <t>NQCAX US EQUITY</t>
  </si>
  <si>
    <t>HSNAX US EQUITY</t>
  </si>
  <si>
    <t>JISOX US EQUITY</t>
  </si>
  <si>
    <t>FSTCX US EQUITY</t>
  </si>
  <si>
    <t>FTUAX US EQUITY</t>
  </si>
  <si>
    <t>FMOTX US EQUITY</t>
  </si>
  <si>
    <t>VUIAX US EQUITY</t>
  </si>
  <si>
    <t>RIMAX US EQUITY</t>
  </si>
  <si>
    <t>SWCAX US EQUITY</t>
  </si>
  <si>
    <t>EARAX US EQUITY</t>
  </si>
  <si>
    <t>FOOLX US EQUITY</t>
  </si>
  <si>
    <t>MMCIX US EQUITY</t>
  </si>
  <si>
    <t>FIISX US EQUITY</t>
  </si>
  <si>
    <t>MGFAX US EQUITY</t>
  </si>
  <si>
    <t>GIRAX US EQUITY</t>
  </si>
  <si>
    <t>FDLSX US EQUITY</t>
  </si>
  <si>
    <t>PUFBX US EQUITY</t>
  </si>
  <si>
    <t>PCMNX US EQUITY</t>
  </si>
  <si>
    <t>BRSIX US EQUITY</t>
  </si>
  <si>
    <t>LFMAX US EQUITY</t>
  </si>
  <si>
    <t>DFSIX US EQUITY</t>
  </si>
  <si>
    <t>BRAMX US EQUITY</t>
  </si>
  <si>
    <t>TORYX US EQUITY</t>
  </si>
  <si>
    <t>FICGX US EQUITY</t>
  </si>
  <si>
    <t>UEMEX US EQUITY</t>
  </si>
  <si>
    <t>LIBKX US EQUITY</t>
  </si>
  <si>
    <t>QRAAX US EQUITY</t>
  </si>
  <si>
    <t>GGBFX US EQUITY</t>
  </si>
  <si>
    <t>PINIX US EQUITY</t>
  </si>
  <si>
    <t>JLAOX US EQUITY</t>
  </si>
  <si>
    <t>FLBAX US EQUITY</t>
  </si>
  <si>
    <t>FRRAX US EQUITY</t>
  </si>
  <si>
    <t>DFRSX US EQUITY</t>
  </si>
  <si>
    <t>WCGIX US EQUITY</t>
  </si>
  <si>
    <t>GEQYX US EQUITY</t>
  </si>
  <si>
    <t>TSDOX US EQUITY</t>
  </si>
  <si>
    <t>ATMAX US EQUITY</t>
  </si>
  <si>
    <t>MYITX US EQUITY</t>
  </si>
  <si>
    <t>CWVGX US EQUITY</t>
  </si>
  <si>
    <t>NWJSX US EQUITY</t>
  </si>
  <si>
    <t>CMGSX US EQUITY</t>
  </si>
  <si>
    <t>FLNCX US EQUITY</t>
  </si>
  <si>
    <t>HMCAX US EQUITY</t>
  </si>
  <si>
    <t>SESVX US EQUITY</t>
  </si>
  <si>
    <t>FCPEX US EQUITY</t>
  </si>
  <si>
    <t>DELPX US EQUITY</t>
  </si>
  <si>
    <t>CSMCX US EQUITY</t>
  </si>
  <si>
    <t>ALHAX US EQUITY</t>
  </si>
  <si>
    <t>AMCGX US EQUITY</t>
  </si>
  <si>
    <t>SMTFX US EQUITY</t>
  </si>
  <si>
    <t>FSPCX US EQUITY</t>
  </si>
  <si>
    <t>NVSCX US EQUITY</t>
  </si>
  <si>
    <t>UTLAX US EQUITY</t>
  </si>
  <si>
    <t>GBEMX US EQUITY</t>
  </si>
  <si>
    <t>PTFIX US EQUITY</t>
  </si>
  <si>
    <t>GMOFX US EQUITY</t>
  </si>
  <si>
    <t>VALSX US EQUITY</t>
  </si>
  <si>
    <t>MDHAX US EQUITY</t>
  </si>
  <si>
    <t>MALTX US EQUITY</t>
  </si>
  <si>
    <t>TOCQX US EQUITY</t>
  </si>
  <si>
    <t>SSAIX US EQUITY</t>
  </si>
  <si>
    <t>ASVAX US EQUITY</t>
  </si>
  <si>
    <t>FFGAX US EQUITY</t>
  </si>
  <si>
    <t>FFGCX US EQUITY</t>
  </si>
  <si>
    <t>SNOAX US EQUITY</t>
  </si>
  <si>
    <t>PKSAX US EQUITY</t>
  </si>
  <si>
    <t>SAUMX US EQUITY</t>
  </si>
  <si>
    <t>GCGIX US EQUITY</t>
  </si>
  <si>
    <t>WPSCX US EQUITY</t>
  </si>
  <si>
    <t>PSNYX US EQUITY</t>
  </si>
  <si>
    <t>SDSAX US EQUITY</t>
  </si>
  <si>
    <t>PRFRX US EQUITY</t>
  </si>
  <si>
    <t>ADPAX US EQUITY</t>
  </si>
  <si>
    <t>SNSDX US EQUITY</t>
  </si>
  <si>
    <t>GSWBX US EQUITY</t>
  </si>
  <si>
    <t>LKSMX US EQUITY</t>
  </si>
  <si>
    <t>FFXCX US EQUITY</t>
  </si>
  <si>
    <t>TEMUX US EQUITY</t>
  </si>
  <si>
    <t>SLGIX US EQUITY</t>
  </si>
  <si>
    <t>EACSX US EQUITY</t>
  </si>
  <si>
    <t>SCGEX US EQUITY</t>
  </si>
  <si>
    <t>MLPLX US EQUITY</t>
  </si>
  <si>
    <t>VHCIX US EQUITY</t>
  </si>
  <si>
    <t>GEKBX US EQUITY</t>
  </si>
  <si>
    <t>UMESX US EQUITY</t>
  </si>
  <si>
    <t>AGSBX US EQUITY</t>
  </si>
  <si>
    <t>URINX US EQUITY</t>
  </si>
  <si>
    <t>SFENX US EQUITY</t>
  </si>
  <si>
    <t>FXCTX US EQUITY</t>
  </si>
  <si>
    <t>FIRAX US EQUITY</t>
  </si>
  <si>
    <t>FIREX US EQUITY</t>
  </si>
  <si>
    <t>TEMAX US EQUITY</t>
  </si>
  <si>
    <t>FKLAX US EQUITY</t>
  </si>
  <si>
    <t>DUSLX US EQUITY</t>
  </si>
  <si>
    <t>AAANX US EQUITY</t>
  </si>
  <si>
    <t>MDDAX US EQUITY</t>
  </si>
  <si>
    <t>PHMIX US EQUITY</t>
  </si>
  <si>
    <t>EKSAX US EQUITY</t>
  </si>
  <si>
    <t>FKYTX US EQUITY</t>
  </si>
  <si>
    <t>FSAIX US EQUITY</t>
  </si>
  <si>
    <t>DVRAX US EQUITY</t>
  </si>
  <si>
    <t>GLBLX US EQUITY</t>
  </si>
  <si>
    <t>ABPYX US EQUITY</t>
  </si>
  <si>
    <t>FFXSX US EQUITY</t>
  </si>
  <si>
    <t>AAINX US EQUITY</t>
  </si>
  <si>
    <t>NAWGX US EQUITY</t>
  </si>
  <si>
    <t>LIRKX US EQUITY</t>
  </si>
  <si>
    <t>HEIIX US EQUITY</t>
  </si>
  <si>
    <t>DBFRX US EQUITY</t>
  </si>
  <si>
    <t>AGGAX US EQUITY</t>
  </si>
  <si>
    <t>FVATX US EQUITY</t>
  </si>
  <si>
    <t>HLTAX US EQUITY</t>
  </si>
  <si>
    <t>NSCRX US EQUITY</t>
  </si>
  <si>
    <t>CMCAX US EQUITY</t>
  </si>
  <si>
    <t>CISIX US EQUITY</t>
  </si>
  <si>
    <t>FGSAX US EQUITY</t>
  </si>
  <si>
    <t>GWETX US EQUITY</t>
  </si>
  <si>
    <t>FIDAX US EQUITY</t>
  </si>
  <si>
    <t>FGLDX US EQUITY</t>
  </si>
  <si>
    <t>FTAEX US EQUITY</t>
  </si>
  <si>
    <t>FTIEX US EQUITY</t>
  </si>
  <si>
    <t>LMGEX US EQUITY</t>
  </si>
  <si>
    <t>HFGAX US EQUITY</t>
  </si>
  <si>
    <t>SPFAX US EQUITY</t>
  </si>
  <si>
    <t>NAMFX US EQUITY</t>
  </si>
  <si>
    <t>NOIEX US EQUITY</t>
  </si>
  <si>
    <t>EXDVX US EQUITY</t>
  </si>
  <si>
    <t>HHMAX US EQUITY</t>
  </si>
  <si>
    <t>SWIIX US EQUITY</t>
  </si>
  <si>
    <t>PINOX US EQUITY</t>
  </si>
  <si>
    <t>WMKGX US EQUITY</t>
  </si>
  <si>
    <t>GMWEX US EQUITY</t>
  </si>
  <si>
    <t>FMEIX US EQUITY</t>
  </si>
  <si>
    <t>SCAUX US EQUITY</t>
  </si>
  <si>
    <t>SFITX US EQUITY</t>
  </si>
  <si>
    <t>UTAHX US EQUITY</t>
  </si>
  <si>
    <t>FAIPX US EQUITY</t>
  </si>
  <si>
    <t>MPSSX US EQUITY</t>
  </si>
  <si>
    <t>HVOAX US EQUITY</t>
  </si>
  <si>
    <t>PBFAX US EQUITY</t>
  </si>
  <si>
    <t>HUSIX US EQUITY</t>
  </si>
  <si>
    <t>NWGYX US EQUITY</t>
  </si>
  <si>
    <t>SSCGX US EQUITY</t>
  </si>
  <si>
    <t>NMMSX US EQUITY</t>
  </si>
  <si>
    <t>TWSGX US EQUITY</t>
  </si>
  <si>
    <t>NGRRX US EQUITY</t>
  </si>
  <si>
    <t>CAMIX US EQUITY</t>
  </si>
  <si>
    <t>DPEMX US EQUITY</t>
  </si>
  <si>
    <t>TWMLX US EQUITY</t>
  </si>
  <si>
    <t>ACFFX US EQUITY</t>
  </si>
  <si>
    <t>AWTAX US EQUITY</t>
  </si>
  <si>
    <t>CLFAX US EQUITY</t>
  </si>
  <si>
    <t>MISNX US EQUITY</t>
  </si>
  <si>
    <t>AIMOX US EQUITY</t>
  </si>
  <si>
    <t>DDDAX US EQUITY</t>
  </si>
  <si>
    <t>DLTSX US EQUITY</t>
  </si>
  <si>
    <t>ABQBX US EQUITY</t>
  </si>
  <si>
    <t>MINEX US EQUITY</t>
  </si>
  <si>
    <t>AASMX US EQUITY</t>
  </si>
  <si>
    <t>VALIX US EQUITY</t>
  </si>
  <si>
    <t>UFSGX US EQUITY</t>
  </si>
  <si>
    <t>PGGIX US EQUITY</t>
  </si>
  <si>
    <t>DRRAX US EQUITY</t>
  </si>
  <si>
    <t>NVSOX US EQUITY</t>
  </si>
  <si>
    <t>IACBX US EQUITY</t>
  </si>
  <si>
    <t>LEDOX US EQUITY</t>
  </si>
  <si>
    <t>SBIEX US EQUITY</t>
  </si>
  <si>
    <t>MEPAX US EQUITY</t>
  </si>
  <si>
    <t>PRIPX US EQUITY</t>
  </si>
  <si>
    <t>JCHAX US EQUITY</t>
  </si>
  <si>
    <t>EVMBX US EQUITY</t>
  </si>
  <si>
    <t>MOGAX US EQUITY</t>
  </si>
  <si>
    <t>BTBFX US EQUITY</t>
  </si>
  <si>
    <t>WAIOX US EQUITY</t>
  </si>
  <si>
    <t>NWGTX US EQUITY</t>
  </si>
  <si>
    <t>NRIAX US EQUITY</t>
  </si>
  <si>
    <t>MSNCX US EQUITY</t>
  </si>
  <si>
    <t>FBCVX US EQUITY</t>
  </si>
  <si>
    <t>FSRVX US EQUITY</t>
  </si>
  <si>
    <t>LKEQX US EQUITY</t>
  </si>
  <si>
    <t>HFMDX US EQUITY</t>
  </si>
  <si>
    <t>DRMCX US EQUITY</t>
  </si>
  <si>
    <t>MLIIX US EQUITY</t>
  </si>
  <si>
    <t>MSACX US EQUITY</t>
  </si>
  <si>
    <t>BVEFX US EQUITY</t>
  </si>
  <si>
    <t>FAIIX US EQUITY</t>
  </si>
  <si>
    <t>HHDFX US EQUITY</t>
  </si>
  <si>
    <t>HHSIX US EQUITY</t>
  </si>
  <si>
    <t>FIGVX US EQUITY</t>
  </si>
  <si>
    <t>GOIOX US EQUITY</t>
  </si>
  <si>
    <t>PEDIX US EQUITY</t>
  </si>
  <si>
    <t>VLEOX US EQUITY</t>
  </si>
  <si>
    <t>TREBX US EQUITY</t>
  </si>
  <si>
    <t>INSAX US EQUITY</t>
  </si>
  <si>
    <t>STEFX US EQUITY</t>
  </si>
  <si>
    <t>TITIX US EQUITY</t>
  </si>
  <si>
    <t>STSVX US EQUITY</t>
  </si>
  <si>
    <t>PRTIX US EQUITY</t>
  </si>
  <si>
    <t>WTSVX US EQUITY</t>
  </si>
  <si>
    <t>DVIPX US EQUITY</t>
  </si>
  <si>
    <t>MAPCX US EQUITY</t>
  </si>
  <si>
    <t>PRULX US EQUITY</t>
  </si>
  <si>
    <t>NEFJX US EQUITY</t>
  </si>
  <si>
    <t>FFINX US EQUITY</t>
  </si>
  <si>
    <t>PURIX US EQUITY</t>
  </si>
  <si>
    <t>DWFIX US EQUITY</t>
  </si>
  <si>
    <t>RPFCX US EQUITY</t>
  </si>
  <si>
    <t>SCHLX US EQUITY</t>
  </si>
  <si>
    <t>NCLEX US EQUITY</t>
  </si>
  <si>
    <t>PMYIX US EQUITY</t>
  </si>
  <si>
    <t>BROAX US EQUITY</t>
  </si>
  <si>
    <t>PRDMX US EQUITY</t>
  </si>
  <si>
    <t>IRONX US EQUITY</t>
  </si>
  <si>
    <t>FSCGX US EQUITY</t>
  </si>
  <si>
    <t>KNTAX US EQUITY</t>
  </si>
  <si>
    <t>DRTHX US EQUITY</t>
  </si>
  <si>
    <t>FPMAX US EQUITY</t>
  </si>
  <si>
    <t>HACSX US EQUITY</t>
  </si>
  <si>
    <t>HLDAX US EQUITY</t>
  </si>
  <si>
    <t>NDVAX US EQUITY</t>
  </si>
  <si>
    <t>MRVEX US EQUITY</t>
  </si>
  <si>
    <t>MIXIX US EQUITY</t>
  </si>
  <si>
    <t>MFIOX US EQUITY</t>
  </si>
  <si>
    <t>JTIVX US EQUITY</t>
  </si>
  <si>
    <t>NMTRX US EQUITY</t>
  </si>
  <si>
    <t>FPRAX US EQUITY</t>
  </si>
  <si>
    <t>PRJPX US EQUITY</t>
  </si>
  <si>
    <t>PSLAX US EQUITY</t>
  </si>
  <si>
    <t>FGMAX US EQUITY</t>
  </si>
  <si>
    <t>VMMSX US EQUITY</t>
  </si>
  <si>
    <t>NJTFX US EQUITY</t>
  </si>
  <si>
    <t>TMMDX US EQUITY</t>
  </si>
  <si>
    <t>LANYX US EQUITY</t>
  </si>
  <si>
    <t>EITAX US EQUITY</t>
  </si>
  <si>
    <t>VEVFX US EQUITY</t>
  </si>
  <si>
    <t>LIJKX US EQUITY</t>
  </si>
  <si>
    <t>NMIMX US EQUITY</t>
  </si>
  <si>
    <t>JCGCX US EQUITY</t>
  </si>
  <si>
    <t>FICMX US EQUITY</t>
  </si>
  <si>
    <t>SWHRX US EQUITY</t>
  </si>
  <si>
    <t>EMCIX US EQUITY</t>
  </si>
  <si>
    <t>JECAX US EQUITY</t>
  </si>
  <si>
    <t>VPOIX US EQUITY</t>
  </si>
  <si>
    <t>EVNYX US EQUITY</t>
  </si>
  <si>
    <t>MGHYX US EQUITY</t>
  </si>
  <si>
    <t>PYLMX US EQUITY</t>
  </si>
  <si>
    <t>DCCAX US EQUITY</t>
  </si>
  <si>
    <t>MXXIX US EQUITY</t>
  </si>
  <si>
    <t>BNAAX US EQUITY</t>
  </si>
  <si>
    <t>JSPMX US EQUITY</t>
  </si>
  <si>
    <t>BRACX US EQUITY</t>
  </si>
  <si>
    <t>ASMOX US EQUITY</t>
  </si>
  <si>
    <t>PWRAX US EQUITY</t>
  </si>
  <si>
    <t>FIDVX US EQUITY</t>
  </si>
  <si>
    <t>SAMIX US EQUITY</t>
  </si>
  <si>
    <t>FSHOX US EQUITY</t>
  </si>
  <si>
    <t>BUFOX US EQUITY</t>
  </si>
  <si>
    <t>DFSPX US EQUITY</t>
  </si>
  <si>
    <t>HIAHX US EQUITY</t>
  </si>
  <si>
    <t>PSPFX US EQUITY</t>
  </si>
  <si>
    <t>MARNX US EQUITY</t>
  </si>
  <si>
    <t>WFSTX US EQUITY</t>
  </si>
  <si>
    <t>JAIEX US EQUITY</t>
  </si>
  <si>
    <t>LMSMX US EQUITY</t>
  </si>
  <si>
    <t>NCMAX US EQUITY</t>
  </si>
  <si>
    <t>PJRBX US EQUITY</t>
  </si>
  <si>
    <t>ARKIX US EQUITY</t>
  </si>
  <si>
    <t>DIEAX US EQUITY</t>
  </si>
  <si>
    <t>ADKSX US EQUITY</t>
  </si>
  <si>
    <t>MERAX US EQUITY</t>
  </si>
  <si>
    <t>NWJCX US EQUITY</t>
  </si>
  <si>
    <t>DOMIX US EQUITY</t>
  </si>
  <si>
    <t>JIEQX US EQUITY</t>
  </si>
  <si>
    <t>FEAAX US EQUITY</t>
  </si>
  <si>
    <t>HVRBX US EQUITY</t>
  </si>
  <si>
    <t>DEQAX US EQUITY</t>
  </si>
  <si>
    <t>RTSSX US EQUITY</t>
  </si>
  <si>
    <t>DEGIX US EQUITY</t>
  </si>
  <si>
    <t>GMISX US EQUITY</t>
  </si>
  <si>
    <t>KSMVX US EQUITY</t>
  </si>
  <si>
    <t>PMBAX US EQUITY</t>
  </si>
  <si>
    <t>MPPIX US EQUITY</t>
  </si>
  <si>
    <t>PXMAX US EQUITY</t>
  </si>
  <si>
    <t>GIPZX US EQUITY</t>
  </si>
  <si>
    <t>WMICX US EQUITY</t>
  </si>
  <si>
    <t>FAUFX US EQUITY</t>
  </si>
  <si>
    <t>IMCVX US EQUITY</t>
  </si>
  <si>
    <t>HSUAX US EQUITY</t>
  </si>
  <si>
    <t>HRCPX US EQUITY</t>
  </si>
  <si>
    <t>MMBIX US EQUITY</t>
  </si>
  <si>
    <t>RPIIX US EQUITY</t>
  </si>
  <si>
    <t>JSDHX US EQUITY</t>
  </si>
  <si>
    <t>SDVIX US EQUITY</t>
  </si>
  <si>
    <t>FMSLX US EQUITY</t>
  </si>
  <si>
    <t>MCMAX US EQUITY</t>
  </si>
  <si>
    <t>VMCTX US EQUITY</t>
  </si>
  <si>
    <t>FPPFX US EQUITY</t>
  </si>
  <si>
    <t>EGOAX US EQUITY</t>
  </si>
  <si>
    <t>GEDYX US EQUITY</t>
  </si>
  <si>
    <t>PLDIX US EQUITY</t>
  </si>
  <si>
    <t>PEUGX US EQUITY</t>
  </si>
  <si>
    <t>EKGAX US EQUITY</t>
  </si>
  <si>
    <t>LMOTX US EQUITY</t>
  </si>
  <si>
    <t>DSCLX US EQUITY</t>
  </si>
  <si>
    <t>CFMOX US EQUITY</t>
  </si>
  <si>
    <t>APPLX US EQUITY</t>
  </si>
  <si>
    <t>VRTIX US EQUITY</t>
  </si>
  <si>
    <t>DAVPX US EQUITY</t>
  </si>
  <si>
    <t>JILSX US EQUITY</t>
  </si>
  <si>
    <t>NIFAX US EQUITY</t>
  </si>
  <si>
    <t>PYGNX US EQUITY</t>
  </si>
  <si>
    <t>OSTVX US EQUITY</t>
  </si>
  <si>
    <t>AQGNX US EQUITY</t>
  </si>
  <si>
    <t>FLCEX US EQUITY</t>
  </si>
  <si>
    <t>PSQAX US EQUITY</t>
  </si>
  <si>
    <t>MHFAX US EQUITY</t>
  </si>
  <si>
    <t>JDGSX US EQUITY</t>
  </si>
  <si>
    <t>EKHAX US EQUITY</t>
  </si>
  <si>
    <t>WMCVX US EQUITY</t>
  </si>
  <si>
    <t>FNGAX US EQUITY</t>
  </si>
  <si>
    <t>GATMX US EQUITY</t>
  </si>
  <si>
    <t>PSCTX US EQUITY</t>
  </si>
  <si>
    <t>VICEX US EQUITY</t>
  </si>
  <si>
    <t>THYCX US EQUITY</t>
  </si>
  <si>
    <t>AUXFX US EQUITY</t>
  </si>
  <si>
    <t>TSGIX US EQUITY</t>
  </si>
  <si>
    <t>TCMSX US EQUITY</t>
  </si>
  <si>
    <t>FDASX US EQUITY</t>
  </si>
  <si>
    <t>PSDIX US EQUITY</t>
  </si>
  <si>
    <t>EBERX US EQUITY</t>
  </si>
  <si>
    <t>EMGRX US EQUITY</t>
  </si>
  <si>
    <t>MRESX US EQUITY</t>
  </si>
  <si>
    <t>MTCBX US EQUITY</t>
  </si>
  <si>
    <t>LIFNX US EQUITY</t>
  </si>
  <si>
    <t>LMIAX US EQUITY</t>
  </si>
  <si>
    <t>FSGVX US EQUITY</t>
  </si>
  <si>
    <t>CCRSX US EQUITY</t>
  </si>
  <si>
    <t>TSGUX US EQUITY</t>
  </si>
  <si>
    <t>GNRZX US EQUITY</t>
  </si>
  <si>
    <t>DAMDX US EQUITY</t>
  </si>
  <si>
    <t>IUTIX US EQUITY</t>
  </si>
  <si>
    <t>UEMDX US EQUITY</t>
  </si>
  <si>
    <t>BIASX US EQUITY</t>
  </si>
  <si>
    <t>GTRAX US EQUITY</t>
  </si>
  <si>
    <t>SWGSX US EQUITY</t>
  </si>
  <si>
    <t>FFAVX US EQUITY</t>
  </si>
  <si>
    <t>SHNJX US EQUITY</t>
  </si>
  <si>
    <t>HLEAX US EQUITY</t>
  </si>
  <si>
    <t>LZIEX US EQUITY</t>
  </si>
  <si>
    <t>LAGEX US EQUITY</t>
  </si>
  <si>
    <t>HHBTX US EQUITY</t>
  </si>
  <si>
    <t>COTFX US EQUITY</t>
  </si>
  <si>
    <t>CBEQX US EQUITY</t>
  </si>
  <si>
    <t>WPVAX US EQUITY</t>
  </si>
  <si>
    <t>MFTAX US EQUITY</t>
  </si>
  <si>
    <t>NTKLX US EQUITY</t>
  </si>
  <si>
    <t>FRTIX US EQUITY</t>
  </si>
  <si>
    <t>FRALX US EQUITY</t>
  </si>
  <si>
    <t>WMBDX US EQUITY</t>
  </si>
  <si>
    <t>ICPHX US EQUITY</t>
  </si>
  <si>
    <t>VPDSX US EQUITY</t>
  </si>
  <si>
    <t>NFSAX US EQUITY</t>
  </si>
  <si>
    <t>JGBAX US EQUITY</t>
  </si>
  <si>
    <t>DXQLX US EQUITY</t>
  </si>
  <si>
    <t>FGHAX US EQUITY</t>
  </si>
  <si>
    <t>FGHNX US EQUITY</t>
  </si>
  <si>
    <t>AVEGX US EQUITY</t>
  </si>
  <si>
    <t>MSVAX US EQUITY</t>
  </si>
  <si>
    <t>SSNBX US EQUITY</t>
  </si>
  <si>
    <t>TSVUX US EQUITY</t>
  </si>
  <si>
    <t>SRAAX US EQUITY</t>
  </si>
  <si>
    <t>GBFAX US EQUITY</t>
  </si>
  <si>
    <t>NMNJX US EQUITY</t>
  </si>
  <si>
    <t>IICFX US EQUITY</t>
  </si>
  <si>
    <t>LZSCX US EQUITY</t>
  </si>
  <si>
    <t>FLGEX US EQUITY</t>
  </si>
  <si>
    <t>TCVAX US EQUITY</t>
  </si>
  <si>
    <t>BATPX US EQUITY</t>
  </si>
  <si>
    <t>FCTTX US EQUITY</t>
  </si>
  <si>
    <t>EMMIX US EQUITY</t>
  </si>
  <si>
    <t>LEVIX US EQUITY</t>
  </si>
  <si>
    <t>DBOAX US EQUITY</t>
  </si>
  <si>
    <t>LTUSX US EQUITY</t>
  </si>
  <si>
    <t>JGVAX US EQUITY</t>
  </si>
  <si>
    <t>FWRLX US EQUITY</t>
  </si>
  <si>
    <t>JMTAX US EQUITY</t>
  </si>
  <si>
    <t>FPNTX US EQUITY</t>
  </si>
  <si>
    <t>DFVFX US EQUITY</t>
  </si>
  <si>
    <t>RYSOX US EQUITY</t>
  </si>
  <si>
    <t>GSIFX US EQUITY</t>
  </si>
  <si>
    <t>BBISX US EQUITY</t>
  </si>
  <si>
    <t>AABFX US EQUITY</t>
  </si>
  <si>
    <t>DTGRX US EQUITY</t>
  </si>
  <si>
    <t>JCHLX US EQUITY</t>
  </si>
  <si>
    <t>DPCRX US EQUITY</t>
  </si>
  <si>
    <t>HNSAX US EQUITY</t>
  </si>
  <si>
    <t>MGHBX US EQUITY</t>
  </si>
  <si>
    <t>DTLGX US EQUITY</t>
  </si>
  <si>
    <t>PGVFX US EQUITY</t>
  </si>
  <si>
    <t>EVOAX US EQUITY</t>
  </si>
  <si>
    <t>NINAX US EQUITY</t>
  </si>
  <si>
    <t>TGVCX US EQUITY</t>
  </si>
  <si>
    <t>TREMX US EQUITY</t>
  </si>
  <si>
    <t>FBFAX US EQUITY</t>
  </si>
  <si>
    <t>PIFDX US EQUITY</t>
  </si>
  <si>
    <t>VLCIX US EQUITY</t>
  </si>
  <si>
    <t>USPAX US EQUITY</t>
  </si>
  <si>
    <t>WAGTX US EQUITY</t>
  </si>
  <si>
    <t>MCFTX US EQUITY</t>
  </si>
  <si>
    <t>MERKX US EQUITY</t>
  </si>
  <si>
    <t>SARVX US EQUITY</t>
  </si>
  <si>
    <t>AZTFX US EQUITY</t>
  </si>
  <si>
    <t>SWRSX US EQUITY</t>
  </si>
  <si>
    <t>EALDX US EQUITY</t>
  </si>
  <si>
    <t>SHHYX US EQUITY</t>
  </si>
  <si>
    <t>BUFHX US EQUITY</t>
  </si>
  <si>
    <t>PNRAX US EQUITY</t>
  </si>
  <si>
    <t>JPCBX US EQUITY</t>
  </si>
  <si>
    <t>GREZX US EQUITY</t>
  </si>
  <si>
    <t>BRAGX US EQUITY</t>
  </si>
  <si>
    <t>FAMAX US EQUITY</t>
  </si>
  <si>
    <t>NOIGX US EQUITY</t>
  </si>
  <si>
    <t>MXIIX US EQUITY</t>
  </si>
  <si>
    <t>EIIPX US EQUITY</t>
  </si>
  <si>
    <t>BTAEX US EQUITY</t>
  </si>
  <si>
    <t>EIITX US EQUITY</t>
  </si>
  <si>
    <t>TIVFX US EQUITY</t>
  </si>
  <si>
    <t>HSPGX US EQUITY</t>
  </si>
  <si>
    <t>VIIGX US EQUITY</t>
  </si>
  <si>
    <t>DPLGX US EQUITY</t>
  </si>
  <si>
    <t>NWHJX US EQUITY</t>
  </si>
  <si>
    <t>PRSNX US EQUITY</t>
  </si>
  <si>
    <t>RSGRX US EQUITY</t>
  </si>
  <si>
    <t>FIIFX US EQUITY</t>
  </si>
  <si>
    <t>TIFUX US EQUITY</t>
  </si>
  <si>
    <t>SFILX US EQUITY</t>
  </si>
  <si>
    <t>MRMSX US EQUITY</t>
  </si>
  <si>
    <t>PARTX US EQUITY</t>
  </si>
  <si>
    <t>LCTIX US EQUITY</t>
  </si>
  <si>
    <t>RSINX US EQUITY</t>
  </si>
  <si>
    <t>BISCX US EQUITY</t>
  </si>
  <si>
    <t>QUSIX US EQUITY</t>
  </si>
  <si>
    <t>TNRLX US EQUITY</t>
  </si>
  <si>
    <t>RYJUX US EQUITY</t>
  </si>
  <si>
    <t>GDAMX US EQUITY</t>
  </si>
  <si>
    <t>EMGIX US EQUITY</t>
  </si>
  <si>
    <t>CAMAX US EQUITY</t>
  </si>
  <si>
    <t>APSAX US EQUITY</t>
  </si>
  <si>
    <t>SFVAX US EQUITY</t>
  </si>
  <si>
    <t>JETAX US EQUITY</t>
  </si>
  <si>
    <t>WBFIX US EQUITY</t>
  </si>
  <si>
    <t>CFNLX US EQUITY</t>
  </si>
  <si>
    <t>EMAAX US EQUITY</t>
  </si>
  <si>
    <t>FPRTX US EQUITY</t>
  </si>
  <si>
    <t>SECPX US EQUITY</t>
  </si>
  <si>
    <t>MANKX US EQUITY</t>
  </si>
  <si>
    <t>SDDMX US EQUITY</t>
  </si>
  <si>
    <t>PDMZX US EQUITY</t>
  </si>
  <si>
    <t>NHYMX US EQUITY</t>
  </si>
  <si>
    <t>WOGSX US EQUITY</t>
  </si>
  <si>
    <t>CCCMX US EQUITY</t>
  </si>
  <si>
    <t>GANYX US EQUITY</t>
  </si>
  <si>
    <t>EVGBX US EQUITY</t>
  </si>
  <si>
    <t>SCSBX US EQUITY</t>
  </si>
  <si>
    <t>MANJX US EQUITY</t>
  </si>
  <si>
    <t>DPSAX US EQUITY</t>
  </si>
  <si>
    <t>MYPVX US EQUITY</t>
  </si>
  <si>
    <t>FGOAX US EQUITY</t>
  </si>
  <si>
    <t>VMNIX US EQUITY</t>
  </si>
  <si>
    <t>HDCAX US EQUITY</t>
  </si>
  <si>
    <t>BRASX US EQUITY</t>
  </si>
  <si>
    <t>BIAVX US EQUITY</t>
  </si>
  <si>
    <t>FSDCX US EQUITY</t>
  </si>
  <si>
    <t>MBEQX US EQUITY</t>
  </si>
  <si>
    <t>GOLDX US EQUITY</t>
  </si>
  <si>
    <t>AALVX US EQUITY</t>
  </si>
  <si>
    <t>TABRX US EQUITY</t>
  </si>
  <si>
    <t>QIVBX US EQUITY</t>
  </si>
  <si>
    <t>THYUX US EQUITY</t>
  </si>
  <si>
    <t>AVEMX US EQUITY</t>
  </si>
  <si>
    <t>BAQAX US EQUITY</t>
  </si>
  <si>
    <t>SWASX US EQUITY</t>
  </si>
  <si>
    <t>MPSUX US EQUITY</t>
  </si>
  <si>
    <t>UMBHX US EQUITY</t>
  </si>
  <si>
    <t>TACAX US EQUITY</t>
  </si>
  <si>
    <t>NVGBX US EQUITY</t>
  </si>
  <si>
    <t>SBDAX US EQUITY</t>
  </si>
  <si>
    <t>SBSPX US EQUITY</t>
  </si>
  <si>
    <t>EVIFX US EQUITY</t>
  </si>
  <si>
    <t>PTVIX US EQUITY</t>
  </si>
  <si>
    <t>PMDEX US EQUITY</t>
  </si>
  <si>
    <t>RYBHX US EQUITY</t>
  </si>
  <si>
    <t>HISFX US EQUITY</t>
  </si>
  <si>
    <t>WFIVX US EQUITY</t>
  </si>
  <si>
    <t>SIAMX US EQUITY</t>
  </si>
  <si>
    <t>AMAAX US EQUITY</t>
  </si>
  <si>
    <t>AUEIX US EQUITY</t>
  </si>
  <si>
    <t>HFCGX US EQUITY</t>
  </si>
  <si>
    <t>MREIX US EQUITY</t>
  </si>
  <si>
    <t>IEMGX US EQUITY</t>
  </si>
  <si>
    <t>PQSAX US EQUITY</t>
  </si>
  <si>
    <t>MFSSX US EQUITY</t>
  </si>
  <si>
    <t>GSFBX US EQUITY</t>
  </si>
  <si>
    <t>DQIAX US EQUITY</t>
  </si>
  <si>
    <t>MFALX US EQUITY</t>
  </si>
  <si>
    <t>MFARX US EQUITY</t>
  </si>
  <si>
    <t>SBVAX US EQUITY</t>
  </si>
  <si>
    <t>TBDBX US EQUITY</t>
  </si>
  <si>
    <t>GUGAX US EQUITY</t>
  </si>
  <si>
    <t>TRIAX US EQUITY</t>
  </si>
  <si>
    <t>AFGPX US EQUITY</t>
  </si>
  <si>
    <t>JLKOX US EQUITY</t>
  </si>
  <si>
    <t>FIINX US EQUITY</t>
  </si>
  <si>
    <t>PQDAX US EQUITY</t>
  </si>
  <si>
    <t>IMNYX US EQUITY</t>
  </si>
  <si>
    <t>MEGPX US EQUITY</t>
  </si>
  <si>
    <t>GWMEX US EQUITY</t>
  </si>
  <si>
    <t>DIASX US EQUITY</t>
  </si>
  <si>
    <t>DSTIX US EQUITY</t>
  </si>
  <si>
    <t>PBBBX US EQUITY</t>
  </si>
  <si>
    <t>SETAX US EQUITY</t>
  </si>
  <si>
    <t>HAIGX US EQUITY</t>
  </si>
  <si>
    <t>NBMAX US EQUITY</t>
  </si>
  <si>
    <t>GUTEX US EQUITY</t>
  </si>
  <si>
    <t>AVALX US EQUITY</t>
  </si>
  <si>
    <t>VLAAX US EQUITY</t>
  </si>
  <si>
    <t>DPRSX US EQUITY</t>
  </si>
  <si>
    <t>GSUAX US EQUITY</t>
  </si>
  <si>
    <t>SWLSX US EQUITY</t>
  </si>
  <si>
    <t>SIEAX US EQUITY</t>
  </si>
  <si>
    <t>HAVLX US EQUITY</t>
  </si>
  <si>
    <t>TAIEX US EQUITY</t>
  </si>
  <si>
    <t>HAMVX US EQUITY</t>
  </si>
  <si>
    <t>MGWAX US EQUITY</t>
  </si>
  <si>
    <t>MWOFX US EQUITY</t>
  </si>
  <si>
    <t>GNEIX US EQUITY</t>
  </si>
  <si>
    <t>USBLX US EQUITY</t>
  </si>
  <si>
    <t>CFVLX US EQUITY</t>
  </si>
  <si>
    <t>MBSWX US EQUITY</t>
  </si>
  <si>
    <t>DDMAX US EQUITY</t>
  </si>
  <si>
    <t>EEIIX US EQUITY</t>
  </si>
  <si>
    <t>VGPAX US EQUITY</t>
  </si>
  <si>
    <t>TGWIX US EQUITY</t>
  </si>
  <si>
    <t>SQQIX US EQUITY</t>
  </si>
  <si>
    <t>TAUSX US EQUITY</t>
  </si>
  <si>
    <t>SIDNX US EQUITY</t>
  </si>
  <si>
    <t>RPFRX US EQUITY</t>
  </si>
  <si>
    <t>PEMFX US EQUITY</t>
  </si>
  <si>
    <t>SANAX US EQUITY</t>
  </si>
  <si>
    <t>HACMX US EQUITY</t>
  </si>
  <si>
    <t>MKRAX US EQUITY</t>
  </si>
  <si>
    <t>RYMTX US EQUITY</t>
  </si>
  <si>
    <t>NILIX US EQUITY</t>
  </si>
  <si>
    <t>LWEAX US EQUITY</t>
  </si>
  <si>
    <t>RMEAX US EQUITY</t>
  </si>
  <si>
    <t>MDFFX US EQUITY</t>
  </si>
  <si>
    <t>MIDTX US EQUITY</t>
  </si>
  <si>
    <t>WESNX US EQUITY</t>
  </si>
  <si>
    <t>NIVLX US EQUITY</t>
  </si>
  <si>
    <t>CHTFX US EQUITY</t>
  </si>
  <si>
    <t>BOGLX US EQUITY</t>
  </si>
  <si>
    <t>SEEAX US EQUITY</t>
  </si>
  <si>
    <t>NBCIX US EQUITY</t>
  </si>
  <si>
    <t>TEEAX US EQUITY</t>
  </si>
  <si>
    <t>MFINX US EQUITY</t>
  </si>
  <si>
    <t>FGCSX US EQUITY</t>
  </si>
  <si>
    <t>TAIGX US EQUITY</t>
  </si>
  <si>
    <t>AVAAX US EQUITY</t>
  </si>
  <si>
    <t>SICNX US EQUITY</t>
  </si>
  <si>
    <t>EPACX US EQUITY</t>
  </si>
  <si>
    <t>MASTX US EQUITY</t>
  </si>
  <si>
    <t>BMSAX US EQUITY</t>
  </si>
  <si>
    <t>ADVDX US EQUITY</t>
  </si>
  <si>
    <t>NRFAX US EQUITY</t>
  </si>
  <si>
    <t>LCFIX US EQUITY</t>
  </si>
  <si>
    <t>NVANX US EQUITY</t>
  </si>
  <si>
    <t>MGSEX US EQUITY</t>
  </si>
  <si>
    <t>AOBLX US EQUITY</t>
  </si>
  <si>
    <t>STCIX US EQUITY</t>
  </si>
  <si>
    <t>VITAX US EQUITY</t>
  </si>
  <si>
    <t>CENSX US EQUITY</t>
  </si>
  <si>
    <t>RBESX US EQUITY</t>
  </si>
  <si>
    <t>CMTFX US EQUITY</t>
  </si>
  <si>
    <t>PFCIX US EQUITY</t>
  </si>
  <si>
    <t>WHOSX US EQUITY</t>
  </si>
  <si>
    <t>LKFIX US EQUITY</t>
  </si>
  <si>
    <t>TMLAX US EQUITY</t>
  </si>
  <si>
    <t>VALLX US EQUITY</t>
  </si>
  <si>
    <t>FMSVX US EQUITY</t>
  </si>
  <si>
    <t>RYCAX US EQUITY</t>
  </si>
  <si>
    <t>MWSTX US EQUITY</t>
  </si>
  <si>
    <t>CUHAX US EQUITY</t>
  </si>
  <si>
    <t>MSINX US EQUITY</t>
  </si>
  <si>
    <t>MKIEX US EQUITY</t>
  </si>
  <si>
    <t>FIVLX US EQUITY</t>
  </si>
  <si>
    <t>FIVMX US EQUITY</t>
  </si>
  <si>
    <t>PTRIX US EQUITY</t>
  </si>
  <si>
    <t>PUGIX US EQUITY</t>
  </si>
  <si>
    <t>CCMAX US EQUITY</t>
  </si>
  <si>
    <t>EVPAX US EQUITY</t>
  </si>
  <si>
    <t>GTFBX US EQUITY</t>
  </si>
  <si>
    <t>SEECX US EQUITY</t>
  </si>
  <si>
    <t>CCVAX US EQUITY</t>
  </si>
  <si>
    <t>BLUEX US EQUITY</t>
  </si>
  <si>
    <t>SBPAX US EQUITY</t>
  </si>
  <si>
    <t>GDIAX US EQUITY</t>
  </si>
  <si>
    <t>NITCX US EQUITY</t>
  </si>
  <si>
    <t>RESCX US EQUITY</t>
  </si>
  <si>
    <t>JAREX US EQUITY</t>
  </si>
  <si>
    <t>FFIHX US EQUITY</t>
  </si>
  <si>
    <t>PAMFX US EQUITY</t>
  </si>
  <si>
    <t>FILDX US EQUITY</t>
  </si>
  <si>
    <t>GFMGX US EQUITY</t>
  </si>
  <si>
    <t>TSSAX US EQUITY</t>
  </si>
  <si>
    <t>BGSAX US EQUITY</t>
  </si>
  <si>
    <t>HISIX US EQUITY</t>
  </si>
  <si>
    <t>RYGBX US EQUITY</t>
  </si>
  <si>
    <t>DGFAX US EQUITY</t>
  </si>
  <si>
    <t>MDKAX US EQUITY</t>
  </si>
  <si>
    <t>BACAX US EQUITY</t>
  </si>
  <si>
    <t>GCSAX US EQUITY</t>
  </si>
  <si>
    <t>FJMNX US EQUITY</t>
  </si>
  <si>
    <t>THNMX US EQUITY</t>
  </si>
  <si>
    <t>ARMGX US EQUITY</t>
  </si>
  <si>
    <t>MNHYX US EQUITY</t>
  </si>
  <si>
    <t>GMLVX US EQUITY</t>
  </si>
  <si>
    <t>NHSAX US EQUITY</t>
  </si>
  <si>
    <t>UEGIX US EQUITY</t>
  </si>
  <si>
    <t>PRMDX US EQUITY</t>
  </si>
  <si>
    <t>FIMUX US EQUITY</t>
  </si>
  <si>
    <t>PALAX US EQUITY</t>
  </si>
  <si>
    <t>BIAEX US EQUITY</t>
  </si>
  <si>
    <t>PCDIX US EQUITY</t>
  </si>
  <si>
    <t>JCSAX US EQUITY</t>
  </si>
  <si>
    <t>GNDBX US EQUITY</t>
  </si>
  <si>
    <t>AIFRX US EQUITY</t>
  </si>
  <si>
    <t>WATWX US EQUITY</t>
  </si>
  <si>
    <t>GISAX US EQUITY</t>
  </si>
  <si>
    <t>VFGAX US EQUITY</t>
  </si>
  <si>
    <t>TRAMX US EQUITY</t>
  </si>
  <si>
    <t>SRCMX US EQUITY</t>
  </si>
  <si>
    <t>DFELX US EQUITY</t>
  </si>
  <si>
    <t>PTNJX US EQUITY</t>
  </si>
  <si>
    <t>MUIGX US EQUITY</t>
  </si>
  <si>
    <t>FMAAX US EQUITY</t>
  </si>
  <si>
    <t>WTAIX US EQUITY</t>
  </si>
  <si>
    <t>BCAIX US EQUITY</t>
  </si>
  <si>
    <t>EMBAX US EQUITY</t>
  </si>
  <si>
    <t>GPRIX US EQUITY</t>
  </si>
  <si>
    <t>SCQGX US EQUITY</t>
  </si>
  <si>
    <t>UMGPX US EQUITY</t>
  </si>
  <si>
    <t>BPSIX US EQUITY</t>
  </si>
  <si>
    <t>HERAX US EQUITY</t>
  </si>
  <si>
    <t>PTXFX US EQUITY</t>
  </si>
  <si>
    <t>BAIAX US EQUITY</t>
  </si>
  <si>
    <t>PDREX US EQUITY</t>
  </si>
  <si>
    <t>RIMCX US EQUITY</t>
  </si>
  <si>
    <t>TRGRX US EQUITY</t>
  </si>
  <si>
    <t>BIAMX US EQUITY</t>
  </si>
  <si>
    <t>PZVAX US EQUITY</t>
  </si>
  <si>
    <t>WFEAX US EQUITY</t>
  </si>
  <si>
    <t>MNREX US EQUITY</t>
  </si>
  <si>
    <t>CHNTX US EQUITY</t>
  </si>
  <si>
    <t>PBCAX US EQUITY</t>
  </si>
  <si>
    <t>HSFAX US EQUITY</t>
  </si>
  <si>
    <t>OBCHX US EQUITY</t>
  </si>
  <si>
    <t>BAFWX US EQUITY</t>
  </si>
  <si>
    <t>RPIGX US EQUITY</t>
  </si>
  <si>
    <t>MBOAX US EQUITY</t>
  </si>
  <si>
    <t>CNRWX US EQUITY</t>
  </si>
  <si>
    <t>VCSAX US EQUITY</t>
  </si>
  <si>
    <t>CSABX US EQUITY</t>
  </si>
  <si>
    <t>FLVAX US EQUITY</t>
  </si>
  <si>
    <t>MMCFX US EQUITY</t>
  </si>
  <si>
    <t>CBMDX US EQUITY</t>
  </si>
  <si>
    <t>OSVAX US EQUITY</t>
  </si>
  <si>
    <t>AIMAX US EQUITY</t>
  </si>
  <si>
    <t>PTEAX US EQUITY</t>
  </si>
  <si>
    <t>CRZAX US EQUITY</t>
  </si>
  <si>
    <t>USNYX US EQUITY</t>
  </si>
  <si>
    <t>AHSAX US EQUITY</t>
  </si>
  <si>
    <t>MSSAX US EQUITY</t>
  </si>
  <si>
    <t>NCRLX US EQUITY</t>
  </si>
  <si>
    <t>ISCAX US EQUITY</t>
  </si>
  <si>
    <t>HHGTX US EQUITY</t>
  </si>
  <si>
    <t>STGIX US EQUITY</t>
  </si>
  <si>
    <t>HVBBX US EQUITY</t>
  </si>
  <si>
    <t>VMVLX US EQUITY</t>
  </si>
  <si>
    <t>NALFX US EQUITY</t>
  </si>
  <si>
    <t>GIOFX US EQUITY</t>
  </si>
  <si>
    <t>FOSCX US EQUITY</t>
  </si>
  <si>
    <t>GBOAX US EQUITY</t>
  </si>
  <si>
    <t>AHFAX US EQUITY</t>
  </si>
  <si>
    <t>EQTIX US EQUITY</t>
  </si>
  <si>
    <t>ADRIX US EQUITY</t>
  </si>
  <si>
    <t>DEOPX US EQUITY</t>
  </si>
  <si>
    <t>WAGOX US EQUITY</t>
  </si>
  <si>
    <t>BBNTX US EQUITY</t>
  </si>
  <si>
    <t>WCLGX US EQUITY</t>
  </si>
  <si>
    <t>SBCEX US EQUITY</t>
  </si>
  <si>
    <t>SMDMX US EQUITY</t>
  </si>
  <si>
    <t>SEKSX US EQUITY</t>
  </si>
  <si>
    <t>MFBPX US EQUITY</t>
  </si>
  <si>
    <t>BMPEX US EQUITY</t>
  </si>
  <si>
    <t>FIKDX US EQUITY</t>
  </si>
  <si>
    <t>NSIUX US EQUITY</t>
  </si>
  <si>
    <t>NSRIX US EQUITY</t>
  </si>
  <si>
    <t>MINVX US EQUITY</t>
  </si>
  <si>
    <t>FITNX US EQUITY</t>
  </si>
  <si>
    <t>GMLGX US EQUITY</t>
  </si>
  <si>
    <t>PGRNX US EQUITY</t>
  </si>
  <si>
    <t>PTEPX US EQUITY</t>
  </si>
  <si>
    <t>LZHYX US EQUITY</t>
  </si>
  <si>
    <t>RMCAX US EQUITY</t>
  </si>
  <si>
    <t>MRNAX US EQUITY</t>
  </si>
  <si>
    <t>NBQAX US EQUITY</t>
  </si>
  <si>
    <t>BADAX US EQUITY</t>
  </si>
  <si>
    <t>PTSCX US EQUITY</t>
  </si>
  <si>
    <t>MWUSX US EQUITY</t>
  </si>
  <si>
    <t>FKSTX US EQUITY</t>
  </si>
  <si>
    <t>NAINX US EQUITY</t>
  </si>
  <si>
    <t>JHTFX US EQUITY</t>
  </si>
  <si>
    <t>SOAIX US EQUITY</t>
  </si>
  <si>
    <t>MCIIX US EQUITY</t>
  </si>
  <si>
    <t>HITGX US EQUITY</t>
  </si>
  <si>
    <t>MNDFX US EQUITY</t>
  </si>
  <si>
    <t>TSCGX US EQUITY</t>
  </si>
  <si>
    <t>DFDPX US EQUITY</t>
  </si>
  <si>
    <t>EILGX US EQUITY</t>
  </si>
  <si>
    <t>EGLRX US EQUITY</t>
  </si>
  <si>
    <t>PSMAX US EQUITY</t>
  </si>
  <si>
    <t>MIOFX US EQUITY</t>
  </si>
  <si>
    <t>TPYAX US EQUITY</t>
  </si>
  <si>
    <t>ILVAX US EQUITY</t>
  </si>
  <si>
    <t>SNIGX US EQUITY</t>
  </si>
  <si>
    <t>MCAAX US EQUITY</t>
  </si>
  <si>
    <t>NBNGX US EQUITY</t>
  </si>
  <si>
    <t>UIMPX US EQUITY</t>
  </si>
  <si>
    <t>HVTBX US EQUITY</t>
  </si>
  <si>
    <t>HXBIX US EQUITY</t>
  </si>
  <si>
    <t>MMOMX US EQUITY</t>
  </si>
  <si>
    <t>DGSCX US EQUITY</t>
  </si>
  <si>
    <t>MSUMX US EQUITY</t>
  </si>
  <si>
    <t>MSNYX US EQUITY</t>
  </si>
  <si>
    <t>OIOAX US EQUITY</t>
  </si>
  <si>
    <t>GAVAX US EQUITY</t>
  </si>
  <si>
    <t>PXWGX US EQUITY</t>
  </si>
  <si>
    <t>ATIPX US EQUITY</t>
  </si>
  <si>
    <t>BFGFX US EQUITY</t>
  </si>
  <si>
    <t>AREAX US EQUITY</t>
  </si>
  <si>
    <t>SWHEX US EQUITY</t>
  </si>
  <si>
    <t>NEFHX US EQUITY</t>
  </si>
  <si>
    <t>FIPDX US EQUITY</t>
  </si>
  <si>
    <t>MSCDX US EQUITY</t>
  </si>
  <si>
    <t>EWEAX US EQUITY</t>
  </si>
  <si>
    <t>MNYMX US EQUITY</t>
  </si>
  <si>
    <t>NWJKX US EQUITY</t>
  </si>
  <si>
    <t>PAIAX US EQUITY</t>
  </si>
  <si>
    <t>VCTFX US EQUITY</t>
  </si>
  <si>
    <t>BIAFX US EQUITY</t>
  </si>
  <si>
    <t>MPFIX US EQUITY</t>
  </si>
  <si>
    <t>ALEGX US EQUITY</t>
  </si>
  <si>
    <t>DTMGX US EQUITY</t>
  </si>
  <si>
    <t>SCIEX US EQUITY</t>
  </si>
  <si>
    <t>NSGRX US EQUITY</t>
  </si>
  <si>
    <t>GNVRX US EQUITY</t>
  </si>
  <si>
    <t>FGFIX US EQUITY</t>
  </si>
  <si>
    <t>HTNAX US EQUITY</t>
  </si>
  <si>
    <t>SASPX US EQUITY</t>
  </si>
  <si>
    <t>RYZAX US EQUITY</t>
  </si>
  <si>
    <t>MFCPX US EQUITY</t>
  </si>
  <si>
    <t>TSOAX US EQUITY</t>
  </si>
  <si>
    <t>STSEX US EQUITY</t>
  </si>
  <si>
    <t>WHGHX US EQUITY</t>
  </si>
  <si>
    <t>BLRIX US EQUITY</t>
  </si>
  <si>
    <t>GPTCX US EQUITY</t>
  </si>
  <si>
    <t>MBSSX US EQUITY</t>
  </si>
  <si>
    <t>RYAWX US EQUITY</t>
  </si>
  <si>
    <t>JDMBX US EQUITY</t>
  </si>
  <si>
    <t>GCGAX US EQUITY</t>
  </si>
  <si>
    <t>DFCSX US EQUITY</t>
  </si>
  <si>
    <t>MTCGX US EQUITY</t>
  </si>
  <si>
    <t>NWGAX US EQUITY</t>
  </si>
  <si>
    <t>HVNBX US EQUITY</t>
  </si>
  <si>
    <t>LOGIX US EQUITY</t>
  </si>
  <si>
    <t>UCMCX US EQUITY</t>
  </si>
  <si>
    <t>ETNJX US EQUITY</t>
  </si>
  <si>
    <t>FRNMX US EQUITY</t>
  </si>
  <si>
    <t>OMIFX US EQUITY</t>
  </si>
  <si>
    <t>GBRAX US EQUITY</t>
  </si>
  <si>
    <t>EKVAX US EQUITY</t>
  </si>
  <si>
    <t>TPMAX US EQUITY</t>
  </si>
  <si>
    <t>IMIDX US EQUITY</t>
  </si>
  <si>
    <t>TSBIX US EQUITY</t>
  </si>
  <si>
    <t>DFCVX US EQUITY</t>
  </si>
  <si>
    <t>MPSAX US EQUITY</t>
  </si>
  <si>
    <t>GMSHX US EQUITY</t>
  </si>
  <si>
    <t>MCSGX US EQUITY</t>
  </si>
  <si>
    <t>LIHKX US EQUITY</t>
  </si>
  <si>
    <t>TGSCX US EQUITY</t>
  </si>
  <si>
    <t>LIPKX US EQUITY</t>
  </si>
  <si>
    <t>GOFIX US EQUITY</t>
  </si>
  <si>
    <t>ITCAX US EQUITY</t>
  </si>
  <si>
    <t>MEMYX US EQUITY</t>
  </si>
  <si>
    <t>NNIBX US EQUITY</t>
  </si>
  <si>
    <t>COLNX US EQUITY</t>
  </si>
  <si>
    <t>SATMX US EQUITY</t>
  </si>
  <si>
    <t>JERAX US EQUITY</t>
  </si>
  <si>
    <t>MMZAX US EQUITY</t>
  </si>
  <si>
    <t>RIMHX US EQUITY</t>
  </si>
  <si>
    <t>MDIQX US EQUITY</t>
  </si>
  <si>
    <t>DWUSX US EQUITY</t>
  </si>
  <si>
    <t>PYELX US EQUITY</t>
  </si>
  <si>
    <t>LETIX US EQUITY</t>
  </si>
  <si>
    <t>UFIPX US EQUITY</t>
  </si>
  <si>
    <t>SPMIX US EQUITY</t>
  </si>
  <si>
    <t>CURAX US EQUITY</t>
  </si>
  <si>
    <t>MFSCX US EQUITY</t>
  </si>
  <si>
    <t>DGHCX US EQUITY</t>
  </si>
  <si>
    <t>WFCMX US EQUITY</t>
  </si>
  <si>
    <t>CMIFX US EQUITY</t>
  </si>
  <si>
    <t>DSCGX US EQUITY</t>
  </si>
  <si>
    <t>IASBX US EQUITY</t>
  </si>
  <si>
    <t>IHCSX US EQUITY</t>
  </si>
  <si>
    <t>WHGLX US EQUITY</t>
  </si>
  <si>
    <t>AGIBX US EQUITY</t>
  </si>
  <si>
    <t>FSAVX US EQUITY</t>
  </si>
  <si>
    <t>APSTX US EQUITY</t>
  </si>
  <si>
    <t>CNBIX US EQUITY</t>
  </si>
  <si>
    <t>EUGAX US EQUITY</t>
  </si>
  <si>
    <t>RBCGX US EQUITY</t>
  </si>
  <si>
    <t>EAIIX US EQUITY</t>
  </si>
  <si>
    <t>SAEMX US EQUITY</t>
  </si>
  <si>
    <t>FINEX US EQUITY</t>
  </si>
  <si>
    <t>NCGAX US EQUITY</t>
  </si>
  <si>
    <t>VSMSX US EQUITY</t>
  </si>
  <si>
    <t>EXNTX US EQUITY</t>
  </si>
  <si>
    <t>FAFSX US EQUITY</t>
  </si>
  <si>
    <t>BQLCX US EQUITY</t>
  </si>
  <si>
    <t>BULLX US EQUITY</t>
  </si>
  <si>
    <t>UCAGX US EQUITY</t>
  </si>
  <si>
    <t>AVEFX US EQUITY</t>
  </si>
  <si>
    <t>NMMDX US EQUITY</t>
  </si>
  <si>
    <t>PTPAX US EQUITY</t>
  </si>
  <si>
    <t>VMIAX US EQUITY</t>
  </si>
  <si>
    <t>GLLAX US EQUITY</t>
  </si>
  <si>
    <t>MMCVX US EQUITY</t>
  </si>
  <si>
    <t>TPSAX US EQUITY</t>
  </si>
  <si>
    <t>VSBIX US EQUITY</t>
  </si>
  <si>
    <t>FGRRX US EQUITY</t>
  </si>
  <si>
    <t>VRTGX US EQUITY</t>
  </si>
  <si>
    <t>ELSAX US EQUITY</t>
  </si>
  <si>
    <t>MDDDX US EQUITY</t>
  </si>
  <si>
    <t>TNSAX US EQUITY</t>
  </si>
  <si>
    <t>FSLDX US EQUITY</t>
  </si>
  <si>
    <t>TLVAX US EQUITY</t>
  </si>
  <si>
    <t>CGAIX US EQUITY</t>
  </si>
  <si>
    <t>NWUAX US EQUITY</t>
  </si>
  <si>
    <t>MPHAX US EQUITY</t>
  </si>
  <si>
    <t>MBLDX US EQUITY</t>
  </si>
  <si>
    <t>TATBX US EQUITY</t>
  </si>
  <si>
    <t>WWWFX US EQUITY</t>
  </si>
  <si>
    <t>MSUAX US EQUITY</t>
  </si>
  <si>
    <t>PTMCX US EQUITY</t>
  </si>
  <si>
    <t>WBLIX US EQUITY</t>
  </si>
  <si>
    <t>ADBAX US EQUITY</t>
  </si>
  <si>
    <t>NVMBX US EQUITY</t>
  </si>
  <si>
    <t>RVALX US EQUITY</t>
  </si>
  <si>
    <t>PSXIX US EQUITY</t>
  </si>
  <si>
    <t>LSOFX US EQUITY</t>
  </si>
  <si>
    <t>QUAGX US EQUITY</t>
  </si>
  <si>
    <t>LCTAX US EQUITY</t>
  </si>
  <si>
    <t>WAMVX US EQUITY</t>
  </si>
  <si>
    <t>SSVSX US EQUITY</t>
  </si>
  <si>
    <t>TIPAX US EQUITY</t>
  </si>
  <si>
    <t>SURFX US EQUITY</t>
  </si>
  <si>
    <t>KSDVX US EQUITY</t>
  </si>
  <si>
    <t>DNVAX US EQUITY</t>
  </si>
  <si>
    <t>MSOAX US EQUITY</t>
  </si>
  <si>
    <t>HLOMX US EQUITY</t>
  </si>
  <si>
    <t>MGCSX US EQUITY</t>
  </si>
  <si>
    <t>FDHAX US EQUITY</t>
  </si>
  <si>
    <t>FOGRX US EQUITY</t>
  </si>
  <si>
    <t>OTRFX US EQUITY</t>
  </si>
  <si>
    <t>VYSVX US EQUITY</t>
  </si>
  <si>
    <t>GMOTX US EQUITY</t>
  </si>
  <si>
    <t>LTFDX US EQUITY</t>
  </si>
  <si>
    <t>HFCVX US EQUITY</t>
  </si>
  <si>
    <t>GLOSX US EQUITY</t>
  </si>
  <si>
    <t>SAREX US EQUITY</t>
  </si>
  <si>
    <t>MMQAX US EQUITY</t>
  </si>
  <si>
    <t>FAMEX US EQUITY</t>
  </si>
  <si>
    <t>DTLVX US EQUITY</t>
  </si>
  <si>
    <t>ETMAX US EQUITY</t>
  </si>
  <si>
    <t>NMTFX US EQUITY</t>
  </si>
  <si>
    <t>SNTIX US EQUITY</t>
  </si>
  <si>
    <t>NQVRX US EQUITY</t>
  </si>
  <si>
    <t>JASCX US EQUITY</t>
  </si>
  <si>
    <t>FGATX US EQUITY</t>
  </si>
  <si>
    <t>NMUIX US EQUITY</t>
  </si>
  <si>
    <t>WGFIX US EQUITY</t>
  </si>
  <si>
    <t>PWREX US EQUITY</t>
  </si>
  <si>
    <t>FLCIX US EQUITY</t>
  </si>
  <si>
    <t>SGISX US EQUITY</t>
  </si>
  <si>
    <t>PIASX US EQUITY</t>
  </si>
  <si>
    <t>MKLVX US EQUITY</t>
  </si>
  <si>
    <t>PMFIX US EQUITY</t>
  </si>
  <si>
    <t>FRKYX US EQUITY</t>
  </si>
  <si>
    <t>FXDAX US EQUITY</t>
  </si>
  <si>
    <t>QFFOX US EQUITY</t>
  </si>
  <si>
    <t>SJPNX US EQUITY</t>
  </si>
  <si>
    <t>OGRAX US EQUITY</t>
  </si>
  <si>
    <t>FMITX US EQUITY</t>
  </si>
  <si>
    <t>CLLIX US EQUITY</t>
  </si>
  <si>
    <t>UNWPX US EQUITY</t>
  </si>
  <si>
    <t>MDVVX US EQUITY</t>
  </si>
  <si>
    <t>ETOHX US EQUITY</t>
  </si>
  <si>
    <t>LMMDX US EQUITY</t>
  </si>
  <si>
    <t>PFDIX US EQUITY</t>
  </si>
  <si>
    <t>OFDAX US EQUITY</t>
  </si>
  <si>
    <t>HAVGX US EQUITY</t>
  </si>
  <si>
    <t>PROVX US EQUITY</t>
  </si>
  <si>
    <t>MPASX US EQUITY</t>
  </si>
  <si>
    <t>SSCTX US EQUITY</t>
  </si>
  <si>
    <t>LIEIX US EQUITY</t>
  </si>
  <si>
    <t>MLUAX US EQUITY</t>
  </si>
  <si>
    <t>FPEAX US EQUITY</t>
  </si>
  <si>
    <t>SCGDX US EQUITY</t>
  </si>
  <si>
    <t>GSAPX US EQUITY</t>
  </si>
  <si>
    <t>BWAFX US EQUITY</t>
  </si>
  <si>
    <t>TEEMX US EQUITY</t>
  </si>
  <si>
    <t>EVGFX US EQUITY</t>
  </si>
  <si>
    <t>SCOVX US EQUITY</t>
  </si>
  <si>
    <t>QIACX US EQUITY</t>
  </si>
  <si>
    <t>MYIFX US EQUITY</t>
  </si>
  <si>
    <t>PGUAX US EQUITY</t>
  </si>
  <si>
    <t>LEMNX US EQUITY</t>
  </si>
  <si>
    <t>PDIAX US EQUITY</t>
  </si>
  <si>
    <t>MECGX US EQUITY</t>
  </si>
  <si>
    <t>HNCAX US EQUITY</t>
  </si>
  <si>
    <t>LMIYX US EQUITY</t>
  </si>
  <si>
    <t>SBBVX US EQUITY</t>
  </si>
  <si>
    <t>BTUSX US EQUITY</t>
  </si>
  <si>
    <t>EACAX US EQUITY</t>
  </si>
  <si>
    <t>BURHX US EQUITY</t>
  </si>
  <si>
    <t>VFAIX US EQUITY</t>
  </si>
  <si>
    <t>ATGAX US EQUITY</t>
  </si>
  <si>
    <t>LRRAX US EQUITY</t>
  </si>
  <si>
    <t>DSMLX US EQUITY</t>
  </si>
  <si>
    <t>PTIAX US EQUITY</t>
  </si>
  <si>
    <t>SSIAX US EQUITY</t>
  </si>
  <si>
    <t>NOGEX US EQUITY</t>
  </si>
  <si>
    <t>LMECX US EQUITY</t>
  </si>
  <si>
    <t>TGVOX US EQUITY</t>
  </si>
  <si>
    <t>HLVIX US EQUITY</t>
  </si>
  <si>
    <t>HULIX US EQUITY</t>
  </si>
  <si>
    <t>WSEFX US EQUITY</t>
  </si>
  <si>
    <t>SENYX US EQUITY</t>
  </si>
  <si>
    <t>BRUSX US EQUITY</t>
  </si>
  <si>
    <t>FRSPX US EQUITY</t>
  </si>
  <si>
    <t>LMVYX US EQUITY</t>
  </si>
  <si>
    <t>FIATX US EQUITY</t>
  </si>
  <si>
    <t>RPICX US EQUITY</t>
  </si>
  <si>
    <t>EXCRX US EQUITY</t>
  </si>
  <si>
    <t>FASEX US EQUITY</t>
  </si>
  <si>
    <t>DVMHX US EQUITY</t>
  </si>
  <si>
    <t>LRIOX US EQUITY</t>
  </si>
  <si>
    <t>TMVAX US EQUITY</t>
  </si>
  <si>
    <t>SDITX US EQUITY</t>
  </si>
  <si>
    <t>ADGAX US EQUITY</t>
  </si>
  <si>
    <t>BSHIX US EQUITY</t>
  </si>
  <si>
    <t>RYTNX US EQUITY</t>
  </si>
  <si>
    <t>PREAX US EQUITY</t>
  </si>
  <si>
    <t>FNYFX US EQUITY</t>
  </si>
  <si>
    <t>WFBIX US EQUITY</t>
  </si>
  <si>
    <t>DHMBX US EQUITY</t>
  </si>
  <si>
    <t>FSVLX US EQUITY</t>
  </si>
  <si>
    <t>QCELX US EQUITY</t>
  </si>
  <si>
    <t>NWHZX US EQUITY</t>
  </si>
  <si>
    <t>MASKX US EQUITY</t>
  </si>
  <si>
    <t>DFYGX US EQUITY</t>
  </si>
  <si>
    <t>WFLHX US EQUITY</t>
  </si>
  <si>
    <t>FSAZX US EQUITY</t>
  </si>
  <si>
    <t>NEEGX US EQUITY</t>
  </si>
  <si>
    <t>SWFRX US EQUITY</t>
  </si>
  <si>
    <t>DINAX US EQUITY</t>
  </si>
  <si>
    <t>ROGSX US EQUITY</t>
  </si>
  <si>
    <t>PNSAX US EQUITY</t>
  </si>
  <si>
    <t>FMVAX US EQUITY</t>
  </si>
  <si>
    <t>NGCAX US EQUITY</t>
  </si>
  <si>
    <t>EGEAX US EQUITY</t>
  </si>
  <si>
    <t>CNCIX US EQUITY</t>
  </si>
  <si>
    <t>SCECX US EQUITY</t>
  </si>
  <si>
    <t>COBYX US EQUITY</t>
  </si>
  <si>
    <t>VBNYX US EQUITY</t>
  </si>
  <si>
    <t>DPHYX US EQUITY</t>
  </si>
  <si>
    <t>SEACX US EQUITY</t>
  </si>
  <si>
    <t>HHRTX US EQUITY</t>
  </si>
  <si>
    <t>LMGTX US EQUITY</t>
  </si>
  <si>
    <t>MYROX US EQUITY</t>
  </si>
  <si>
    <t>EALCX US EQUITY</t>
  </si>
  <si>
    <t>PREFX US EQUITY</t>
  </si>
  <si>
    <t>SISSX US EQUITY</t>
  </si>
  <si>
    <t>EGWAX US EQUITY</t>
  </si>
  <si>
    <t>JAPAX US EQUITY</t>
  </si>
  <si>
    <t>SNIAX US EQUITY</t>
  </si>
  <si>
    <t>MAIBX US EQUITY</t>
  </si>
  <si>
    <t>MOTCX US EQUITY</t>
  </si>
  <si>
    <t>ICHCX US EQUITY</t>
  </si>
  <si>
    <t>ADVIX US EQUITY</t>
  </si>
  <si>
    <t>GRTVX US EQUITY</t>
  </si>
  <si>
    <t>MDBSX US EQUITY</t>
  </si>
  <si>
    <t>MBLAX US EQUITY</t>
  </si>
  <si>
    <t>FORCX US EQUITY</t>
  </si>
  <si>
    <t>TLEIX US EQUITY</t>
  </si>
  <si>
    <t>JDABX US EQUITY</t>
  </si>
  <si>
    <t>EMDIX US EQUITY</t>
  </si>
  <si>
    <t>JGPAX US EQUITY</t>
  </si>
  <si>
    <t>PXOHX US EQUITY</t>
  </si>
  <si>
    <t>DRSVX US EQUITY</t>
  </si>
  <si>
    <t>PTFSX US EQUITY</t>
  </si>
  <si>
    <t>PXSCX US EQUITY</t>
  </si>
  <si>
    <t>PCIMX US EQUITY</t>
  </si>
  <si>
    <t>PDLAX US EQUITY</t>
  </si>
  <si>
    <t>DCHYX US EQUITY</t>
  </si>
  <si>
    <t>OGTFX US EQUITY</t>
  </si>
  <si>
    <t>STTGX US EQUITY</t>
  </si>
  <si>
    <t>TCPAX US EQUITY</t>
  </si>
  <si>
    <t>PRLIX US EQUITY</t>
  </si>
  <si>
    <t>HAIAX US EQUITY</t>
  </si>
  <si>
    <t>MSCFX US EQUITY</t>
  </si>
  <si>
    <t>QIBGX US EQUITY</t>
  </si>
  <si>
    <t>WCIIX US EQUITY</t>
  </si>
  <si>
    <t>CTTLX US EQUITY</t>
  </si>
  <si>
    <t>SCUIX US EQUITY</t>
  </si>
  <si>
    <t>GSATX US EQUITY</t>
  </si>
  <si>
    <t>CIDPX US EQUITY</t>
  </si>
  <si>
    <t>PNYDX US EQUITY</t>
  </si>
  <si>
    <t>SPSCX US EQUITY</t>
  </si>
  <si>
    <t>MGIDX US EQUITY</t>
  </si>
  <si>
    <t>OFAAX US EQUITY</t>
  </si>
  <si>
    <t>ARSCX US EQUITY</t>
  </si>
  <si>
    <t>AOMCX US EQUITY</t>
  </si>
  <si>
    <t>DVLAX US EQUITY</t>
  </si>
  <si>
    <t>WTCOX US EQUITY</t>
  </si>
  <si>
    <t>FVALX US EQUITY</t>
  </si>
  <si>
    <t>CFIPX US EQUITY</t>
  </si>
  <si>
    <t>BPEQX US EQUITY</t>
  </si>
  <si>
    <t>MXAIX US EQUITY</t>
  </si>
  <si>
    <t>RMIAX US EQUITY</t>
  </si>
  <si>
    <t>MPCIX US EQUITY</t>
  </si>
  <si>
    <t>SMARX US EQUITY</t>
  </si>
  <si>
    <t>PYGSX US EQUITY</t>
  </si>
  <si>
    <t>MVSTX US EQUITY</t>
  </si>
  <si>
    <t>HIMZX US EQUITY</t>
  </si>
  <si>
    <t>IGBFX US EQUITY</t>
  </si>
  <si>
    <t>CCSTX US EQUITY</t>
  </si>
  <si>
    <t>TISVX US EQUITY</t>
  </si>
  <si>
    <t>DMLIX US EQUITY</t>
  </si>
  <si>
    <t>TETAX US EQUITY</t>
  </si>
  <si>
    <t>CMAFX US EQUITY</t>
  </si>
  <si>
    <t>GABTX US EQUITY</t>
  </si>
  <si>
    <t>HIEAX US EQUITY</t>
  </si>
  <si>
    <t>ARIFX US EQUITY</t>
  </si>
  <si>
    <t>CLXRX US EQUITY</t>
  </si>
  <si>
    <t>CYBIX US EQUITY</t>
  </si>
  <si>
    <t>MWFLX US EQUITY</t>
  </si>
  <si>
    <t>LATAX US EQUITY</t>
  </si>
  <si>
    <t>SPFIX US EQUITY</t>
  </si>
  <si>
    <t>AAZAX US EQUITY</t>
  </si>
  <si>
    <t>IBVCX US EQUITY</t>
  </si>
  <si>
    <t>DCIBX US EQUITY</t>
  </si>
  <si>
    <t>MRGIX US EQUITY</t>
  </si>
  <si>
    <t>COAGX US EQUITY</t>
  </si>
  <si>
    <t>WAEGX US EQUITY</t>
  </si>
  <si>
    <t>VWMAX US EQUITY</t>
  </si>
  <si>
    <t>JCIAX US EQUITY</t>
  </si>
  <si>
    <t>DPDEX US EQUITY</t>
  </si>
  <si>
    <t>MCJAX US EQUITY</t>
  </si>
  <si>
    <t>HALYX US EQUITY</t>
  </si>
  <si>
    <t>RSIFX US EQUITY</t>
  </si>
  <si>
    <t>CLVAX US EQUITY</t>
  </si>
  <si>
    <t>PHGFIF US EQUITY</t>
  </si>
  <si>
    <t>GSXAX US EQUITY</t>
  </si>
  <si>
    <t>EVCGX US EQUITY</t>
  </si>
  <si>
    <t>CSHTX US EQUITY</t>
  </si>
  <si>
    <t>DSBFX US EQUITY</t>
  </si>
  <si>
    <t>RYHIX US EQUITY</t>
  </si>
  <si>
    <t>FMEAX US EQUITY</t>
  </si>
  <si>
    <t>KACVX US EQUITY</t>
  </si>
  <si>
    <t>CWSVX US EQUITY</t>
  </si>
  <si>
    <t>NYAAX US EQUITY</t>
  </si>
  <si>
    <t>GCBLX US EQUITY</t>
  </si>
  <si>
    <t>SOAAX US EQUITY</t>
  </si>
  <si>
    <t>SGATX US EQUITY</t>
  </si>
  <si>
    <t>MNEMX US EQUITY</t>
  </si>
  <si>
    <t>MAIOX US EQUITY</t>
  </si>
  <si>
    <t>CMMAX US EQUITY</t>
  </si>
  <si>
    <t>GNMAX US EQUITY</t>
  </si>
  <si>
    <t>EPIEX US EQUITY</t>
  </si>
  <si>
    <t>HSKAX US EQUITY</t>
  </si>
  <si>
    <t>CSFSX US EQUITY</t>
  </si>
  <si>
    <t>JLTAX US EQUITY</t>
  </si>
  <si>
    <t>DGGAX US EQUITY</t>
  </si>
  <si>
    <t>SEDEX US EQUITY</t>
  </si>
  <si>
    <t>RREIX US EQUITY</t>
  </si>
  <si>
    <t>WMSIX US EQUITY</t>
  </si>
  <si>
    <t>NCATX US EQUITY</t>
  </si>
  <si>
    <t>RYNVX US EQUITY</t>
  </si>
  <si>
    <t>ILCAX US EQUITY</t>
  </si>
  <si>
    <t>ANJAX US EQUITY</t>
  </si>
  <si>
    <t>VMFVX US EQUITY</t>
  </si>
  <si>
    <t>AOTIX US EQUITY</t>
  </si>
  <si>
    <t>HMCSX US EQUITY</t>
  </si>
  <si>
    <t>THPGX US EQUITY</t>
  </si>
  <si>
    <t>VLGIX US EQUITY</t>
  </si>
  <si>
    <t>NLCAX US EQUITY</t>
  </si>
  <si>
    <t>CMFIX US EQUITY</t>
  </si>
  <si>
    <t>CEMGX US EQUITY</t>
  </si>
  <si>
    <t>QGIAX US EQUITY</t>
  </si>
  <si>
    <t>VKMPX US EQUITY</t>
  </si>
  <si>
    <t>WBALX US EQUITY</t>
  </si>
  <si>
    <t>MAWIX US EQUITY</t>
  </si>
  <si>
    <t>WAHGX US EQUITY</t>
  </si>
  <si>
    <t>PYUSX US EQUITY</t>
  </si>
  <si>
    <t>CASTX US EQUITY</t>
  </si>
  <si>
    <t>IWIRX US EQUITY</t>
  </si>
  <si>
    <t>TISHX US EQUITY</t>
  </si>
  <si>
    <t>GIOEX US EQUITY</t>
  </si>
  <si>
    <t>SSDAX US EQUITY</t>
  </si>
  <si>
    <t>JARIX US EQUITY</t>
  </si>
  <si>
    <t>CRVTX US EQUITY</t>
  </si>
  <si>
    <t>AHBAX US EQUITY</t>
  </si>
  <si>
    <t>VLIFX US EQUITY</t>
  </si>
  <si>
    <t>SEIPX US EQUITY</t>
  </si>
  <si>
    <t>LMEMX US EQUITY</t>
  </si>
  <si>
    <t>HILGX US EQUITY</t>
  </si>
  <si>
    <t>ORVAX US EQUITY</t>
  </si>
  <si>
    <t>GFLZX US EQUITY</t>
  </si>
  <si>
    <t>QEAAX US EQUITY</t>
  </si>
  <si>
    <t>FOINX US EQUITY</t>
  </si>
  <si>
    <t>SNWAX US EQUITY</t>
  </si>
  <si>
    <t>TAIBX US EQUITY</t>
  </si>
  <si>
    <t>BVATX US EQUITY</t>
  </si>
  <si>
    <t>PRWIX US EQUITY</t>
  </si>
  <si>
    <t>CALEX US EQUITY</t>
  </si>
  <si>
    <t>PXINX US EQUITY</t>
  </si>
  <si>
    <t>MMIFX US EQUITY</t>
  </si>
  <si>
    <t>NWJWX US EQUITY</t>
  </si>
  <si>
    <t>GFIGX US EQUITY</t>
  </si>
  <si>
    <t>SMIDX US EQUITY</t>
  </si>
  <si>
    <t>RLSFX US EQUITY</t>
  </si>
  <si>
    <t>EVSCX US EQUITY</t>
  </si>
  <si>
    <t>BRGIX US EQUITY</t>
  </si>
  <si>
    <t>OARAX US EQUITY</t>
  </si>
  <si>
    <t>OPAMX US EQUITY</t>
  </si>
  <si>
    <t>SFSLX US EQUITY</t>
  </si>
  <si>
    <t>WHGPX US EQUITY</t>
  </si>
  <si>
    <t>AUMIX US EQUITY</t>
  </si>
  <si>
    <t>AOHCX US EQUITY</t>
  </si>
  <si>
    <t>DASCX US EQUITY</t>
  </si>
  <si>
    <t>PROIX US EQUITY</t>
  </si>
  <si>
    <t>FSIEX US EQUITY</t>
  </si>
  <si>
    <t>FACPX US EQUITY</t>
  </si>
  <si>
    <t>MFWVX US EQUITY</t>
  </si>
  <si>
    <t>JRSAX US EQUITY</t>
  </si>
  <si>
    <t>JTBMX US EQUITY</t>
  </si>
  <si>
    <t>SNTCX US EQUITY</t>
  </si>
  <si>
    <t>TRECX US EQUITY</t>
  </si>
  <si>
    <t>FTEAX US EQUITY</t>
  </si>
  <si>
    <t>FLBDX US EQUITY</t>
  </si>
  <si>
    <t>IMIFX US EQUITY</t>
  </si>
  <si>
    <t>MIIBX US EQUITY</t>
  </si>
  <si>
    <t>FIOBX US EQUITY</t>
  </si>
  <si>
    <t>DHAMX US EQUITY</t>
  </si>
  <si>
    <t>MDIVX US EQUITY</t>
  </si>
  <si>
    <t>DIVTX US EQUITY</t>
  </si>
  <si>
    <t>SMMVX US EQUITY</t>
  </si>
  <si>
    <t>GPSCX US EQUITY</t>
  </si>
  <si>
    <t>JEIAX US EQUITY</t>
  </si>
  <si>
    <t>MFPAX US EQUITY</t>
  </si>
  <si>
    <t>FMEQX US EQUITY</t>
  </si>
  <si>
    <t>MPLDX US EQUITY</t>
  </si>
  <si>
    <t>NCEGX US EQUITY</t>
  </si>
  <si>
    <t>LZUSX US EQUITY</t>
  </si>
  <si>
    <t>LETRX US EQUITY</t>
  </si>
  <si>
    <t>VGAVX US EQUITY</t>
  </si>
  <si>
    <t>OFSAX US EQUITY</t>
  </si>
  <si>
    <t>DFWVX US EQUITY</t>
  </si>
  <si>
    <t>NWWOX US EQUITY</t>
  </si>
  <si>
    <t>NASDX US EQUITY</t>
  </si>
  <si>
    <t>WMKMX US EQUITY</t>
  </si>
  <si>
    <t>POPFX US EQUITY</t>
  </si>
  <si>
    <t>NISCX US EQUITY</t>
  </si>
  <si>
    <t>OFIAX US EQUITY</t>
  </si>
  <si>
    <t>FSVSX US EQUITY</t>
  </si>
  <si>
    <t>MNIFX US EQUITY</t>
  </si>
  <si>
    <t>BEEHX US EQUITY</t>
  </si>
  <si>
    <t>TVMAX US EQUITY</t>
  </si>
  <si>
    <t>EVORX US EQUITY</t>
  </si>
  <si>
    <t>SFHYX US EQUITY</t>
  </si>
  <si>
    <t>JLSAX US EQUITY</t>
  </si>
  <si>
    <t>SCVAX US EQUITY</t>
  </si>
  <si>
    <t>AIGYX US EQUITY</t>
  </si>
  <si>
    <t>RSHMX US EQUITY</t>
  </si>
  <si>
    <t>SGTAX US EQUITY</t>
  </si>
  <si>
    <t>APSGX US EQUITY</t>
  </si>
  <si>
    <t>TSELX US EQUITY</t>
  </si>
  <si>
    <t>TORLX US EQUITY</t>
  </si>
  <si>
    <t>FCOTX US EQUITY</t>
  </si>
  <si>
    <t>CANGX US EQUITY</t>
  </si>
  <si>
    <t>HSTIX US EQUITY</t>
  </si>
  <si>
    <t>SEGMX US EQUITY</t>
  </si>
  <si>
    <t>SSIFX US EQUITY</t>
  </si>
  <si>
    <t>SWGRX US EQUITY</t>
  </si>
  <si>
    <t>CTVAX US EQUITY</t>
  </si>
  <si>
    <t>LMLCX US EQUITY</t>
  </si>
  <si>
    <t>VIDAX US EQUITY</t>
  </si>
  <si>
    <t>FRFAX US EQUITY</t>
  </si>
  <si>
    <t>EVNCX US EQUITY</t>
  </si>
  <si>
    <t>EVMNX US EQUITY</t>
  </si>
  <si>
    <t>PEQEX US EQUITY</t>
  </si>
  <si>
    <t>TREFX US EQUITY</t>
  </si>
  <si>
    <t>SIGIX US EQUITY</t>
  </si>
  <si>
    <t>PSGAX US EQUITY</t>
  </si>
  <si>
    <t>FGEAX US EQUITY</t>
  </si>
  <si>
    <t>HTIAX US EQUITY</t>
  </si>
  <si>
    <t>PDCZX US EQUITY</t>
  </si>
  <si>
    <t>DFCCX US EQUITY</t>
  </si>
  <si>
    <t>ENCMX US EQUITY</t>
  </si>
  <si>
    <t>MCRAX US EQUITY</t>
  </si>
  <si>
    <t>AMGEX US EQUITY</t>
  </si>
  <si>
    <t>FOSIX US EQUITY</t>
  </si>
  <si>
    <t>DFETX US EQUITY</t>
  </si>
  <si>
    <t>DEGGX US EQUITY</t>
  </si>
  <si>
    <t>DPCEX US EQUITY</t>
  </si>
  <si>
    <t>SHKIX US EQUITY</t>
  </si>
  <si>
    <t>NCINX US EQUITY</t>
  </si>
  <si>
    <t>PVFAX US EQUITY</t>
  </si>
  <si>
    <t>GUHYX US EQUITY</t>
  </si>
  <si>
    <t>MPPMX US EQUITY</t>
  </si>
  <si>
    <t>WAMCX US EQUITY</t>
  </si>
  <si>
    <t>NOLVX US EQUITY</t>
  </si>
  <si>
    <t>ISISX US EQUITY</t>
  </si>
  <si>
    <t>ETAHX US EQUITY</t>
  </si>
  <si>
    <t>WAVIX US EQUITY</t>
  </si>
  <si>
    <t>FTLAX US EQUITY</t>
  </si>
  <si>
    <t>FAMMX US EQUITY</t>
  </si>
  <si>
    <t>FMIFX US EQUITY</t>
  </si>
  <si>
    <t>UGETX US EQUITY</t>
  </si>
  <si>
    <t>NOEQX US EQUITY</t>
  </si>
  <si>
    <t>PIAFX US EQUITY</t>
  </si>
  <si>
    <t>DILRX US EQUITY</t>
  </si>
  <si>
    <t>SHNAX US EQUITY</t>
  </si>
  <si>
    <t>TEFQX US EQUITY</t>
  </si>
  <si>
    <t>SQIFX US EQUITY</t>
  </si>
  <si>
    <t>GAGEX US EQUITY</t>
  </si>
  <si>
    <t>CLTAX US EQUITY</t>
  </si>
  <si>
    <t>ICMUX US EQUITY</t>
  </si>
  <si>
    <t>ICBMX US EQUITY</t>
  </si>
  <si>
    <t>CEMAX US EQUITY</t>
  </si>
  <si>
    <t>USTRX US EQUITY</t>
  </si>
  <si>
    <t>AMWYX US EQUITY</t>
  </si>
  <si>
    <t>JTIAX US EQUITY</t>
  </si>
  <si>
    <t>CTMAX US EQUITY</t>
  </si>
  <si>
    <t>CIOAX US EQUITY</t>
  </si>
  <si>
    <t>NWHOX US EQUITY</t>
  </si>
  <si>
    <t>STRGX US EQUITY</t>
  </si>
  <si>
    <t>NWHDX US EQUITY</t>
  </si>
  <si>
    <t>OWVAX US EQUITY</t>
  </si>
  <si>
    <t>BTEFX US EQUITY</t>
  </si>
  <si>
    <t>USBNX US EQUITY</t>
  </si>
  <si>
    <t>PXMNX US EQUITY</t>
  </si>
  <si>
    <t>FAVAX US EQUITY</t>
  </si>
  <si>
    <t>APAAX US EQUITY</t>
  </si>
  <si>
    <t>CHASX US EQUITY</t>
  </si>
  <si>
    <t>PLIVX US EQUITY</t>
  </si>
  <si>
    <t>ZEOIX US EQUITY</t>
  </si>
  <si>
    <t>CAEIX US EQUITY</t>
  </si>
  <si>
    <t>UMNOX US EQUITY</t>
  </si>
  <si>
    <t>MSTNX US EQUITY</t>
  </si>
  <si>
    <t>CDGCX US EQUITY</t>
  </si>
  <si>
    <t>CVHAX US EQUITY</t>
  </si>
  <si>
    <t>TNTIX US EQUITY</t>
  </si>
  <si>
    <t>RYMQX US EQUITY</t>
  </si>
  <si>
    <t>CHBAX US EQUITY</t>
  </si>
  <si>
    <t>MDSIX US EQUITY</t>
  </si>
  <si>
    <t>WHGSX US EQUITY</t>
  </si>
  <si>
    <t>IIISX US EQUITY</t>
  </si>
  <si>
    <t>QRMIX US EQUITY</t>
  </si>
  <si>
    <t>AOPAX US EQUITY</t>
  </si>
  <si>
    <t>NTFAX US EQUITY</t>
  </si>
  <si>
    <t>LANJX US EQUITY</t>
  </si>
  <si>
    <t>PENZX US EQUITY</t>
  </si>
  <si>
    <t>GMSAX US EQUITY</t>
  </si>
  <si>
    <t>ATMOX US EQUITY</t>
  </si>
  <si>
    <t>HSIEX US EQUITY</t>
  </si>
  <si>
    <t>MTFIX US EQUITY</t>
  </si>
  <si>
    <t>FOBAX US EQUITY</t>
  </si>
  <si>
    <t>KTXIX US EQUITY</t>
  </si>
  <si>
    <t>PSAFX US EQUITY</t>
  </si>
  <si>
    <t>SSTGX US EQUITY</t>
  </si>
  <si>
    <t>FTRTX US EQUITY</t>
  </si>
  <si>
    <t>BFTHX US EQUITY</t>
  </si>
  <si>
    <t>EQIAX US EQUITY</t>
  </si>
  <si>
    <t>JBSRX US EQUITY</t>
  </si>
  <si>
    <t>SOAMX US EQUITY</t>
  </si>
  <si>
    <t>PIIFX US EQUITY</t>
  </si>
  <si>
    <t>NBEAX US EQUITY</t>
  </si>
  <si>
    <t>NWQAX US EQUITY</t>
  </si>
  <si>
    <t>RSMOX US EQUITY</t>
  </si>
  <si>
    <t>ISCFX US EQUITY</t>
  </si>
  <si>
    <t>RIMFX US EQUITY</t>
  </si>
  <si>
    <t>WTMGX US EQUITY</t>
  </si>
  <si>
    <t>DXCCX US EQUITY</t>
  </si>
  <si>
    <t>GCEQX US EQUITY</t>
  </si>
  <si>
    <t>PMGJX US EQUITY</t>
  </si>
  <si>
    <t>CFSTX US EQUITY</t>
  </si>
  <si>
    <t>NFLAX US EQUITY</t>
  </si>
  <si>
    <t>POPAX US EQUITY</t>
  </si>
  <si>
    <t>IFOAX US EQUITY</t>
  </si>
  <si>
    <t>ELBIX US EQUITY</t>
  </si>
  <si>
    <t>WBLSX US EQUITY</t>
  </si>
  <si>
    <t>RDRAX US EQUITY</t>
  </si>
  <si>
    <t>LDTRX US EQUITY</t>
  </si>
  <si>
    <t>ATACX US EQUITY</t>
  </si>
  <si>
    <t>WTSLX US EQUITY</t>
  </si>
  <si>
    <t>ETMGX US EQUITY</t>
  </si>
  <si>
    <t>TBFAX US EQUITY</t>
  </si>
  <si>
    <t>ILCDX US EQUITY</t>
  </si>
  <si>
    <t>WASIX US EQUITY</t>
  </si>
  <si>
    <t>FCMSX US EQUITY</t>
  </si>
  <si>
    <t>CFNTX US EQUITY</t>
  </si>
  <si>
    <t>SENJX US EQUITY</t>
  </si>
  <si>
    <t>WMKSX US EQUITY</t>
  </si>
  <si>
    <t>KREAX US EQUITY</t>
  </si>
  <si>
    <t>SRPAX US EQUITY</t>
  </si>
  <si>
    <t>ESEAX US EQUITY</t>
  </si>
  <si>
    <t>JRBBX US EQUITY</t>
  </si>
  <si>
    <t>PUDAX US EQUITY</t>
  </si>
  <si>
    <t>SEMCX US EQUITY</t>
  </si>
  <si>
    <t>NTFIX US EQUITY</t>
  </si>
  <si>
    <t>ALBAX US EQUITY</t>
  </si>
  <si>
    <t>GARBX US EQUITY</t>
  </si>
  <si>
    <t>ADVNX US EQUITY</t>
  </si>
  <si>
    <t>HLMSX US EQUITY</t>
  </si>
  <si>
    <t>EIPCX US EQUITY</t>
  </si>
  <si>
    <t>GVEQX US EQUITY</t>
  </si>
  <si>
    <t>LEXMX US EQUITY</t>
  </si>
  <si>
    <t>POGSX US EQUITY</t>
  </si>
  <si>
    <t>STWTX US EQUITY</t>
  </si>
  <si>
    <t>SEMMX US EQUITY</t>
  </si>
  <si>
    <t>FAVFX US EQUITY</t>
  </si>
  <si>
    <t>SEMGX US EQUITY</t>
  </si>
  <si>
    <t>TRCEX US EQUITY</t>
  </si>
  <si>
    <t>USERX US EQUITY</t>
  </si>
  <si>
    <t>FEDAX US EQUITY</t>
  </si>
  <si>
    <t>WBRRX US EQUITY</t>
  </si>
  <si>
    <t>WMBLX US EQUITY</t>
  </si>
  <si>
    <t>SSMGX US EQUITY</t>
  </si>
  <si>
    <t>FGTYX US EQUITY</t>
  </si>
  <si>
    <t>DFCFX US EQUITY</t>
  </si>
  <si>
    <t>HLFNX US EQUITY</t>
  </si>
  <si>
    <t>PIVAX US EQUITY</t>
  </si>
  <si>
    <t>FSLEX US EQUITY</t>
  </si>
  <si>
    <t>WASOX US EQUITY</t>
  </si>
  <si>
    <t>VALUX US EQUITY</t>
  </si>
  <si>
    <t>ICHKX US EQUITY</t>
  </si>
  <si>
    <t>LTTAX US EQUITY</t>
  </si>
  <si>
    <t>TFSSX US EQUITY</t>
  </si>
  <si>
    <t>ICNEX US EQUITY</t>
  </si>
  <si>
    <t>MNOCX US EQUITY</t>
  </si>
  <si>
    <t>CLVFX US EQUITY</t>
  </si>
  <si>
    <t>FNSVX US EQUITY</t>
  </si>
  <si>
    <t>DSEAX US EQUITY</t>
  </si>
  <si>
    <t>WALLX US EQUITY</t>
  </si>
  <si>
    <t>WILIX US EQUITY</t>
  </si>
  <si>
    <t>FEDDX US EQUITY</t>
  </si>
  <si>
    <t>IOBCX US EQUITY</t>
  </si>
  <si>
    <t>EVCTX US EQUITY</t>
  </si>
  <si>
    <t>AACFX US EQUITY</t>
  </si>
  <si>
    <t>BMGEX US EQUITY</t>
  </si>
  <si>
    <t>SZCAX US EQUITY</t>
  </si>
  <si>
    <t>GLSCX US EQUITY</t>
  </si>
  <si>
    <t>VRPFX US EQUITY</t>
  </si>
  <si>
    <t>DGIFX US EQUITY</t>
  </si>
  <si>
    <t>SAVIX US EQUITY</t>
  </si>
  <si>
    <t>SLSSX US EQUITY</t>
  </si>
  <si>
    <t>FIGAX US EQUITY</t>
  </si>
  <si>
    <t>TALGX US EQUITY</t>
  </si>
  <si>
    <t>MFSMX US EQUITY</t>
  </si>
  <si>
    <t>PRMIX US EQUITY</t>
  </si>
  <si>
    <t>NRBAX US EQUITY</t>
  </si>
  <si>
    <t>EUROX US EQUITY</t>
  </si>
  <si>
    <t>KCMTX US EQUITY</t>
  </si>
  <si>
    <t>PMTGX US EQUITY</t>
  </si>
  <si>
    <t>NAISX US EQUITY</t>
  </si>
  <si>
    <t>RSCIX US EQUITY</t>
  </si>
  <si>
    <t>WBIDX US EQUITY</t>
  </si>
  <si>
    <t>RRNAX US EQUITY</t>
  </si>
  <si>
    <t>HEQFX US EQUITY</t>
  </si>
  <si>
    <t>BBSGX US EQUITY</t>
  </si>
  <si>
    <t>AHSRX US EQUITY</t>
  </si>
  <si>
    <t>KMCVX US EQUITY</t>
  </si>
  <si>
    <t>DFCUX US EQUITY</t>
  </si>
  <si>
    <t>EAISX US EQUITY</t>
  </si>
  <si>
    <t>LREOX US EQUITY</t>
  </si>
  <si>
    <t>ORILX US EQUITY</t>
  </si>
  <si>
    <t>WLCTX US EQUITY</t>
  </si>
  <si>
    <t>TRGSX US EQUITY</t>
  </si>
  <si>
    <t>TALVX US EQUITY</t>
  </si>
  <si>
    <t>VNMAX US EQUITY</t>
  </si>
  <si>
    <t>SILBX US EQUITY</t>
  </si>
  <si>
    <t>CEEAX US EQUITY</t>
  </si>
  <si>
    <t>FIMTX US EQUITY</t>
  </si>
  <si>
    <t>VNYFX US EQUITY</t>
  </si>
  <si>
    <t>DVFTX US EQUITY</t>
  </si>
  <si>
    <t>FWIAX US EQUITY</t>
  </si>
  <si>
    <t>FRMPX US EQUITY</t>
  </si>
  <si>
    <t>RYURX US EQUITY</t>
  </si>
  <si>
    <t>SSHYX US EQUITY</t>
  </si>
  <si>
    <t>RTSRX US EQUITY</t>
  </si>
  <si>
    <t>LJMAX US EQUITY</t>
  </si>
  <si>
    <t>NOAZX US EQUITY</t>
  </si>
  <si>
    <t>GICPX US EQUITY</t>
  </si>
  <si>
    <t>MISSX US EQUITY</t>
  </si>
  <si>
    <t>MBOVX US EQUITY</t>
  </si>
  <si>
    <t>VEIAX US EQUITY</t>
  </si>
  <si>
    <t>WDIVX US EQUITY</t>
  </si>
  <si>
    <t>VAZIX US EQUITY</t>
  </si>
  <si>
    <t>MFDYX US EQUITY</t>
  </si>
  <si>
    <t>EVVAX US EQUITY</t>
  </si>
  <si>
    <t>BURKX US EQUITY</t>
  </si>
  <si>
    <t>GGEAX US EQUITY</t>
  </si>
  <si>
    <t>ASTTX US EQUITY</t>
  </si>
  <si>
    <t>DLBVX US EQUITY</t>
  </si>
  <si>
    <t>ARMTX US EQUITY</t>
  </si>
  <si>
    <t>FAMPX US EQUITY</t>
  </si>
  <si>
    <t>FMLCX US EQUITY</t>
  </si>
  <si>
    <t>TRULX US EQUITY</t>
  </si>
  <si>
    <t>NWGPX US EQUITY</t>
  </si>
  <si>
    <t>SDNYX US EQUITY</t>
  </si>
  <si>
    <t>NMDMX US EQUITY</t>
  </si>
  <si>
    <t>PHSKX US EQUITY</t>
  </si>
  <si>
    <t>DFMAX US EQUITY</t>
  </si>
  <si>
    <t>QALGX US EQUITY</t>
  </si>
  <si>
    <t>RNHIX US EQUITY</t>
  </si>
  <si>
    <t>NGWAX US EQUITY</t>
  </si>
  <si>
    <t>RYPIX US EQUITY</t>
  </si>
  <si>
    <t>STMDX US EQUITY</t>
  </si>
  <si>
    <t>JVSAX US EQUITY</t>
  </si>
  <si>
    <t>MSISX US EQUITY</t>
  </si>
  <si>
    <t>FCFAX US EQUITY</t>
  </si>
  <si>
    <t>DTMAX US EQUITY</t>
  </si>
  <si>
    <t>TGRAX US EQUITY</t>
  </si>
  <si>
    <t>KIRAX US EQUITY</t>
  </si>
  <si>
    <t>ELNYX US EQUITY</t>
  </si>
  <si>
    <t>ROWSX US EQUITY</t>
  </si>
  <si>
    <t>CLDAX US EQUITY</t>
  </si>
  <si>
    <t>ARPEX US EQUITY</t>
  </si>
  <si>
    <t>BRGAX US EQUITY</t>
  </si>
  <si>
    <t>AMNAX US EQUITY</t>
  </si>
  <si>
    <t>TWEMX US EQUITY</t>
  </si>
  <si>
    <t>MITYX US EQUITY</t>
  </si>
  <si>
    <t>VMFGX US EQUITY</t>
  </si>
  <si>
    <t>TDEAX US EQUITY</t>
  </si>
  <si>
    <t>CHNIX US EQUITY</t>
  </si>
  <si>
    <t>MDEIX US EQUITY</t>
  </si>
  <si>
    <t>TPLNX US EQUITY</t>
  </si>
  <si>
    <t>BRSVX US EQUITY</t>
  </si>
  <si>
    <t>THIDX US EQUITY</t>
  </si>
  <si>
    <t>WEBAX US EQUITY</t>
  </si>
  <si>
    <t>NBRVX US EQUITY</t>
  </si>
  <si>
    <t>JBBSX US EQUITY</t>
  </si>
  <si>
    <t>JHMAX US EQUITY</t>
  </si>
  <si>
    <t>HNASX US EQUITY</t>
  </si>
  <si>
    <t>CGOIX US EQUITY</t>
  </si>
  <si>
    <t>SCMFX US EQUITY</t>
  </si>
  <si>
    <t>PAGLX US EQUITY</t>
  </si>
  <si>
    <t>ADEGX US EQUITY</t>
  </si>
  <si>
    <t>OPCBX US EQUITY</t>
  </si>
  <si>
    <t>FIGZX US EQUITY</t>
  </si>
  <si>
    <t>FNMTX US EQUITY</t>
  </si>
  <si>
    <t>HDOGX US EQUITY</t>
  </si>
  <si>
    <t>MSSFX US EQUITY</t>
  </si>
  <si>
    <t>SMDAX US EQUITY</t>
  </si>
  <si>
    <t>PHCHX US EQUITY</t>
  </si>
  <si>
    <t>FTEDX US EQUITY</t>
  </si>
  <si>
    <t>FTEMX US EQUITY</t>
  </si>
  <si>
    <t>SPEDX US EQUITY</t>
  </si>
  <si>
    <t>VIAFX US EQUITY</t>
  </si>
  <si>
    <t>MMAFX US EQUITY</t>
  </si>
  <si>
    <t>VISFX US EQUITY</t>
  </si>
  <si>
    <t>WHGDX US EQUITY</t>
  </si>
  <si>
    <t>HOSGX US EQUITY</t>
  </si>
  <si>
    <t>PTIIX US EQUITY</t>
  </si>
  <si>
    <t>DIVPX US EQUITY</t>
  </si>
  <si>
    <t>NWCOX US EQUITY</t>
  </si>
  <si>
    <t>JDDAX US EQUITY</t>
  </si>
  <si>
    <t>USRRX US EQUITY</t>
  </si>
  <si>
    <t>TOPPX US EQUITY</t>
  </si>
  <si>
    <t>SPBAX US EQUITY</t>
  </si>
  <si>
    <t>BCMSX US EQUITY</t>
  </si>
  <si>
    <t>NBMIX US EQUITY</t>
  </si>
  <si>
    <t>NGHAX US EQUITY</t>
  </si>
  <si>
    <t>IMCDX US EQUITY</t>
  </si>
  <si>
    <t>DIPAX US EQUITY</t>
  </si>
  <si>
    <t>CLSHX US EQUITY</t>
  </si>
  <si>
    <t>MRSNX US EQUITY</t>
  </si>
  <si>
    <t>CGVIX US EQUITY</t>
  </si>
  <si>
    <t>NAVAX US EQUITY</t>
  </si>
  <si>
    <t>AZFAX US EQUITY</t>
  </si>
  <si>
    <t>GSAGX US EQUITY</t>
  </si>
  <si>
    <t>AUERX US EQUITY</t>
  </si>
  <si>
    <t>MAVFX US EQUITY</t>
  </si>
  <si>
    <t>MTDIX US EQUITY</t>
  </si>
  <si>
    <t>GLDLX US EQUITY</t>
  </si>
  <si>
    <t>GSAKX US EQUITY</t>
  </si>
  <si>
    <t>BLDRX US EQUITY</t>
  </si>
  <si>
    <t>VRTVX US EQUITY</t>
  </si>
  <si>
    <t>HOTAX US EQUITY</t>
  </si>
  <si>
    <t>WSBFX US EQUITY</t>
  </si>
  <si>
    <t>PHYSX US EQUITY</t>
  </si>
  <si>
    <t>SLMMX US EQUITY</t>
  </si>
  <si>
    <t>NTCHX US EQUITY</t>
  </si>
  <si>
    <t>PFFAX US EQUITY</t>
  </si>
  <si>
    <t>WIEIX US EQUITY</t>
  </si>
  <si>
    <t>DRDAX US EQUITY</t>
  </si>
  <si>
    <t>RYCVX US EQUITY</t>
  </si>
  <si>
    <t>ATIMX US EQUITY</t>
  </si>
  <si>
    <t>GIGLX US EQUITY</t>
  </si>
  <si>
    <t>JPFAX US EQUITY</t>
  </si>
  <si>
    <t>KMVAX US EQUITY</t>
  </si>
  <si>
    <t>SAVYX US EQUITY</t>
  </si>
  <si>
    <t>WELIX US EQUITY</t>
  </si>
  <si>
    <t>HHQAX US EQUITY</t>
  </si>
  <si>
    <t>NGAMX US EQUITY</t>
  </si>
  <si>
    <t>MHBNX US EQUITY</t>
  </si>
  <si>
    <t>OCMGX US EQUITY</t>
  </si>
  <si>
    <t>NAUGX US EQUITY</t>
  </si>
  <si>
    <t>LSHAX US EQUITY</t>
  </si>
  <si>
    <t>RPMVX US EQUITY</t>
  </si>
  <si>
    <t>CFRAX US EQUITY</t>
  </si>
  <si>
    <t>EILMX US EQUITY</t>
  </si>
  <si>
    <t>FAZTX US EQUITY</t>
  </si>
  <si>
    <t>ANUAX US EQUITY</t>
  </si>
  <si>
    <t>KYSMX US EQUITY</t>
  </si>
  <si>
    <t>ADBYX US EQUITY</t>
  </si>
  <si>
    <t>BRRIX US EQUITY</t>
  </si>
  <si>
    <t>THNYX US EQUITY</t>
  </si>
  <si>
    <t>SPEGX US EQUITY</t>
  </si>
  <si>
    <t>EAERX US EQUITY</t>
  </si>
  <si>
    <t>VCDAX US EQUITY</t>
  </si>
  <si>
    <t>AOFOX US EQUITY</t>
  </si>
  <si>
    <t>CNTIX US EQUITY</t>
  </si>
  <si>
    <t>TEIAX US EQUITY</t>
  </si>
  <si>
    <t>JCOAX US EQUITY</t>
  </si>
  <si>
    <t>PMYAX US EQUITY</t>
  </si>
  <si>
    <t>FRTAX US EQUITY</t>
  </si>
  <si>
    <t>TVOAX US EQUITY</t>
  </si>
  <si>
    <t>MINDX US EQUITY</t>
  </si>
  <si>
    <t>INDIX US EQUITY</t>
  </si>
  <si>
    <t>WAINX US EQUITY</t>
  </si>
  <si>
    <t>LCSAX US EQUITY</t>
  </si>
  <si>
    <t>REIAX US EQUITY</t>
  </si>
  <si>
    <t>GEIRX US EQUITY</t>
  </si>
  <si>
    <t>SSREX US EQUITY</t>
  </si>
  <si>
    <t>PGOVX US EQUITY</t>
  </si>
  <si>
    <t>CSEIX US EQUITY</t>
  </si>
  <si>
    <t>CSRIX US EQUITY</t>
  </si>
  <si>
    <t>PHREX US EQUITY</t>
  </si>
  <si>
    <t>IRSAX US EQUITY</t>
  </si>
  <si>
    <t>DRGBX US EQUITY</t>
  </si>
  <si>
    <t>DPRTX US EQUITY</t>
  </si>
  <si>
    <t>HCREX US EQUITY</t>
  </si>
  <si>
    <t>PJEAX US EQUITY</t>
  </si>
  <si>
    <t>REACX US EQUITY</t>
  </si>
  <si>
    <t>CIAAX US EQUITY</t>
  </si>
  <si>
    <t>MGCEX US EQUITY</t>
  </si>
  <si>
    <t>DCREX US EQUITY</t>
  </si>
  <si>
    <t>STWLX US EQUITY</t>
  </si>
  <si>
    <t>BRUAX US EQUITY</t>
  </si>
  <si>
    <t>JRLTX US EQUITY</t>
  </si>
  <si>
    <t>WLNGDUR US EQUITY</t>
  </si>
  <si>
    <t>ARIAX US EQUITY</t>
  </si>
  <si>
    <t>MIASX US EQUITY</t>
  </si>
  <si>
    <t>MLPPX US EQUITY</t>
  </si>
  <si>
    <t>ICTUX US EQUITY</t>
  </si>
  <si>
    <t>REFAX US EQUITY</t>
  </si>
  <si>
    <t>VSDIX US EQUITY</t>
  </si>
  <si>
    <t>VGSAX US EQUITY</t>
  </si>
  <si>
    <t>PMOAX US EQUITY</t>
  </si>
  <si>
    <t>HHCAX US EQUITY</t>
  </si>
  <si>
    <t>MEQPX US EQUITY</t>
  </si>
  <si>
    <t>UPUPX US EQUITY</t>
  </si>
  <si>
    <t>WHYMX US EQUITY</t>
  </si>
  <si>
    <t>HFXAX US EQUITY</t>
  </si>
  <si>
    <t>FELAX US EQUITY</t>
  </si>
  <si>
    <t>QWVQX US EQUITY</t>
  </si>
  <si>
    <t>RYHRX US EQUITY</t>
  </si>
  <si>
    <t>RYUIX US EQUITY</t>
  </si>
  <si>
    <t>LCPIX US EQUITY</t>
  </si>
  <si>
    <t>CHTBX US EQUITY</t>
  </si>
  <si>
    <t>TMSCX US EQUITY</t>
  </si>
  <si>
    <t>GLPAX US EQUITY</t>
  </si>
  <si>
    <t>FXFAX US EQUITY</t>
  </si>
  <si>
    <t>HEFAX US EQUITY</t>
  </si>
  <si>
    <t>EFEIX US EQUITY</t>
  </si>
  <si>
    <t>GFMRX US EQUITY</t>
  </si>
  <si>
    <t>SOAOX US EQUITY</t>
  </si>
  <si>
    <t>CGIVX US EQUITY</t>
  </si>
  <si>
    <t>BPMAX US EQUITY</t>
  </si>
  <si>
    <t>MAPTX US EQUITY</t>
  </si>
  <si>
    <t>BULIX US EQUITY</t>
  </si>
  <si>
    <t>CRUMX US EQUITY</t>
  </si>
  <si>
    <t>MTIPX US EQUITY</t>
  </si>
  <si>
    <t>OTCRX US EQUITY</t>
  </si>
  <si>
    <t>FTNYX US EQUITY</t>
  </si>
  <si>
    <t>MSMLX US EQUITY</t>
  </si>
  <si>
    <t>FMGIX US EQUITY</t>
  </si>
  <si>
    <t>AEMEX US EQUITY</t>
  </si>
  <si>
    <t>ORBAX US EQUITY</t>
  </si>
  <si>
    <t>BUFDX US EQUITY</t>
  </si>
  <si>
    <t>MALAX US EQUITY</t>
  </si>
  <si>
    <t>BFONX US EQUITY</t>
  </si>
  <si>
    <t>ANICX US EQUITY</t>
  </si>
  <si>
    <t>ELFTX US EQUITY</t>
  </si>
  <si>
    <t>GMNIX US EQUITY</t>
  </si>
  <si>
    <t>JHNYX US EQUITY</t>
  </si>
  <si>
    <t>TGAAX US EQUITY</t>
  </si>
  <si>
    <t>EBABX US EQUITY</t>
  </si>
  <si>
    <t>MSGGX US EQUITY</t>
  </si>
  <si>
    <t>CNREX US EQUITY</t>
  </si>
  <si>
    <t>LOGSX US EQUITY</t>
  </si>
  <si>
    <t>CEMNX US EQUITY</t>
  </si>
  <si>
    <t>SHPAX US EQUITY</t>
  </si>
  <si>
    <t>RSRFX US EQUITY</t>
  </si>
  <si>
    <t>CPEAX US EQUITY</t>
  </si>
  <si>
    <t>DMGIX US EQUITY</t>
  </si>
  <si>
    <t>CSUAX US EQUITY</t>
  </si>
  <si>
    <t>CGMRX US EQUITY</t>
  </si>
  <si>
    <t>SVYAX US EQUITY</t>
  </si>
  <si>
    <t>PXRAX US EQUITY</t>
  </si>
  <si>
    <t>NCADX US EQUITY</t>
  </si>
  <si>
    <t>LMAPX US EQUITY</t>
  </si>
  <si>
    <t>HJPSX US EQUITY</t>
  </si>
  <si>
    <t>SHRIX US EQUITY</t>
  </si>
  <si>
    <t>STICX US EQUITY</t>
  </si>
  <si>
    <t>TMUUX US EQUITY</t>
  </si>
  <si>
    <t>GPEIX US EQUITY</t>
  </si>
  <si>
    <t>SOMEMSC US EQUITY</t>
  </si>
  <si>
    <t>GRSIX US EQUITY</t>
  </si>
  <si>
    <t>LAAAX US EQUITY</t>
  </si>
  <si>
    <t>SRTMX US EQUITY</t>
  </si>
  <si>
    <t>CSSPX US EQUITY</t>
  </si>
  <si>
    <t>ANCCX US EQUITY</t>
  </si>
  <si>
    <t>HTXAX US EQUITY</t>
  </si>
  <si>
    <t>SFOAX US EQUITY</t>
  </si>
  <si>
    <t>TGFVX US EQUITY</t>
  </si>
  <si>
    <t>NCEAX US EQUITY</t>
  </si>
  <si>
    <t>NLACX US EQUITY</t>
  </si>
  <si>
    <t>VTGIX US EQUITY</t>
  </si>
  <si>
    <t>FCEQX US EQUITY</t>
  </si>
  <si>
    <t>VNDFX US EQUITY</t>
  </si>
  <si>
    <t>HCXSX US EQUITY</t>
  </si>
  <si>
    <t>QDVAX US EQUITY</t>
  </si>
  <si>
    <t>LITOX US EQUITY</t>
  </si>
  <si>
    <t>SHEAX US EQUITY</t>
  </si>
  <si>
    <t>EQCRX US EQUITY</t>
  </si>
  <si>
    <t>PEWAX US EQUITY</t>
  </si>
  <si>
    <t>SREIX US EQUITY</t>
  </si>
  <si>
    <t>THEMX US EQUITY</t>
  </si>
  <si>
    <t>CWBIX US EQUITY</t>
  </si>
  <si>
    <t>TDLVX US EQUITY</t>
  </si>
  <si>
    <t>VMTTX US EQUITY</t>
  </si>
  <si>
    <t>GTLLX US EQUITY</t>
  </si>
  <si>
    <t>EPASX US EQUITY</t>
  </si>
  <si>
    <t>MLVEX US EQUITY</t>
  </si>
  <si>
    <t>LLSCX US EQUITY</t>
  </si>
  <si>
    <t>LOMAX US EQUITY</t>
  </si>
  <si>
    <t>ABCAX US EQUITY</t>
  </si>
  <si>
    <t>GAADX US EQUITY</t>
  </si>
  <si>
    <t>ARCHX US EQUITY</t>
  </si>
  <si>
    <t>COGIX US EQUITY</t>
  </si>
  <si>
    <t>ARYMX US EQUITY</t>
  </si>
  <si>
    <t>ACLMX US EQUITY</t>
  </si>
  <si>
    <t>MATFX US EQUITY</t>
  </si>
  <si>
    <t>DRESX US EQUITY</t>
  </si>
  <si>
    <t>WBBPX US EQUITY</t>
  </si>
  <si>
    <t>COPLX US EQUITY</t>
  </si>
  <si>
    <t>MPXAX US EQUITY</t>
  </si>
  <si>
    <t>ACMVX US EQUITY</t>
  </si>
  <si>
    <t>NITEX US EQUITY</t>
  </si>
  <si>
    <t>WIREX US EQUITY</t>
  </si>
  <si>
    <t>DAPIX US EQUITY</t>
  </si>
  <si>
    <t>AMLCX US EQUITY</t>
  </si>
  <si>
    <t>GONIX US EQUITY</t>
  </si>
  <si>
    <t>TDUIX US EQUITY</t>
  </si>
  <si>
    <t>SCOAX US EQUITY</t>
  </si>
  <si>
    <t>JFINX US EQUITY</t>
  </si>
  <si>
    <t>BPBDX US EQUITY</t>
  </si>
  <si>
    <t>PYGFX US EQUITY</t>
  </si>
  <si>
    <t>RMSIX US EQUITY</t>
  </si>
  <si>
    <t>RYSIX US EQUITY</t>
  </si>
  <si>
    <t>EPLCX US EQUITY</t>
  </si>
  <si>
    <t>HDPBX US EQUITY</t>
  </si>
  <si>
    <t>QMCVX US EQUITY</t>
  </si>
  <si>
    <t>WWEAX US EQUITY</t>
  </si>
  <si>
    <t>PYCRX US EQUITY</t>
  </si>
  <si>
    <t>LSSAX US EQUITY</t>
  </si>
  <si>
    <t>JIBFX US EQUITY</t>
  </si>
  <si>
    <t>SPLAX US EQUITY</t>
  </si>
  <si>
    <t>VMNVX US EQUITY</t>
  </si>
  <si>
    <t>BGLBX US EQUITY</t>
  </si>
  <si>
    <t>VDBAX US EQUITY</t>
  </si>
  <si>
    <t>APCAX US EQUITY</t>
  </si>
  <si>
    <t>HCMAX US EQUITY</t>
  </si>
  <si>
    <t>JENHX US EQUITY</t>
  </si>
  <si>
    <t>NLAGX US EQUITY</t>
  </si>
  <si>
    <t>BCRIX US EQUITY</t>
  </si>
  <si>
    <t>SLTMX US EQUITY</t>
  </si>
  <si>
    <t>SBFCX US EQUITY</t>
  </si>
  <si>
    <t>TGMBX US EQUITY</t>
  </si>
  <si>
    <t>SMAAX US EQUITY</t>
  </si>
  <si>
    <t>MXMVX US EQUITY</t>
  </si>
  <si>
    <t>WFIXINC US EQUITY</t>
  </si>
  <si>
    <t>NLAPX US EQUITY</t>
  </si>
  <si>
    <t>LMCOX US EQUITY</t>
  </si>
  <si>
    <t>BSCIX US EQUITY</t>
  </si>
  <si>
    <t>REEAX US EQUITY</t>
  </si>
  <si>
    <t>SECEX US EQUITY</t>
  </si>
  <si>
    <t>MAEMX US EQUITY</t>
  </si>
  <si>
    <t>JEPAX US EQUITY</t>
  </si>
  <si>
    <t>HCIIX US EQUITY</t>
  </si>
  <si>
    <t>BHCIX US EQUITY</t>
  </si>
  <si>
    <t>RPGMX US EQUITY</t>
  </si>
  <si>
    <t>NOLCX US EQUITY</t>
  </si>
  <si>
    <t>MUCYX US EQUITY</t>
  </si>
  <si>
    <t>DODIX US EQUITY</t>
  </si>
  <si>
    <t>MRLIX US EQUITY</t>
  </si>
  <si>
    <t>MXBIX US EQUITY</t>
  </si>
  <si>
    <t>BRCPFI1 US EQUITY</t>
  </si>
  <si>
    <t>CLPAX US EQUITY</t>
  </si>
  <si>
    <t>JMUNX US EQUITY</t>
  </si>
  <si>
    <t>PLEIX US EQUITY</t>
  </si>
  <si>
    <t>LCGFX US EQUITY</t>
  </si>
  <si>
    <t>RESIX US EQUITY</t>
  </si>
  <si>
    <t>SHSIX US EQUITY</t>
  </si>
  <si>
    <t>EINFX US EQUITY</t>
  </si>
  <si>
    <t>NCDAX US EQUITY</t>
  </si>
  <si>
    <t>POXAX US EQUITY</t>
  </si>
  <si>
    <t>GTLOX US EQUITY</t>
  </si>
  <si>
    <t>GFIIX US EQUITY</t>
  </si>
  <si>
    <t>CIAOX US EQUITY</t>
  </si>
  <si>
    <t>ICLEX US EQUITY</t>
  </si>
  <si>
    <t>EAFGX US EQUITY</t>
  </si>
  <si>
    <t>CFGRX US EQUITY</t>
  </si>
  <si>
    <t>RBMVX US EQUITY</t>
  </si>
  <si>
    <t>AFNAX US EQUITY</t>
  </si>
  <si>
    <t>ETGLX US EQUITY</t>
  </si>
  <si>
    <t>EICVX US EQUITY</t>
  </si>
  <si>
    <t>VMACX US EQUITY</t>
  </si>
  <si>
    <t>MVEIX US EQUITY</t>
  </si>
  <si>
    <t>AWEIX US EQUITY</t>
  </si>
  <si>
    <t>DCDEX US EQUITY</t>
  </si>
  <si>
    <t>SCSPX US EQUITY</t>
  </si>
  <si>
    <t>BKITX US EQUITY</t>
  </si>
  <si>
    <t>BRLGX US EQUITY</t>
  </si>
  <si>
    <t>SYGIX US EQUITY</t>
  </si>
  <si>
    <t>MLEAX US EQUITY</t>
  </si>
  <si>
    <t>MNEIX US EQUITY</t>
  </si>
  <si>
    <t>QLEIX US EQUITY</t>
  </si>
  <si>
    <t>PLBEX US EQUITY</t>
  </si>
  <si>
    <t>HCASX US EQUITY</t>
  </si>
  <si>
    <t>DGQAX US EQUITY</t>
  </si>
  <si>
    <t>MIIAX US EQUITY</t>
  </si>
  <si>
    <t>TWEIX US EQUITY</t>
  </si>
  <si>
    <t>GEIPX US EQUITY</t>
  </si>
  <si>
    <t>MGNDX US EQUITY</t>
  </si>
  <si>
    <t>GSGIX US EQUITY</t>
  </si>
  <si>
    <t>WBADX US EQUITY</t>
  </si>
  <si>
    <t>FXIMX US EQUITY</t>
  </si>
  <si>
    <t>SCCPX US EQUITY</t>
  </si>
  <si>
    <t>RQIAX US EQUITY</t>
  </si>
  <si>
    <t>MPYIX US EQUITY</t>
  </si>
  <si>
    <t>BMAAX US EQUITY</t>
  </si>
  <si>
    <t>LSIOX US EQUITY</t>
  </si>
  <si>
    <t>LSQAX US EQUITY</t>
  </si>
  <si>
    <t>NBDAX US EQUITY</t>
  </si>
  <si>
    <t>GEIMX US EQUITY</t>
  </si>
  <si>
    <t>LDIFX US EQUITY</t>
  </si>
  <si>
    <t>POMAX US EQUITY</t>
  </si>
  <si>
    <t>VMGAX US EQUITY</t>
  </si>
  <si>
    <t>DVFAX US EQUITY</t>
  </si>
  <si>
    <t>FSBDX US EQUITY</t>
  </si>
  <si>
    <t>AABDX US EQUITY</t>
  </si>
  <si>
    <t>TWVLX US EQUITY</t>
  </si>
  <si>
    <t>NAVFX US EQUITY</t>
  </si>
  <si>
    <t>CMCRX US EQUITY</t>
  </si>
  <si>
    <t>WTEAX US EQUITY</t>
  </si>
  <si>
    <t>MBEYX US EQUITY</t>
  </si>
  <si>
    <t>HWKAX US EQUITY</t>
  </si>
  <si>
    <t>ACDAX US EQUITY</t>
  </si>
  <si>
    <t>GDMYX US EQUITY</t>
  </si>
  <si>
    <t>WTBALAN US EQUITY</t>
  </si>
  <si>
    <t>FWFIX US EQUITY</t>
  </si>
  <si>
    <t>AVYAX US EQUITY</t>
  </si>
  <si>
    <t>DVGIX US EQUITY</t>
  </si>
  <si>
    <t>PLBBX US EQUITY</t>
  </si>
  <si>
    <t>DFOAX US EQUITY</t>
  </si>
  <si>
    <t>LZMIX US EQUITY</t>
  </si>
  <si>
    <t>IYEAX US EQUITY</t>
  </si>
  <si>
    <t>MNNAX US EQUITY</t>
  </si>
  <si>
    <t>GIDIX US EQUITY</t>
  </si>
  <si>
    <t>IALFX US EQUITY</t>
  </si>
  <si>
    <t>GEPGX US EQUITY</t>
  </si>
  <si>
    <t>PVALX US EQUITY</t>
  </si>
  <si>
    <t>WVAAX US EQUITY</t>
  </si>
  <si>
    <t>IYVAX US EQUITY</t>
  </si>
  <si>
    <t>IACOX US EQUITY</t>
  </si>
  <si>
    <t>TOBAX US EQUITY</t>
  </si>
  <si>
    <t>SOAVX US EQUITY</t>
  </si>
  <si>
    <t>MGGPX US EQUITY</t>
  </si>
  <si>
    <t>REALX US EQUITY</t>
  </si>
  <si>
    <t>BCIFX US EQUITY</t>
  </si>
  <si>
    <t>NOPAX US EQUITY</t>
  </si>
  <si>
    <t>PGTAX US EQUITY</t>
  </si>
  <si>
    <t>BTIAX US EQUITY</t>
  </si>
  <si>
    <t>RSIIX US EQUITY</t>
  </si>
  <si>
    <t>MGGBX US EQUITY</t>
  </si>
  <si>
    <t>HPEAX US EQUITY</t>
  </si>
  <si>
    <t>JPVAX US EQUITY</t>
  </si>
  <si>
    <t>HCHYX US EQUITY</t>
  </si>
  <si>
    <t>UNACX US EQUITY</t>
  </si>
  <si>
    <t>SDPAX US EQUITY</t>
  </si>
  <si>
    <t>WGMIX US EQUITY</t>
  </si>
  <si>
    <t>FIOOX US EQUITY</t>
  </si>
  <si>
    <t>GESPX US EQUITY</t>
  </si>
  <si>
    <t>BCPIX US EQUITY</t>
  </si>
  <si>
    <t>MXGMX US EQUITY</t>
  </si>
  <si>
    <t>DVIGX US EQUITY</t>
  </si>
  <si>
    <t>ACGDX US EQUITY</t>
  </si>
  <si>
    <t>SMSVX US EQUITY</t>
  </si>
  <si>
    <t>BPEAX US EQUITY</t>
  </si>
  <si>
    <t>CIPYX US EQUITY</t>
  </si>
  <si>
    <t>MEDRX US EQUITY</t>
  </si>
  <si>
    <t>PAHBX US EQUITY</t>
  </si>
  <si>
    <t>AADBX US EQUITY</t>
  </si>
  <si>
    <t>HCUSX US EQUITY</t>
  </si>
  <si>
    <t>NEIMX US EQUITY</t>
  </si>
  <si>
    <t>ALAFX US EQUITY</t>
  </si>
  <si>
    <t>MXLMX US EQUITY</t>
  </si>
  <si>
    <t>EPLAX US EQUITY</t>
  </si>
  <si>
    <t>RYFVX US EQUITY</t>
  </si>
  <si>
    <t>HCIMX US EQUITY</t>
  </si>
  <si>
    <t>LGNMX US EQUITY</t>
  </si>
  <si>
    <t>LSDIX US EQUITY</t>
  </si>
  <si>
    <t>PGABX US EQUITY</t>
  </si>
  <si>
    <t>ACNKX US EQUITY</t>
  </si>
  <si>
    <t>AIFIX US EQUITY</t>
  </si>
  <si>
    <t>PAFSX US EQUITY</t>
  </si>
  <si>
    <t>JIISX US EQUITY</t>
  </si>
  <si>
    <t>EQCHX US EQUITY</t>
  </si>
  <si>
    <t>GALLX US EQUITY</t>
  </si>
  <si>
    <t>CBLFX US EQUITY</t>
  </si>
  <si>
    <t>HJPIX US EQUITY</t>
  </si>
  <si>
    <t>FSONX US EQUITY</t>
  </si>
  <si>
    <t>HCBSX US EQUITY</t>
  </si>
  <si>
    <t>BRTBX US EQUITY</t>
  </si>
  <si>
    <t>CMDGX US EQUITY</t>
  </si>
  <si>
    <t>FIKTX US EQUITY</t>
  </si>
  <si>
    <t>ELFNX US EQUITY</t>
  </si>
  <si>
    <t>SNMAX US EQUITY</t>
  </si>
  <si>
    <t>JIBEX US EQUITY</t>
  </si>
  <si>
    <t>DRIPX US EQUITY</t>
  </si>
  <si>
    <t>FXIDX US EQUITY</t>
  </si>
  <si>
    <t>DODLX US EQUITY</t>
  </si>
  <si>
    <t>TWBIX US EQUITY</t>
  </si>
  <si>
    <t>MKLHX US EQUITY</t>
  </si>
  <si>
    <t>USMAX US EQUITY</t>
  </si>
  <si>
    <t>WMULAST US EQUITY</t>
  </si>
  <si>
    <t>UNHIX US EQUITY</t>
  </si>
  <si>
    <t>ADCVX US EQUITY</t>
  </si>
  <si>
    <t>WAESX US EQUITY</t>
  </si>
  <si>
    <t>TWOAX US EQUITY</t>
  </si>
  <si>
    <t>CTRAX US EQUITY</t>
  </si>
  <si>
    <t>PTNYX US EQUITY</t>
  </si>
  <si>
    <t>ACLEX US EQUITY</t>
  </si>
  <si>
    <t>COHOX US EQUITY</t>
  </si>
  <si>
    <t>LOGOX US EQUITY</t>
  </si>
  <si>
    <t>ICMCX US EQUITY</t>
  </si>
  <si>
    <t>TRFAX US EQUITY</t>
  </si>
  <si>
    <t>GTCMX US EQUITY</t>
  </si>
  <si>
    <t>BATBX US EQUITY</t>
  </si>
  <si>
    <t>GESSX US EQUITY</t>
  </si>
  <si>
    <t>FCGSX US EQUITY</t>
  </si>
  <si>
    <t>SCPAX US EQUITY</t>
  </si>
  <si>
    <t>BWLAX US EQUITY</t>
  </si>
  <si>
    <t>SCUSX US EQUITY</t>
  </si>
  <si>
    <t>LSGSX US EQUITY</t>
  </si>
  <si>
    <t>HCIVX US EQUITY</t>
  </si>
  <si>
    <t>EEFIX US EQUITY</t>
  </si>
  <si>
    <t>MVIAX US EQUITY</t>
  </si>
  <si>
    <t>SCDAX US EQUITY</t>
  </si>
  <si>
    <t>POLIX US EQUITY</t>
  </si>
  <si>
    <t>SSGFX US EQUITY</t>
  </si>
  <si>
    <t>BBGVX US EQUITY</t>
  </si>
  <si>
    <t>MENAX US EQUITY</t>
  </si>
  <si>
    <t>EHUAX US EQUITY</t>
  </si>
  <si>
    <t>NPHAX US EQUITY</t>
  </si>
  <si>
    <t>NWGHX US EQUITY</t>
  </si>
  <si>
    <t>BHGIX US EQUITY</t>
  </si>
  <si>
    <t>HWIIX US EQUITY</t>
  </si>
  <si>
    <t>CGGAX US EQUITY</t>
  </si>
  <si>
    <t>HFAAX US EQUITY</t>
  </si>
  <si>
    <t>BEQGX US EQUITY</t>
  </si>
  <si>
    <t>AMADX US EQUITY</t>
  </si>
  <si>
    <t>SUVAX US EQUITY</t>
  </si>
  <si>
    <t>RYFIX US EQUITY</t>
  </si>
  <si>
    <t>PWMAX US EQUITY</t>
  </si>
  <si>
    <t>AFDAX US EQUITY</t>
  </si>
  <si>
    <t>ADVMX US EQUITY</t>
  </si>
  <si>
    <t>UNBDX US EQUITY</t>
  </si>
  <si>
    <t>APBAX US EQUITY</t>
  </si>
  <si>
    <t>GEIVX US EQUITY</t>
  </si>
  <si>
    <t>GUSIX US EQUITY</t>
  </si>
  <si>
    <t>MXLUX US EQUITY</t>
  </si>
  <si>
    <t>CCILX US EQUITY</t>
  </si>
  <si>
    <t>SCORX US EQUITY</t>
  </si>
  <si>
    <t>HCVEX US EQUITY</t>
  </si>
  <si>
    <t>FUNBX US EQUITY</t>
  </si>
  <si>
    <t>ACDQX US EQUITY</t>
  </si>
  <si>
    <t>CCMPX US EQUITY</t>
  </si>
  <si>
    <t>MXLVX US EQUITY</t>
  </si>
  <si>
    <t>BPVDX US EQUITY</t>
  </si>
  <si>
    <t>SVPMX US EQUITY</t>
  </si>
  <si>
    <t>MXQIX US EQUITY</t>
  </si>
  <si>
    <t>AUUAX US EQUITY</t>
  </si>
  <si>
    <t>MVGAX US EQUITY</t>
  </si>
  <si>
    <t>LSVVX US EQUITY</t>
  </si>
  <si>
    <t>DUSQX US EQUITY</t>
  </si>
  <si>
    <t>GTNJX US EQUITY</t>
  </si>
  <si>
    <t>NSAGX US EQUITY</t>
  </si>
  <si>
    <t>WHIAX US EQUITY</t>
  </si>
  <si>
    <t>IOECX US EQUITY</t>
  </si>
  <si>
    <t>GEUSX US EQUITY</t>
  </si>
  <si>
    <t>HICOX US EQUITY</t>
  </si>
  <si>
    <t>STQAX US EQUITY</t>
  </si>
  <si>
    <t>BSLIX US EQUITY</t>
  </si>
  <si>
    <t>SLATX US EQUITY</t>
  </si>
  <si>
    <t>DCCGX US EQUITY</t>
  </si>
  <si>
    <t>MXLYX US EQUITY</t>
  </si>
  <si>
    <t>MZCSX US EQUITY</t>
  </si>
  <si>
    <t>JGRWX US EQUITY</t>
  </si>
  <si>
    <t>THLGX US EQUITY</t>
  </si>
  <si>
    <t>VAESX US EQUITY</t>
  </si>
  <si>
    <t>TDCEX US EQUITY</t>
  </si>
  <si>
    <t>MIFSX US EQUITY</t>
  </si>
  <si>
    <t>MEOAX US EQUITY</t>
  </si>
  <si>
    <t>CEBAX US EQUITY</t>
  </si>
  <si>
    <t>HCIGX US EQUITY</t>
  </si>
  <si>
    <t>SLSAX US EQUITY</t>
  </si>
  <si>
    <t>NTHEX US EQUITY</t>
  </si>
  <si>
    <t>BIAZX US EQUITY</t>
  </si>
  <si>
    <t>FCIZX US EQUITY</t>
  </si>
  <si>
    <t>MXLGX US EQUITY</t>
  </si>
  <si>
    <t>MXALX US EQUITY</t>
  </si>
  <si>
    <t>FAVLX US EQUITY</t>
  </si>
  <si>
    <t>SIBAX US EQUITY</t>
  </si>
  <si>
    <t>LOVIX US EQUITY</t>
  </si>
  <si>
    <t>GEVEX US EQUITY</t>
  </si>
  <si>
    <t>BRTFX US EQUITY</t>
  </si>
  <si>
    <t>BEAAX US EQUITY</t>
  </si>
  <si>
    <t>BURFX US EQUITY</t>
  </si>
  <si>
    <t>GGEFX US EQUITY</t>
  </si>
  <si>
    <t>MLVAX US EQUITY</t>
  </si>
  <si>
    <t>GAGVX US EQUITY</t>
  </si>
  <si>
    <t>YCGEX US EQUITY</t>
  </si>
  <si>
    <t>NEARX US EQUITY</t>
  </si>
  <si>
    <t>JTEVX US EQUITY</t>
  </si>
  <si>
    <t>RSIAX US EQUITY</t>
  </si>
  <si>
    <t>CCBPX US EQUITY</t>
  </si>
  <si>
    <t>CONVX US EQUITY</t>
  </si>
  <si>
    <t>BRCIX US EQUITY</t>
  </si>
  <si>
    <t>ASMCX US EQUITY</t>
  </si>
  <si>
    <t>CHCGX US EQUITY</t>
  </si>
  <si>
    <t>GDDAX US EQUITY</t>
  </si>
  <si>
    <t>WTMCX US EQUITY</t>
  </si>
  <si>
    <t>ALVIX US EQUITY</t>
  </si>
  <si>
    <t>PDTAX US EQUITY</t>
  </si>
  <si>
    <t>ACLLX US EQUITY</t>
  </si>
  <si>
    <t>SSHFX US EQUITY</t>
  </si>
  <si>
    <t>WNTFX US EQUITY</t>
  </si>
  <si>
    <t>FLAUX US EQUITY</t>
  </si>
  <si>
    <t>PAPAX US EQUITY</t>
  </si>
  <si>
    <t>LSCAX US EQUITY</t>
  </si>
  <si>
    <t>UTCNX US EQUITY</t>
  </si>
  <si>
    <t>JORDX US EQUITY</t>
  </si>
  <si>
    <t>GCAFX US EQUITY</t>
  </si>
  <si>
    <t>SLCVX US EQUITY</t>
  </si>
  <si>
    <t>ABACX US EQUITY</t>
  </si>
  <si>
    <t>BUSVX US EQUITY</t>
  </si>
  <si>
    <t>THPMX US EQUITY</t>
  </si>
  <si>
    <t>RZLRX US EQUITY</t>
  </si>
  <si>
    <t>HDSMX US EQUITY</t>
  </si>
  <si>
    <t>NCICX US EQUITY</t>
  </si>
  <si>
    <t>KPAAX US EQUITY</t>
  </si>
  <si>
    <t>GAUAX US EQUITY</t>
  </si>
  <si>
    <t>SIHAX US EQUITY</t>
  </si>
  <si>
    <t>HBMAX US EQUITY</t>
  </si>
  <si>
    <t>TTLCX US EQUITY</t>
  </si>
  <si>
    <t>DDCAX US EQUITY</t>
  </si>
  <si>
    <t>ACTIX US EQUITY</t>
  </si>
  <si>
    <t>RKLRX US EQUITY</t>
  </si>
  <si>
    <t>HCEGX US EQUITY</t>
  </si>
  <si>
    <t>UNVGX US EQUITY</t>
  </si>
  <si>
    <t>PVFIX US EQUITY</t>
  </si>
  <si>
    <t>CCMNX US EQUITY</t>
  </si>
  <si>
    <t>FIRLX US EQUITY</t>
  </si>
  <si>
    <t>TRTORI2 US EQUITY</t>
  </si>
  <si>
    <t>PARNX US EQUITY</t>
  </si>
  <si>
    <t>NMVLX US EQUITY</t>
  </si>
  <si>
    <t>PDTCX US EQUITY</t>
  </si>
  <si>
    <t>AAMRX US EQUITY</t>
  </si>
  <si>
    <t>WLGAX US EQUITY</t>
  </si>
  <si>
    <t>JSBWX US EQUITY</t>
  </si>
  <si>
    <t>IHFAX US EQUITY</t>
  </si>
  <si>
    <t>FQUAX US EQUITY</t>
  </si>
  <si>
    <t>FIRMX US EQUITY</t>
  </si>
  <si>
    <t>EGBAX US EQUITY</t>
  </si>
  <si>
    <t>MXCLX US EQUITY</t>
  </si>
  <si>
    <t>ADCNX US EQUITY</t>
  </si>
  <si>
    <t>TRLSSI2 US EQUITY</t>
  </si>
  <si>
    <t>GLLIX US EQUITY</t>
  </si>
  <si>
    <t>JIBBX US EQUITY</t>
  </si>
  <si>
    <t>CNBAX US EQUITY</t>
  </si>
  <si>
    <t>TDFAX US EQUITY</t>
  </si>
  <si>
    <t>BUNRX US EQUITY</t>
  </si>
  <si>
    <t>JAZZX US EQUITY</t>
  </si>
  <si>
    <t>MHHAX US EQUITY</t>
  </si>
  <si>
    <t>RGHVX US EQUITY</t>
  </si>
  <si>
    <t>FIBTX US EQUITY</t>
  </si>
  <si>
    <t>FIRKX US EQUITY</t>
  </si>
  <si>
    <t>CWCFX US EQUITY</t>
  </si>
  <si>
    <t>AZMAX US EQUITY</t>
  </si>
  <si>
    <t>KMDVX US EQUITY</t>
  </si>
  <si>
    <t>CZOAX US EQUITY</t>
  </si>
  <si>
    <t>FIRNX US EQUITY</t>
  </si>
  <si>
    <t>FKMOX US EQUITY</t>
  </si>
  <si>
    <t>VRLIX US EQUITY</t>
  </si>
  <si>
    <t>FILAX US EQUITY</t>
  </si>
  <si>
    <t>SIAAX US EQUITY</t>
  </si>
  <si>
    <t>TWCIX US EQUITY</t>
  </si>
  <si>
    <t>TIHGX US EQUITY</t>
  </si>
  <si>
    <t>BSLGX US EQUITY</t>
  </si>
  <si>
    <t>AWSFX US EQUITY</t>
  </si>
  <si>
    <t>TWAOX US EQUITY</t>
  </si>
  <si>
    <t>CGFIX US EQUITY</t>
  </si>
  <si>
    <t>WISEX US EQUITY</t>
  </si>
  <si>
    <t>UNHHX US EQUITY</t>
  </si>
  <si>
    <t>AADEX US EQUITY</t>
  </si>
  <si>
    <t>FRAMX US EQUITY</t>
  </si>
  <si>
    <t>PSEAX US EQUITY</t>
  </si>
  <si>
    <t>FIROX US EQUITY</t>
  </si>
  <si>
    <t>ADIVX US EQUITY</t>
  </si>
  <si>
    <t>FCAWX US EQUITY</t>
  </si>
  <si>
    <t>LSLTX US EQUITY</t>
  </si>
  <si>
    <t>AMDWX US EQUITY</t>
  </si>
  <si>
    <t>MNRGX US EQUITY</t>
  </si>
  <si>
    <t>PRRQX US EQUITY</t>
  </si>
  <si>
    <t>GTSOX US EQUITY</t>
  </si>
  <si>
    <t>IBLCX US EQUITY</t>
  </si>
  <si>
    <t>SLCAX US EQUITY</t>
  </si>
  <si>
    <t>FRNAX US EQUITY</t>
  </si>
  <si>
    <t>FIRPX US EQUITY</t>
  </si>
  <si>
    <t>ACFDX US EQUITY</t>
  </si>
  <si>
    <t>WESWX US EQUITY</t>
  </si>
  <si>
    <t>EBHIX US EQUITY</t>
  </si>
  <si>
    <t>SVCMX US EQUITY</t>
  </si>
  <si>
    <t>BRTSX US EQUITY</t>
  </si>
  <si>
    <t>ACMFX US EQUITY</t>
  </si>
  <si>
    <t>FMELX US EQUITY</t>
  </si>
  <si>
    <t>PNFAX US EQUITY</t>
  </si>
  <si>
    <t>MXELX US EQUITY</t>
  </si>
  <si>
    <t>NWRAX US EQUITY</t>
  </si>
  <si>
    <t>TWCUX US EQUITY</t>
  </si>
  <si>
    <t>NSYAX US EQUITY</t>
  </si>
  <si>
    <t>PPTAX US EQUITY</t>
  </si>
  <si>
    <t>AZDAX US EQUITY</t>
  </si>
  <si>
    <t>SEMFX US EQUITY</t>
  </si>
  <si>
    <t>BEXIX US EQUITY</t>
  </si>
  <si>
    <t>ARSKX US EQUITY</t>
  </si>
  <si>
    <t>FIOAX US EQUITY</t>
  </si>
  <si>
    <t>STGSX US EQUITY</t>
  </si>
  <si>
    <t>LSGRX US EQUITY</t>
  </si>
  <si>
    <t>GTTMX US EQUITY</t>
  </si>
  <si>
    <t>BTMFX US EQUITY</t>
  </si>
  <si>
    <t>FIRQX US EQUITY</t>
  </si>
  <si>
    <t>MCDNX US EQUITY</t>
  </si>
  <si>
    <t>EPVAX US EQUITY</t>
  </si>
  <si>
    <t>SVCSX US EQUITY</t>
  </si>
  <si>
    <t>CHOEX US EQUITY</t>
  </si>
  <si>
    <t>TDGEX US EQUITY</t>
  </si>
  <si>
    <t>SECUX US EQUITY</t>
  </si>
  <si>
    <t>FIRRX US EQUITY</t>
  </si>
  <si>
    <t>SGHIX US EQUITY</t>
  </si>
  <si>
    <t>SWFFX US EQUITY</t>
  </si>
  <si>
    <t>NEFOX US EQUITY</t>
  </si>
  <si>
    <t>WCMLCV1 US EQUITY</t>
  </si>
  <si>
    <t>LDIVX US EQUITY</t>
  </si>
  <si>
    <t>FARPX US EQUITY</t>
  </si>
  <si>
    <t>OTFTX US EQUITY</t>
  </si>
  <si>
    <t>DRGIX US EQUITY</t>
  </si>
  <si>
    <t>PGDEX US EQUITY</t>
  </si>
  <si>
    <t>BRTOX US EQUITY</t>
  </si>
  <si>
    <t>SLCGX US EQUITY</t>
  </si>
  <si>
    <t>PDTEX US EQUITY</t>
  </si>
  <si>
    <t>NWGDX US EQUITY</t>
  </si>
  <si>
    <t>ACEHX US EQUITY</t>
  </si>
  <si>
    <t>RSAIX US EQUITY</t>
  </si>
  <si>
    <t>RGCBX US EQUITY</t>
  </si>
  <si>
    <t>MXGLX US EQUITY</t>
  </si>
  <si>
    <t>SOMGLEM US EQUITY</t>
  </si>
  <si>
    <t>AYBFX US EQUITY</t>
  </si>
  <si>
    <t>FIRSX US EQUITY</t>
  </si>
  <si>
    <t>FWSBX US EQUITY</t>
  </si>
  <si>
    <t>CFLAX US EQUITY</t>
  </si>
  <si>
    <t>ORDAX US EQUITY</t>
  </si>
  <si>
    <t>LDFAX US EQUITY</t>
  </si>
  <si>
    <t>NCGFX US EQUITY</t>
  </si>
  <si>
    <t>MXSMX US EQUITY</t>
  </si>
  <si>
    <t>FRQAX US EQUITY</t>
  </si>
  <si>
    <t>MXSJX US EQUITY</t>
  </si>
  <si>
    <t>SEMIX US EQUITY</t>
  </si>
  <si>
    <t>WPSGX US EQUITY</t>
  </si>
  <si>
    <t>MXSBX US EQUITY</t>
  </si>
  <si>
    <t>JFCAX US EQUITY</t>
  </si>
  <si>
    <t>NDNAX US EQUITY</t>
  </si>
  <si>
    <t>MVEBX US EQUITY</t>
  </si>
  <si>
    <t>FIRUX US EQUITY</t>
  </si>
  <si>
    <t>BOYAX US EQUITY</t>
  </si>
  <si>
    <t>BWNYX US EQUITY</t>
  </si>
  <si>
    <t>SVARX US EQUITY</t>
  </si>
  <si>
    <t>MIBFX US EQUITY</t>
  </si>
  <si>
    <t>DSIAX US EQUITY</t>
  </si>
  <si>
    <t>FMFGX US EQUITY</t>
  </si>
  <si>
    <t>WAMFX US EQUITY</t>
  </si>
  <si>
    <t>MXSNX US EQUITY</t>
  </si>
  <si>
    <t>FAOFX US EQUITY</t>
  </si>
  <si>
    <t>TCBAX US EQUITY</t>
  </si>
  <si>
    <t>FIIVX US EQUITY</t>
  </si>
  <si>
    <t>GLDNX US EQUITY</t>
  </si>
  <si>
    <t>ATLVX US EQUITY</t>
  </si>
  <si>
    <t>PWGFX US EQUITY</t>
  </si>
  <si>
    <t>MXMGX US EQUITY</t>
  </si>
  <si>
    <t>SEQAX US EQUITY</t>
  </si>
  <si>
    <t>BMNAX US EQUITY</t>
  </si>
  <si>
    <t>RIMBX US EQUITY</t>
  </si>
  <si>
    <t>JSGAX US EQUITY</t>
  </si>
  <si>
    <t>MKLRX US EQUITY</t>
  </si>
  <si>
    <t>PIECX US EQUITY</t>
  </si>
  <si>
    <t>JAQAX US EQUITY</t>
  </si>
  <si>
    <t>GETIX US EQUITY</t>
  </si>
  <si>
    <t>AHYVX US EQUITY</t>
  </si>
  <si>
    <t>FEBAX US EQUITY</t>
  </si>
  <si>
    <t>ICTEX US EQUITY</t>
  </si>
  <si>
    <t>JPBRX US EQUITY</t>
  </si>
  <si>
    <t>DFBMX US EQUITY</t>
  </si>
  <si>
    <t>PBFDX US EQUITY</t>
  </si>
  <si>
    <t>STBFX US EQUITY</t>
  </si>
  <si>
    <t>ASITX US EQUITY</t>
  </si>
  <si>
    <t>ARDEX US EQUITY</t>
  </si>
  <si>
    <t>SENCX US EQUITY</t>
  </si>
  <si>
    <t>NSOPX US EQUITY</t>
  </si>
  <si>
    <t>SGCFX US EQUITY</t>
  </si>
  <si>
    <t>JTBBX US EQUITY</t>
  </si>
  <si>
    <t>ENIAX US EQUITY</t>
  </si>
  <si>
    <t>TWSMX US EQUITY</t>
  </si>
  <si>
    <t>FIRFX US EQUITY</t>
  </si>
  <si>
    <t>RQEAX US EQUITY</t>
  </si>
  <si>
    <t>IVDAX US EQUITY</t>
  </si>
  <si>
    <t>GILDX US EQUITY</t>
  </si>
  <si>
    <t>BGENX US EQUITY</t>
  </si>
  <si>
    <t>PMPAX US EQUITY</t>
  </si>
  <si>
    <t>PDTGX US EQUITY</t>
  </si>
  <si>
    <t>AGLYX US EQUITY</t>
  </si>
  <si>
    <t>MACSX US EQUITY</t>
  </si>
  <si>
    <t>BMLEX US EQUITY</t>
  </si>
  <si>
    <t>ARFFX US EQUITY</t>
  </si>
  <si>
    <t>JMBRX US EQUITY</t>
  </si>
  <si>
    <t>EXOTX US EQUITY</t>
  </si>
  <si>
    <t>GFGAX US EQUITY</t>
  </si>
  <si>
    <t>RGHYX US EQUITY</t>
  </si>
  <si>
    <t>TLGAX US EQUITY</t>
  </si>
  <si>
    <t>DVEGX US EQUITY</t>
  </si>
  <si>
    <t>LMZIX US EQUITY</t>
  </si>
  <si>
    <t>JOBBX US EQUITY</t>
  </si>
  <si>
    <t>JNABX US EQUITY</t>
  </si>
  <si>
    <t>SVPGX US EQUITY</t>
  </si>
  <si>
    <t>PBLIX US EQUITY</t>
  </si>
  <si>
    <t>ALABX US EQUITY</t>
  </si>
  <si>
    <t>AMVIX US EQUITY</t>
  </si>
  <si>
    <t>SECMX US EQUITY</t>
  </si>
  <si>
    <t>IGIAX US EQUITY</t>
  </si>
  <si>
    <t>JAMBX US EQUITY</t>
  </si>
  <si>
    <t>FARWX US EQUITY</t>
  </si>
  <si>
    <t>WDVAX US EQUITY</t>
  </si>
  <si>
    <t>NCCAX US EQUITY</t>
  </si>
  <si>
    <t>SECIX US EQUITY</t>
  </si>
  <si>
    <t>GETGX US EQUITY</t>
  </si>
  <si>
    <t>KFGAX US EQUITY</t>
  </si>
  <si>
    <t>JIBDX US EQUITY</t>
  </si>
  <si>
    <t>SEBLX US EQUITY</t>
  </si>
  <si>
    <t>VLVAX US EQUITY</t>
  </si>
  <si>
    <t>STRTX US EQUITY</t>
  </si>
  <si>
    <t>MXILX US EQUITY</t>
  </si>
  <si>
    <t>JAMEX US EQUITY</t>
  </si>
  <si>
    <t>STPGX US EQUITY</t>
  </si>
  <si>
    <t>JAPFX US EQUITY</t>
  </si>
  <si>
    <t>FPCGX US EQUITY</t>
  </si>
  <si>
    <t>SBALX US EQUITY</t>
  </si>
  <si>
    <t>PRELX US EQUITY</t>
  </si>
  <si>
    <t>MSYSX US EQUITY</t>
  </si>
  <si>
    <t>SMEVX US EQUITY</t>
  </si>
  <si>
    <t>CSHIX US EQUITY</t>
  </si>
  <si>
    <t>UNCMX US EQUITY</t>
  </si>
  <si>
    <t>PGPAX US EQUITY</t>
  </si>
  <si>
    <t>PDTIX US EQUITY</t>
  </si>
  <si>
    <t>MPGIX US EQUITY</t>
  </si>
  <si>
    <t>MIOIX US EQUITY</t>
  </si>
  <si>
    <t>SMDIX US EQUITY</t>
  </si>
  <si>
    <t>OSFAX US EQUITY</t>
  </si>
  <si>
    <t>FIRJX US EQUITY</t>
  </si>
  <si>
    <t>IOCCX US EQUITY</t>
  </si>
  <si>
    <t>MEEAX US EQUITY</t>
  </si>
  <si>
    <t>ACLTX US EQUITY</t>
  </si>
  <si>
    <t>VNSAX US EQUITY</t>
  </si>
  <si>
    <t>NEWRX US EQUITY</t>
  </si>
  <si>
    <t>IASMX US EQUITY</t>
  </si>
  <si>
    <t>HDSVX US EQUITY</t>
  </si>
  <si>
    <t>RPLRX US EQUITY</t>
  </si>
  <si>
    <t>PTEMX US EQUITY</t>
  </si>
  <si>
    <t>LKBLX US EQUITY</t>
  </si>
  <si>
    <t>CNZLX US EQUITY</t>
  </si>
  <si>
    <t>JURAX US EQUITY</t>
  </si>
  <si>
    <t>IICAX US EQUITY</t>
  </si>
  <si>
    <t>EUDFX US EQUITY</t>
  </si>
  <si>
    <t>BIONX US EQUITY</t>
  </si>
  <si>
    <t>MXSQX US EQUITY</t>
  </si>
  <si>
    <t>BGRWX US EQUITY</t>
  </si>
  <si>
    <t>CAXAX US EQUITY</t>
  </si>
  <si>
    <t>MAPPX US EQUITY</t>
  </si>
  <si>
    <t>QRVLX US EQUITY</t>
  </si>
  <si>
    <t>RSCHX US EQUITY</t>
  </si>
  <si>
    <t>MALGX US EQUITY</t>
  </si>
  <si>
    <t>FBPEX US EQUITY</t>
  </si>
  <si>
    <t>WMVIX US EQUITY</t>
  </si>
  <si>
    <t>BCAMX US EQUITY</t>
  </si>
  <si>
    <t>CSTMX US EQUITY</t>
  </si>
  <si>
    <t>WLTAX US EQUITY</t>
  </si>
  <si>
    <t>RPGAX US EQUITY</t>
  </si>
  <si>
    <t>MNRMX US EQUITY</t>
  </si>
  <si>
    <t>AIEQX US EQUITY</t>
  </si>
  <si>
    <t>DHTAX US EQUITY</t>
  </si>
  <si>
    <t>MXMLX US EQUITY</t>
  </si>
  <si>
    <t>BRGRX US EQUITY</t>
  </si>
  <si>
    <t>FLCGX US EQUITY</t>
  </si>
  <si>
    <t>BRTJX US EQUITY</t>
  </si>
  <si>
    <t>NWGLX US EQUITY</t>
  </si>
  <si>
    <t>MEIFX US EQUITY</t>
  </si>
  <si>
    <t>RSDIX US EQUITY</t>
  </si>
  <si>
    <t>BXMMX US EQUITY</t>
  </si>
  <si>
    <t>ACVQX US EQUITY</t>
  </si>
  <si>
    <t>QWVPX US EQUITY</t>
  </si>
  <si>
    <t>PBCKX US EQUITY</t>
  </si>
  <si>
    <t>SCLDX US EQUITY</t>
  </si>
  <si>
    <t>ARTLX US EQUITY</t>
  </si>
  <si>
    <t>GTOIX US EQUITY</t>
  </si>
  <si>
    <t>TWCGX US EQUITY</t>
  </si>
  <si>
    <t>FRJAX US EQUITY</t>
  </si>
  <si>
    <t>CMDTX US EQUITY</t>
  </si>
  <si>
    <t>IBNAX US EQUITY</t>
  </si>
  <si>
    <t>BRTNX US EQUITY</t>
  </si>
  <si>
    <t>PARMX US EQUITY</t>
  </si>
  <si>
    <t>BHBFX US EQUITY</t>
  </si>
  <si>
    <t>BUBIX US EQUITY</t>
  </si>
  <si>
    <t>MXKLX US EQUITY</t>
  </si>
  <si>
    <t>MFGIX US EQUITY</t>
  </si>
  <si>
    <t>WESRX US EQUITY</t>
  </si>
  <si>
    <t>SAOAX US EQUITY</t>
  </si>
  <si>
    <t>QTRAX US EQUITY</t>
  </si>
  <si>
    <t>TILDX US EQUITY</t>
  </si>
  <si>
    <t>EIPEX US EQUITY</t>
  </si>
  <si>
    <t>ASARX US EQUITY</t>
  </si>
  <si>
    <t>TGPCX US EQUITY</t>
  </si>
  <si>
    <t>MAKOX US EQUITY</t>
  </si>
  <si>
    <t>CFAGX US EQUITY</t>
  </si>
  <si>
    <t>VRPIX US EQUITY</t>
  </si>
  <si>
    <t>EKEMX US EQUITY</t>
  </si>
  <si>
    <t>FDSFX US EQUITY</t>
  </si>
  <si>
    <t>LABXX US EQUITY</t>
  </si>
  <si>
    <t>OWLCX US EQUITY</t>
  </si>
  <si>
    <t>SVPDX US EQUITY</t>
  </si>
  <si>
    <t>ELDFX US EQUITY</t>
  </si>
  <si>
    <t>FVLAX US EQUITY</t>
  </si>
  <si>
    <t>SAGAX US EQUITY</t>
  </si>
  <si>
    <t>BUFEX US EQUITY</t>
  </si>
  <si>
    <t>USPVX US EQUITY</t>
  </si>
  <si>
    <t>DVEIX US EQUITY</t>
  </si>
  <si>
    <t>PRIGX US EQUITY</t>
  </si>
  <si>
    <t>BRFOX US EQUITY</t>
  </si>
  <si>
    <t>JWSFX US EQUITY</t>
  </si>
  <si>
    <t>ECEIX US EQUITY</t>
  </si>
  <si>
    <t>IMSAX US EQUITY</t>
  </si>
  <si>
    <t>TWSAX US EQUITY</t>
  </si>
  <si>
    <t>WBDIX US EQUITY</t>
  </si>
  <si>
    <t>FDMAX US EQUITY</t>
  </si>
  <si>
    <t>HCEMX US EQUITY</t>
  </si>
  <si>
    <t>PKCBX US EQUITY</t>
  </si>
  <si>
    <t>SOMSMAC US EQUITY</t>
  </si>
  <si>
    <t>EPGFX US EQUITY</t>
  </si>
  <si>
    <t>VOLMX US EQUITY</t>
  </si>
  <si>
    <t>PAGTX US EQUITY</t>
  </si>
  <si>
    <t>JFLAX US EQUITY</t>
  </si>
  <si>
    <t>AGERX US EQUITY</t>
  </si>
  <si>
    <t>LHGFX US EQUITY</t>
  </si>
  <si>
    <t>DIAMX US EQUITY</t>
  </si>
  <si>
    <t>WTDHL55 US EQUITY</t>
  </si>
  <si>
    <t>ROIMX US EQUITY</t>
  </si>
  <si>
    <t>MXSLX US EQUITY</t>
  </si>
  <si>
    <t>AHLFX US EQUITY</t>
  </si>
  <si>
    <t>NQLAX US EQUITY</t>
  </si>
  <si>
    <t>ASFFX US EQUITY</t>
  </si>
  <si>
    <t>MXOLX US EQUITY</t>
  </si>
  <si>
    <t>JEQIX US EQUITY</t>
  </si>
  <si>
    <t>LSIAX US EQUITY</t>
  </si>
  <si>
    <t>WCAAX US EQUITY</t>
  </si>
  <si>
    <t>LKBAX US EQUITY</t>
  </si>
  <si>
    <t>JDSTX US EQUITY</t>
  </si>
  <si>
    <t>PSGTX US EQUITY</t>
  </si>
  <si>
    <t>VISAX US EQUITY</t>
  </si>
  <si>
    <t>MAIMX US EQUITY</t>
  </si>
  <si>
    <t>MSTIX US EQUITY</t>
  </si>
  <si>
    <t>TDSBX US EQUITY</t>
  </si>
  <si>
    <t>JNVIX US EQUITY</t>
  </si>
  <si>
    <t>LSVQX US EQUITY</t>
  </si>
  <si>
    <t>MXSVX US EQUITY</t>
  </si>
  <si>
    <t>JOGEX US EQUITY</t>
  </si>
  <si>
    <t>AASBX US EQUITY</t>
  </si>
  <si>
    <t>BBBMX US EQUITY</t>
  </si>
  <si>
    <t>STSBX US EQUITY</t>
  </si>
  <si>
    <t>GCALX US EQUITY</t>
  </si>
  <si>
    <t>RFIDX US EQUITY</t>
  </si>
  <si>
    <t>MXQLX US EQUITY</t>
  </si>
  <si>
    <t>MTUIX US EQUITY</t>
  </si>
  <si>
    <t>RUSIX US EQUITY</t>
  </si>
  <si>
    <t>AZUAX US EQUITY</t>
  </si>
  <si>
    <t>ACAQX US EQUITY</t>
  </si>
  <si>
    <t>CUSEX US EQUITY</t>
  </si>
  <si>
    <t>MULAX US EQUITY</t>
  </si>
  <si>
    <t>LPAUX US EQUITY</t>
  </si>
  <si>
    <t>LYRIX US EQUITY</t>
  </si>
  <si>
    <t>HCSBX US EQUITY</t>
  </si>
  <si>
    <t>EMRPX US EQUITY</t>
  </si>
  <si>
    <t>GBCAX US EQUITY</t>
  </si>
  <si>
    <t>ZLSCX US EQUITY</t>
  </si>
  <si>
    <t>AUYIX US EQUITY</t>
  </si>
  <si>
    <t>AAIFX US EQUITY</t>
  </si>
  <si>
    <t>BBTEX US EQUITY</t>
  </si>
  <si>
    <t>MVRGX US EQUITY</t>
  </si>
  <si>
    <t>FOVAX US EQUITY</t>
  </si>
  <si>
    <t>WTRCX US EQUITY</t>
  </si>
  <si>
    <t>HUNAX US EQUITY</t>
  </si>
  <si>
    <t>ARCCX US EQUITY</t>
  </si>
  <si>
    <t>MXSSX US EQUITY</t>
  </si>
  <si>
    <t>MPACX US EQUITY</t>
  </si>
  <si>
    <t>DCLVX US EQUITY</t>
  </si>
  <si>
    <t>MONTX US EQUITY</t>
  </si>
  <si>
    <t>MFVIX US EQUITY</t>
  </si>
  <si>
    <t>DVHQX US EQUITY</t>
  </si>
  <si>
    <t>AMBEX US EQUITY</t>
  </si>
  <si>
    <t>SGALX US EQUITY</t>
  </si>
  <si>
    <t>CHUSX US EQUITY</t>
  </si>
  <si>
    <t>BSRIX US EQUITY</t>
  </si>
  <si>
    <t>CVLFX US EQUITY</t>
  </si>
  <si>
    <t>NAVCPS5 US EQUITY</t>
  </si>
  <si>
    <t>TGGIX US EQUITY</t>
  </si>
  <si>
    <t>MXULX US EQUITY</t>
  </si>
  <si>
    <t>PCAFX US EQUITY</t>
  </si>
  <si>
    <t>MGOYX US EQUITY</t>
  </si>
  <si>
    <t>ALQAX US EQUITY</t>
  </si>
  <si>
    <t>BVPIX US EQUITY</t>
  </si>
  <si>
    <t>PZFAX US EQUITY</t>
  </si>
  <si>
    <t>BBSOX US EQUITY</t>
  </si>
  <si>
    <t>ALIAX US EQUITY</t>
  </si>
  <si>
    <t>JASAX US EQUITY</t>
  </si>
  <si>
    <t>JTRAX US EQUITY</t>
  </si>
  <si>
    <t>MXWLX US EQUITY</t>
  </si>
  <si>
    <t>FCRDX US EQUITY</t>
  </si>
  <si>
    <t>PFGTX US EQUITY</t>
  </si>
  <si>
    <t>AEMTX US EQUITY</t>
  </si>
  <si>
    <t>HBFBX US EQUITY</t>
  </si>
  <si>
    <t>CGBNX US EQUITY</t>
  </si>
  <si>
    <t>NLMAX US EQUITY</t>
  </si>
  <si>
    <t>DCAIX US EQUITY</t>
  </si>
  <si>
    <t>OWSOX US EQUITY</t>
  </si>
  <si>
    <t>PXWEX US EQUITY</t>
  </si>
  <si>
    <t>CHOIX US EQUITY</t>
  </si>
  <si>
    <t>HEMAX US EQUITY</t>
  </si>
  <si>
    <t>DHLAX US EQUITY</t>
  </si>
  <si>
    <t>FMDCX US EQUITY</t>
  </si>
  <si>
    <t>DPEGX US EQUITY</t>
  </si>
  <si>
    <t>ABEAX US EQUITY</t>
  </si>
  <si>
    <t>VDEAX US EQUITY</t>
  </si>
  <si>
    <t>IFCAX US EQUITY</t>
  </si>
  <si>
    <t>MBIXX US EQUITY</t>
  </si>
  <si>
    <t>AFSIX US EQUITY</t>
  </si>
  <si>
    <t>BBUSX US EQUITY</t>
  </si>
  <si>
    <t>MEFOX US EQUITY</t>
  </si>
  <si>
    <t>FAINX US EQUITY</t>
  </si>
  <si>
    <t>WMCAX US EQUITY</t>
  </si>
  <si>
    <t>RSGGX US EQUITY</t>
  </si>
  <si>
    <t>BUSRX US EQUITY</t>
  </si>
  <si>
    <t>EPIBX US EQUITY</t>
  </si>
  <si>
    <t>PIFUX US EQUITY</t>
  </si>
  <si>
    <t>ALMEX US EQUITY</t>
  </si>
  <si>
    <t>ANQCX US EQUITY</t>
  </si>
  <si>
    <t>LCBSX US EQUITY</t>
  </si>
  <si>
    <t>PEMMX US EQUITY</t>
  </si>
  <si>
    <t>BPVPX US EQUITY</t>
  </si>
  <si>
    <t>FAAAX US EQUITY</t>
  </si>
  <si>
    <t>EPUSX US EQUITY</t>
  </si>
  <si>
    <t>CABDX US EQUITY</t>
  </si>
  <si>
    <t>BJGQX US EQUITY</t>
  </si>
  <si>
    <t>MTZIX US EQUITY</t>
  </si>
  <si>
    <t>UGIIX US EQUITY</t>
  </si>
  <si>
    <t>IZSAX US EQUITY</t>
  </si>
  <si>
    <t>FGILX US EQUITY</t>
  </si>
  <si>
    <t>TSWEX US EQUITY</t>
  </si>
  <si>
    <t>NLRLX US EQUITY</t>
  </si>
  <si>
    <t>VFPAX US EQUITY</t>
  </si>
  <si>
    <t>CHESX US EQUITY</t>
  </si>
  <si>
    <t>GOPAX US EQUITY</t>
  </si>
  <si>
    <t>AMREX US EQUITY</t>
  </si>
  <si>
    <t>CMHXX US EQUITY</t>
  </si>
  <si>
    <t>TWEBX US EQUITY</t>
  </si>
  <si>
    <t>BHTAX US EQUITY</t>
  </si>
  <si>
    <t>ABRFX US EQUITY</t>
  </si>
  <si>
    <t>TMFEX US EQUITY</t>
  </si>
  <si>
    <t>BLVIX US EQUITY</t>
  </si>
  <si>
    <t>BPRRX US EQUITY</t>
  </si>
  <si>
    <t>DAFXX US EQUITY</t>
  </si>
  <si>
    <t>CPNXX US EQUITY</t>
  </si>
  <si>
    <t>SSIXX US EQUITY</t>
  </si>
  <si>
    <t>TGFRX US EQUITY</t>
  </si>
  <si>
    <t>CILXX US EQUITY</t>
  </si>
  <si>
    <t>FSMXX US EQUITY</t>
  </si>
  <si>
    <t>MPUXX US EQUITY</t>
  </si>
  <si>
    <t>SPPXX US EQUITY</t>
  </si>
  <si>
    <t>LAPXX US EQUITY</t>
  </si>
  <si>
    <t>ICAXX US EQUITY</t>
  </si>
  <si>
    <t>PAGAX US EQUITY</t>
  </si>
  <si>
    <t>BDSTX US EQUITY</t>
  </si>
  <si>
    <t>MPFXX US EQUITY</t>
  </si>
  <si>
    <t>NMCXX US EQUITY</t>
  </si>
  <si>
    <t>RPGXX US EQUITY</t>
  </si>
  <si>
    <t>INGXX US EQUITY</t>
  </si>
  <si>
    <t>INMXX US EQUITY</t>
  </si>
  <si>
    <t>MVRXX US EQUITY</t>
  </si>
  <si>
    <t>HOIXX US EQUITY</t>
  </si>
  <si>
    <t>JHMXX US EQUITY</t>
  </si>
  <si>
    <t>BPSXX US EQUITY</t>
  </si>
  <si>
    <t>MLUXX US EQUITY</t>
  </si>
  <si>
    <t>MXDSX US EQUITY</t>
  </si>
  <si>
    <t>MAOXX US EQUITY</t>
  </si>
  <si>
    <t>HTTXX US EQUITY</t>
  </si>
  <si>
    <t>MLEXX US EQUITY</t>
  </si>
  <si>
    <t>DICXX US EQUITY</t>
  </si>
  <si>
    <t>TFPXX US EQUITY</t>
  </si>
  <si>
    <t>TCIXX US EQUITY</t>
  </si>
  <si>
    <t>CMJXX US EQUITY</t>
  </si>
  <si>
    <t>BGLXX US EQUITY</t>
  </si>
  <si>
    <t>CMEXX US EQUITY</t>
  </si>
  <si>
    <t>RYTIX US EQUITY</t>
  </si>
  <si>
    <t>RMYXX US EQUITY</t>
  </si>
  <si>
    <t>FTRXX US EQUITY</t>
  </si>
  <si>
    <t>FPOXX US EQUITY</t>
  </si>
  <si>
    <t>SRIXX US EQUITY</t>
  </si>
  <si>
    <t>CMLXX US EQUITY</t>
  </si>
  <si>
    <t>BRSXX US EQUITY</t>
  </si>
  <si>
    <t>SELXX US EQUITY</t>
  </si>
  <si>
    <t>AVIXX US EQUITY</t>
  </si>
  <si>
    <t>FSLXX US EQUITY</t>
  </si>
  <si>
    <t>CIIXX US EQUITY</t>
  </si>
  <si>
    <t>TSPXX US EQUITY</t>
  </si>
  <si>
    <t>SSTXX US EQUITY</t>
  </si>
  <si>
    <t>AMUXX US EQUITY</t>
  </si>
  <si>
    <t>IMRXX US EQUITY</t>
  </si>
  <si>
    <t>MGRXX US EQUITY</t>
  </si>
  <si>
    <t>SWSXX US EQUITY</t>
  </si>
  <si>
    <t>NPAXX US EQUITY</t>
  </si>
  <si>
    <t>CMGXX US EQUITY</t>
  </si>
  <si>
    <t>GMYXX US EQUITY</t>
  </si>
  <si>
    <t>ITTXX US EQUITY</t>
  </si>
  <si>
    <t>FPDXX US EQUITY</t>
  </si>
  <si>
    <t>AGPXX US EQUITY</t>
  </si>
  <si>
    <t>CFRXX US EQUITY</t>
  </si>
  <si>
    <t>WMIXX US EQUITY</t>
  </si>
  <si>
    <t>CMAXX US EQUITY</t>
  </si>
  <si>
    <t>BNYXX US EQUITY</t>
  </si>
  <si>
    <t>NYFXX US EQUITY</t>
  </si>
  <si>
    <t>MSOXX US EQUITY</t>
  </si>
  <si>
    <t>WGMXX US EQUITY</t>
  </si>
  <si>
    <t>VXPXX US EQUITY</t>
  </si>
  <si>
    <t>VPMXX US EQUITY</t>
  </si>
  <si>
    <t>NMUXX US EQUITY</t>
  </si>
  <si>
    <t>TPNXX US EQUITY</t>
  </si>
  <si>
    <t>BTXXX US EQUITY</t>
  </si>
  <si>
    <t>MJAXX US EQUITY</t>
  </si>
  <si>
    <t>PRRXX US EQUITY</t>
  </si>
  <si>
    <t>TXCXX US EQUITY</t>
  </si>
  <si>
    <t>PRTXX US EQUITY</t>
  </si>
  <si>
    <t>FUGXX US EQUITY</t>
  </si>
  <si>
    <t>SPRXX US EQUITY</t>
  </si>
  <si>
    <t>PCTXX US EQUITY</t>
  </si>
  <si>
    <t>NYTXX US EQUITY</t>
  </si>
  <si>
    <t>TMDXX US EQUITY</t>
  </si>
  <si>
    <t>AIMXX US EQUITY</t>
  </si>
  <si>
    <t>PTEXX US EQUITY</t>
  </si>
  <si>
    <t>ACSXX US EQUITY</t>
  </si>
  <si>
    <t>MUCXX US EQUITY</t>
  </si>
  <si>
    <t>TUGXX US EQUITY</t>
  </si>
  <si>
    <t>FRTXX US EQUITY</t>
  </si>
  <si>
    <t>EISXX US EQUITY</t>
  </si>
  <si>
    <t>STGXX US EQUITY</t>
  </si>
  <si>
    <t>NWIXX US EQUITY</t>
  </si>
  <si>
    <t>MMIXX US EQUITY</t>
  </si>
  <si>
    <t>WMVXX US EQUITY</t>
  </si>
  <si>
    <t>NWGXX US EQUITY</t>
  </si>
  <si>
    <t>TSCXX US EQUITY</t>
  </si>
  <si>
    <t>PMIXX US EQUITY</t>
  </si>
  <si>
    <t>VNYXX US EQUITY</t>
  </si>
  <si>
    <t>TRSXX US EQUITY</t>
  </si>
  <si>
    <t>MMAXX US EQUITY</t>
  </si>
  <si>
    <t>SMAXX US EQUITY</t>
  </si>
  <si>
    <t>CDGXX US EQUITY</t>
  </si>
  <si>
    <t>DTBXX US EQUITY</t>
  </si>
  <si>
    <t>TMIXX US EQUITY</t>
  </si>
  <si>
    <t>BIRXX US EQUITY</t>
  </si>
  <si>
    <t>VCAXX US EQUITY</t>
  </si>
  <si>
    <t>TINXX US EQUITY</t>
  </si>
  <si>
    <t>BICXX US EQUITY</t>
  </si>
  <si>
    <t>TTFXX US EQUITY</t>
  </si>
  <si>
    <t>ICTXX US EQUITY</t>
  </si>
  <si>
    <t>ADMXX US EQUITY</t>
  </si>
  <si>
    <t>CNNXX US EQUITY</t>
  </si>
  <si>
    <t>HTCXX US EQUITY</t>
  </si>
  <si>
    <t>HICXX US EQUITY</t>
  </si>
  <si>
    <t>SMGXX US EQUITY</t>
  </si>
  <si>
    <t>MTXXX US EQUITY</t>
  </si>
  <si>
    <t>HGCXX US EQUITY</t>
  </si>
  <si>
    <t>AISXX US EQUITY</t>
  </si>
  <si>
    <t>IMAXX US EQUITY</t>
  </si>
  <si>
    <t>FDRXX US EQUITY</t>
  </si>
  <si>
    <t>SPAXX US EQUITY</t>
  </si>
  <si>
    <t>FLTXX US EQUITY</t>
  </si>
  <si>
    <t>FPTXX US EQUITY</t>
  </si>
  <si>
    <t>FDBXX US EQUITY</t>
  </si>
  <si>
    <t>AAMXX US EQUITY</t>
  </si>
  <si>
    <t>FIMXX US EQUITY</t>
  </si>
  <si>
    <t>FOMXX US EQUITY</t>
  </si>
  <si>
    <t>FDMXX US EQUITY</t>
  </si>
  <si>
    <t>FCMXX US EQUITY</t>
  </si>
  <si>
    <t>FCFXX US EQUITY</t>
  </si>
  <si>
    <t>AAGXX US EQUITY</t>
  </si>
  <si>
    <t>FSJXX US EQUITY</t>
  </si>
  <si>
    <t>FNYXX US EQUITY</t>
  </si>
  <si>
    <t>FNKXX US EQUITY</t>
  </si>
  <si>
    <t>FNJXX US EQUITY</t>
  </si>
  <si>
    <t>FMSXX US EQUITY</t>
  </si>
  <si>
    <t>DWLXX US EQUITY</t>
  </si>
  <si>
    <t>CPFXX US EQUITY</t>
  </si>
  <si>
    <t>FDAXX US EQUITY</t>
  </si>
  <si>
    <t>FSPXX US EQUITY</t>
  </si>
  <si>
    <t>FSAXX US EQUITY</t>
  </si>
  <si>
    <t>FMIXX US EQUITY</t>
  </si>
  <si>
    <t>PTXXX US EQUITY</t>
  </si>
  <si>
    <t>PDDXX US EQUITY</t>
  </si>
  <si>
    <t>TXMXX US EQUITY</t>
  </si>
  <si>
    <t>PMTXX US EQUITY</t>
  </si>
  <si>
    <t>ADGXX US EQUITY</t>
  </si>
  <si>
    <t>TRPXX US EQUITY</t>
  </si>
  <si>
    <t>BNGXX US EQUITY</t>
  </si>
  <si>
    <t>HFXXX US EQUITY</t>
  </si>
  <si>
    <t>HFDXX US EQUITY</t>
  </si>
  <si>
    <t>NITXX US EQUITY</t>
  </si>
  <si>
    <t>SPCXX US EQUITY</t>
  </si>
  <si>
    <t>BGSXX US EQUITY</t>
  </si>
  <si>
    <t>BTEXX US EQUITY</t>
  </si>
  <si>
    <t>BDAXX US EQUITY</t>
  </si>
  <si>
    <t>NOGXX US EQUITY</t>
  </si>
  <si>
    <t>NOSXX US EQUITY</t>
  </si>
  <si>
    <t>NORXX US EQUITY</t>
  </si>
  <si>
    <t>VFIXX US EQUITY</t>
  </si>
  <si>
    <t>SFRXX US EQUITY</t>
  </si>
  <si>
    <t>STFXX US EQUITY</t>
  </si>
  <si>
    <t>STEXX US EQUITY</t>
  </si>
  <si>
    <t>SFPXX US EQUITY</t>
  </si>
  <si>
    <t>STCXX US EQUITY</t>
  </si>
  <si>
    <t>STRXX US EQUITY</t>
  </si>
  <si>
    <t>WTOXX US EQUITY</t>
  </si>
  <si>
    <t>WNYXX US EQUITY</t>
  </si>
  <si>
    <t>STPXX US EQUITY</t>
  </si>
  <si>
    <t>SETXX US EQUITY</t>
  </si>
  <si>
    <t>TDMXX US EQUITY</t>
  </si>
  <si>
    <t>SPIXX US EQUITY</t>
  </si>
  <si>
    <t>TDVXX US EQUITY</t>
  </si>
  <si>
    <t>WTUXX US EQUITY</t>
  </si>
  <si>
    <t>WCAXX US EQUITY</t>
  </si>
  <si>
    <t>WTMXX US EQUITY</t>
  </si>
  <si>
    <t>TDHXX US EQUITY</t>
  </si>
  <si>
    <t>UNYXX US EQUITY</t>
  </si>
  <si>
    <t>UVAXX US EQUITY</t>
  </si>
  <si>
    <t>USAXX US EQUITY</t>
  </si>
  <si>
    <t>USEXX US EQUITY</t>
  </si>
  <si>
    <t>RUSXX US EQUITY</t>
  </si>
  <si>
    <t>RCAXX US EQUITY</t>
  </si>
  <si>
    <t>RNYXX US EQUITY</t>
  </si>
  <si>
    <t>RTFXX US EQUITY</t>
  </si>
  <si>
    <t>RMAXX US EQUITY</t>
  </si>
  <si>
    <t>PWRXX US EQUITY</t>
  </si>
  <si>
    <t>GMMXX US EQUITY</t>
  </si>
  <si>
    <t>DGCXX US EQUITY</t>
  </si>
  <si>
    <t>AMAXX US EQUITY</t>
  </si>
  <si>
    <t>DTRXX US EQUITY</t>
  </si>
  <si>
    <t>MTOXX US EQUITY</t>
  </si>
  <si>
    <t>MAMXX US EQUITY</t>
  </si>
  <si>
    <t>MGAXX US EQUITY</t>
  </si>
  <si>
    <t>ABRXX US EQUITY</t>
  </si>
  <si>
    <t>HBIXX US EQUITY</t>
  </si>
  <si>
    <t>SVPXX US EQUITY</t>
  </si>
  <si>
    <t>BBMXX US EQUITY</t>
  </si>
  <si>
    <t>FEDXX US EQUITY</t>
  </si>
  <si>
    <t>FTOXX US EQUITY</t>
  </si>
  <si>
    <t>FTXXX US EQUITY</t>
  </si>
  <si>
    <t>FAAXX US EQUITY</t>
  </si>
  <si>
    <t>GVMXX US EQUITY</t>
  </si>
  <si>
    <t>FGTXX US EQUITY</t>
  </si>
  <si>
    <t>HEWXX US EQUITY</t>
  </si>
  <si>
    <t>MRAXX US EQUITY</t>
  </si>
  <si>
    <t>IDAXX US EQUITY</t>
  </si>
  <si>
    <t>DRSXX US EQUITY</t>
  </si>
  <si>
    <t>ATNXX US EQUITY</t>
  </si>
  <si>
    <t>SWYXX US EQUITY</t>
  </si>
  <si>
    <t>SWFXX US EQUITY</t>
  </si>
  <si>
    <t>SWVXX US EQUITY</t>
  </si>
  <si>
    <t>SWCXX US EQUITY</t>
  </si>
  <si>
    <t>SWJXX US EQUITY</t>
  </si>
  <si>
    <t>SWQXX US EQUITY</t>
  </si>
  <si>
    <t>SWRXX US EQUITY</t>
  </si>
  <si>
    <t>SWXXX US EQUITY</t>
  </si>
  <si>
    <t>SWMXX US EQUITY</t>
  </si>
  <si>
    <t>SWIXX US EQUITY</t>
  </si>
  <si>
    <t>JAMXX US EQUITY</t>
  </si>
  <si>
    <t>JAGXX US EQUITY</t>
  </si>
  <si>
    <t>FTIXX US EQUITY</t>
  </si>
  <si>
    <t>CZBXX US EQUITY</t>
  </si>
  <si>
    <t>ADEAX US EQUITY</t>
  </si>
  <si>
    <t>CMYXX US EQUITY</t>
  </si>
  <si>
    <t>MCOXX US EQUITY</t>
  </si>
  <si>
    <t>APBXX US EQUITY</t>
  </si>
  <si>
    <t>MICXX US EQUITY</t>
  </si>
  <si>
    <t>MLMXX US EQUITY</t>
  </si>
  <si>
    <t>SVTXX US EQUITY</t>
  </si>
  <si>
    <t>DLAXX US EQUITY</t>
  </si>
  <si>
    <t>GTGXX US EQUITY</t>
  </si>
  <si>
    <t>SSGXX US EQUITY</t>
  </si>
  <si>
    <t>FRFXX US EQUITY</t>
  </si>
  <si>
    <t>GTCXX US EQUITY</t>
  </si>
  <si>
    <t>TGMXX US EQUITY</t>
  </si>
  <si>
    <t>MPIXX US EQUITY</t>
  </si>
  <si>
    <t>CMTXX US EQUITY</t>
  </si>
  <si>
    <t>OWLSX US EQUITY</t>
  </si>
  <si>
    <t>LVLAX US EQUITY</t>
  </si>
  <si>
    <t>SATDX US EQUITY</t>
  </si>
  <si>
    <t>DBEGX US EQUITY</t>
  </si>
  <si>
    <t>GUCXX US EQUITY</t>
  </si>
  <si>
    <t>PCEXX US EQUITY</t>
  </si>
  <si>
    <t>NMAEX US EQUITY</t>
  </si>
  <si>
    <t>DVMKX US EQUITY</t>
  </si>
  <si>
    <t>SGAXX US EQUITY</t>
  </si>
  <si>
    <t>SSMXX US EQUITY</t>
  </si>
  <si>
    <t>MSBXX US EQUITY</t>
  </si>
  <si>
    <t>MKSXX US EQUITY</t>
  </si>
  <si>
    <t>SWMRX US EQUITY</t>
  </si>
  <si>
    <t>FVMLX US EQUITY</t>
  </si>
  <si>
    <t>NTEAX US EQUITY</t>
  </si>
  <si>
    <t>WLAXX US EQUITY</t>
  </si>
  <si>
    <t>SWNRX US EQUITY</t>
  </si>
  <si>
    <t>BVTXX US EQUITY</t>
  </si>
  <si>
    <t>FMCIX US EQUITY</t>
  </si>
  <si>
    <t>BRDZX US EQUITY</t>
  </si>
  <si>
    <t>TNTAX US EQUITY</t>
  </si>
  <si>
    <t>BBJTX US EQUITY</t>
  </si>
  <si>
    <t>TDPIX US EQUITY</t>
  </si>
  <si>
    <t>AGUAX US EQUITY</t>
  </si>
  <si>
    <t>AGCDX US EQUITY</t>
  </si>
  <si>
    <t>APCTX US EQUITY</t>
  </si>
  <si>
    <t>GMVAX US EQUITY</t>
  </si>
  <si>
    <t>KPRCX US EQUITY</t>
  </si>
  <si>
    <t>KPREX US EQUITY</t>
  </si>
  <si>
    <t>KPRJX US EQUITY</t>
  </si>
  <si>
    <t>AHLAX US EQUITY</t>
  </si>
  <si>
    <t>KPLCX US EQUITY</t>
  </si>
  <si>
    <t>HSQAX US EQUITY</t>
  </si>
  <si>
    <t>EBSZX US EQUITY</t>
  </si>
  <si>
    <t>EBSFX US EQUITY</t>
  </si>
  <si>
    <t>LSAMX US EQUITY</t>
  </si>
  <si>
    <t>KPIEX US EQUITY</t>
  </si>
  <si>
    <t>KPRDX US EQUITY</t>
  </si>
  <si>
    <t>GMQAX US EQUITY</t>
  </si>
  <si>
    <t>TRCRBI2 US EQUITY</t>
  </si>
  <si>
    <t>TRIOEI2 US EQUITY</t>
  </si>
  <si>
    <t>KPRFX US EQUITY</t>
  </si>
  <si>
    <t>WRLDX US EQUITY</t>
  </si>
  <si>
    <t>PDEAX US EQUITY</t>
  </si>
  <si>
    <t>HCMGX US EQUITY</t>
  </si>
  <si>
    <t>BPVLX US EQUITY</t>
  </si>
  <si>
    <t>GBSAX US EQUITY</t>
  </si>
  <si>
    <t>LYRHX US EQUITY</t>
  </si>
  <si>
    <t>ZDIVX US EQUITY</t>
  </si>
  <si>
    <t>SLDBX US EQUITY</t>
  </si>
  <si>
    <t>MAVCX US EQUITY</t>
  </si>
  <si>
    <t>AIXAX US EQUITY</t>
  </si>
  <si>
    <t>SEOFX US EQUITY</t>
  </si>
  <si>
    <t>NSDWX US EQUITY</t>
  </si>
  <si>
    <t>EFCAX US EQUITY</t>
  </si>
  <si>
    <t>ATRAX US EQUITY</t>
  </si>
  <si>
    <t>TACLX US EQUITY</t>
  </si>
  <si>
    <t>GPPAX US EQUITY</t>
  </si>
  <si>
    <t>GROAX US EQUITY</t>
  </si>
  <si>
    <t>CWFAX US EQUITY</t>
  </si>
  <si>
    <t>CALTX US EQUITY</t>
  </si>
  <si>
    <t>AWIIX US EQUITY</t>
  </si>
  <si>
    <t>GSAUX US EQUITY</t>
  </si>
  <si>
    <t>SOAEX US EQUITY</t>
  </si>
  <si>
    <t>ICIFX US EQUITY</t>
  </si>
  <si>
    <t>HLOAX US EQUITY</t>
  </si>
  <si>
    <t>LCNIX US EQUITY</t>
  </si>
  <si>
    <t>QCIBX US EQUITY</t>
  </si>
  <si>
    <t>SMRTX US EQUITY</t>
  </si>
  <si>
    <t>DOUAX US EQUITY</t>
  </si>
  <si>
    <t>DOFAX US EQUITY</t>
  </si>
  <si>
    <t>HWVAX US EQUITY</t>
  </si>
  <si>
    <t>DBGAX US EQUITY</t>
  </si>
  <si>
    <t>LSTIX US EQUITY</t>
  </si>
  <si>
    <t>COZAX US EQUITY</t>
  </si>
  <si>
    <t>JOISX US EQUITY</t>
  </si>
  <si>
    <t>LKPIX US EQUITY</t>
  </si>
  <si>
    <t>ALATX US EQUITY</t>
  </si>
  <si>
    <t>PRCNX US EQUITY</t>
  </si>
  <si>
    <t>YASLX US EQUITY</t>
  </si>
  <si>
    <t>REIFX US EQUITY</t>
  </si>
  <si>
    <t>RSMSX US EQUITY</t>
  </si>
  <si>
    <t>TTNVX US EQUITY</t>
  </si>
  <si>
    <t>SASAX US EQUITY</t>
  </si>
  <si>
    <t>LSVGX US EQUITY</t>
  </si>
  <si>
    <t>PRFFX US EQUITY</t>
  </si>
  <si>
    <t>TORAX US EQUITY</t>
  </si>
  <si>
    <t>FHJUX US EQUITY</t>
  </si>
  <si>
    <t>HRSOX US EQUITY</t>
  </si>
  <si>
    <t>OBIIX US EQUITY</t>
  </si>
  <si>
    <t>RFMIX US EQUITY</t>
  </si>
  <si>
    <t>AREIX US EQUITY</t>
  </si>
  <si>
    <t>DABQX US EQUITY</t>
  </si>
  <si>
    <t>QEELX US EQUITY</t>
  </si>
  <si>
    <t>GFIVX US EQUITY</t>
  </si>
  <si>
    <t>TEDNX US EQUITY</t>
  </si>
  <si>
    <t>QEMLX US EQUITY</t>
  </si>
  <si>
    <t>SREAX US EQUITY</t>
  </si>
  <si>
    <t>EBCIX US EQUITY</t>
  </si>
  <si>
    <t>VAEMX US EQUITY</t>
  </si>
  <si>
    <t>SAFAX US EQUITY</t>
  </si>
  <si>
    <t>TASHX US EQUITY</t>
  </si>
  <si>
    <t>BPAAX US EQUITY</t>
  </si>
  <si>
    <t>DHQAX US EQUITY</t>
  </si>
  <si>
    <t>PJDAX US EQUITY</t>
  </si>
  <si>
    <t>LSVMX US EQUITY</t>
  </si>
  <si>
    <t>LSVFX US EQUITY</t>
  </si>
  <si>
    <t>NWWAX US EQUITY</t>
  </si>
  <si>
    <t>TSEMX US EQUITY</t>
  </si>
  <si>
    <t>STVLX US EQUITY</t>
  </si>
  <si>
    <t>WKCAX US EQUITY</t>
  </si>
  <si>
    <t>DSOAX US EQUITY</t>
  </si>
  <si>
    <t>ABYIX US EQUITY</t>
  </si>
  <si>
    <t>HCPAX US EQUITY</t>
  </si>
  <si>
    <t>CCMSX US EQUITY</t>
  </si>
  <si>
    <t>AIRPX US EQUITY</t>
  </si>
  <si>
    <t>PZIEX US EQUITY</t>
  </si>
  <si>
    <t>NQGAX US EQUITY</t>
  </si>
  <si>
    <t>PZVMX US EQUITY</t>
  </si>
  <si>
    <t>AGMAX US EQUITY</t>
  </si>
  <si>
    <t>PZILX US EQUITY</t>
  </si>
  <si>
    <t>WHSAX US EQUITY</t>
  </si>
  <si>
    <t>SGMVX US EQUITY</t>
  </si>
  <si>
    <t>IARDX US EQUITY</t>
  </si>
  <si>
    <t>WADTX US EQUITY</t>
  </si>
  <si>
    <t>GHCAX US EQUITY</t>
  </si>
  <si>
    <t>NPILX US EQUITY</t>
  </si>
  <si>
    <t>NPIVX US EQUITY</t>
  </si>
  <si>
    <t>BDCAX US EQUITY</t>
  </si>
  <si>
    <t>SGBVX US EQUITY</t>
  </si>
  <si>
    <t>DIVAX US EQUITY</t>
  </si>
  <si>
    <t>CUPAX US EQUITY</t>
  </si>
  <si>
    <t>ROTAX US EQUITY</t>
  </si>
  <si>
    <t>JEREX US EQUITY</t>
  </si>
  <si>
    <t>RMRAX US EQUITY</t>
  </si>
  <si>
    <t>AFMCX US EQUITY</t>
  </si>
  <si>
    <t>JOAIX US EQUITY</t>
  </si>
  <si>
    <t>MCXAX US EQUITY</t>
  </si>
  <si>
    <t>SRFMX US EQUITY</t>
  </si>
  <si>
    <t>UMRAX US EQUITY</t>
  </si>
  <si>
    <t>PCSFX US EQUITY</t>
  </si>
  <si>
    <t>AISCX US EQUITY</t>
  </si>
  <si>
    <t>WCPBX US EQUITY</t>
  </si>
  <si>
    <t>FMFMX US EQUITY</t>
  </si>
  <si>
    <t>IVOAX US EQUITY</t>
  </si>
  <si>
    <t>BGLSX US EQUITY</t>
  </si>
  <si>
    <t>NFGAX US EQUITY</t>
  </si>
  <si>
    <t>TRAOX US EQUITY</t>
  </si>
  <si>
    <t>WVEIX US EQUITY</t>
  </si>
  <si>
    <t>SIZAX US EQUITY</t>
  </si>
  <si>
    <t>TLBAX US EQUITY</t>
  </si>
  <si>
    <t>GIZAX US EQUITY</t>
  </si>
  <si>
    <t>JHQAX US EQUITY</t>
  </si>
  <si>
    <t>VEFAX US EQUITY</t>
  </si>
  <si>
    <t>DBNAX US EQUITY</t>
  </si>
  <si>
    <t>CCAIX US EQUITY</t>
  </si>
  <si>
    <t>MCVAX US EQUITY</t>
  </si>
  <si>
    <t>UPGIX US EQUITY</t>
  </si>
  <si>
    <t>DRNAX US EQUITY</t>
  </si>
  <si>
    <t>ACHAX US EQUITY</t>
  </si>
  <si>
    <t>JDIBX US EQUITY</t>
  </si>
  <si>
    <t>PASEX US EQUITY</t>
  </si>
  <si>
    <t>NUSNX US EQUITY</t>
  </si>
  <si>
    <t>PBIAX US EQUITY</t>
  </si>
  <si>
    <t>SDVAX US EQUITY</t>
  </si>
  <si>
    <t>LOTAX US EQUITY</t>
  </si>
  <si>
    <t>NWWMX US EQUITY</t>
  </si>
  <si>
    <t>KPRBX US EQUITY</t>
  </si>
  <si>
    <t>TRXPX US EQUITY</t>
  </si>
  <si>
    <t>PAOPX US EQUITY</t>
  </si>
  <si>
    <t>LLSIX US EQUITY</t>
  </si>
  <si>
    <t>VASBX US EQUITY</t>
  </si>
  <si>
    <t>PLHAX US EQUITY</t>
  </si>
  <si>
    <t>FSVIX US EQUITY</t>
  </si>
  <si>
    <t>AWMIX US EQUITY</t>
  </si>
  <si>
    <t>IMPLX US EQUITY</t>
  </si>
  <si>
    <t>BXMIX US EQUITY</t>
  </si>
  <si>
    <t>KPRGX US EQUITY</t>
  </si>
  <si>
    <t>FGGAX US EQUITY</t>
  </si>
  <si>
    <t>ILPAX US EQUITY</t>
  </si>
  <si>
    <t>NWWFX US EQUITY</t>
  </si>
  <si>
    <t>KPRAX US EQUITY</t>
  </si>
  <si>
    <t>GSEAX US EQUITY</t>
  </si>
  <si>
    <t>VFSAX US EQUITY</t>
  </si>
  <si>
    <t>JAAMX US EQUITY</t>
  </si>
  <si>
    <t>DWGAX US EQUITY</t>
  </si>
  <si>
    <t>VRIIX US EQUITY</t>
  </si>
  <si>
    <t>VRFIX US EQUITY</t>
  </si>
  <si>
    <t>EMIAX US EQUITY</t>
  </si>
  <si>
    <t>ARSFX US EQUITY</t>
  </si>
  <si>
    <t>VRMIX US EQUITY</t>
  </si>
  <si>
    <t>NFBAX US EQUITY</t>
  </si>
  <si>
    <t>CLIFX US EQUITY</t>
  </si>
  <si>
    <t>NFMAX US EQUITY</t>
  </si>
  <si>
    <t>KPFIX US EQUITY</t>
  </si>
  <si>
    <t>NGEAX US EQUITY</t>
  </si>
  <si>
    <t>DSLAX US EQUITY</t>
  </si>
  <si>
    <t>BCGDX US EQUITY</t>
  </si>
  <si>
    <t>DEFAX US EQUITY</t>
  </si>
  <si>
    <t>DGEAX US EQUITY</t>
  </si>
  <si>
    <t>RTRTX US EQUITY</t>
  </si>
  <si>
    <t>CDMAX US EQUITY</t>
  </si>
  <si>
    <t>VQHYX US EQUITY</t>
  </si>
  <si>
    <t>TRARSI2 US EQUITY</t>
  </si>
  <si>
    <t>PSQGX US EQUITY</t>
  </si>
  <si>
    <t>KPRIX US EQUITY</t>
  </si>
  <si>
    <t>KPRHX US EQUITY</t>
  </si>
  <si>
    <t>DHPAX US EQUITY</t>
  </si>
  <si>
    <t>BBALX US EQUITY</t>
  </si>
  <si>
    <t>FLRAX US EQUITY</t>
  </si>
  <si>
    <t>ADVGX US EQUITY</t>
  </si>
  <si>
    <t>GLDSX US EQUITY</t>
  </si>
  <si>
    <t>WRESX US EQUITY</t>
  </si>
  <si>
    <t>DWUGX US EQUITY</t>
  </si>
  <si>
    <t>HFRAX US EQUITY</t>
  </si>
  <si>
    <t>GHAFX US EQUITY</t>
  </si>
  <si>
    <t>PFOPX US EQUITY</t>
  </si>
  <si>
    <t>WSTIX US EQUITY</t>
  </si>
  <si>
    <t>AJVAX US EQUITY</t>
  </si>
  <si>
    <t>BNUEX US EQUITY</t>
  </si>
  <si>
    <t>FBLYX US EQUITY</t>
  </si>
  <si>
    <t>ARTRX US EQUITY</t>
  </si>
  <si>
    <t>SWORX US EQUITY</t>
  </si>
  <si>
    <t>LSPAX US EQUITY</t>
  </si>
  <si>
    <t>DLMAX US EQUITY</t>
  </si>
  <si>
    <t>HSSIX US EQUITY</t>
  </si>
  <si>
    <t>JHRAX US EQUITY</t>
  </si>
  <si>
    <t>MXFSX US EQUITY</t>
  </si>
  <si>
    <t>EASAX US EQUITY</t>
  </si>
  <si>
    <t>WAGGGRO US EQUITY</t>
  </si>
  <si>
    <t>MXSTX US EQUITY</t>
  </si>
  <si>
    <t>TCMMX US EQUITY</t>
  </si>
  <si>
    <t>AEMDX US EQUITY</t>
  </si>
  <si>
    <t>LGIIX US EQUITY</t>
  </si>
  <si>
    <t>EEHAX US EQUITY</t>
  </si>
  <si>
    <t>CSNAX US EQUITY</t>
  </si>
  <si>
    <t>GRPOX US EQUITY</t>
  </si>
  <si>
    <t>PTFDX US EQUITY</t>
  </si>
  <si>
    <t>ACLKX US EQUITY</t>
  </si>
  <si>
    <t>WLBAX US EQUITY</t>
  </si>
  <si>
    <t>RSFDX US EQUITY</t>
  </si>
  <si>
    <t>DFSAX US EQUITY</t>
  </si>
  <si>
    <t>DAAVX US EQUITY</t>
  </si>
  <si>
    <t>GDIIX US EQUITY</t>
  </si>
  <si>
    <t>BLGFX US EQUITY</t>
  </si>
  <si>
    <t>CSEFX US EQUITY</t>
  </si>
  <si>
    <t>IEMAX US EQUITY</t>
  </si>
  <si>
    <t>CAMLX US EQUITY</t>
  </si>
  <si>
    <t>TWMIX US EQUITY</t>
  </si>
  <si>
    <t>OMOAX US EQUITY</t>
  </si>
  <si>
    <t>PADGX US EQUITY</t>
  </si>
  <si>
    <t>MXSYX US EQUITY</t>
  </si>
  <si>
    <t>WTLGEC1 US EQUITY</t>
  </si>
  <si>
    <t>GVMCX US EQUITY</t>
  </si>
  <si>
    <t>AEQAX US EQUITY</t>
  </si>
  <si>
    <t>PUEAX US EQUITY</t>
  </si>
  <si>
    <t>INTLX US EQUITY</t>
  </si>
  <si>
    <t>BOGSX US EQUITY</t>
  </si>
  <si>
    <t>TSPEX US EQUITY</t>
  </si>
  <si>
    <t>DOSAX US EQUITY</t>
  </si>
  <si>
    <t>SPMAX US EQUITY</t>
  </si>
  <si>
    <t>IMANX US EQUITY</t>
  </si>
  <si>
    <t>RSEMX US EQUITY</t>
  </si>
  <si>
    <t>AGAEX US EQUITY</t>
  </si>
  <si>
    <t>TTMEX US EQUITY</t>
  </si>
  <si>
    <t>JAPGX US EQUITY</t>
  </si>
  <si>
    <t>AMDEX US EQUITY</t>
  </si>
  <si>
    <t>AMDIX US EQUITY</t>
  </si>
  <si>
    <t>MGQIX US EQUITY</t>
  </si>
  <si>
    <t>VPGEX US EQUITY</t>
  </si>
  <si>
    <t>EKMRX US EQUITY</t>
  </si>
  <si>
    <t>CEFFX US EQUITY</t>
  </si>
  <si>
    <t>DALCX US EQUITY</t>
  </si>
  <si>
    <t>FBPBX US EQUITY</t>
  </si>
  <si>
    <t>ARGIX US EQUITY</t>
  </si>
  <si>
    <t>DHSCX US EQUITY</t>
  </si>
  <si>
    <t>RMISX US EQUITY</t>
  </si>
  <si>
    <t>JAMDX US EQUITY</t>
  </si>
  <si>
    <t>ESVAX US EQUITY</t>
  </si>
  <si>
    <t>AZLAX US EQUITY</t>
  </si>
  <si>
    <t>RVLRX US EQUITY</t>
  </si>
  <si>
    <t>SFDIX US EQUITY</t>
  </si>
  <si>
    <t>CRIGX US EQUITY</t>
  </si>
  <si>
    <t>AALIX US EQUITY</t>
  </si>
  <si>
    <t>OSCAX US EQUITY</t>
  </si>
  <si>
    <t>STPAX US EQUITY</t>
  </si>
  <si>
    <t>TMGFX US EQUITY</t>
  </si>
  <si>
    <t>BANCX US EQUITY</t>
  </si>
  <si>
    <t>NUGAX US EQUITY</t>
  </si>
  <si>
    <t>WGLIX US EQUITY</t>
  </si>
  <si>
    <t>GNKIX US EQUITY</t>
  </si>
  <si>
    <t>CMEIX US EQUITY</t>
  </si>
  <si>
    <t>AMSCX US EQUITY</t>
  </si>
  <si>
    <t>CNIAX US EQUITY</t>
  </si>
  <si>
    <t>FSSFX US EQUITY</t>
  </si>
  <si>
    <t>PAPPX US EQUITY</t>
  </si>
  <si>
    <t>EHGAX US EQUITY</t>
  </si>
  <si>
    <t>WLCDOGR US EQUITY</t>
  </si>
  <si>
    <t>IAFAX US EQUITY</t>
  </si>
  <si>
    <t>CAMMX US EQUITY</t>
  </si>
  <si>
    <t>MERVX US EQUITY</t>
  </si>
  <si>
    <t>CVMAX US EQUITY</t>
  </si>
  <si>
    <t>ICARX US EQUITY</t>
  </si>
  <si>
    <t>MVPFX US EQUITY</t>
  </si>
  <si>
    <t>GHTFX US EQUITY</t>
  </si>
  <si>
    <t>JLGAX US EQUITY</t>
  </si>
  <si>
    <t>TMFGX US EQUITY</t>
  </si>
  <si>
    <t>CCIMX US EQUITY</t>
  </si>
  <si>
    <t>ICFSX US EQUITY</t>
  </si>
  <si>
    <t>IRFAX US EQUITY</t>
  </si>
  <si>
    <t>ADFSX US EQUITY</t>
  </si>
  <si>
    <t>RWLRX US EQUITY</t>
  </si>
  <si>
    <t>HVIBX US EQUITY</t>
  </si>
  <si>
    <t>BALIX US EQUITY</t>
  </si>
  <si>
    <t>CVGCX US EQUITY</t>
  </si>
  <si>
    <t>RYLIX US EQUITY</t>
  </si>
  <si>
    <t>SAOPX US EQUITY</t>
  </si>
  <si>
    <t>BGFAX US EQUITY</t>
  </si>
  <si>
    <t>RYLRX US EQUITY</t>
  </si>
  <si>
    <t>ACWDX US EQUITY</t>
  </si>
  <si>
    <t>GMSMX US EQUITY</t>
  </si>
  <si>
    <t>BPQIX US EQUITY</t>
  </si>
  <si>
    <t>BGVEX US EQUITY</t>
  </si>
  <si>
    <t>DHROX US EQUITY</t>
  </si>
  <si>
    <t>BALPX US EQUITY</t>
  </si>
  <si>
    <t>BPGIX US EQUITY</t>
  </si>
  <si>
    <t>GEMYX US EQUITY</t>
  </si>
  <si>
    <t>DGACX US EQUITY</t>
  </si>
  <si>
    <t>RMVSX US EQUITY</t>
  </si>
  <si>
    <t>TFSHX US EQUITY</t>
  </si>
  <si>
    <t>TGMAX US EQUITY</t>
  </si>
  <si>
    <t>OBAOX US EQUITY</t>
  </si>
  <si>
    <t>WTEIX US EQUITY</t>
  </si>
  <si>
    <t>THGWX US EQUITY</t>
  </si>
  <si>
    <t>SCGLX US EQUITY</t>
  </si>
  <si>
    <t>GPFAX US EQUITY</t>
  </si>
  <si>
    <t>ACLWX US EQUITY</t>
  </si>
  <si>
    <t>ETOPX US EQUITY</t>
  </si>
  <si>
    <t>MFPHX US EQUITY</t>
  </si>
  <si>
    <t>ARTHX US EQUITY</t>
  </si>
  <si>
    <t>MGMAX US EQUITY</t>
  </si>
  <si>
    <t>IAGEX US EQUITY</t>
  </si>
  <si>
    <t>IMSCX US EQUITY</t>
  </si>
  <si>
    <t>ALRAX US EQUITY</t>
  </si>
  <si>
    <t>NFRNX US EQUITY</t>
  </si>
  <si>
    <t>TAEMX US EQUITY</t>
  </si>
  <si>
    <t>JMFAX US EQUITY</t>
  </si>
  <si>
    <t>BENIX US EQUITY</t>
  </si>
  <si>
    <t>ARIVX US EQUITY</t>
  </si>
  <si>
    <t>GOWLX US EQUITY</t>
  </si>
  <si>
    <t>BFSLX US EQUITY</t>
  </si>
  <si>
    <t>MXMCX US EQUITY</t>
  </si>
  <si>
    <t>SRIAX US EQUITY</t>
  </si>
  <si>
    <t>TCOEX US EQUITY</t>
  </si>
  <si>
    <t>CGHAX US EQUITY</t>
  </si>
  <si>
    <t>STTAX US EQUITY</t>
  </si>
  <si>
    <t>TWHIX US EQUITY</t>
  </si>
  <si>
    <t>DCEMX US EQUITY</t>
  </si>
  <si>
    <t>GKEAX US EQUITY</t>
  </si>
  <si>
    <t>PSVFX US EQUITY</t>
  </si>
  <si>
    <t>EMCAX US EQUITY</t>
  </si>
  <si>
    <t>DXDWX US EQUITY</t>
  </si>
  <si>
    <t>LLPFX US EQUITY</t>
  </si>
  <si>
    <t>CVLOX US EQUITY</t>
  </si>
  <si>
    <t>MCMVX US EQUITY</t>
  </si>
  <si>
    <t>URSIX US EQUITY</t>
  </si>
  <si>
    <t>HRGAX US EQUITY</t>
  </si>
  <si>
    <t>MATRX US EQUITY</t>
  </si>
  <si>
    <t>VRSIX US EQUITY</t>
  </si>
  <si>
    <t>GTAPX US EQUITY</t>
  </si>
  <si>
    <t>WEGAX US EQUITY</t>
  </si>
  <si>
    <t>WMGAX US EQUITY</t>
  </si>
  <si>
    <t>ATAFX US EQUITY</t>
  </si>
  <si>
    <t>MFAPX US EQUITY</t>
  </si>
  <si>
    <t>RCKSX US EQUITY</t>
  </si>
  <si>
    <t>INNAX US EQUITY</t>
  </si>
  <si>
    <t>HDFAX US EQUITY</t>
  </si>
  <si>
    <t>IEYAX US EQUITY</t>
  </si>
  <si>
    <t>SSMAX US EQUITY</t>
  </si>
  <si>
    <t>JOHIX US EQUITY</t>
  </si>
  <si>
    <t>DHMAX US EQUITY</t>
  </si>
  <si>
    <t>NGQAX US EQUITY</t>
  </si>
  <si>
    <t>RYMAX US EQUITY</t>
  </si>
  <si>
    <t>CIFVX US EQUITY</t>
  </si>
  <si>
    <t>QRSVX US EQUITY</t>
  </si>
  <si>
    <t>VIDIX US EQUITY</t>
  </si>
  <si>
    <t>WSVIX US EQUITY</t>
  </si>
  <si>
    <t>ICTRX US EQUITY</t>
  </si>
  <si>
    <t>ARTMX US EQUITY</t>
  </si>
  <si>
    <t>HWGIX US EQUITY</t>
  </si>
  <si>
    <t>EKOPX US EQUITY</t>
  </si>
  <si>
    <t>FSGLX US EQUITY</t>
  </si>
  <si>
    <t>SGOVX US EQUITY</t>
  </si>
  <si>
    <t>DNASX US EQUITY</t>
  </si>
  <si>
    <t>MAFOX US EQUITY</t>
  </si>
  <si>
    <t>UNECX US EQUITY</t>
  </si>
  <si>
    <t>STMIX US EQUITY</t>
  </si>
  <si>
    <t>LBGAX US EQUITY</t>
  </si>
  <si>
    <t>SFPAX US EQUITY</t>
  </si>
  <si>
    <t>FRNKX US EQUITY</t>
  </si>
  <si>
    <t>FARNX US EQUITY</t>
  </si>
  <si>
    <t>COGAX US EQUITY</t>
  </si>
  <si>
    <t>NELAX US EQUITY</t>
  </si>
  <si>
    <t>VALDX US EQUITY</t>
  </si>
  <si>
    <t>TBGVX US EQUITY</t>
  </si>
  <si>
    <t>TAPAX US EQUITY</t>
  </si>
  <si>
    <t>PMUIX US EQUITY</t>
  </si>
  <si>
    <t>JINTX US EQUITY</t>
  </si>
  <si>
    <t>WEMSX US EQUITY</t>
  </si>
  <si>
    <t>PTAFX US EQUITY</t>
  </si>
  <si>
    <t>CGLOX US EQUITY</t>
  </si>
  <si>
    <t>BDFIX US EQUITY</t>
  </si>
  <si>
    <t>CDOFX US EQUITY</t>
  </si>
  <si>
    <t>BABFX US EQUITY</t>
  </si>
  <si>
    <t>JPGAX US EQUITY</t>
  </si>
  <si>
    <t>BEQIX US EQUITY</t>
  </si>
  <si>
    <t>CADVX US EQUITY</t>
  </si>
  <si>
    <t>DABAX US EQUITY</t>
  </si>
  <si>
    <t>JOPPX US EQUITY</t>
  </si>
  <si>
    <t>RPXIX US EQUITY</t>
  </si>
  <si>
    <t>RYBIX US EQUITY</t>
  </si>
  <si>
    <t>HCCEX US EQUITY</t>
  </si>
  <si>
    <t>WAFFX US EQUITY</t>
  </si>
  <si>
    <t>LOMMX US EQUITY</t>
  </si>
  <si>
    <t>ARTGX US EQUITY</t>
  </si>
  <si>
    <t>STVAX US EQUITY</t>
  </si>
  <si>
    <t>JOEIX US EQUITY</t>
  </si>
  <si>
    <t>DEAAX US EQUITY</t>
  </si>
  <si>
    <t>MCGAX US EQUITY</t>
  </si>
  <si>
    <t>EPHCX US EQUITY</t>
  </si>
  <si>
    <t>MGLBX US EQUITY</t>
  </si>
  <si>
    <t>AMCMX US EQUITY</t>
  </si>
  <si>
    <t>ABGYX US EQUITY</t>
  </si>
  <si>
    <t>SBHAX US EQUITY</t>
  </si>
  <si>
    <t>CLRVX US EQUITY</t>
  </si>
  <si>
    <t>SSCPX US EQUITY</t>
  </si>
  <si>
    <t>SEQUX US EQUITY</t>
  </si>
  <si>
    <t>WRAAX US EQUITY</t>
  </si>
  <si>
    <t>PFSLX US EQUITY</t>
  </si>
  <si>
    <t>MPDAX US EQUITY</t>
  </si>
  <si>
    <t>CBCAX US EQUITY</t>
  </si>
  <si>
    <t>GMCIX US EQUITY</t>
  </si>
  <si>
    <t>IYSAX US EQUITY</t>
  </si>
  <si>
    <t>EUEYX US EQUITY</t>
  </si>
  <si>
    <t>PRFEX US EQUITY</t>
  </si>
  <si>
    <t>HSZYX US EQUITY</t>
  </si>
  <si>
    <t>BCLSX US EQUITY</t>
  </si>
  <si>
    <t>ICCCX US EQUITY</t>
  </si>
  <si>
    <t>HINVX US EQUITY</t>
  </si>
  <si>
    <t>CALSX US EQUITY</t>
  </si>
  <si>
    <t>PLOAX US EQUITY</t>
  </si>
  <si>
    <t>BDEIX US EQUITY</t>
  </si>
  <si>
    <t>AEVLX US EQUITY</t>
  </si>
  <si>
    <t>GBTFX US EQUITY</t>
  </si>
  <si>
    <t>GAGCX US EQUITY</t>
  </si>
  <si>
    <t>FPSVX US EQUITY</t>
  </si>
  <si>
    <t>MUNDX US EQUITY</t>
  </si>
  <si>
    <t>OGOAX US EQUITY</t>
  </si>
  <si>
    <t>FOCIX US EQUITY</t>
  </si>
  <si>
    <t>MTGIX US EQUITY</t>
  </si>
  <si>
    <t>JAMFX US EQUITY</t>
  </si>
  <si>
    <t>GESIX US EQUITY</t>
  </si>
  <si>
    <t>BRBLX US EQUITY</t>
  </si>
  <si>
    <t>CWCIX US EQUITY</t>
  </si>
  <si>
    <t>ALTEX US EQUITY</t>
  </si>
  <si>
    <t>TDUSX US EQUITY</t>
  </si>
  <si>
    <t>DSMGX US EQUITY</t>
  </si>
  <si>
    <t>DILAX US EQUITY</t>
  </si>
  <si>
    <t>FENIX US EQUITY</t>
  </si>
  <si>
    <t>YCVTX US EQUITY</t>
  </si>
  <si>
    <t>CVABX US EQUITY</t>
  </si>
  <si>
    <t>HREMX US EQUITY</t>
  </si>
  <si>
    <t>TAAGX US EQUITY</t>
  </si>
  <si>
    <t>MXIVX US EQUITY</t>
  </si>
  <si>
    <t>MNFIX US EQUITY</t>
  </si>
  <si>
    <t>BSCVX US EQUITY</t>
  </si>
  <si>
    <t>CIPOX US EQUITY</t>
  </si>
  <si>
    <t>HDEAX US EQUITY</t>
  </si>
  <si>
    <t>SBHVX US EQUITY</t>
  </si>
  <si>
    <t>ACOIX US EQUITY</t>
  </si>
  <si>
    <t>BRSGX US EQUITY</t>
  </si>
  <si>
    <t>TCMPX US EQUITY</t>
  </si>
  <si>
    <t>OWSMX US EQUITY</t>
  </si>
  <si>
    <t>IMPAX US EQUITY</t>
  </si>
  <si>
    <t>GAMAX US EQUITY</t>
  </si>
  <si>
    <t>JGDAX US EQUITY</t>
  </si>
  <si>
    <t>FCHSX US EQUITY</t>
  </si>
  <si>
    <t>MJFOX US EQUITY</t>
  </si>
  <si>
    <t>RYIIX US EQUITY</t>
  </si>
  <si>
    <t>APHEX US EQUITY</t>
  </si>
  <si>
    <t>DASAX US EQUITY</t>
  </si>
  <si>
    <t>JGSAX US EQUITY</t>
  </si>
  <si>
    <t>FMRVX US EQUITY</t>
  </si>
  <si>
    <t>DREGX US EQUITY</t>
  </si>
  <si>
    <t>NFJAX US EQUITY</t>
  </si>
  <si>
    <t>RHJVX US EQUITY</t>
  </si>
  <si>
    <t>RIVFX US EQUITY</t>
  </si>
  <si>
    <t>NTJAX US EQUITY</t>
  </si>
  <si>
    <t>EPIVX US EQUITY</t>
  </si>
  <si>
    <t>ABBVX US EQUITY</t>
  </si>
  <si>
    <t>AMUAX US EQUITY</t>
  </si>
  <si>
    <t>SNTNX US EQUITY</t>
  </si>
  <si>
    <t>IBGFX US EQUITY</t>
  </si>
  <si>
    <t>PROTX US EQUITY</t>
  </si>
  <si>
    <t>EHEAX US EQUITY</t>
  </si>
  <si>
    <t>BDSAX US EQUITY</t>
  </si>
  <si>
    <t>QUSVX US EQUITY</t>
  </si>
  <si>
    <t>TWGGX US EQUITY</t>
  </si>
  <si>
    <t>LKAIX US EQUITY</t>
  </si>
  <si>
    <t>MCSMX US EQUITY</t>
  </si>
  <si>
    <t>ASQIX US EQUITY</t>
  </si>
  <si>
    <t>SESPX US EQUITY</t>
  </si>
  <si>
    <t>LIIEX US EQUITY</t>
  </si>
  <si>
    <t>ACLOX US EQUITY</t>
  </si>
  <si>
    <t>IPOAX US EQUITY</t>
  </si>
  <si>
    <t>TPEMX US EQUITY</t>
  </si>
  <si>
    <t>IIFBX US EQUITY</t>
  </si>
  <si>
    <t>HSMAX US EQUITY</t>
  </si>
  <si>
    <t>LGNGX US EQUITY</t>
  </si>
  <si>
    <t>BIAOX US EQUITY</t>
  </si>
  <si>
    <t>CWGDX US EQUITY</t>
  </si>
  <si>
    <t>NQCFX US EQUITY</t>
  </si>
  <si>
    <t>DLSAX US EQUITY</t>
  </si>
  <si>
    <t>JIFAX US EQUITY</t>
  </si>
  <si>
    <t>FFLAX US EQUITY</t>
  </si>
  <si>
    <t>IDVGX US EQUITY</t>
  </si>
  <si>
    <t>MAICX US EQUITY</t>
  </si>
  <si>
    <t>JSFBX US EQUITY</t>
  </si>
  <si>
    <t>SPEAX US EQUITY</t>
  </si>
  <si>
    <t>RMGAX US EQUITY</t>
  </si>
  <si>
    <t>TGIBX US EQUITY</t>
  </si>
  <si>
    <t>HUDEX US EQUITY</t>
  </si>
  <si>
    <t>SCCAX US EQUITY</t>
  </si>
  <si>
    <t>MISAX US EQUITY</t>
  </si>
  <si>
    <t>EXMCX US EQUITY</t>
  </si>
  <si>
    <t>SMFAX US EQUITY</t>
  </si>
  <si>
    <t>DVPEX US EQUITY</t>
  </si>
  <si>
    <t>THSMX US EQUITY</t>
  </si>
  <si>
    <t>MKVSX US EQUITY</t>
  </si>
  <si>
    <t>GSIOX US EQUITY</t>
  </si>
  <si>
    <t>AMRGX US EQUITY</t>
  </si>
  <si>
    <t>RYRIX US EQUITY</t>
  </si>
  <si>
    <t>CADGX US EQUITY</t>
  </si>
  <si>
    <t>AVEWX US EQUITY</t>
  </si>
  <si>
    <t>IPOFX US EQUITY</t>
  </si>
  <si>
    <t>DVSVX US EQUITY</t>
  </si>
  <si>
    <t>FWPAX US EQUITY</t>
  </si>
  <si>
    <t>DNLAX US EQUITY</t>
  </si>
  <si>
    <t>HCSCX US EQUITY</t>
  </si>
  <si>
    <t>BCIIX US EQUITY</t>
  </si>
  <si>
    <t>BSCNX US EQUITY</t>
  </si>
  <si>
    <t>MIGPX US EQUITY</t>
  </si>
  <si>
    <t>DAFGX US EQUITY</t>
  </si>
  <si>
    <t>AQEIX US EQUITY</t>
  </si>
  <si>
    <t>MAVSX US EQUITY</t>
  </si>
  <si>
    <t>SCMLX US EQUITY</t>
  </si>
  <si>
    <t>GVFIX US EQUITY</t>
  </si>
  <si>
    <t>RYKAX US EQUITY</t>
  </si>
  <si>
    <t>FIKSX US EQUITY</t>
  </si>
  <si>
    <t>TBHDX US EQUITY</t>
  </si>
  <si>
    <t>CAGEX US EQUITY</t>
  </si>
  <si>
    <t>RYFSX US EQUITY</t>
  </si>
  <si>
    <t>NOVIX US EQUITY</t>
  </si>
  <si>
    <t>DGIVX US EQUITY</t>
  </si>
  <si>
    <t>SDIVX US EQUITY</t>
  </si>
  <si>
    <t>CRIEX US EQUITY</t>
  </si>
  <si>
    <t>JBVLX US EQUITY</t>
  </si>
  <si>
    <t>CAFRX US EQUITY</t>
  </si>
  <si>
    <t>MGINX US EQUITY</t>
  </si>
  <si>
    <t>AAEMX US EQUITY</t>
  </si>
  <si>
    <t>PIPGX US EQUITY</t>
  </si>
  <si>
    <t>RAIIX US EQUITY</t>
  </si>
  <si>
    <t>TLGIX US EQUITY</t>
  </si>
  <si>
    <t>PGCOX US EQUITY</t>
  </si>
  <si>
    <t>SAESX US EQUITY</t>
  </si>
  <si>
    <t>SDMGX US EQUITY</t>
  </si>
  <si>
    <t>GABOX US EQUITY</t>
  </si>
  <si>
    <t>QWVOX US EQUITY</t>
  </si>
  <si>
    <t>ACIQX US EQUITY</t>
  </si>
  <si>
    <t>PMCAX US EQUITY</t>
  </si>
  <si>
    <t>AASVX US EQUITY</t>
  </si>
  <si>
    <t>HKMNX US EQUITY</t>
  </si>
  <si>
    <t>CNGLX US EQUITY</t>
  </si>
  <si>
    <t>WSMIX US EQUITY</t>
  </si>
  <si>
    <t>BBGNX US EQUITY</t>
  </si>
  <si>
    <t>DFDSX US EQUITY</t>
  </si>
  <si>
    <t>FAMFX US EQUITY</t>
  </si>
  <si>
    <t>ARTQX US EQUITY</t>
  </si>
  <si>
    <t>TWNOX US EQUITY</t>
  </si>
  <si>
    <t>MAISX US EQUITY</t>
  </si>
  <si>
    <t>MXLSX US EQUITY</t>
  </si>
  <si>
    <t>WSTCX US EQUITY</t>
  </si>
  <si>
    <t>CNJFX US EQUITY</t>
  </si>
  <si>
    <t>FGLEX US EQUITY</t>
  </si>
  <si>
    <t>HTCIX US EQUITY</t>
  </si>
  <si>
    <t>BMMIX US EQUITY</t>
  </si>
  <si>
    <t>EVASX US EQUITY</t>
  </si>
  <si>
    <t>GSVIX US EQUITY</t>
  </si>
  <si>
    <t>SECAX US EQUITY</t>
  </si>
  <si>
    <t>LIMAX US EQUITY</t>
  </si>
  <si>
    <t>JTIGX US EQUITY</t>
  </si>
  <si>
    <t>MBSVX US EQUITY</t>
  </si>
  <si>
    <t>SGEAX US EQUITY</t>
  </si>
  <si>
    <t>HCINX US EQUITY</t>
  </si>
  <si>
    <t>WOVEREQ US EQUITY</t>
  </si>
  <si>
    <t>RYLPX US EQUITY</t>
  </si>
  <si>
    <t>HVSBX US EQUITY</t>
  </si>
  <si>
    <t>GRZZX US EQUITY</t>
  </si>
  <si>
    <t>SEVAX US EQUITY</t>
  </si>
  <si>
    <t>WWGEX US EQUITY</t>
  </si>
  <si>
    <t>GESEX US EQUITY</t>
  </si>
  <si>
    <t>SAGWX US EQUITY</t>
  </si>
  <si>
    <t>MISEX US EQUITY</t>
  </si>
  <si>
    <t>ACRTX US EQUITY</t>
  </si>
  <si>
    <t>TGICX US EQUITY</t>
  </si>
  <si>
    <t>FNAPX US EQUITY</t>
  </si>
  <si>
    <t>WWGDX US EQUITY</t>
  </si>
  <si>
    <t>ADTRX US EQUITY</t>
  </si>
  <si>
    <t>DCSVX US EQUITY</t>
  </si>
  <si>
    <t>SATSX US EQUITY</t>
  </si>
  <si>
    <t>FRAVX US EQUITY</t>
  </si>
  <si>
    <t>HVLBX US EQUITY</t>
  </si>
  <si>
    <t>RYPRX US EQUITY</t>
  </si>
  <si>
    <t>DFWIX US EQUITY</t>
  </si>
  <si>
    <t>HEOAX US EQUITY</t>
  </si>
  <si>
    <t>GAIAX US EQUITY</t>
  </si>
  <si>
    <t>LHVAX US EQUITY</t>
  </si>
  <si>
    <t>TGGEX US EQUITY</t>
  </si>
  <si>
    <t>HIIFX US EQUITY</t>
  </si>
  <si>
    <t>HCIEX US EQUITY</t>
  </si>
  <si>
    <t>RGVDX US EQUITY</t>
  </si>
  <si>
    <t>RYPMX US EQUITY</t>
  </si>
  <si>
    <t>ACCOX US EQUITY</t>
  </si>
  <si>
    <t>SGAGX US EQUITY</t>
  </si>
  <si>
    <t>WEUSX US EQUITY</t>
  </si>
  <si>
    <t>MSCSX US EQUITY</t>
  </si>
  <si>
    <t>CEXAX US EQUITY</t>
  </si>
  <si>
    <t>GTEAX US EQUITY</t>
  </si>
  <si>
    <t>MAGFX US EQUITY</t>
  </si>
  <si>
    <t>CHAMX US EQUITY</t>
  </si>
  <si>
    <t>ADVSX US EQUITY</t>
  </si>
  <si>
    <t>PLWAX US EQUITY</t>
  </si>
  <si>
    <t>AZSAX US EQUITY</t>
  </si>
  <si>
    <t>IVINX US EQUITY</t>
  </si>
  <si>
    <t>UNCGX US EQUITY</t>
  </si>
  <si>
    <t>GTFAX US EQUITY</t>
  </si>
  <si>
    <t>NEAGX US EQUITY</t>
  </si>
  <si>
    <t>ENRAX US EQUITY</t>
  </si>
  <si>
    <t>LZESX US EQUITY</t>
  </si>
  <si>
    <t>ARTIX US EQUITY</t>
  </si>
  <si>
    <t>GGNAX US EQUITY</t>
  </si>
  <si>
    <t>TBCUX US EQUITY</t>
  </si>
  <si>
    <t>RYTRX US EQUITY</t>
  </si>
  <si>
    <t>SGWAX US EQUITY</t>
  </si>
  <si>
    <t>RIVSX US EQUITY</t>
  </si>
  <si>
    <t>ADVWX US EQUITY</t>
  </si>
  <si>
    <t>RYSFX US EQUITY</t>
  </si>
  <si>
    <t>BFOCX US EQUITY</t>
  </si>
  <si>
    <t>BIGFX US EQUITY</t>
  </si>
  <si>
    <t>KMKAX US EQUITY</t>
  </si>
  <si>
    <t>DSMYX US EQUITY</t>
  </si>
  <si>
    <t>NAFAX US EQUITY</t>
  </si>
  <si>
    <t>CSCVX US EQUITY</t>
  </si>
  <si>
    <t>RYVFX US EQUITY</t>
  </si>
  <si>
    <t>IGNAX US EQUITY</t>
  </si>
  <si>
    <t>BQMGX US EQUITY</t>
  </si>
  <si>
    <t>EVSEX US EQUITY</t>
  </si>
  <si>
    <t>CNWGX US EQUITY</t>
  </si>
  <si>
    <t>ARTKX US EQUITY</t>
  </si>
  <si>
    <t>ICGLX US EQUITY</t>
  </si>
  <si>
    <t>AQEGX US EQUITY</t>
  </si>
  <si>
    <t>RHJMX US EQUITY</t>
  </si>
  <si>
    <t>SLPAX US EQUITY</t>
  </si>
  <si>
    <t>LZISX US EQUITY</t>
  </si>
  <si>
    <t>DFDMX US EQUITY</t>
  </si>
  <si>
    <t>TRIFX US EQUITY</t>
  </si>
  <si>
    <t>BTSMX US EQUITY</t>
  </si>
  <si>
    <t>RYGSX US EQUITY</t>
  </si>
  <si>
    <t>FIENX US EQUITY</t>
  </si>
  <si>
    <t>TDGCX US EQUITY</t>
  </si>
  <si>
    <t>CEGAX US EQUITY</t>
  </si>
  <si>
    <t>NRGAX US EQUITY</t>
  </si>
  <si>
    <t>IMNAX US EQUITY</t>
  </si>
  <si>
    <t>GGIGX US EQUITY</t>
  </si>
  <si>
    <t>REDAX US EQUITY</t>
  </si>
  <si>
    <t>UNSCX US EQUITY</t>
  </si>
  <si>
    <t>CHSAX US EQUITY</t>
  </si>
  <si>
    <t>THBLX US EQUITY</t>
  </si>
  <si>
    <t>PCHFX US EQUITY</t>
  </si>
  <si>
    <t>ALEAX US EQUITY</t>
  </si>
  <si>
    <t>ASVIX US EQUITY</t>
  </si>
  <si>
    <t>CSRAX US EQUITY</t>
  </si>
  <si>
    <t>MIIFX US EQUITY</t>
  </si>
  <si>
    <t>RYSRX US EQUITY</t>
  </si>
  <si>
    <t>RPTRX US EQUITY</t>
  </si>
  <si>
    <t>WASMX US EQUITY</t>
  </si>
  <si>
    <t>EISAX US EQUITY</t>
  </si>
  <si>
    <t>AATCX US EQUITY</t>
  </si>
  <si>
    <t>RFISX US EQUITY</t>
  </si>
  <si>
    <t>TMCAX US EQUITY</t>
  </si>
  <si>
    <t>FMIAX US EQUITY</t>
  </si>
  <si>
    <t>TRISCI2 US EQUITY</t>
  </si>
  <si>
    <t>ICONX US EQUITY</t>
  </si>
  <si>
    <t>ETIGX US EQUITY</t>
  </si>
  <si>
    <t>BSVIX US EQUITY</t>
  </si>
  <si>
    <t>CRSVX US EQUITY</t>
  </si>
  <si>
    <t>QCVAX US EQUITY</t>
  </si>
  <si>
    <t>RYVPX US EQUITY</t>
  </si>
  <si>
    <t>LSRYX US EQUITY</t>
  </si>
  <si>
    <t>SSEAX US EQUITY</t>
  </si>
  <si>
    <t>RIVBX US EQUITY</t>
  </si>
  <si>
    <t>ASGTX US EQUITY</t>
  </si>
  <si>
    <t>CSCSX US EQUITY</t>
  </si>
  <si>
    <t>ICDAX US EQUITY</t>
  </si>
  <si>
    <t>CAMGX US EQUITY</t>
  </si>
  <si>
    <t>FJACX US EQUITY</t>
  </si>
  <si>
    <t>RCMFX US EQUITY</t>
  </si>
  <si>
    <t>DVSGX US EQUITY</t>
  </si>
  <si>
    <t>EHIAX US EQUITY</t>
  </si>
  <si>
    <t>SKSEX US EQUITY</t>
  </si>
  <si>
    <t>EGSAX US EQUITY</t>
  </si>
  <si>
    <t>MGDPX US EQUITY</t>
  </si>
  <si>
    <t>VIEAX US EQUITY</t>
  </si>
  <si>
    <t>FFSCX US EQUITY</t>
  </si>
  <si>
    <t>WIIEX US EQUITY</t>
  </si>
  <si>
    <t>ADVEX US EQUITY</t>
  </si>
  <si>
    <t>HVWBX US EQUITY</t>
  </si>
  <si>
    <t>QSMLX US EQUITY</t>
  </si>
  <si>
    <t>ICNCX US EQUITY</t>
  </si>
  <si>
    <t>IOLCX US EQUITY</t>
  </si>
  <si>
    <t>HDVAX US EQUITY</t>
  </si>
  <si>
    <t>USCOX US EQUITY</t>
  </si>
  <si>
    <t>TARKX US EQUITY</t>
  </si>
  <si>
    <t>NEXTX US EQUITY</t>
  </si>
  <si>
    <t>JMCRX US EQUITY</t>
  </si>
  <si>
    <t>ELAAX US EQUITY</t>
  </si>
  <si>
    <t>NSIAX US EQUITY</t>
  </si>
  <si>
    <t>GLOAX US EQUITY</t>
  </si>
  <si>
    <t>ANOIX US EQUITY</t>
  </si>
  <si>
    <t>NSSAX US EQUITY</t>
  </si>
  <si>
    <t>MCHFX US EQUITY</t>
  </si>
  <si>
    <t>CMXAX US EQUITY</t>
  </si>
  <si>
    <t>NWVAX US EQUITY</t>
  </si>
  <si>
    <t>IPOSX US EQUITY</t>
  </si>
  <si>
    <t>FMJDX US EQUITY</t>
  </si>
  <si>
    <t>BUFIX US EQUITY</t>
  </si>
  <si>
    <t>DCINX US EQUITY</t>
  </si>
  <si>
    <t>CRIWX US EQUITY</t>
  </si>
  <si>
    <t>VGEAX US EQUITY</t>
  </si>
  <si>
    <t>LCOCX US EQUITY</t>
  </si>
  <si>
    <t>AANNX US EQUITY</t>
  </si>
  <si>
    <t>BERCX US EQUITY</t>
  </si>
  <si>
    <t>PJNAX US EQUITY</t>
  </si>
  <si>
    <t>SRTSX US EQUITY</t>
  </si>
  <si>
    <t>PGIAX US EQUITY</t>
  </si>
  <si>
    <t>AZBAX US EQUITY</t>
  </si>
  <si>
    <t>PINQX US EQUITY</t>
  </si>
  <si>
    <t>QASCX US EQUITY</t>
  </si>
  <si>
    <t>MINAX US EQUITY</t>
  </si>
  <si>
    <t>TSLAX US EQUITY</t>
  </si>
  <si>
    <t>NWSAX US EQUITY</t>
  </si>
  <si>
    <t>SITSX US EQUITY</t>
  </si>
  <si>
    <t>CSLFX US EQUITY</t>
  </si>
  <si>
    <t>GAAEX US EQUITY</t>
  </si>
  <si>
    <t>CNUSX US EQUITY</t>
  </si>
  <si>
    <t>WCMSCG1 US EQUITY</t>
  </si>
  <si>
    <t>RYDVX US EQUITY</t>
  </si>
  <si>
    <t>HCCSX US EQUITY</t>
  </si>
  <si>
    <t>TSCEX US EQUITY</t>
  </si>
  <si>
    <t>ESCIX US EQUITY</t>
  </si>
  <si>
    <t>WCMEX US EQUITY</t>
  </si>
  <si>
    <t>JCCAX US EQUITY</t>
  </si>
  <si>
    <t>PRJAX US EQUITY</t>
  </si>
  <si>
    <t>AEMIX US EQUITY</t>
  </si>
  <si>
    <t>RGFAX US EQUITY</t>
  </si>
  <si>
    <t>AOFAX US EQUITY</t>
  </si>
  <si>
    <t>ENTIX US EQUITY</t>
  </si>
  <si>
    <t>CGMFX US EQUITY</t>
  </si>
  <si>
    <t>DRIOX US EQUITY</t>
  </si>
  <si>
    <t>SFEOX US EQUITY</t>
  </si>
  <si>
    <t>ACLNX US EQUITY</t>
  </si>
  <si>
    <t>DCGTX US EQUITY</t>
  </si>
  <si>
    <t>MXIGX US EQUITY</t>
  </si>
  <si>
    <t>NUIAX US EQUITY</t>
  </si>
  <si>
    <t>WTMIX US EQUITY</t>
  </si>
  <si>
    <t>DISMX US EQUITY</t>
  </si>
  <si>
    <t>MBPHX US EQUITY</t>
  </si>
  <si>
    <t>WTSGX US EQUITY</t>
  </si>
  <si>
    <t>MASSX US EQUITY</t>
  </si>
  <si>
    <t>QASGX US EQUITY</t>
  </si>
  <si>
    <t>MSSCX US EQUITY</t>
  </si>
  <si>
    <t>RPGIX US EQUITY</t>
  </si>
  <si>
    <t>SCAPX US EQUITY</t>
  </si>
  <si>
    <t>SPTAX US EQUITY</t>
  </si>
  <si>
    <t>PGFFX US EQUITY</t>
  </si>
  <si>
    <t>RYIPX US EQUITY</t>
  </si>
  <si>
    <t>GFFIX US EQUITY</t>
  </si>
  <si>
    <t>GIGRX US EQUITY</t>
  </si>
  <si>
    <t>EUGIX US EQUITY</t>
  </si>
  <si>
    <t>GTCSX US EQUITY</t>
  </si>
  <si>
    <t>ARSMX US EQUITY</t>
  </si>
  <si>
    <t>ZSCCX US EQUITY</t>
  </si>
  <si>
    <t>IMSSX US EQUITY</t>
  </si>
  <si>
    <t>PSCVX US EQUITY</t>
  </si>
  <si>
    <t>SCOTX US EQUITY</t>
  </si>
  <si>
    <t>UNSAX US EQUITY</t>
  </si>
  <si>
    <t>PENNX US EQUITY</t>
  </si>
  <si>
    <t>RGLIX US EQUITY</t>
  </si>
  <si>
    <t>EKTMX US EQUITY</t>
  </si>
  <si>
    <t>TWIEX US EQUITY</t>
  </si>
  <si>
    <t>GUBGX US EQUITY</t>
  </si>
  <si>
    <t>MMEYX US EQUITY</t>
  </si>
  <si>
    <t>CIGRX US EQUITY</t>
  </si>
  <si>
    <t>JSCGX US EQUITY</t>
  </si>
  <si>
    <t>CLIDX US EQUITY</t>
  </si>
  <si>
    <t>DVIEX US EQUITY</t>
  </si>
  <si>
    <t>DFVLX US EQUITY</t>
  </si>
  <si>
    <t>AWCGX US EQUITY</t>
  </si>
  <si>
    <t>LMPMX US EQUITY</t>
  </si>
  <si>
    <t>DRGGX US EQUITY</t>
  </si>
  <si>
    <t>DFHBX US EQUITY</t>
  </si>
  <si>
    <t>WRGCX US EQUITY</t>
  </si>
  <si>
    <t>PSCGX US EQUITY</t>
  </si>
  <si>
    <t>SVSCX US EQUITY</t>
  </si>
  <si>
    <t>TASGX US EQUITY</t>
  </si>
  <si>
    <t>TEXCX US EQUITY</t>
  </si>
  <si>
    <t>BELAX US EQUITY</t>
  </si>
  <si>
    <t>LLGLX US EQUITY</t>
  </si>
  <si>
    <t>MHBAX US EQUITY</t>
  </si>
  <si>
    <t>SSMIX US EQUITY</t>
  </si>
  <si>
    <t>TGSDX US EQUITY</t>
  </si>
  <si>
    <t>USLDX US EQUITY</t>
  </si>
  <si>
    <t>CMOVX US EQUITY</t>
  </si>
  <si>
    <t>HRSAX US EQUITY</t>
  </si>
  <si>
    <t>VEEEX US EQUITY</t>
  </si>
  <si>
    <t>MEGAX US EQUITY</t>
  </si>
  <si>
    <t>RYDFX US EQUITY</t>
  </si>
  <si>
    <t>AAIEX US EQUITY</t>
  </si>
  <si>
    <t>NRIEX US EQUITY</t>
  </si>
  <si>
    <t>PGEAX US EQUITY</t>
  </si>
  <si>
    <t>WVSAX US EQUITY</t>
  </si>
  <si>
    <t>RYSEX US EQUITY</t>
  </si>
  <si>
    <t>GTGSX US EQUITY</t>
  </si>
  <si>
    <t>FAIRX US EQUITY</t>
  </si>
  <si>
    <t>ARSVX US EQUITY</t>
  </si>
  <si>
    <t>SGFFX US EQUITY</t>
  </si>
  <si>
    <t>JMIAX US EQUITY</t>
  </si>
  <si>
    <t>ARTWX US EQUITY</t>
  </si>
  <si>
    <t>SWRLX US EQUITY</t>
  </si>
  <si>
    <t>RYEIX US EQUITY</t>
  </si>
  <si>
    <t>NSMAX US EQUITY</t>
  </si>
  <si>
    <t>DRCVX US EQUITY</t>
  </si>
  <si>
    <t>QICLX US EQUITY</t>
  </si>
  <si>
    <t>WESCX US EQUITY</t>
  </si>
  <si>
    <t>SCSGX US EQUITY</t>
  </si>
  <si>
    <t>TPIAX US EQUITY</t>
  </si>
  <si>
    <t>DHGLX US EQUITY</t>
  </si>
  <si>
    <t>MBRSX US EQUITY</t>
  </si>
  <si>
    <t>AIOIX US EQUITY</t>
  </si>
  <si>
    <t>OFMAX US EQUITY</t>
  </si>
  <si>
    <t>HSCAX US EQUITY</t>
  </si>
  <si>
    <t>NESGX US EQUITY</t>
  </si>
  <si>
    <t>WCMGX US EQUITY</t>
  </si>
  <si>
    <t>ATSMX US EQUITY</t>
  </si>
  <si>
    <t>PISZX US EQUITY</t>
  </si>
  <si>
    <t>SSUAX US EQUITY</t>
  </si>
  <si>
    <t>TPEAX US EQUITY</t>
  </si>
  <si>
    <t>VPIIM1V US EQUITY</t>
  </si>
  <si>
    <t>TWEGX US EQUITY</t>
  </si>
  <si>
    <t>JLMAX US EQUITY</t>
  </si>
  <si>
    <t>ARSOX US EQUITY</t>
  </si>
  <si>
    <t>TPAIX US EQUITY</t>
  </si>
  <si>
    <t>TMRFX US EQUITY</t>
  </si>
  <si>
    <t>PREOX US EQUITY</t>
  </si>
  <si>
    <t>RYOHX US EQUITY</t>
  </si>
  <si>
    <t>AEUAX US EQUITY</t>
  </si>
  <si>
    <t>PAABX US EQUITY</t>
  </si>
  <si>
    <t>OSFDX US EQUITY</t>
  </si>
  <si>
    <t>IAOPX US EQUITY</t>
  </si>
  <si>
    <t>CRIIX US EQUITY</t>
  </si>
  <si>
    <t>HDPCX US EQUITY</t>
  </si>
  <si>
    <t>IUAEX US EQUITY</t>
  </si>
  <si>
    <t>EGLBX US EQUITY</t>
  </si>
  <si>
    <t>GIEIX US EQUITY</t>
  </si>
  <si>
    <t>PARSX US EQUITY</t>
  </si>
  <si>
    <t>SSETX US EQUITY</t>
  </si>
  <si>
    <t>SGSNX US EQUITY</t>
  </si>
  <si>
    <t>FIHSX US EQUITY</t>
  </si>
  <si>
    <t>VDCAX US EQUITY</t>
  </si>
  <si>
    <t>WPGTX US EQUITY</t>
  </si>
  <si>
    <t>DCDGX US EQUITY</t>
  </si>
  <si>
    <t>MGUAX US EQUITY</t>
  </si>
  <si>
    <t>RAMVX US EQUITY</t>
  </si>
  <si>
    <t>AVESX US EQUITY</t>
  </si>
  <si>
    <t>DCMEX US EQUITY</t>
  </si>
  <si>
    <t>ENCPX US EQUITY</t>
  </si>
  <si>
    <t>KGLAX US EQUITY</t>
  </si>
  <si>
    <t>PDFDX US EQUITY</t>
  </si>
  <si>
    <t>TLSIX US EQUITY</t>
  </si>
  <si>
    <t>CMSVX US EQUITY</t>
  </si>
  <si>
    <t>SPWAX US EQUITY</t>
  </si>
  <si>
    <t>KGGAX US EQUITY</t>
  </si>
  <si>
    <t>RYPNX US EQUITY</t>
  </si>
  <si>
    <t>FNATX US EQUITY</t>
  </si>
  <si>
    <t>SIEPX US EQUITY</t>
  </si>
  <si>
    <t>STITX US EQUITY</t>
  </si>
  <si>
    <t>RYOTX US EQUITY</t>
  </si>
  <si>
    <t>BRSMX US EQUITY</t>
  </si>
  <si>
    <t>IEOAX US EQUITY</t>
  </si>
  <si>
    <t>DFUKX US EQUITY</t>
  </si>
  <si>
    <t>NGGAX US EQUITY</t>
  </si>
  <si>
    <t>DMCRX US EQUITY</t>
  </si>
  <si>
    <t>PGBBX US EQUITY</t>
  </si>
  <si>
    <t>BUYAX US EQUITY</t>
  </si>
  <si>
    <t>ARTSX US EQUITY</t>
  </si>
  <si>
    <t>AMCIX US EQUITY</t>
  </si>
  <si>
    <t>JGNAX US EQUITY</t>
  </si>
  <si>
    <t>GNFIX US EQUITY</t>
  </si>
  <si>
    <t>MOUAX US EQUITY</t>
  </si>
  <si>
    <t>VAFGX US EQUITY</t>
  </si>
  <si>
    <t>DSMMX US EQUITY</t>
  </si>
  <si>
    <t>EPHAX US EQUITY</t>
  </si>
  <si>
    <t>VPIMV1V US EQUITY</t>
  </si>
  <si>
    <t>PWJAX US EQUITY</t>
  </si>
  <si>
    <t>LEFAX US EQUITY</t>
  </si>
  <si>
    <t>NBABX US EQUITY</t>
  </si>
  <si>
    <t>CAEAX US EQUITY</t>
  </si>
  <si>
    <t>GNOIX US EQUITY</t>
  </si>
  <si>
    <t>ASCGX US EQUITY</t>
  </si>
  <si>
    <t>MECIX US EQUITY</t>
  </si>
  <si>
    <t>RHJSX US EQUITY</t>
  </si>
  <si>
    <t>GLNAX US EQUITY</t>
  </si>
  <si>
    <t>OBSOX US EQUITY</t>
  </si>
  <si>
    <t>IGWAX US EQUITY</t>
  </si>
  <si>
    <t>AQBLX US EQUITY</t>
  </si>
  <si>
    <t>MOFQX US EQUITY</t>
  </si>
  <si>
    <t>VPIIG2V US EQUITY</t>
  </si>
  <si>
    <t>FNTGX US EQUITY</t>
  </si>
  <si>
    <t>ARTVX US EQUITY</t>
  </si>
  <si>
    <t>ARTJX US EQUITY</t>
  </si>
  <si>
    <t>RSQIX US EQUITY</t>
  </si>
  <si>
    <t>CEAAX US EQUITY</t>
  </si>
  <si>
    <t>TMCGX US EQUITY</t>
  </si>
  <si>
    <t>SRTGX US EQUITY</t>
  </si>
  <si>
    <t>DRIDX US EQUITY</t>
  </si>
  <si>
    <t>MIDSX US EQUITY</t>
  </si>
  <si>
    <t>ROSFX US EQUITY</t>
  </si>
  <si>
    <t>MXSGX US EQUITY</t>
  </si>
  <si>
    <t>JMIGX US EQUITY</t>
  </si>
  <si>
    <t>LLINX US EQUITY</t>
  </si>
  <si>
    <t>MMSCX US EQUITY</t>
  </si>
  <si>
    <t>FTSGX US EQUITY</t>
  </si>
  <si>
    <t>SBSGX US EQUITY</t>
  </si>
  <si>
    <t>TDVFX US EQUITY</t>
  </si>
  <si>
    <t>OBMCX US EQUITY</t>
  </si>
  <si>
    <t>BNRIX US EQUITY</t>
  </si>
  <si>
    <t>KPSCX US EQUITY</t>
  </si>
  <si>
    <t>SBMBX US EQUITY</t>
  </si>
  <si>
    <t>OBEGX US EQUITY</t>
  </si>
  <si>
    <t>ARDFX US EQUITY</t>
  </si>
  <si>
    <t>ADINX US EQUITY</t>
  </si>
  <si>
    <t>RISCX US EQUITY</t>
  </si>
  <si>
    <t>THBIX US EQUITY</t>
  </si>
  <si>
    <t>RYMEX US EQUITY</t>
  </si>
  <si>
    <t>RYVIX US EQUITY</t>
  </si>
  <si>
    <t>PVIVX US EQUITY</t>
  </si>
  <si>
    <t>VGCAX US EQUITY</t>
  </si>
  <si>
    <t>SCMVX US EQUITY</t>
  </si>
  <si>
    <t>PAMVX US EQUITY</t>
  </si>
  <si>
    <t>PVPIX US EQUITY</t>
  </si>
  <si>
    <t>GHDAX US EQUITY</t>
  </si>
  <si>
    <t>CUSCX US EQUITY</t>
  </si>
  <si>
    <t>SABAX US EQUITY</t>
  </si>
  <si>
    <t>PASMX US EQUITY</t>
  </si>
  <si>
    <t>LEQAX US EQUITY</t>
  </si>
  <si>
    <t>CRSGX US EQUITY</t>
  </si>
  <si>
    <t>CARNX US EQUITY</t>
  </si>
  <si>
    <t>LPEAX US EQUITY</t>
  </si>
  <si>
    <t>BIRMX US EQUITY</t>
  </si>
  <si>
    <t>VPIGO1V US EQUITY</t>
  </si>
  <si>
    <t>USIIX US EQUITY</t>
  </si>
  <si>
    <t>DAVAX US EQUITY</t>
  </si>
  <si>
    <t>NYSAX US EQUITY</t>
  </si>
  <si>
    <t>RIELX US EQUITY</t>
  </si>
  <si>
    <t>GVPIX US EQUITY</t>
  </si>
  <si>
    <t>XMLPX US EQUITY</t>
  </si>
  <si>
    <t>DIIMX US EQUITY</t>
  </si>
  <si>
    <t>BIPIX US EQUITY</t>
  </si>
  <si>
    <t>REPSX US EQUITY</t>
  </si>
  <si>
    <t>DRXIX US EQUITY</t>
  </si>
  <si>
    <t>UTPSX US EQUITY</t>
  </si>
  <si>
    <t>EIREX US EQUITY</t>
  </si>
  <si>
    <t>WTRREIT US EQUITY</t>
  </si>
  <si>
    <t>EIIRX US EQUITY</t>
  </si>
  <si>
    <t>BIREX US EQUITY</t>
  </si>
  <si>
    <t>MXREX US EQUITY</t>
  </si>
  <si>
    <t>SMPIX US EQUITY</t>
  </si>
  <si>
    <t>CSRSX US EQUITY</t>
  </si>
  <si>
    <t>HCPIX US EQUITY</t>
  </si>
  <si>
    <t>DIIBX US EQUITY</t>
  </si>
  <si>
    <t>KSRAX US EQUITY</t>
  </si>
  <si>
    <t>DXKLX US EQUITY</t>
  </si>
  <si>
    <t>LDRAX US EQUITY</t>
  </si>
  <si>
    <t>RPLCX US EQUITY</t>
  </si>
  <si>
    <t>THAYX US EQUITY</t>
  </si>
  <si>
    <t>HHLAX US EQUITY</t>
  </si>
  <si>
    <t>SLDAX US EQUITY</t>
  </si>
  <si>
    <t>BTTRX US EQUITY</t>
  </si>
  <si>
    <t>IVRAX US EQUITY</t>
  </si>
  <si>
    <t>EALTX US EQUITY</t>
  </si>
  <si>
    <t>RYVYX US EQUITY</t>
  </si>
  <si>
    <t>UOPIX US EQUITY</t>
  </si>
  <si>
    <t>MSCAX US EQUITY</t>
  </si>
  <si>
    <t>HIMAX US EQUITY</t>
  </si>
  <si>
    <t>EMOAX US EQUITY</t>
  </si>
  <si>
    <t>ARFCX US EQUITY</t>
  </si>
  <si>
    <t>PHPIX US EQUITY</t>
  </si>
  <si>
    <t>BCHYX US EQUITY</t>
  </si>
  <si>
    <t>PRAIX US EQUITY</t>
  </si>
  <si>
    <t>IYIAX US EQUITY</t>
  </si>
  <si>
    <t>ALEFX US EQUITY</t>
  </si>
  <si>
    <t>PRPAX US EQUITY</t>
  </si>
  <si>
    <t>ORAZX US EQUITY</t>
  </si>
  <si>
    <t>PQTOX US EQUITY</t>
  </si>
  <si>
    <t>GIJAX US EQUITY</t>
  </si>
  <si>
    <t>PTIMX US EQUITY</t>
  </si>
  <si>
    <t>GMHBX US EQUITY</t>
  </si>
  <si>
    <t>OROBX US EQUITY</t>
  </si>
  <si>
    <t>UMUHX US EQUITY</t>
  </si>
  <si>
    <t>LWSMX US EQUITY</t>
  </si>
  <si>
    <t>PGJAX US EQUITY</t>
  </si>
  <si>
    <t>FDYAX US EQUITY</t>
  </si>
  <si>
    <t>CNRNX US EQUITY</t>
  </si>
  <si>
    <t>ABHYX US EQUITY</t>
  </si>
  <si>
    <t>MEBIX US EQUITY</t>
  </si>
  <si>
    <t>TEPIX US EQUITY</t>
  </si>
  <si>
    <t>DUTMX US EQUITY</t>
  </si>
  <si>
    <t>DPIAX US EQUITY</t>
  </si>
  <si>
    <t>TAMUX US EQUITY</t>
  </si>
  <si>
    <t>FNTYX US EQUITY</t>
  </si>
  <si>
    <t>ORMDX US EQUITY</t>
  </si>
  <si>
    <t>ORMIX US EQUITY</t>
  </si>
  <si>
    <t>FCHPX US EQUITY</t>
  </si>
  <si>
    <t>FICAX US EQUITY</t>
  </si>
  <si>
    <t>FTMLX US EQUITY</t>
  </si>
  <si>
    <t>FSODX US EQUITY</t>
  </si>
  <si>
    <t>CWRAX US EQUITY</t>
  </si>
  <si>
    <t>EVMOX US EQUITY</t>
  </si>
  <si>
    <t>CTESX US EQUITY</t>
  </si>
  <si>
    <t>LTAFX US EQUITY</t>
  </si>
  <si>
    <t>FTMIX US EQUITY</t>
  </si>
  <si>
    <t>IREAX US EQUITY</t>
  </si>
  <si>
    <t>DGRPX US EQUITY</t>
  </si>
  <si>
    <t>DUMSX US EQUITY</t>
  </si>
  <si>
    <t>BCLTX US EQUITY</t>
  </si>
  <si>
    <t>MMGAX US EQUITY</t>
  </si>
  <si>
    <t>CADNX US EQUITY</t>
  </si>
  <si>
    <t>FIMHX US EQUITY</t>
  </si>
  <si>
    <t>RYSDX US EQUITY</t>
  </si>
  <si>
    <t>QRHIX US EQUITY</t>
  </si>
  <si>
    <t>OARTX US EQUITY</t>
  </si>
  <si>
    <t>FIMAX US EQUITY</t>
  </si>
  <si>
    <t>AMIAX US EQUITY</t>
  </si>
  <si>
    <t>FTPAX US EQUITY</t>
  </si>
  <si>
    <t>PXMIX US EQUITY</t>
  </si>
  <si>
    <t>PTAZX US EQUITY</t>
  </si>
  <si>
    <t>FTOTX US EQUITY</t>
  </si>
  <si>
    <t>PYACX US EQUITY</t>
  </si>
  <si>
    <t>FIOHX US EQUITY</t>
  </si>
  <si>
    <t>FTORX US EQUITY</t>
  </si>
  <si>
    <t>FIVAX US EQUITY</t>
  </si>
  <si>
    <t>UXPIX US EQUITY</t>
  </si>
  <si>
    <t>FIVCX US EQUITY</t>
  </si>
  <si>
    <t>FIOKX US EQUITY</t>
  </si>
  <si>
    <t>FNYHX US EQUITY</t>
  </si>
  <si>
    <t>DPIGX US EQUITY</t>
  </si>
  <si>
    <t>ALERX US EQUITY</t>
  </si>
  <si>
    <t>DUALX US EQUITY</t>
  </si>
  <si>
    <t>FINLX US EQUITY</t>
  </si>
  <si>
    <t>CNCFX US EQUITY</t>
  </si>
  <si>
    <t>EVAZX US EQUITY</t>
  </si>
  <si>
    <t>ACISX US EQUITY</t>
  </si>
  <si>
    <t>FINJX US EQUITY</t>
  </si>
  <si>
    <t>GMTEX US EQUITY</t>
  </si>
  <si>
    <t>UNMBX US EQUITY</t>
  </si>
  <si>
    <t>FICTX US EQUITY</t>
  </si>
  <si>
    <t>FMTTX US EQUITY</t>
  </si>
  <si>
    <t>FICYX US EQUITY</t>
  </si>
  <si>
    <t>SBIFX US EQUITY</t>
  </si>
  <si>
    <t>EVGAX US EQUITY</t>
  </si>
  <si>
    <t>MMBAX US EQUITY</t>
  </si>
  <si>
    <t>FMTNX US EQUITY</t>
  </si>
  <si>
    <t>ORRWX US EQUITY</t>
  </si>
  <si>
    <t>CPUAX US EQUITY</t>
  </si>
  <si>
    <t>SORLX US EQUITY</t>
  </si>
  <si>
    <t>NEMUX US EQUITY</t>
  </si>
  <si>
    <t>GTFHX US EQUITY</t>
  </si>
  <si>
    <t>PCTIX US EQUITY</t>
  </si>
  <si>
    <t>VLHYX US EQUITY</t>
  </si>
  <si>
    <t>CRAAX US EQUITY</t>
  </si>
  <si>
    <t>DSEEX US EQUITY</t>
  </si>
  <si>
    <t>NYIFX US EQUITY</t>
  </si>
  <si>
    <t>RYWTX US EQUITY</t>
  </si>
  <si>
    <t>FOCFX US EQUITY</t>
  </si>
  <si>
    <t>MPFDX US EQUITY</t>
  </si>
  <si>
    <t>CPRFX US EQUITY</t>
  </si>
  <si>
    <t>WMBAX US EQUITY</t>
  </si>
  <si>
    <t>TRSIX US EQUITY</t>
  </si>
  <si>
    <t>UUPIX US EQUITY</t>
  </si>
  <si>
    <t>HCGAX US EQUITY</t>
  </si>
  <si>
    <t>FLSFX US EQUITY</t>
  </si>
  <si>
    <t>FOMAX US EQUITY</t>
  </si>
  <si>
    <t>PMNIX US EQUITY</t>
  </si>
  <si>
    <t>SDLAX US EQUITY</t>
  </si>
  <si>
    <t>LCDAX US EQUITY</t>
  </si>
  <si>
    <t>PWDAX US EQUITY</t>
  </si>
  <si>
    <t>TOHCX US EQUITY</t>
  </si>
  <si>
    <t>PCSDX US EQUITY</t>
  </si>
  <si>
    <t>SIUSX US EQUITY</t>
  </si>
  <si>
    <t>NMFIX US EQUITY</t>
  </si>
  <si>
    <t>ESDAX US EQUITY</t>
  </si>
  <si>
    <t>GIBAX US EQUITY</t>
  </si>
  <si>
    <t>DXSLX US EQUITY</t>
  </si>
  <si>
    <t>NITAX US EQUITY</t>
  </si>
  <si>
    <t>CPNAX US EQUITY</t>
  </si>
  <si>
    <t>FIMQX US EQUITY</t>
  </si>
  <si>
    <t>CAMBX US EQUITY</t>
  </si>
  <si>
    <t>ADLIX US EQUITY</t>
  </si>
  <si>
    <t>GTVAX US EQUITY</t>
  </si>
  <si>
    <t>EVMYX US EQUITY</t>
  </si>
  <si>
    <t>GMGBX US EQUITY</t>
  </si>
  <si>
    <t>OKMUX US EQUITY</t>
  </si>
  <si>
    <t>AAHMX US EQUITY</t>
  </si>
  <si>
    <t>FIMNX US EQUITY</t>
  </si>
  <si>
    <t>ATTAX US EQUITY</t>
  </si>
  <si>
    <t>WAFIX US EQUITY</t>
  </si>
  <si>
    <t>RBECX US EQUITY</t>
  </si>
  <si>
    <t>DHDAX US EQUITY</t>
  </si>
  <si>
    <t>TDFSX US EQUITY</t>
  </si>
  <si>
    <t>FLRUX US EQUITY</t>
  </si>
  <si>
    <t>BTTTX US EQUITY</t>
  </si>
  <si>
    <t>BEEIX US EQUITY</t>
  </si>
  <si>
    <t>HVCBX US EQUITY</t>
  </si>
  <si>
    <t>PXLVX US EQUITY</t>
  </si>
  <si>
    <t>HCOAX US EQUITY</t>
  </si>
  <si>
    <t>KSMUX US EQUITY</t>
  </si>
  <si>
    <t>FXIRX US EQUITY</t>
  </si>
  <si>
    <t>PYCAX US EQUITY</t>
  </si>
  <si>
    <t>PRVBX US EQUITY</t>
  </si>
  <si>
    <t>ZREITX US EQUITY</t>
  </si>
  <si>
    <t>HQBAX US EQUITY</t>
  </si>
  <si>
    <t>HXIAX US EQUITY</t>
  </si>
  <si>
    <t>MIMAX US EQUITY</t>
  </si>
  <si>
    <t>FUTEX US EQUITY</t>
  </si>
  <si>
    <t>SHCDX US EQUITY</t>
  </si>
  <si>
    <t>PARWX US EQUITY</t>
  </si>
  <si>
    <t>BCITX US EQUITY</t>
  </si>
  <si>
    <t>USFIX US EQUITY</t>
  </si>
  <si>
    <t>FXIEX US EQUITY</t>
  </si>
  <si>
    <t>MEAPX US EQUITY</t>
  </si>
  <si>
    <t>PDATX US EQUITY</t>
  </si>
  <si>
    <t>ULPIX US EQUITY</t>
  </si>
  <si>
    <t>ARINX US EQUITY</t>
  </si>
  <si>
    <t>OTPSX US EQUITY</t>
  </si>
  <si>
    <t>UKPIX US EQUITY</t>
  </si>
  <si>
    <t>IDIVX US EQUITY</t>
  </si>
  <si>
    <t>MEMUX US EQUITY</t>
  </si>
  <si>
    <t>BSTAX US EQUITY</t>
  </si>
  <si>
    <t>HHIAX US EQUITY</t>
  </si>
  <si>
    <t>SHIGX US EQUITY</t>
  </si>
  <si>
    <t>VEDAX US EQUITY</t>
  </si>
  <si>
    <t>IBOAX US EQUITY</t>
  </si>
  <si>
    <t>SOHTX US EQUITY</t>
  </si>
  <si>
    <t>DCFIX US EQUITY</t>
  </si>
  <si>
    <t>EXMAX US EQUITY</t>
  </si>
  <si>
    <t>DCPFX US EQUITY</t>
  </si>
  <si>
    <t>GMIBX US EQUITY</t>
  </si>
  <si>
    <t>TWTIX US EQUITY</t>
  </si>
  <si>
    <t>AKFAX US EQUITY</t>
  </si>
  <si>
    <t>PEMWX US EQUITY</t>
  </si>
  <si>
    <t>NOCBX US EQUITY</t>
  </si>
  <si>
    <t>DVGCX US EQUITY</t>
  </si>
  <si>
    <t>NMIIX US EQUITY</t>
  </si>
  <si>
    <t>ACBPX US EQUITY</t>
  </si>
  <si>
    <t>FSMIX US EQUITY</t>
  </si>
  <si>
    <t>MPSFX US EQUITY</t>
  </si>
  <si>
    <t>VSPGX US EQUITY</t>
  </si>
  <si>
    <t>FCSPX US EQUITY</t>
  </si>
  <si>
    <t>GESLX US EQUITY</t>
  </si>
  <si>
    <t>NHMUX US EQUITY</t>
  </si>
  <si>
    <t>NGTAX US EQUITY</t>
  </si>
  <si>
    <t>EIGIX US EQUITY</t>
  </si>
  <si>
    <t>PRIIX US EQUITY</t>
  </si>
  <si>
    <t>BBTBX US EQUITY</t>
  </si>
  <si>
    <t>DEDAX US EQUITY</t>
  </si>
  <si>
    <t>BSHGX US EQUITY</t>
  </si>
  <si>
    <t>TDBFX US EQUITY</t>
  </si>
  <si>
    <t>SILVX US EQUITY</t>
  </si>
  <si>
    <t>LWAAX US EQUITY</t>
  </si>
  <si>
    <t>COINX US EQUITY</t>
  </si>
  <si>
    <t>PIMEX US EQUITY</t>
  </si>
  <si>
    <t>FWHBX US EQUITY</t>
  </si>
  <si>
    <t>DFIGX US EQUITY</t>
  </si>
  <si>
    <t>DRFIX US EQUITY</t>
  </si>
  <si>
    <t>TVVAX US EQUITY</t>
  </si>
  <si>
    <t>ZIPTAX US EQUITY</t>
  </si>
  <si>
    <t>MUNIX US EQUITY</t>
  </si>
  <si>
    <t>TVEAX US EQUITY</t>
  </si>
  <si>
    <t>WTRBX US EQUITY</t>
  </si>
  <si>
    <t>DEBRX US EQUITY</t>
  </si>
  <si>
    <t>MXFDX US EQUITY</t>
  </si>
  <si>
    <t>PCDFX US EQUITY</t>
  </si>
  <si>
    <t>NERAX US EQUITY</t>
  </si>
  <si>
    <t>ANSCX US EQUITY</t>
  </si>
  <si>
    <t>PRBLX US EQUITY</t>
  </si>
  <si>
    <t>MWATX US EQUITY</t>
  </si>
  <si>
    <t>MABOX US EQUITY</t>
  </si>
  <si>
    <t>EIPBX US EQUITY</t>
  </si>
  <si>
    <t>WCMCFI1 US EQUITY</t>
  </si>
  <si>
    <t>PLIAX US EQUITY</t>
  </si>
  <si>
    <t>MAGDX US EQUITY</t>
  </si>
  <si>
    <t>UGPIX US EQUITY</t>
  </si>
  <si>
    <t>ACCQX US EQUITY</t>
  </si>
  <si>
    <t>IEAAX US EQUITY</t>
  </si>
  <si>
    <t>SEDAX US EQUITY</t>
  </si>
  <si>
    <t>IPBAX US EQUITY</t>
  </si>
  <si>
    <t>NWJOX US EQUITY</t>
  </si>
  <si>
    <t>FIBPX US EQUITY</t>
  </si>
  <si>
    <t>MTGAX US EQUITY</t>
  </si>
  <si>
    <t>AGBAX US EQUITY</t>
  </si>
  <si>
    <t>DVIBX US EQUITY</t>
  </si>
  <si>
    <t>APBDX US EQUITY</t>
  </si>
  <si>
    <t>JEEBX US EQUITY</t>
  </si>
  <si>
    <t>TFIAX US EQUITY</t>
  </si>
  <si>
    <t>FMHIX US EQUITY</t>
  </si>
  <si>
    <t>GLBNX US EQUITY</t>
  </si>
  <si>
    <t>PRFIX US EQUITY</t>
  </si>
  <si>
    <t>ACITX US EQUITY</t>
  </si>
  <si>
    <t>AASPX US EQUITY</t>
  </si>
  <si>
    <t>OAFIX US EQUITY</t>
  </si>
  <si>
    <t>IRHAX US EQUITY</t>
  </si>
  <si>
    <t>CNPIX US EQUITY</t>
  </si>
  <si>
    <t>STFAX US EQUITY</t>
  </si>
  <si>
    <t>CGAFX US EQUITY</t>
  </si>
  <si>
    <t>FMCFX US EQUITY</t>
  </si>
  <si>
    <t>APTFX US EQUITY</t>
  </si>
  <si>
    <t>TCOFX US EQUITY</t>
  </si>
  <si>
    <t>TPDAX US EQUITY</t>
  </si>
  <si>
    <t>FUTCX US EQUITY</t>
  </si>
  <si>
    <t>WQCEX US EQUITY</t>
  </si>
  <si>
    <t>TCPIX US EQUITY</t>
  </si>
  <si>
    <t>BGNMX US EQUITY</t>
  </si>
  <si>
    <t>LCIAX US EQUITY</t>
  </si>
  <si>
    <t>USFSX US EQUITY</t>
  </si>
  <si>
    <t>SUPRX US EQUITY</t>
  </si>
  <si>
    <t>GTCGX US EQUITY</t>
  </si>
  <si>
    <t>MSYIX US EQUITY</t>
  </si>
  <si>
    <t>HYOAX US EQUITY</t>
  </si>
  <si>
    <t>WCIFX US EQUITY</t>
  </si>
  <si>
    <t>FAPAX US EQUITY</t>
  </si>
  <si>
    <t>ACLDX US EQUITY</t>
  </si>
  <si>
    <t>MUXYX US EQUITY</t>
  </si>
  <si>
    <t>CSTFX US EQUITY</t>
  </si>
  <si>
    <t>CPTNX US EQUITY</t>
  </si>
  <si>
    <t>MXVIX US EQUITY</t>
  </si>
  <si>
    <t>GLTAX US EQUITY</t>
  </si>
  <si>
    <t>DSKIX US EQUITY</t>
  </si>
  <si>
    <t>EPIAX US EQUITY</t>
  </si>
  <si>
    <t>RDPIX US EQUITY</t>
  </si>
  <si>
    <t>CALFX US EQUITY</t>
  </si>
  <si>
    <t>APFBX US EQUITY</t>
  </si>
  <si>
    <t>NGSAX US EQUITY</t>
  </si>
  <si>
    <t>MXSIX US EQUITY</t>
  </si>
  <si>
    <t>HVDBX US EQUITY</t>
  </si>
  <si>
    <t>HCYIX US EQUITY</t>
  </si>
  <si>
    <t>SEGSX US EQUITY</t>
  </si>
  <si>
    <t>MUSFX US EQUITY</t>
  </si>
  <si>
    <t>GIOAX US EQUITY</t>
  </si>
  <si>
    <t>DXMAX US EQUITY</t>
  </si>
  <si>
    <t>WTLTX US EQUITY</t>
  </si>
  <si>
    <t>SHOAX US EQUITY</t>
  </si>
  <si>
    <t>TGHYX US EQUITY</t>
  </si>
  <si>
    <t>RARAX US EQUITY</t>
  </si>
  <si>
    <t>ACPQX US EQUITY</t>
  </si>
  <si>
    <t>VSPVX US EQUITY</t>
  </si>
  <si>
    <t>EFSAX US EQUITY</t>
  </si>
  <si>
    <t>GPAAX US EQUITY</t>
  </si>
  <si>
    <t>PLVVX US EQUITY</t>
  </si>
  <si>
    <t>UNGVX US EQUITY</t>
  </si>
  <si>
    <t>EAFVX US EQUITY</t>
  </si>
  <si>
    <t>TOPCX US EQUITY</t>
  </si>
  <si>
    <t>JTARX US EQUITY</t>
  </si>
  <si>
    <t>PLSRX US EQUITY</t>
  </si>
  <si>
    <t>LDGAX US EQUITY</t>
  </si>
  <si>
    <t>SGYAX US EQUITY</t>
  </si>
  <si>
    <t>RIMYX US EQUITY</t>
  </si>
  <si>
    <t>LMPAX US EQUITY</t>
  </si>
  <si>
    <t>RWDIX US EQUITY</t>
  </si>
  <si>
    <t>IFPUX US EQUITY</t>
  </si>
  <si>
    <t>TDHBX US EQUITY</t>
  </si>
  <si>
    <t>MFHRX US EQUITY</t>
  </si>
  <si>
    <t>GTCEX US EQUITY</t>
  </si>
  <si>
    <t>QSPIX US EQUITY</t>
  </si>
  <si>
    <t>BCFIX US EQUITY</t>
  </si>
  <si>
    <t>GGHAX US EQUITY</t>
  </si>
  <si>
    <t>MNGIX US EQUITY</t>
  </si>
  <si>
    <t>HGSAX US EQUITY</t>
  </si>
  <si>
    <t>EMLAX US EQUITY</t>
  </si>
  <si>
    <t>MINCX US EQUITY</t>
  </si>
  <si>
    <t>CEIAX US EQUITY</t>
  </si>
  <si>
    <t>MAEQX US EQUITY</t>
  </si>
  <si>
    <t>FXICX US EQUITY</t>
  </si>
  <si>
    <t>WAVLX US EQUITY</t>
  </si>
  <si>
    <t>NCBDX US EQUITY</t>
  </si>
  <si>
    <t>CGVAX US EQUITY</t>
  </si>
  <si>
    <t>CSOAX US EQUITY</t>
  </si>
  <si>
    <t>ADAAX US EQUITY</t>
  </si>
  <si>
    <t>FMBPX US EQUITY</t>
  </si>
  <si>
    <t>DVHYX US EQUITY</t>
  </si>
  <si>
    <t>TTSMX US EQUITY</t>
  </si>
  <si>
    <t>PFSSX US EQUITY</t>
  </si>
  <si>
    <t>FNPIX US EQUITY</t>
  </si>
  <si>
    <t>BLPIX US EQUITY</t>
  </si>
  <si>
    <t>LGPSX US EQUITY</t>
  </si>
  <si>
    <t>FGBFX US EQUITY</t>
  </si>
  <si>
    <t>TACFX US EQUITY</t>
  </si>
  <si>
    <t>DODBX US EQUITY</t>
  </si>
  <si>
    <t>EQNAX US EQUITY</t>
  </si>
  <si>
    <t>PSVEX US EQUITY</t>
  </si>
  <si>
    <t>OWMBX US EQUITY</t>
  </si>
  <si>
    <t>EMFAX US EQUITY</t>
  </si>
  <si>
    <t>MFQAX US EQUITY</t>
  </si>
  <si>
    <t>PISFX US EQUITY</t>
  </si>
  <si>
    <t>DOEAX US EQUITY</t>
  </si>
  <si>
    <t>EXTAX US EQUITY</t>
  </si>
  <si>
    <t>ATPIX US EQUITY</t>
  </si>
  <si>
    <t>CAUSX US EQUITY</t>
  </si>
  <si>
    <t>FGBZX US EQUITY</t>
  </si>
  <si>
    <t>NSDVX US EQUITY</t>
  </si>
  <si>
    <t>HAEDX US EQUITY</t>
  </si>
  <si>
    <t>MXHYX US EQUITY</t>
  </si>
  <si>
    <t>EELDX US EQUITY</t>
  </si>
  <si>
    <t>TCPGX US EQUITY</t>
  </si>
  <si>
    <t>BGEIX US EQUITY</t>
  </si>
  <si>
    <t>MHOBX US EQUITY</t>
  </si>
  <si>
    <t>NDRAX US EQUITY</t>
  </si>
  <si>
    <t>NMEDX US EQUITY</t>
  </si>
  <si>
    <t>DODWX US EQUITY</t>
  </si>
  <si>
    <t>TPHAX US EQUITY</t>
  </si>
  <si>
    <t>LZGIX US EQUITY</t>
  </si>
  <si>
    <t>WSTRBAL US EQUITY</t>
  </si>
  <si>
    <t>DXRSX US EQUITY</t>
  </si>
  <si>
    <t>FSADX US EQUITY</t>
  </si>
  <si>
    <t>RNDIX US EQUITY</t>
  </si>
  <si>
    <t>QBDSX US EQUITY</t>
  </si>
  <si>
    <t>CSAAX US EQUITY</t>
  </si>
  <si>
    <t>UATXX US EQUITY</t>
  </si>
  <si>
    <t>NOUGX US EQUITY</t>
  </si>
  <si>
    <t>NTAFX US EQUITY</t>
  </si>
  <si>
    <t>EOAAX US EQUITY</t>
  </si>
  <si>
    <t>TWSCX US EQUITY</t>
  </si>
  <si>
    <t>TALSX US EQUITY</t>
  </si>
  <si>
    <t>MHEIX US EQUITY</t>
  </si>
  <si>
    <t>DVMVX US EQUITY</t>
  </si>
  <si>
    <t>PLVEX US EQUITY</t>
  </si>
  <si>
    <t>TGGBX US EQUITY</t>
  </si>
  <si>
    <t>RYHDX US EQUITY</t>
  </si>
  <si>
    <t>OGYAX US EQUITY</t>
  </si>
  <si>
    <t>MHNBX US EQUITY</t>
  </si>
  <si>
    <t>MKNAX US EQUITY</t>
  </si>
  <si>
    <t>JRLOX US EQUITY</t>
  </si>
  <si>
    <t>IVSAX US EQUITY</t>
  </si>
  <si>
    <t>EMDAX US EQUITY</t>
  </si>
  <si>
    <t>NTPAX US EQUITY</t>
  </si>
  <si>
    <t>ARBMX US EQUITY</t>
  </si>
  <si>
    <t>TVDAX US EQUITY</t>
  </si>
  <si>
    <t>MAIAX US EQUITY</t>
  </si>
  <si>
    <t>HDPEX US EQUITY</t>
  </si>
  <si>
    <t>CVRAX US EQUITY</t>
  </si>
  <si>
    <t>LFTDX US EQUITY</t>
  </si>
  <si>
    <t>PDHYX US EQUITY</t>
  </si>
  <si>
    <t>NTSMX US EQUITY</t>
  </si>
  <si>
    <t>CCHYX US EQUITY</t>
  </si>
  <si>
    <t>TIFIX US EQUITY</t>
  </si>
  <si>
    <t>FTIIX US EQUITY</t>
  </si>
  <si>
    <t>QGLDX US EQUITY</t>
  </si>
  <si>
    <t>BRBPX US EQUITY</t>
  </si>
  <si>
    <t>LMFAX US EQUITY</t>
  </si>
  <si>
    <t>BTFAX US EQUITY</t>
  </si>
  <si>
    <t>TRUSX US EQUITY</t>
  </si>
  <si>
    <t>PLHIX US EQUITY</t>
  </si>
  <si>
    <t>GTMEX US EQUITY</t>
  </si>
  <si>
    <t>AFLEX US EQUITY</t>
  </si>
  <si>
    <t>LMGDX US EQUITY</t>
  </si>
  <si>
    <t>SMBPX US EQUITY</t>
  </si>
  <si>
    <t>FYAIX US EQUITY</t>
  </si>
  <si>
    <t>LIVKX US EQUITY</t>
  </si>
  <si>
    <t>LMWAX US EQUITY</t>
  </si>
  <si>
    <t>TDTFX US EQUITY</t>
  </si>
  <si>
    <t>PRYAX US EQUITY</t>
  </si>
  <si>
    <t>NAFXTR1 US EQUITY</t>
  </si>
  <si>
    <t>PTXAX US EQUITY</t>
  </si>
  <si>
    <t>HCBIX US EQUITY</t>
  </si>
  <si>
    <t>CMKAX US EQUITY</t>
  </si>
  <si>
    <t>BTSAX US EQUITY</t>
  </si>
  <si>
    <t>HRUBX US EQUITY</t>
  </si>
  <si>
    <t>HOLBX US EQUITY</t>
  </si>
  <si>
    <t>SNPIX US EQUITY</t>
  </si>
  <si>
    <t>RNBWX US EQUITY</t>
  </si>
  <si>
    <t>RRFAX US EQUITY</t>
  </si>
  <si>
    <t>SCALX US EQUITY</t>
  </si>
  <si>
    <t>DAALX US EQUITY</t>
  </si>
  <si>
    <t>DGDAX US EQUITY</t>
  </si>
  <si>
    <t>OWFIX US EQUITY</t>
  </si>
  <si>
    <t>LMXAX US EQUITY</t>
  </si>
  <si>
    <t>MTOAX US EQUITY</t>
  </si>
  <si>
    <t>VTCAX US EQUITY</t>
  </si>
  <si>
    <t>TDFPX US EQUITY</t>
  </si>
  <si>
    <t>BXIAX US EQUITY</t>
  </si>
  <si>
    <t>AREMX US EQUITY</t>
  </si>
  <si>
    <t>WSIAX US EQUITY</t>
  </si>
  <si>
    <t>ECIAX US EQUITY</t>
  </si>
  <si>
    <t>CBHAX US EQUITY</t>
  </si>
  <si>
    <t>INCAX US EQUITY</t>
  </si>
  <si>
    <t>IGMFX US EQUITY</t>
  </si>
  <si>
    <t>WCDCO1M US EQUITY</t>
  </si>
  <si>
    <t>WCSFOIM US EQUITY</t>
  </si>
  <si>
    <t>DODGX US EQUITY</t>
  </si>
  <si>
    <t>WEIBX US EQUITY</t>
  </si>
  <si>
    <t>TLDAX US EQUITY</t>
  </si>
  <si>
    <t>PLSDX US EQUITY</t>
  </si>
  <si>
    <t>ABAEX US EQUITY</t>
  </si>
  <si>
    <t>VNVXX US EQUITY</t>
  </si>
  <si>
    <t>RRPAX US EQUITY</t>
  </si>
  <si>
    <t>ISBSX US EQUITY</t>
  </si>
  <si>
    <t>AZEIX US EQUITY</t>
  </si>
  <si>
    <t>AZIAX US EQUITY</t>
  </si>
  <si>
    <t>MTJIX US EQUITY</t>
  </si>
  <si>
    <t>AFXAX US EQUITY</t>
  </si>
  <si>
    <t>MADTX US EQUITY</t>
  </si>
  <si>
    <t>RYSHX US EQUITY</t>
  </si>
  <si>
    <t>FEMGX US EQUITY</t>
  </si>
  <si>
    <t>PBHXX US EQUITY</t>
  </si>
  <si>
    <t>FMNTX US EQUITY</t>
  </si>
  <si>
    <t>MOBAX US EQUITY</t>
  </si>
  <si>
    <t>BGAIX US EQUITY</t>
  </si>
  <si>
    <t>OSTEX US EQUITY</t>
  </si>
  <si>
    <t>GALMANI US EQUITY</t>
  </si>
  <si>
    <t>AUBAX US EQUITY</t>
  </si>
  <si>
    <t>MXSDX US EQUITY</t>
  </si>
  <si>
    <t>UCPIX US EQUITY</t>
  </si>
  <si>
    <t>TVBAX US EQUITY</t>
  </si>
  <si>
    <t>RYIRX US EQUITY</t>
  </si>
  <si>
    <t>RAPAX US EQUITY</t>
  </si>
  <si>
    <t>VPISI1V US EQUITY</t>
  </si>
  <si>
    <t>GWRAX US EQUITY</t>
  </si>
  <si>
    <t>DFLAX US EQUITY</t>
  </si>
  <si>
    <t>HFHAX US EQUITY</t>
  </si>
  <si>
    <t>SDMAX US EQUITY</t>
  </si>
  <si>
    <t>MLPIX US EQUITY</t>
  </si>
  <si>
    <t>PLFRX US EQUITY</t>
  </si>
  <si>
    <t>WFUNVAL US EQUITY</t>
  </si>
  <si>
    <t>MXGRX US EQUITY</t>
  </si>
  <si>
    <t>MXGBX US EQUITY</t>
  </si>
  <si>
    <t>SHPIX US EQUITY</t>
  </si>
  <si>
    <t>PFHAX US EQUITY</t>
  </si>
  <si>
    <t>GLMAX US EQUITY</t>
  </si>
  <si>
    <t>PYFAX US EQUITY</t>
  </si>
  <si>
    <t>LVPSX US EQUITY</t>
  </si>
  <si>
    <t>SCFAX US EQUITY</t>
  </si>
  <si>
    <t>BEGBX US EQUITY</t>
  </si>
  <si>
    <t>TGIAX US EQUITY</t>
  </si>
  <si>
    <t>PLLDX US EQUITY</t>
  </si>
  <si>
    <t>FINUX US EQUITY</t>
  </si>
  <si>
    <t>MAPIX US EQUITY</t>
  </si>
  <si>
    <t>TFLAX US EQUITY</t>
  </si>
  <si>
    <t>GSIVX US EQUITY</t>
  </si>
  <si>
    <t>BXFAX US EQUITY</t>
  </si>
  <si>
    <t>UNCIX US EQUITY</t>
  </si>
  <si>
    <t>FSAHX US EQUITY</t>
  </si>
  <si>
    <t>IAPVX US EQUITY</t>
  </si>
  <si>
    <t>SIBPX US EQUITY</t>
  </si>
  <si>
    <t>HDOIX US EQUITY</t>
  </si>
  <si>
    <t>EAAMX US EQUITY</t>
  </si>
  <si>
    <t>MALLX US EQUITY</t>
  </si>
  <si>
    <t>MNRBX US EQUITY</t>
  </si>
  <si>
    <t>WKFAX US EQUITY</t>
  </si>
  <si>
    <t>BREDX US EQUITY</t>
  </si>
  <si>
    <t>BMANX US EQUITY</t>
  </si>
  <si>
    <t>ADLAX US EQUITY</t>
  </si>
  <si>
    <t>ANDIX US EQUITY</t>
  </si>
  <si>
    <t>SITGX US EQUITY</t>
  </si>
  <si>
    <t>AADDX US EQUITY</t>
  </si>
  <si>
    <t>BSBAX US EQUITY</t>
  </si>
  <si>
    <t>FJRLX US EQUITY</t>
  </si>
  <si>
    <t>KWIAX US EQUITY</t>
  </si>
  <si>
    <t>FINWX US EQUITY</t>
  </si>
  <si>
    <t>FSBHX US EQUITY</t>
  </si>
  <si>
    <t>ESHAX US EQUITY</t>
  </si>
  <si>
    <t>PMCIX US EQUITY</t>
  </si>
  <si>
    <t>KGIAX US EQUITY</t>
  </si>
  <si>
    <t>TMGGX US EQUITY</t>
  </si>
  <si>
    <t>UGSDX US EQUITY</t>
  </si>
  <si>
    <t>RYIEX US EQUITY</t>
  </si>
  <si>
    <t>PRIFX US EQUITY</t>
  </si>
  <si>
    <t>NSBIX US EQUITY</t>
  </si>
  <si>
    <t>ACIBX US EQUITY</t>
  </si>
  <si>
    <t>FTRAX US EQUITY</t>
  </si>
  <si>
    <t>APIUX US EQUITY</t>
  </si>
  <si>
    <t>PSMEX US EQUITY</t>
  </si>
  <si>
    <t>IAEMX US EQUITY</t>
  </si>
  <si>
    <t>GHRAX US EQUITY</t>
  </si>
  <si>
    <t>CLINX US EQUITY</t>
  </si>
  <si>
    <t>TGSMX US EQUITY</t>
  </si>
  <si>
    <t>WCMBCL1 US EQUITY</t>
  </si>
  <si>
    <t>ATBAX US EQUITY</t>
  </si>
  <si>
    <t>IVBAX US EQUITY</t>
  </si>
  <si>
    <t>HFLAX US EQUITY</t>
  </si>
  <si>
    <t>TRXAX US EQUITY</t>
  </si>
  <si>
    <t>WADEX US EQUITY</t>
  </si>
  <si>
    <t>GAINX US EQUITY</t>
  </si>
  <si>
    <t>TLMAX US EQUITY</t>
  </si>
  <si>
    <t>DFRAX US EQUITY</t>
  </si>
  <si>
    <t>CHLAX US EQUITY</t>
  </si>
  <si>
    <t>FMTXX US EQUITY</t>
  </si>
  <si>
    <t>PEAAX US EQUITY</t>
  </si>
  <si>
    <t>CVTCX US EQUITY</t>
  </si>
  <si>
    <t>MCDFX US EQUITY</t>
  </si>
  <si>
    <t>TWUSX US EQUITY</t>
  </si>
  <si>
    <t>SNGSX US EQUITY</t>
  </si>
  <si>
    <t>HRMSX US EQUITY</t>
  </si>
  <si>
    <t>MSIEX US EQUITY</t>
  </si>
  <si>
    <t>SAMLX US EQUITY</t>
  </si>
  <si>
    <t>ACSQX US EQUITY</t>
  </si>
  <si>
    <t>RCABX US EQUITY</t>
  </si>
  <si>
    <t>EROAX US EQUITY</t>
  </si>
  <si>
    <t>MEAFX US EQUITY</t>
  </si>
  <si>
    <t>TVGAX US EQUITY</t>
  </si>
  <si>
    <t>COFAX US EQUITY</t>
  </si>
  <si>
    <t>GAOAX US EQUITY</t>
  </si>
  <si>
    <t>MUTXX US EQUITY</t>
  </si>
  <si>
    <t>AMMXX US EQUITY</t>
  </si>
  <si>
    <t>DAFRX US EQUITY</t>
  </si>
  <si>
    <t>MXEQX US EQUITY</t>
  </si>
  <si>
    <t>SDCMX US EQUITY</t>
  </si>
  <si>
    <t>LEBOX US EQUITY</t>
  </si>
  <si>
    <t>CCVIX US EQUITY</t>
  </si>
  <si>
    <t>NOAMX US EQUITY</t>
  </si>
  <si>
    <t>BTFTX US EQUITY</t>
  </si>
  <si>
    <t>CMSXX US EQUITY</t>
  </si>
  <si>
    <t>PAGRX US EQUITY</t>
  </si>
  <si>
    <t>MXMDX US EQUITY</t>
  </si>
  <si>
    <t>KRFEX US EQUITY</t>
  </si>
  <si>
    <t>AUDIX US EQUITY</t>
  </si>
  <si>
    <t>WGROVAL US EQUITY</t>
  </si>
  <si>
    <t>HTAAX US EQUITY</t>
  </si>
  <si>
    <t>SHTIX US EQUITY</t>
  </si>
  <si>
    <t>DPFDX US EQUITY</t>
  </si>
  <si>
    <t>JPCIX US EQUITY</t>
  </si>
  <si>
    <t>CMFXX US EQUITY</t>
  </si>
  <si>
    <t>STUSX US EQUITY</t>
  </si>
  <si>
    <t>CORIX US EQUITY</t>
  </si>
  <si>
    <t>BFSAX US EQUITY</t>
  </si>
  <si>
    <t>FFIXX US EQUITY</t>
  </si>
  <si>
    <t>EARRX US EQUITY</t>
  </si>
  <si>
    <t>IOEXX US EQUITY</t>
  </si>
  <si>
    <t>DAIOX US EQUITY</t>
  </si>
  <si>
    <t>LEMAX US EQUITY</t>
  </si>
  <si>
    <t>PVOXX US EQUITY</t>
  </si>
  <si>
    <t>MLPXX US EQUITY</t>
  </si>
  <si>
    <t>TMCXX US EQUITY</t>
  </si>
  <si>
    <t>PAAXX US EQUITY</t>
  </si>
  <si>
    <t>HARXX US EQUITY</t>
  </si>
  <si>
    <t>MMPXX US EQUITY</t>
  </si>
  <si>
    <t>FMPXX US EQUITY</t>
  </si>
  <si>
    <t>CVTXX US EQUITY</t>
  </si>
  <si>
    <t>MLSXX US EQUITY</t>
  </si>
  <si>
    <t>PEAXX US EQUITY</t>
  </si>
  <si>
    <t>TMPXX US EQUITY</t>
  </si>
  <si>
    <t>MLIXX US EQUITY</t>
  </si>
  <si>
    <t>PNSXX US EQUITY</t>
  </si>
  <si>
    <t>BDMXX US EQUITY</t>
  </si>
  <si>
    <t>PCOXX US EQUITY</t>
  </si>
  <si>
    <t>UNCXX US EQUITY</t>
  </si>
  <si>
    <t>POIXX US EQUITY</t>
  </si>
  <si>
    <t>WRAXX US EQUITY</t>
  </si>
  <si>
    <t>MFTXX US EQUITY</t>
  </si>
  <si>
    <t>CIXXX US EQUITY</t>
  </si>
  <si>
    <t>HFLXX US EQUITY</t>
  </si>
  <si>
    <t>PXAXX US EQUITY</t>
  </si>
  <si>
    <t>DCRXX US EQUITY</t>
  </si>
  <si>
    <t>SEOXX US EQUITY</t>
  </si>
  <si>
    <t>TXWXX US EQUITY</t>
  </si>
  <si>
    <t>ASRXX US EQUITY</t>
  </si>
  <si>
    <t>MTFXX US EQUITY</t>
  </si>
  <si>
    <t>NWTXX US EQUITY</t>
  </si>
  <si>
    <t>PIMXX US EQUITY</t>
  </si>
  <si>
    <t>ACMXX US EQUITY</t>
  </si>
  <si>
    <t>AKXXX US EQUITY</t>
  </si>
  <si>
    <t>VSMXX US EQUITY</t>
  </si>
  <si>
    <t>MCSXX US EQUITY</t>
  </si>
  <si>
    <t>VSTXX US EQUITY</t>
  </si>
  <si>
    <t>AKGXX US EQUITY</t>
  </si>
  <si>
    <t>GTSXX US EQUITY</t>
  </si>
  <si>
    <t>AGSXX US EQUITY</t>
  </si>
  <si>
    <t>TOSXX US EQUITY</t>
  </si>
  <si>
    <t>CTPXX US EQUITY</t>
  </si>
  <si>
    <t>HLPXX US EQUITY</t>
  </si>
  <si>
    <t>OGVXX US EQUITY</t>
  </si>
  <si>
    <t>MARXX US EQUITY</t>
  </si>
  <si>
    <t>TSTXX US EQUITY</t>
  </si>
  <si>
    <t>MUNXX US EQUITY</t>
  </si>
  <si>
    <t>FGMXX US EQUITY</t>
  </si>
  <si>
    <t>PIFXX US EQUITY</t>
  </si>
  <si>
    <t>FDLXX US EQUITY</t>
  </si>
  <si>
    <t>TFFXX US EQUITY</t>
  </si>
  <si>
    <t>TFDXX US EQUITY</t>
  </si>
  <si>
    <t>MOFXX US EQUITY</t>
  </si>
  <si>
    <t>SHMXX US EQUITY</t>
  </si>
  <si>
    <t>SGCXX US EQUITY</t>
  </si>
  <si>
    <t>PISXX US EQUITY</t>
  </si>
  <si>
    <t>WBRXX US EQUITY</t>
  </si>
  <si>
    <t>FGRXX US EQUITY</t>
  </si>
  <si>
    <t>GOSXX US EQUITY</t>
  </si>
  <si>
    <t>TIOXX US EQUITY</t>
  </si>
  <si>
    <t>NCMXX US EQUITY</t>
  </si>
  <si>
    <t>MMCXX US EQUITY</t>
  </si>
  <si>
    <t>MNMXX US EQUITY</t>
  </si>
  <si>
    <t>MINXX US EQUITY</t>
  </si>
  <si>
    <t>FNTXX US EQUITY</t>
  </si>
  <si>
    <t>GAMXX US EQUITY</t>
  </si>
  <si>
    <t>NJSXX US EQUITY</t>
  </si>
  <si>
    <t>TBIXX US EQUITY</t>
  </si>
  <si>
    <t>TFIXX US EQUITY</t>
  </si>
  <si>
    <t>JNSXX US EQUITY</t>
  </si>
  <si>
    <t>CTGXX US EQUITY</t>
  </si>
  <si>
    <t>OHIXX US EQUITY</t>
  </si>
  <si>
    <t>DOAXX US EQUITY</t>
  </si>
  <si>
    <t>PACXX US EQUITY</t>
  </si>
  <si>
    <t>VACXX US EQUITY</t>
  </si>
  <si>
    <t>FCTXX US EQUITY</t>
  </si>
  <si>
    <t>TMMXX US EQUITY</t>
  </si>
  <si>
    <t>CAIXX US EQUITY</t>
  </si>
  <si>
    <t>KMMXX US EQUITY</t>
  </si>
  <si>
    <t>FLMXX US EQUITY</t>
  </si>
  <si>
    <t>VNJXX US EQUITY</t>
  </si>
  <si>
    <t>VCTXX US EQUITY</t>
  </si>
  <si>
    <t>VYFXX US EQUITY</t>
  </si>
  <si>
    <t>VMFXX US EQUITY</t>
  </si>
  <si>
    <t>VUSXX US EQUITY</t>
  </si>
  <si>
    <t>VMSXX US EQUITY</t>
  </si>
  <si>
    <t>VOHXX US EQUITY</t>
  </si>
  <si>
    <t>VPTXX US EQUITY</t>
  </si>
  <si>
    <t>VMMXX US EQUITY</t>
  </si>
  <si>
    <t>PGAXX US EQUITY</t>
  </si>
  <si>
    <t>PDIXX US EQUITY</t>
  </si>
  <si>
    <t>PADXX US EQUITY</t>
  </si>
  <si>
    <t>IDSXX US EQUITY</t>
  </si>
  <si>
    <t>CNEXX US EQUITY</t>
  </si>
  <si>
    <t>CIYXX US EQUITY</t>
  </si>
  <si>
    <t>CNSXX US EQUITY</t>
  </si>
  <si>
    <t>CFAXX US EQUITY</t>
  </si>
  <si>
    <t>CNGXX US EQUITY</t>
  </si>
  <si>
    <t>FSIXX US EQUITY</t>
  </si>
  <si>
    <t>FTEXX US EQUITY</t>
  </si>
  <si>
    <t>FDEXX US EQUITY</t>
  </si>
  <si>
    <t>FIDXX US EQUITY</t>
  </si>
  <si>
    <t>FIGXX US EQUITY</t>
  </si>
  <si>
    <t>FMOXX US EQUITY</t>
  </si>
  <si>
    <t>FTBXX US EQUITY</t>
  </si>
  <si>
    <t>DSTXX US EQUITY</t>
  </si>
  <si>
    <t>BNTXX US EQUITY</t>
  </si>
  <si>
    <t>DWGXX US EQUITY</t>
  </si>
  <si>
    <t>BPRXX US EQUITY</t>
  </si>
  <si>
    <t>FISXX US EQUITY</t>
  </si>
  <si>
    <t>DSCXX US EQUITY</t>
  </si>
  <si>
    <t>AATXX US EQUITY</t>
  </si>
  <si>
    <t>AACXX US EQUITY</t>
  </si>
  <si>
    <t>BCTXX US EQUITY</t>
  </si>
  <si>
    <t>TCRXX US EQUITY</t>
  </si>
  <si>
    <t>DWNXX US EQUITY</t>
  </si>
  <si>
    <t>FTCXX US EQUITY</t>
  </si>
  <si>
    <t>MGNXX US EQUITY</t>
  </si>
  <si>
    <t>MLGXX US EQUITY</t>
  </si>
  <si>
    <t>NOCXX US EQUITY</t>
  </si>
  <si>
    <t>NOMXX US EQUITY</t>
  </si>
  <si>
    <t>OMBXX US EQUITY</t>
  </si>
  <si>
    <t>CRSXX US EQUITY</t>
  </si>
  <si>
    <t>TCMXX US EQUITY</t>
  </si>
  <si>
    <t>PNIXX US EQUITY</t>
  </si>
  <si>
    <t>TCPXX US EQUITY</t>
  </si>
  <si>
    <t>TXEXX US EQUITY</t>
  </si>
  <si>
    <t>TMUXX US EQUITY</t>
  </si>
  <si>
    <t>HHIXX US EQUITY</t>
  </si>
  <si>
    <t>TCCXX US EQUITY</t>
  </si>
  <si>
    <t>TCGXX US EQUITY</t>
  </si>
  <si>
    <t>SDCXX US EQUITY</t>
  </si>
  <si>
    <t>APCXX US EQUITY</t>
  </si>
  <si>
    <t>SCPXX US EQUITY</t>
  </si>
  <si>
    <t>TPRXX US EQUITY</t>
  </si>
  <si>
    <t>UCAXX US EQUITY</t>
  </si>
  <si>
    <t>HDIXX US EQUITY</t>
  </si>
  <si>
    <t>AUSXX US EQUITY</t>
  </si>
  <si>
    <t>NCRXX US EQUITY</t>
  </si>
  <si>
    <t>HTOXX US EQUITY</t>
  </si>
  <si>
    <t>FRFEX US EQUITY</t>
  </si>
  <si>
    <t>TRIXX US EQUITY</t>
  </si>
  <si>
    <t>CFDXX US EQUITY</t>
  </si>
  <si>
    <t>ILNXX US EQUITY</t>
  </si>
  <si>
    <t>PAYXX US EQUITY</t>
  </si>
  <si>
    <t>ITCXX US EQUITY</t>
  </si>
  <si>
    <t>UTIXX US EQUITY</t>
  </si>
  <si>
    <t>SWEXX US EQUITY</t>
  </si>
  <si>
    <t>SWDXX US EQUITY</t>
  </si>
  <si>
    <t>AAOXX US EQUITY</t>
  </si>
  <si>
    <t>FTFXX US EQUITY</t>
  </si>
  <si>
    <t>TPIXX US EQUITY</t>
  </si>
  <si>
    <t>PNGXX US EQUITY</t>
  </si>
  <si>
    <t>PNCXX US EQUITY</t>
  </si>
  <si>
    <t>HGOXX US EQUITY</t>
  </si>
  <si>
    <t>APGXX US EQUITY</t>
  </si>
  <si>
    <t>LUGXX US EQUITY</t>
  </si>
  <si>
    <t>CTTXX US EQUITY</t>
  </si>
  <si>
    <t>GRFXX US EQUITY</t>
  </si>
  <si>
    <t>PNTXX US EQUITY</t>
  </si>
  <si>
    <t>NTLXX US EQUITY</t>
  </si>
  <si>
    <t>NGRXX US EQUITY</t>
  </si>
  <si>
    <t>PVIXX US EQUITY</t>
  </si>
  <si>
    <t>TTTXX US EQUITY</t>
  </si>
  <si>
    <t>MLTXX US EQUITY</t>
  </si>
  <si>
    <t>HTSXX US EQUITY</t>
  </si>
  <si>
    <t>RYFXX US EQUITY</t>
  </si>
  <si>
    <t>PCSXX US EQUITY</t>
  </si>
  <si>
    <t>TTOXX US EQUITY</t>
  </si>
  <si>
    <t>APOAX US EQUITY</t>
  </si>
  <si>
    <t>IATXX US EQUITY</t>
  </si>
  <si>
    <t>WTSTVAL US EQUITY</t>
  </si>
  <si>
    <t>UTSXX US EQUITY</t>
  </si>
  <si>
    <t>POSXX US EQUITY</t>
  </si>
  <si>
    <t>MAFXX US EQUITY</t>
  </si>
  <si>
    <t>ALASX US EQUITY</t>
  </si>
  <si>
    <t>FPELX US EQUITY</t>
  </si>
  <si>
    <t>VSAIX US EQUITY</t>
  </si>
  <si>
    <t>VAIAX US EQUITY</t>
  </si>
  <si>
    <t>VATAX US EQUITY</t>
  </si>
  <si>
    <t>LQTIX US EQUITY</t>
  </si>
  <si>
    <t>JLKZX US EQUITY</t>
  </si>
  <si>
    <t>EIPDX US EQUITY</t>
  </si>
  <si>
    <t>HWCVX US EQUITY</t>
  </si>
  <si>
    <t>TVPLX US EQUITY</t>
  </si>
  <si>
    <t>FLDKX US EQUITY</t>
  </si>
  <si>
    <t>WBINX US EQUITY</t>
  </si>
  <si>
    <t>DYNIX US EQUITY</t>
  </si>
  <si>
    <t>GDCCX US EQUITY</t>
  </si>
  <si>
    <t>YLDAX US EQUITY</t>
  </si>
  <si>
    <t>SAMCX US EQUITY</t>
  </si>
  <si>
    <t>VAEAX US EQUITY</t>
  </si>
  <si>
    <t>WSHYX US EQUITY</t>
  </si>
  <si>
    <t>CDFAX US EQUITY</t>
  </si>
  <si>
    <t>MPBRX US EQUITY</t>
  </si>
  <si>
    <t>SKLAX US EQUITY</t>
  </si>
  <si>
    <t>HAFAX US EQUITY</t>
  </si>
  <si>
    <t>DBLLX US EQUITY</t>
  </si>
  <si>
    <t>GURAX US EQUITY</t>
  </si>
  <si>
    <t>NTBAX US EQUITY</t>
  </si>
  <si>
    <t>DFLEX US EQUITY</t>
  </si>
  <si>
    <t>SKYAX US EQUITY</t>
  </si>
  <si>
    <t>CGNIX US EQUITY</t>
  </si>
  <si>
    <t>CDRAX US EQUITY</t>
  </si>
  <si>
    <t>BBIIX US EQUITY</t>
  </si>
  <si>
    <t>IECAX US EQUITY</t>
  </si>
  <si>
    <t>BCYAX US EQUITY</t>
  </si>
  <si>
    <t>NUBAX US EQUITY</t>
  </si>
  <si>
    <t>CFTYX US EQUITY</t>
  </si>
  <si>
    <t>BCXAX US EQUITY</t>
  </si>
  <si>
    <t>DXCBX US EQUITY</t>
  </si>
  <si>
    <t>XREHNX US EQUITY</t>
  </si>
  <si>
    <t>AGFQX US EQUITY</t>
  </si>
  <si>
    <t>MIZAX US EQUITY</t>
  </si>
  <si>
    <t>IUBAX US EQUITY</t>
  </si>
  <si>
    <t>WAMIX US EQUITY</t>
  </si>
  <si>
    <t>LEIIX US EQUITY</t>
  </si>
  <si>
    <t>ASIQX US EQUITY</t>
  </si>
  <si>
    <t>BCZAX US EQUITY</t>
  </si>
  <si>
    <t>QGMIX US EQUITY</t>
  </si>
  <si>
    <t>NSLAX US EQUITY</t>
  </si>
  <si>
    <t>TRINBI2 US EQUITY</t>
  </si>
  <si>
    <t>TRMFSI2 US EQUITY</t>
  </si>
  <si>
    <t>SFHIX US EQUITY</t>
  </si>
  <si>
    <t>PCEAX US EQUITY</t>
  </si>
  <si>
    <t>PDYAX US EQUITY</t>
  </si>
  <si>
    <t>GCPAX US EQUITY</t>
  </si>
  <si>
    <t>APDFX US EQUITY</t>
  </si>
  <si>
    <t>LEOAX US EQUITY</t>
  </si>
  <si>
    <t>ERMAX US EQUITY</t>
  </si>
  <si>
    <t>AEDQX US EQUITY</t>
  </si>
  <si>
    <t>DHTUX US EQUITY</t>
  </si>
  <si>
    <t>DBSCX US EQUITY</t>
  </si>
  <si>
    <t>TIOAX US EQUITY</t>
  </si>
  <si>
    <t>JEMAX US EQUITY</t>
  </si>
  <si>
    <t>IQDAX US EQUITY</t>
  </si>
  <si>
    <t>LMCJX US EQUITY</t>
  </si>
  <si>
    <t>QSLIX US EQUITY</t>
  </si>
  <si>
    <t>CUBAX US EQUITY</t>
  </si>
  <si>
    <t>QRCRX US EQUITY</t>
  </si>
  <si>
    <t>ATGBX US EQUITY</t>
  </si>
  <si>
    <t>QMNIX US EQUITY</t>
  </si>
  <si>
    <t>SSRLX US EQUITY</t>
  </si>
  <si>
    <t>SSFCX US EQUITY</t>
  </si>
  <si>
    <t>FLERX US EQUITY</t>
  </si>
  <si>
    <t>SSGHX US EQUITY</t>
  </si>
  <si>
    <t>ARANX US EQUITY</t>
  </si>
  <si>
    <t>GSOFX US EQUITY</t>
  </si>
  <si>
    <t>XABPFX US EQUITY</t>
  </si>
  <si>
    <t>FLREX US EQUITY</t>
  </si>
  <si>
    <t>FRTSX US EQUITY</t>
  </si>
  <si>
    <t>TTIFX US EQUITY</t>
  </si>
  <si>
    <t>FRLEX US EQUITY</t>
  </si>
  <si>
    <t>AGOPX US EQUITY</t>
  </si>
  <si>
    <t>SSEYX US EQUITY</t>
  </si>
  <si>
    <t>SSAFX US EQUITY</t>
  </si>
  <si>
    <t>JSALX US EQUITY</t>
  </si>
  <si>
    <t>RLLIX US EQUITY</t>
  </si>
  <si>
    <t>JMUAX US EQUITY</t>
  </si>
  <si>
    <t>SSGVX US EQUITY</t>
  </si>
  <si>
    <t>PRIHX US EQUITY</t>
  </si>
  <si>
    <t>IIXAX US EQUITY</t>
  </si>
  <si>
    <t>DBRPX US EQUITY</t>
  </si>
  <si>
    <t>BCWAX US EQUITY</t>
  </si>
  <si>
    <t>XABPEX US EQUITY</t>
  </si>
  <si>
    <t>AUCEX US EQUITY</t>
  </si>
  <si>
    <t>ETRAX US EQUITY</t>
  </si>
  <si>
    <t>BATEX US EQUITY</t>
  </si>
  <si>
    <t>ASDAX US EQUITY</t>
  </si>
  <si>
    <t>SPINX US EQUITY</t>
  </si>
  <si>
    <t>HNRAX US EQUITY</t>
  </si>
  <si>
    <t>PYSWX US EQUITY</t>
  </si>
  <si>
    <t>PSYPX US EQUITY</t>
  </si>
  <si>
    <t>JUCAX US EQUITY</t>
  </si>
  <si>
    <t>AGMZX US EQUITY</t>
  </si>
  <si>
    <t>ESFAX US EQUITY</t>
  </si>
  <si>
    <t>WCEIX US EQUITY</t>
  </si>
  <si>
    <t>MNWAX US EQUITY</t>
  </si>
  <si>
    <t>BMMAX US EQUITY</t>
  </si>
  <si>
    <t>PSOIX US EQUITY</t>
  </si>
  <si>
    <t>SPFLX US EQUITY</t>
  </si>
  <si>
    <t>SRRAX US EQUITY</t>
  </si>
  <si>
    <t>ASADX US EQUITY</t>
  </si>
  <si>
    <t>BAFJX US EQUITY</t>
  </si>
  <si>
    <t>HIYAX US EQUITY</t>
  </si>
  <si>
    <t>AAWEX US EQUITY</t>
  </si>
  <si>
    <t>BCVAX US EQUITY</t>
  </si>
  <si>
    <t>NVXAX US EQUITY</t>
  </si>
  <si>
    <t>ABRDX US EQUITY</t>
  </si>
  <si>
    <t>EPDPX US EQUITY</t>
  </si>
  <si>
    <t>PDSAX US EQUITY</t>
  </si>
  <si>
    <t>CLMAX US EQUITY</t>
  </si>
  <si>
    <t>CFTWX US EQUITY</t>
  </si>
  <si>
    <t>TVSAX US EQUITY</t>
  </si>
  <si>
    <t>RAAAX US EQUITY</t>
  </si>
  <si>
    <t>ZRPTAX US EQUITY</t>
  </si>
  <si>
    <t>BMPIX US EQUITY</t>
  </si>
  <si>
    <t>SITBX US EQUITY</t>
  </si>
  <si>
    <t>JCCXX US EQUITY</t>
  </si>
  <si>
    <t>MGRNX US EQUITY</t>
  </si>
  <si>
    <t>HVABX US EQUITY</t>
  </si>
  <si>
    <t>ROGEX US EQUITY</t>
  </si>
  <si>
    <t>CSQAX US EQUITY</t>
  </si>
  <si>
    <t>LSGAX US EQUITY</t>
  </si>
  <si>
    <t>MGAAX US EQUITY</t>
  </si>
  <si>
    <t>CVSCX US EQUITY</t>
  </si>
  <si>
    <t>HGAAX US EQUITY</t>
  </si>
  <si>
    <t>SPABX US EQUITY</t>
  </si>
  <si>
    <t>DHMUX US EQUITY</t>
  </si>
  <si>
    <t>MLBAX US EQUITY</t>
  </si>
  <si>
    <t>LRCAX US EQUITY</t>
  </si>
  <si>
    <t>PIIFTGM US EQUITY</t>
  </si>
  <si>
    <t>OEMAX US EQUITY</t>
  </si>
  <si>
    <t>DODFX US EQUITY</t>
  </si>
  <si>
    <t>FTTAX US EQUITY</t>
  </si>
  <si>
    <t>DSDDX US EQUITY</t>
  </si>
  <si>
    <t>PRTBX US EQUITY</t>
  </si>
  <si>
    <t>BANAX US EQUITY</t>
  </si>
  <si>
    <t>SEIAX US EQUITY</t>
  </si>
  <si>
    <t>ASIDX US EQUITY</t>
  </si>
  <si>
    <t>WSMCODV US EQUITY</t>
  </si>
  <si>
    <t>GBMRX US EQUITY</t>
  </si>
  <si>
    <t>ALSQX US EQUITY</t>
  </si>
  <si>
    <t>ZMNAX US EQUITY</t>
  </si>
  <si>
    <t>HABEX US EQUITY</t>
  </si>
  <si>
    <t>ADJEX US EQUITY</t>
  </si>
  <si>
    <t>MDPIX US EQUITY</t>
  </si>
  <si>
    <t>GAKIX US EQUITY</t>
  </si>
  <si>
    <t>GPEMX US EQUITY</t>
  </si>
  <si>
    <t>FUBDX US EQUITY</t>
  </si>
  <si>
    <t>MABFX US EQUITY</t>
  </si>
  <si>
    <t>SPPIX US EQUITY</t>
  </si>
  <si>
    <t>HAPAX US EQUITY</t>
  </si>
  <si>
    <t>DXHLX US EQUITY</t>
  </si>
  <si>
    <t>ECYIX US EQUITY</t>
  </si>
  <si>
    <t>LFEAX US EQUITY</t>
  </si>
  <si>
    <t>VDGAX US EQUITY</t>
  </si>
  <si>
    <t>SMXAX US EQUITY</t>
  </si>
  <si>
    <t>LCEMX US EQUITY</t>
  </si>
  <si>
    <t>AVOAX US EQUITY</t>
  </si>
  <si>
    <t>BRISTLH TL EQUITY</t>
  </si>
  <si>
    <t>PURLX US EQUITY</t>
  </si>
  <si>
    <t>WMCGROW US EQUITY</t>
  </si>
  <si>
    <t>BKPIX US EQUITY</t>
  </si>
  <si>
    <t>CYPIX US EQUITY</t>
  </si>
  <si>
    <t>AFPAX US EQUITY</t>
  </si>
  <si>
    <t>GISRX US EQUITY</t>
  </si>
  <si>
    <t>PLVBX US EQUITY</t>
  </si>
  <si>
    <t>LFIAX US EQUITY</t>
  </si>
  <si>
    <t>LTMAX US EQUITY</t>
  </si>
  <si>
    <t>TVAAX US EQUITY</t>
  </si>
  <si>
    <t>RYMDX US EQUITY</t>
  </si>
  <si>
    <t>GRRAX US EQUITY</t>
  </si>
  <si>
    <t>GRTHX US EQUITY</t>
  </si>
  <si>
    <t>BDIAX US EQUITY</t>
  </si>
  <si>
    <t>EACPX US EQUITY</t>
  </si>
  <si>
    <t>FXCAX US EQUITY</t>
  </si>
  <si>
    <t>RLGAX US EQUITY</t>
  </si>
  <si>
    <t>VINAX US EQUITY</t>
  </si>
  <si>
    <t>CCNAX US EQUITY</t>
  </si>
  <si>
    <t>FDRAX US EQUITY</t>
  </si>
  <si>
    <t>HSDVX US EQUITY</t>
  </si>
  <si>
    <t>WSBEX US EQUITY</t>
  </si>
  <si>
    <t>CTAAX US EQUITY</t>
  </si>
  <si>
    <t>FNOAX US EQUITY</t>
  </si>
  <si>
    <t>INHRX US EQUITY</t>
  </si>
  <si>
    <t>WTMVX US EQUITY</t>
  </si>
  <si>
    <t>CCOAX US EQUITY</t>
  </si>
  <si>
    <t>SPCAX US EQUITY</t>
  </si>
  <si>
    <t>GDGIX US EQUITY</t>
  </si>
  <si>
    <t>GMCEX US EQUITY</t>
  </si>
  <si>
    <t>UDPIX US EQUITY</t>
  </si>
  <si>
    <t>DVMGX US EQUITY</t>
  </si>
  <si>
    <t>BTPIX US EQUITY</t>
  </si>
  <si>
    <t>UMPIX US EQUITY</t>
  </si>
  <si>
    <t>BACHX US EQUITY</t>
  </si>
  <si>
    <t>BAPLX US EQUITY</t>
  </si>
  <si>
    <t>EAVSX US EQUITY</t>
  </si>
  <si>
    <t>QALTX US EQUITY</t>
  </si>
  <si>
    <t>MAMQX US EQUITY</t>
  </si>
  <si>
    <t>RYAVX US EQUITY</t>
  </si>
  <si>
    <t>QMHIX US EQUITY</t>
  </si>
  <si>
    <t>SMILX US EQUITY</t>
  </si>
  <si>
    <t>IBIAX US EQUITY</t>
  </si>
  <si>
    <t>HWAFX US EQUITY</t>
  </si>
  <si>
    <t>VSMVX US EQUITY</t>
  </si>
  <si>
    <t>NTHFX US EQUITY</t>
  </si>
  <si>
    <t>MPERX US EQUITY</t>
  </si>
  <si>
    <t>FTMAX US EQUITY</t>
  </si>
  <si>
    <t>MFTFX US EQUITY</t>
  </si>
  <si>
    <t>UGOFX US EQUITY</t>
  </si>
  <si>
    <t>MGPIX US EQUITY</t>
  </si>
  <si>
    <t>OEPIX US EQUITY</t>
  </si>
  <si>
    <t>SUNAX US EQUITY</t>
  </si>
  <si>
    <t>BABIX US EQUITY</t>
  </si>
  <si>
    <t>STOAX US EQUITY</t>
  </si>
  <si>
    <t>FGAAX US EQUITY</t>
  </si>
  <si>
    <t>RYMHX US EQUITY</t>
  </si>
  <si>
    <t>EGSIX US EQUITY</t>
  </si>
  <si>
    <t>GEEWX US EQUITY</t>
  </si>
  <si>
    <t>HDAVX US EQUITY</t>
  </si>
  <si>
    <t>TMARX US EQUITY</t>
  </si>
  <si>
    <t>UFPIX US EQUITY</t>
  </si>
  <si>
    <t>GHEAX US EQUITY</t>
  </si>
  <si>
    <t>GGASX US EQUITY</t>
  </si>
  <si>
    <t>DEVDX US EQUITY</t>
  </si>
  <si>
    <t>WPLCX US EQUITY</t>
  </si>
  <si>
    <t>CTIAX US EQUITY</t>
  </si>
  <si>
    <t>RSKIX US EQUITY</t>
  </si>
  <si>
    <t>GHTAX US EQUITY</t>
  </si>
  <si>
    <t>RYDOX US EQUITY</t>
  </si>
  <si>
    <t>GPISX US EQUITY</t>
  </si>
  <si>
    <t>PISCX US EQUITY</t>
  </si>
  <si>
    <t>CMSAX US EQUITY</t>
  </si>
  <si>
    <t>NIGAX US EQUITY</t>
  </si>
  <si>
    <t>VMAAX US EQUITY</t>
  </si>
  <si>
    <t>SMHRX US EQUITY</t>
  </si>
  <si>
    <t>DTSVX US EQUITY</t>
  </si>
  <si>
    <t>LSTAX US EQUITY</t>
  </si>
  <si>
    <t>BBHEX US EQUITY</t>
  </si>
  <si>
    <t>SMCIX US EQUITY</t>
  </si>
  <si>
    <t>SVPIX US EQUITY</t>
  </si>
  <si>
    <t>MXISX US EQUITY</t>
  </si>
  <si>
    <t>AAOPX US EQUITY</t>
  </si>
  <si>
    <t>BDOAX US EQUITY</t>
  </si>
  <si>
    <t>SCAFX US EQUITY</t>
  </si>
  <si>
    <t>HPEIX US EQUITY</t>
  </si>
  <si>
    <t>ASCIX US EQUITY</t>
  </si>
  <si>
    <t>HABMX US EQUITY</t>
  </si>
  <si>
    <t>MDOIX US EQUITY</t>
  </si>
  <si>
    <t>TGABX US EQUITY</t>
  </si>
  <si>
    <t>GEFAX US EQUITY</t>
  </si>
  <si>
    <t>ARLSX US EQUITY</t>
  </si>
  <si>
    <t>IDPIX US EQUITY</t>
  </si>
  <si>
    <t>AHYFX US EQUITY</t>
  </si>
  <si>
    <t>MAGTX US EQUITY</t>
  </si>
  <si>
    <t>TRIIX US EQUITY</t>
  </si>
  <si>
    <t>UWPIX US EQUITY</t>
  </si>
  <si>
    <t>MPLAX US EQUITY</t>
  </si>
  <si>
    <t>VSGNX US EQUITY</t>
  </si>
  <si>
    <t>RYCWX US EQUITY</t>
  </si>
  <si>
    <t>HMFAX US EQUITY</t>
  </si>
  <si>
    <t>DTSGX US EQUITY</t>
  </si>
  <si>
    <t>AFBIX US EQUITY</t>
  </si>
  <si>
    <t>OWRRX US EQUITY</t>
  </si>
  <si>
    <t>NGLAX US EQUITY</t>
  </si>
  <si>
    <t>GEARX US EQUITY</t>
  </si>
  <si>
    <t>RYRRX US EQUITY</t>
  </si>
  <si>
    <t>QACFX US EQUITY</t>
  </si>
  <si>
    <t>TMFAX US EQUITY</t>
  </si>
  <si>
    <t>RAILX US EQUITY</t>
  </si>
  <si>
    <t>AIIIX US EQUITY</t>
  </si>
  <si>
    <t>BRPIX US EQUITY</t>
  </si>
  <si>
    <t>VLEQX US EQUITY</t>
  </si>
  <si>
    <t>SLPIX US EQUITY</t>
  </si>
  <si>
    <t>UIPIX US EQUITY</t>
  </si>
  <si>
    <t>TNPCX US EQUITY</t>
  </si>
  <si>
    <t>RYIHX US EQUITY</t>
  </si>
  <si>
    <t>WINTGRO US EQUITY</t>
  </si>
  <si>
    <t>MXINX US EQUITY</t>
  </si>
  <si>
    <t>EMFIX US EQUITY</t>
  </si>
  <si>
    <t>IMSIX US EQUITY</t>
  </si>
  <si>
    <t>CSFFX US EQUITY</t>
  </si>
  <si>
    <t>VZMAX US EQUITY</t>
  </si>
  <si>
    <t>DAPLX US EQUITY</t>
  </si>
  <si>
    <t>FDPIX US EQUITY</t>
  </si>
  <si>
    <t>ARCIX US EQUITY</t>
  </si>
  <si>
    <t>GAAMX US EQUITY</t>
  </si>
  <si>
    <t>SGPIX US EQUITY</t>
  </si>
  <si>
    <t>WINTVAL US EQUITY</t>
  </si>
  <si>
    <t>NGVAX US EQUITY</t>
  </si>
  <si>
    <t>UNASX US EQUITY</t>
  </si>
  <si>
    <t>SIEIX US EQUITY</t>
  </si>
  <si>
    <t>WASCX US EQUITY</t>
  </si>
  <si>
    <t>HINGDFH US EQUITY</t>
  </si>
  <si>
    <t>CRSAX US EQUITY</t>
  </si>
  <si>
    <t>RYWAX US EQUITY</t>
  </si>
  <si>
    <t>DXELX US EQUITY</t>
  </si>
  <si>
    <t>TRCOSI2 US EQUITY</t>
  </si>
  <si>
    <t>RYAZX US EQUITY</t>
  </si>
  <si>
    <t>WIBCX US EQUITY</t>
  </si>
  <si>
    <t>INPIX US EQUITY</t>
  </si>
  <si>
    <t>UEPSX US EQUITY</t>
  </si>
  <si>
    <t>GTCIX US EQUITY</t>
  </si>
  <si>
    <t>ENPIX US EQUITY</t>
  </si>
  <si>
    <t>GTIIX US EQUITY</t>
  </si>
  <si>
    <t>BAHAX US EQUITY</t>
  </si>
  <si>
    <t>SNGRX US EQUITY</t>
  </si>
  <si>
    <t>ABIIX US EQUITY</t>
  </si>
  <si>
    <t>KALVX US EQUITY</t>
  </si>
  <si>
    <t>DXCTX US EQUITY</t>
  </si>
  <si>
    <t>QMLFX US EQUITY</t>
  </si>
  <si>
    <t>RYMKX US EQUITY</t>
  </si>
  <si>
    <t>DXZLX US EQUITY</t>
  </si>
  <si>
    <t>CCIYX US EQUITY</t>
  </si>
  <si>
    <t>RYAIX US EQUITY</t>
  </si>
  <si>
    <t>RTPIX US EQUITY</t>
  </si>
  <si>
    <t>RYEUX US EQUITY</t>
  </si>
  <si>
    <t>RYWDX US EQUITY</t>
  </si>
  <si>
    <t>SOPIX US EQUITY</t>
  </si>
  <si>
    <t>DXSSX US EQUITY</t>
  </si>
  <si>
    <t>DXRLX US EQUITY</t>
  </si>
  <si>
    <t>DXCLX US EQUITY</t>
  </si>
  <si>
    <t>RYTPX US EQUITY</t>
  </si>
  <si>
    <t>PMPIX US EQUITY</t>
  </si>
  <si>
    <t>UAPIX US EQUITY</t>
  </si>
  <si>
    <t>URPSX US EQUITY</t>
  </si>
  <si>
    <t>CRCAX US EQUITY</t>
  </si>
  <si>
    <t>RYRUX US EQUITY</t>
  </si>
  <si>
    <t>DBABX US EQUITY</t>
  </si>
  <si>
    <t>WCPIX US EQUITY</t>
  </si>
  <si>
    <t>FAAFX US EQUITY</t>
  </si>
  <si>
    <t>UBPIX US EQUITY</t>
  </si>
  <si>
    <t>UNPIX US EQUITY</t>
  </si>
  <si>
    <t>RYWWX US EQUITY</t>
  </si>
  <si>
    <t>SRPIX US EQUITY</t>
  </si>
  <si>
    <t>DXKSX US EQUITY</t>
  </si>
  <si>
    <t>UVPIX US EQUITY</t>
  </si>
  <si>
    <t>GGFEX US EQUITY</t>
  </si>
  <si>
    <t>RYJSX US EQUITY</t>
  </si>
  <si>
    <t>UJPIX US EQUITY</t>
  </si>
  <si>
    <t>RYVNX US EQUITY</t>
  </si>
  <si>
    <t>UHPIX US EQUITY</t>
  </si>
  <si>
    <t>USPIX US EQUITY</t>
  </si>
  <si>
    <t>RVOAX US EQUITY</t>
  </si>
  <si>
    <t>RRPIX US EQUITY</t>
  </si>
  <si>
    <t>Link</t>
  </si>
  <si>
    <t>Unit</t>
  </si>
  <si>
    <t>BLN</t>
  </si>
  <si>
    <t>Non NAV Funds</t>
  </si>
  <si>
    <t>Return Daily</t>
  </si>
  <si>
    <t>AUM</t>
  </si>
  <si>
    <t>Next Level Breakdown</t>
  </si>
  <si>
    <t>Current Selection</t>
  </si>
  <si>
    <t>New York</t>
  </si>
  <si>
    <t>Daily</t>
  </si>
  <si>
    <t>California</t>
  </si>
  <si>
    <t>Geo</t>
  </si>
  <si>
    <t>FUND_EXPENSE_RATIO</t>
  </si>
  <si>
    <t>Expense Ratio</t>
  </si>
  <si>
    <t>Massachusetts</t>
  </si>
  <si>
    <t>Pennsylvania</t>
  </si>
  <si>
    <t>New Jersey</t>
  </si>
  <si>
    <t>Ohio</t>
  </si>
  <si>
    <t>Oregon</t>
  </si>
  <si>
    <t>North Carolina</t>
  </si>
  <si>
    <t>Michigan</t>
  </si>
  <si>
    <t>Missouri</t>
  </si>
  <si>
    <t>Minnesota</t>
  </si>
  <si>
    <t>Kentucky</t>
  </si>
  <si>
    <t>Arizona</t>
  </si>
  <si>
    <t>Colorado</t>
  </si>
  <si>
    <t>Florida</t>
  </si>
  <si>
    <t>Hawaii</t>
  </si>
  <si>
    <t>Kansas</t>
  </si>
  <si>
    <t>Virginia</t>
  </si>
  <si>
    <t>Maryland</t>
  </si>
  <si>
    <t>Georgia</t>
  </si>
  <si>
    <t>Tennessee</t>
  </si>
  <si>
    <t>Connecticut</t>
  </si>
  <si>
    <t>Louisiana</t>
  </si>
  <si>
    <t>Display Ticker</t>
  </si>
  <si>
    <t>Display Name</t>
  </si>
  <si>
    <t>SECURITY_NAME</t>
  </si>
  <si>
    <t>Fund Name</t>
  </si>
  <si>
    <t>Alabama</t>
  </si>
  <si>
    <t>Arkansas</t>
  </si>
  <si>
    <t>Idaho</t>
  </si>
  <si>
    <t>Maine</t>
  </si>
  <si>
    <t>Mississippi</t>
  </si>
  <si>
    <t>Montana</t>
  </si>
  <si>
    <t>Nebraska</t>
  </si>
  <si>
    <t>New Hampshire</t>
  </si>
  <si>
    <t>New Mexico</t>
  </si>
  <si>
    <t>North Dakota</t>
  </si>
  <si>
    <t>Oklahoma</t>
  </si>
  <si>
    <t>Rhode Island</t>
  </si>
  <si>
    <t>South Carolina</t>
  </si>
  <si>
    <t>Texas</t>
  </si>
  <si>
    <t>Utah</t>
  </si>
  <si>
    <t>West Virginia</t>
  </si>
  <si>
    <t>Wisconsin</t>
  </si>
  <si>
    <t>AUM Weighted</t>
  </si>
  <si>
    <t>Abs Flow</t>
  </si>
  <si>
    <t>Dollar Value</t>
  </si>
  <si>
    <t>Normalised</t>
  </si>
  <si>
    <t>FUND_TOTAL_ASSETS_CRNCY</t>
  </si>
  <si>
    <t>AUM Currency</t>
  </si>
  <si>
    <t>Large-cap</t>
  </si>
  <si>
    <t>Small-cap</t>
  </si>
  <si>
    <t>Mid-cap</t>
  </si>
  <si>
    <t>Universe &gt;&gt; Money Market</t>
  </si>
  <si>
    <t>Relative Flow</t>
  </si>
  <si>
    <t>Relative Flow (Flow / AUM)</t>
  </si>
  <si>
    <t>Normalised (Index)</t>
  </si>
  <si>
    <t>Asset Class = Equity breakdown by Market Cap</t>
  </si>
  <si>
    <t>Other</t>
  </si>
  <si>
    <t>* Using large fund list may cause hitting desktop API limit. Please use FSRC to find larget AUM funds as sample if you have large universe.</t>
  </si>
  <si>
    <t>Local Objective Top</t>
  </si>
  <si>
    <t>LOCAL_OBJ_SUBCLASS</t>
  </si>
  <si>
    <t>Local Objective Middle</t>
  </si>
  <si>
    <t>Local Objective Bottom</t>
  </si>
  <si>
    <t>FUND_LEVERAGE_TYPE</t>
  </si>
  <si>
    <t>Leverage Type</t>
  </si>
  <si>
    <t>Leverage</t>
  </si>
  <si>
    <t xml:space="preserve">    Equity</t>
  </si>
  <si>
    <t xml:space="preserve">        Blend</t>
  </si>
  <si>
    <t xml:space="preserve">        Growth</t>
  </si>
  <si>
    <t xml:space="preserve">        Value</t>
  </si>
  <si>
    <t xml:space="preserve">    Fixed Income</t>
  </si>
  <si>
    <t xml:space="preserve">        Corporate</t>
  </si>
  <si>
    <t xml:space="preserve">        Aggregate</t>
  </si>
  <si>
    <t xml:space="preserve">        Government</t>
  </si>
  <si>
    <t xml:space="preserve">        Preferred</t>
  </si>
  <si>
    <t xml:space="preserve">        Municipals</t>
  </si>
  <si>
    <t xml:space="preserve">        Inflation Protected</t>
  </si>
  <si>
    <t xml:space="preserve">        Mortgage-Backed</t>
  </si>
  <si>
    <t xml:space="preserve">        Convertible</t>
  </si>
  <si>
    <t xml:space="preserve">        Bank Loans</t>
  </si>
  <si>
    <t xml:space="preserve">    Commodity</t>
  </si>
  <si>
    <t xml:space="preserve">        Energy</t>
  </si>
  <si>
    <t xml:space="preserve">        Broad Based</t>
  </si>
  <si>
    <t xml:space="preserve">        Precious Metals</t>
  </si>
  <si>
    <t>IEFA US EQUITY</t>
  </si>
  <si>
    <t>Investment Grade A or higher</t>
  </si>
  <si>
    <t>BND US EQUITY</t>
  </si>
  <si>
    <t>CIU US EQUITY</t>
  </si>
  <si>
    <t>VEA US EQUITY</t>
  </si>
  <si>
    <t>CSJ US EQUITY</t>
  </si>
  <si>
    <t>HEDJ US EQUITY</t>
  </si>
  <si>
    <t>DXJ US EQUITY</t>
  </si>
  <si>
    <t>SCPB US EQUITY</t>
  </si>
  <si>
    <t>ITR US EQUITY</t>
  </si>
  <si>
    <t>VOO US EQUITY</t>
  </si>
  <si>
    <t>Rel Flow Calc</t>
  </si>
  <si>
    <t>B</t>
  </si>
  <si>
    <t xml:space="preserve">    Money Market</t>
  </si>
  <si>
    <t>Money Market</t>
  </si>
  <si>
    <t xml:space="preserve">        General MMKT</t>
  </si>
  <si>
    <t>SPY US Equity</t>
  </si>
  <si>
    <t>IVV US Equity</t>
  </si>
  <si>
    <t>VTI US Equity</t>
  </si>
  <si>
    <t>EFA US Equity</t>
  </si>
  <si>
    <t>VOO US Equity</t>
  </si>
  <si>
    <t>AGG US Equity</t>
  </si>
  <si>
    <t>GLD US Equity</t>
  </si>
  <si>
    <t>QQQ US Equity</t>
  </si>
  <si>
    <t>VWO US Equity</t>
  </si>
  <si>
    <t>VNQ US Equity</t>
  </si>
  <si>
    <t>VEA US Equity</t>
  </si>
  <si>
    <t>BND US Equity</t>
  </si>
  <si>
    <t>IWF US Equity</t>
  </si>
  <si>
    <t>LQD US Equity</t>
  </si>
  <si>
    <t>1321 JP Equity</t>
  </si>
  <si>
    <t>IWD US Equity</t>
  </si>
  <si>
    <t>IJH US Equity</t>
  </si>
  <si>
    <t>IWM US Equity</t>
  </si>
  <si>
    <t>1306 JP Equity</t>
  </si>
  <si>
    <t>VTV US Equity</t>
  </si>
  <si>
    <t>EEM US Equity</t>
  </si>
  <si>
    <t>VIG US Equity</t>
  </si>
  <si>
    <t>VUG US Equity</t>
  </si>
  <si>
    <t>511990 CH Equity</t>
  </si>
  <si>
    <t>BSV US Equity</t>
  </si>
  <si>
    <t>IJR US Equity</t>
  </si>
  <si>
    <t>TIP US Equity</t>
  </si>
  <si>
    <t>MDY US Equity</t>
  </si>
  <si>
    <t>PFF US Equity</t>
  </si>
  <si>
    <t>XLF US Equity</t>
  </si>
  <si>
    <t>DVY US Equity</t>
  </si>
  <si>
    <t>IWB US Equity</t>
  </si>
  <si>
    <t>EWJ US Equity</t>
  </si>
  <si>
    <t>VO US Equity</t>
  </si>
  <si>
    <t>1330 JP Equity</t>
  </si>
  <si>
    <t>VYM US Equity</t>
  </si>
  <si>
    <t>XLE US Equity</t>
  </si>
  <si>
    <t>USMV US Equity</t>
  </si>
  <si>
    <t>SDY US Equity</t>
  </si>
  <si>
    <t>IVW US Equity</t>
  </si>
  <si>
    <t>1320 JP Equity</t>
  </si>
  <si>
    <t>VB US Equity</t>
  </si>
  <si>
    <t>HYG US Equity</t>
  </si>
  <si>
    <t>VUSA LN Equity</t>
  </si>
  <si>
    <t>XLV US Equity</t>
  </si>
  <si>
    <t>VEU US Equity</t>
  </si>
  <si>
    <t>VGK US Equity</t>
  </si>
  <si>
    <t>XLK US Equity</t>
  </si>
  <si>
    <t>IWR US Equity</t>
  </si>
  <si>
    <t>JNK US Equity</t>
  </si>
  <si>
    <t>DIA US Equity</t>
  </si>
  <si>
    <t>HEDJ US Equity</t>
  </si>
  <si>
    <t>1305 JP Equity</t>
  </si>
  <si>
    <t>1308 JP Equity</t>
  </si>
  <si>
    <t>IEFA US Equity</t>
  </si>
  <si>
    <t>CSJ US Equity</t>
  </si>
  <si>
    <t>DBEF US Equity</t>
  </si>
  <si>
    <t>IVE US Equity</t>
  </si>
  <si>
    <t>EZU US Equity</t>
  </si>
  <si>
    <t>SHY US Equity</t>
  </si>
  <si>
    <t>XLY US Equity</t>
  </si>
  <si>
    <t>XIU CN Equity</t>
  </si>
  <si>
    <t>BIV US Equity</t>
  </si>
  <si>
    <t>XLP US Equity</t>
  </si>
  <si>
    <t>IEF US Equity</t>
  </si>
  <si>
    <t>511880 CH Equity</t>
  </si>
  <si>
    <t>RSP US Equity</t>
  </si>
  <si>
    <t>2800 HK Equity</t>
  </si>
  <si>
    <t>TLT US Equity</t>
  </si>
  <si>
    <t>GDX US Equity</t>
  </si>
  <si>
    <t>MBB US Equity</t>
  </si>
  <si>
    <t>VGT US Equity</t>
  </si>
  <si>
    <t>DAXEX GR Equity</t>
  </si>
  <si>
    <t>IUSA LN Equity</t>
  </si>
  <si>
    <t>AMLP US Equity</t>
  </si>
  <si>
    <t>IAU US Equity</t>
  </si>
  <si>
    <t>XLU US Equity</t>
  </si>
  <si>
    <t>IEAC LN Equity</t>
  </si>
  <si>
    <t>MSE FP Equity</t>
  </si>
  <si>
    <t>VV US Equity</t>
  </si>
  <si>
    <t>VBR US Equity</t>
  </si>
  <si>
    <t>IWS US Equity</t>
  </si>
  <si>
    <t>SPLV US Equity</t>
  </si>
  <si>
    <t>EFAV US Equity</t>
  </si>
  <si>
    <t>MUB US Equity</t>
  </si>
  <si>
    <t>1346 JP Equity</t>
  </si>
  <si>
    <t>DXJ US Equity</t>
  </si>
  <si>
    <t>EMB US Equity</t>
  </si>
  <si>
    <t>XLI US Equity</t>
  </si>
  <si>
    <t>CIU US Equity</t>
  </si>
  <si>
    <t>IBB US Equity</t>
  </si>
  <si>
    <t>SWDA LN Equity</t>
  </si>
  <si>
    <t>SX5EEX GR Equity</t>
  </si>
  <si>
    <t>SCHB US Equity</t>
  </si>
  <si>
    <t>IBCS GR Equity</t>
  </si>
  <si>
    <t>IWO US Equity</t>
  </si>
  <si>
    <t>IWP US Equity</t>
  </si>
  <si>
    <t>IWV US Equity</t>
  </si>
  <si>
    <t>IHYG LN Equity</t>
  </si>
  <si>
    <t>IEI US Equity</t>
  </si>
  <si>
    <t>2828 HK Equity</t>
  </si>
  <si>
    <t>SLV US Equity</t>
  </si>
  <si>
    <t>IWN US Equity</t>
  </si>
  <si>
    <t>IMEU LN Equity</t>
  </si>
  <si>
    <t>VXUS US Equity</t>
  </si>
  <si>
    <t>SCZ US Equity</t>
  </si>
  <si>
    <t>HDV US Equity</t>
  </si>
  <si>
    <t>EUN2 GR Equity</t>
  </si>
  <si>
    <t>IWRD LN Equity</t>
  </si>
  <si>
    <t>SXXPIEX GR Equity</t>
  </si>
  <si>
    <t>VT US Equity</t>
  </si>
  <si>
    <t>VHT US Equity</t>
  </si>
  <si>
    <t>ACWI US Equity</t>
  </si>
  <si>
    <t>BNDX US Equity</t>
  </si>
  <si>
    <t>LQDE LN Equity</t>
  </si>
  <si>
    <t>IJK US Equity</t>
  </si>
  <si>
    <t>ISF LN Equity</t>
  </si>
  <si>
    <t>VOE US Equity</t>
  </si>
  <si>
    <t>IEMB LN Equity</t>
  </si>
  <si>
    <t>PHAU LN Equity</t>
  </si>
  <si>
    <t>2833 HK Equity</t>
  </si>
  <si>
    <t>IYR US Equity</t>
  </si>
  <si>
    <t>RWX US Equity</t>
  </si>
  <si>
    <t>IJJ US Equity</t>
  </si>
  <si>
    <t>VBK US Equity</t>
  </si>
  <si>
    <t>BKLN US Equity</t>
  </si>
  <si>
    <t>MINT US Equity</t>
  </si>
  <si>
    <t>OEF US Equity</t>
  </si>
  <si>
    <t>XDAX GR Equity</t>
  </si>
  <si>
    <t>PGX US Equity</t>
  </si>
  <si>
    <t>PRF US Equity</t>
  </si>
  <si>
    <t>ITOT US Equity</t>
  </si>
  <si>
    <t>GBS LN Equity</t>
  </si>
  <si>
    <t>510050 CH Equity</t>
  </si>
  <si>
    <t>EWG US Equity</t>
  </si>
  <si>
    <t>SCPB US Equity</t>
  </si>
  <si>
    <t>ICF US Equity</t>
  </si>
  <si>
    <t>CAC FP Equity</t>
  </si>
  <si>
    <t>IEEM LN Equity</t>
  </si>
  <si>
    <t>VDE US Equity</t>
  </si>
  <si>
    <t>VXF US Equity</t>
  </si>
  <si>
    <t>SCHD US Equity</t>
  </si>
  <si>
    <t>RWR US Equity</t>
  </si>
  <si>
    <t>1348 JP Equity</t>
  </si>
  <si>
    <t>069500 KS Equity</t>
  </si>
  <si>
    <t>AMJ US Equity</t>
  </si>
  <si>
    <t>EEMV US Equity</t>
  </si>
  <si>
    <t>INDA US Equity</t>
  </si>
  <si>
    <t>IJS US Equity</t>
  </si>
  <si>
    <t>2823 HK Equity</t>
  </si>
  <si>
    <t>HEFA US Equity</t>
  </si>
  <si>
    <t>2821 HK Equity</t>
  </si>
  <si>
    <t>IHYU LN Equity</t>
  </si>
  <si>
    <t>VNQI US Equity</t>
  </si>
  <si>
    <t>VFH US Equity</t>
  </si>
  <si>
    <t>511810 CH Equity</t>
  </si>
  <si>
    <t>VOT US Equity</t>
  </si>
  <si>
    <t>FXI US Equity</t>
  </si>
  <si>
    <t>510300 CH Equity</t>
  </si>
  <si>
    <t>SGLD LN Equity</t>
  </si>
  <si>
    <t>VDC US Equity</t>
  </si>
  <si>
    <t>PCY US Equity</t>
  </si>
  <si>
    <t>USO US Equity</t>
  </si>
  <si>
    <t>FV US Equity</t>
  </si>
  <si>
    <t>GDXJ US Equity</t>
  </si>
  <si>
    <t>IJT US Equity</t>
  </si>
  <si>
    <t>FDN US Equity</t>
  </si>
  <si>
    <t>EWY US Equity</t>
  </si>
  <si>
    <t>SJNK US Equity</t>
  </si>
  <si>
    <t>EWZ US Equity</t>
  </si>
  <si>
    <t>SE15 LN Equity</t>
  </si>
  <si>
    <t>SCHZ US Equity</t>
  </si>
  <si>
    <t>SH US Equity</t>
  </si>
  <si>
    <t>SHV US Equity</t>
  </si>
  <si>
    <t>FLOT US Equity</t>
  </si>
  <si>
    <t>DBEU US Equity</t>
  </si>
  <si>
    <t>XMEU GR Equity</t>
  </si>
  <si>
    <t>ACWV US Equity</t>
  </si>
  <si>
    <t>SHM US Equity</t>
  </si>
  <si>
    <t>IWDP LN Equity</t>
  </si>
  <si>
    <t>VUKE LN Equity</t>
  </si>
  <si>
    <t>EFV US Equity</t>
  </si>
  <si>
    <t>EWC US Equity</t>
  </si>
  <si>
    <t>IEML LN Equity</t>
  </si>
  <si>
    <t>FEZ US Equity</t>
  </si>
  <si>
    <t>SCHG US Equity</t>
  </si>
  <si>
    <t>510500 CH Equity</t>
  </si>
  <si>
    <t>ITPS LN Equity</t>
  </si>
  <si>
    <t>PJS1 GR Equity</t>
  </si>
  <si>
    <t>XSP CN Equity</t>
  </si>
  <si>
    <t>VPL US Equity</t>
  </si>
  <si>
    <t>159919 CH Equity</t>
  </si>
  <si>
    <t>IDV US Equity</t>
  </si>
  <si>
    <t>XLB US Equity</t>
  </si>
  <si>
    <t>ZGLD SW Equity</t>
  </si>
  <si>
    <t>BOND US Equity</t>
  </si>
  <si>
    <t>IBTS LN Equity</t>
  </si>
  <si>
    <t>TOTL US Equity</t>
  </si>
  <si>
    <t>DBC US Equity</t>
  </si>
  <si>
    <t>VSS US Equity</t>
  </si>
  <si>
    <t>EMIM LN Equity</t>
  </si>
  <si>
    <t>IEV US Equity</t>
  </si>
  <si>
    <t>VMBS US Equity</t>
  </si>
  <si>
    <t>NAFTRAC MM Equity</t>
  </si>
  <si>
    <t>510180 CH Equity</t>
  </si>
  <si>
    <t>CSSMI SW Equity</t>
  </si>
  <si>
    <t>XESX GR Equity</t>
  </si>
  <si>
    <t>1591 JP Equity</t>
  </si>
  <si>
    <t>VPU US Equity</t>
  </si>
  <si>
    <t>IEAG LN Equity</t>
  </si>
  <si>
    <t>510330 CH Equity</t>
  </si>
  <si>
    <t>IYW US Equity</t>
  </si>
  <si>
    <t>SDS US Equity</t>
  </si>
  <si>
    <t>VTIP US Equity</t>
  </si>
  <si>
    <t>EWT US Equity</t>
  </si>
  <si>
    <t>RWO US Equity</t>
  </si>
  <si>
    <t>BLV US Equity</t>
  </si>
  <si>
    <t>QUAL US Equity</t>
  </si>
  <si>
    <t>IBTM LN Equity</t>
  </si>
  <si>
    <t>MLPI US Equity</t>
  </si>
  <si>
    <t>CWB US Equity</t>
  </si>
  <si>
    <t>SCHM US Equity</t>
  </si>
  <si>
    <t>NEAR US Equity</t>
  </si>
  <si>
    <t>UDVD LN Equity</t>
  </si>
  <si>
    <t>SCHV US Equity</t>
  </si>
  <si>
    <t>SLXX LN Equity</t>
  </si>
  <si>
    <t>IJPN LN Equity</t>
  </si>
  <si>
    <t>STW AU Equity</t>
  </si>
  <si>
    <t>IGLT LN Equity</t>
  </si>
  <si>
    <t>VIS US Equity</t>
  </si>
  <si>
    <t>FDL US Equity</t>
  </si>
  <si>
    <t>AAXJ US Equity</t>
  </si>
  <si>
    <t>EFG US Equity</t>
  </si>
  <si>
    <t>GUNR US Equity</t>
  </si>
  <si>
    <t>MGK US Equity</t>
  </si>
  <si>
    <t>GOVT US Equity</t>
  </si>
  <si>
    <t>IJPE LN Equity</t>
  </si>
  <si>
    <t>HYS US Equity</t>
  </si>
  <si>
    <t>GVI US Equity</t>
  </si>
  <si>
    <t>XMWO GR Equity</t>
  </si>
  <si>
    <t>HYD US Equity</t>
  </si>
  <si>
    <t>1329 JP Equity</t>
  </si>
  <si>
    <t>KBE US Equity</t>
  </si>
  <si>
    <t>XMUS GR Equity</t>
  </si>
  <si>
    <t>EPP US Equity</t>
  </si>
  <si>
    <t>NOBL US Equity</t>
  </si>
  <si>
    <t>EWU US Equity</t>
  </si>
  <si>
    <t>XBI US Equity</t>
  </si>
  <si>
    <t>FVD US Equity</t>
  </si>
  <si>
    <t>IBGX LN Equity</t>
  </si>
  <si>
    <t>HSPX LN Equity</t>
  </si>
  <si>
    <t>TFI US Equity</t>
  </si>
  <si>
    <t>TBT US Equity</t>
  </si>
  <si>
    <t>SPHD US Equity</t>
  </si>
  <si>
    <t>EGUSAS SW Equity</t>
  </si>
  <si>
    <t>IYH US Equity</t>
  </si>
  <si>
    <t>MCHI US Equity</t>
  </si>
  <si>
    <t>XOP US Equity</t>
  </si>
  <si>
    <t>XIC CN Equity</t>
  </si>
  <si>
    <t>ACWX US Equity</t>
  </si>
  <si>
    <t>XGLE GR Equity</t>
  </si>
  <si>
    <t>RPG US Equity</t>
  </si>
  <si>
    <t>TDTT US Equity</t>
  </si>
  <si>
    <t>EEX5 LN Equity</t>
  </si>
  <si>
    <t>XD9U GR Equity</t>
  </si>
  <si>
    <t>VCR US Equity</t>
  </si>
  <si>
    <t>DON US Equity</t>
  </si>
  <si>
    <t>KRE US Equity</t>
  </si>
  <si>
    <t>1343 JP Equity</t>
  </si>
  <si>
    <t>INAA LN Equity</t>
  </si>
  <si>
    <t>XSB CN Equity</t>
  </si>
  <si>
    <t>DLN US Equity</t>
  </si>
  <si>
    <t>MDAXEX GR Equity</t>
  </si>
  <si>
    <t>ETFDAX GR Equity</t>
  </si>
  <si>
    <t>XBB CN Equity</t>
  </si>
  <si>
    <t>SCHE US Equity</t>
  </si>
  <si>
    <t>BIL US Equity</t>
  </si>
  <si>
    <t>PGF US Equity</t>
  </si>
  <si>
    <t>LYPS GR Equity</t>
  </si>
  <si>
    <t>RSX US Equity</t>
  </si>
  <si>
    <t>EWA US Equity</t>
  </si>
  <si>
    <t>CBO CN Equity</t>
  </si>
  <si>
    <t>IEUX LN Equity</t>
  </si>
  <si>
    <t>C50 FP Equity</t>
  </si>
  <si>
    <t>IOO US Equity</t>
  </si>
  <si>
    <t>XMEM GR Equity</t>
  </si>
  <si>
    <t>IFFF LN Equity</t>
  </si>
  <si>
    <t>EWH US Equity</t>
  </si>
  <si>
    <t>IPRP LN Equity</t>
  </si>
  <si>
    <t>IUSE LN Equity</t>
  </si>
  <si>
    <t>IGLS LN Equity</t>
  </si>
  <si>
    <t>MINT LN Equity</t>
  </si>
  <si>
    <t>EMUEUA GR Equity</t>
  </si>
  <si>
    <t>FXN US Equity</t>
  </si>
  <si>
    <t>SSO US Equity</t>
  </si>
  <si>
    <t>EMDD LN Equity</t>
  </si>
  <si>
    <t>MEU FP Equity</t>
  </si>
  <si>
    <t>IGLN LN Equity</t>
  </si>
  <si>
    <t>MTUM US Equity</t>
  </si>
  <si>
    <t>DES US Equity</t>
  </si>
  <si>
    <t>00632R TT Equity</t>
  </si>
  <si>
    <t>ITR US Equity</t>
  </si>
  <si>
    <t>102110 KS Equity</t>
  </si>
  <si>
    <t>XMJP GR Equity</t>
  </si>
  <si>
    <t>AEEM FP Equity</t>
  </si>
  <si>
    <t>QDF US Equity</t>
  </si>
  <si>
    <t>ZGLDUS SW Equity</t>
  </si>
  <si>
    <t>DEM US Equity</t>
  </si>
  <si>
    <t>LEM FP Equity</t>
  </si>
  <si>
    <t>VAW US Equity</t>
  </si>
  <si>
    <t>SJPA LN Equity</t>
  </si>
  <si>
    <t>IS15 LN Equity</t>
  </si>
  <si>
    <t>IYF US Equity</t>
  </si>
  <si>
    <t>SDOG US Equity</t>
  </si>
  <si>
    <t>EMLP US Equity</t>
  </si>
  <si>
    <t>FNDX US Equity</t>
  </si>
  <si>
    <t>ZAG CN Equity</t>
  </si>
  <si>
    <t>WLD FP Equity</t>
  </si>
  <si>
    <t>SCHP US Equity</t>
  </si>
  <si>
    <t>IBGS LN Equity</t>
  </si>
  <si>
    <t>FNDF US Equity</t>
  </si>
  <si>
    <t>PRFZ US Equity</t>
  </si>
  <si>
    <t>SPY5 LN Equity</t>
  </si>
  <si>
    <t>EWW US Equity</t>
  </si>
  <si>
    <t>XDWD LN Equity</t>
  </si>
  <si>
    <t>1369 JP Equity</t>
  </si>
  <si>
    <t>DBJP US Equity</t>
  </si>
  <si>
    <t>ZGLDHC SW Equity</t>
  </si>
  <si>
    <t>SHYG US Equity</t>
  </si>
  <si>
    <t>WRDCHA SW Equity</t>
  </si>
  <si>
    <t>FPE US Equity</t>
  </si>
  <si>
    <t>VLUE US Equity</t>
  </si>
  <si>
    <t>ERNE LN Equity</t>
  </si>
  <si>
    <t>ITA US Equity</t>
  </si>
  <si>
    <t>JBGOUA SW Equity</t>
  </si>
  <si>
    <t>ZGLDEU SW Equity</t>
  </si>
  <si>
    <t>JBGOCA SW Equity</t>
  </si>
  <si>
    <t>ESD FP Equity</t>
  </si>
  <si>
    <t>DAXEX GR EQUITY</t>
  </si>
  <si>
    <t>EFA US EQUITY</t>
  </si>
  <si>
    <t>AGG US EQUITY</t>
  </si>
  <si>
    <t>QQQ US EQUITY</t>
  </si>
  <si>
    <t>MSE FP EQUITY</t>
  </si>
  <si>
    <t>IVV US EQUITY</t>
  </si>
  <si>
    <t>VTI US EQUITY</t>
  </si>
  <si>
    <t>1306 JP EQUITY</t>
  </si>
  <si>
    <t>EEM US EQUITY</t>
  </si>
  <si>
    <t>IWF US EQUITY</t>
  </si>
  <si>
    <t>MDY US EQUITY</t>
  </si>
  <si>
    <t>PHAU LN EQUITY</t>
  </si>
  <si>
    <t>Compare Flows</t>
  </si>
  <si>
    <t>VCSH US Equity</t>
  </si>
  <si>
    <t>IEMG US Equity</t>
  </si>
  <si>
    <t>VCIT US Equity</t>
  </si>
  <si>
    <t>MSEX LN Equity</t>
  </si>
  <si>
    <t>MSEC SW Equity</t>
  </si>
  <si>
    <t>MSEU LN Equity</t>
  </si>
  <si>
    <t>KSMDAX IT Equity</t>
  </si>
  <si>
    <t>ZGLDHG SW Equity</t>
  </si>
  <si>
    <t>ZGLDGB SW Equity</t>
  </si>
  <si>
    <t>ZGLDHE SW Equity</t>
  </si>
  <si>
    <t>SCHX US Equity</t>
  </si>
  <si>
    <t>1570 JP Equity</t>
  </si>
  <si>
    <t>SCHF US Equity</t>
  </si>
  <si>
    <t>4GLD GR Equity</t>
  </si>
  <si>
    <t>SCHA US Equity</t>
  </si>
  <si>
    <t>82822 HK Equity</t>
  </si>
  <si>
    <t>XEOU SW Equity</t>
  </si>
  <si>
    <t>PJSR GR Equity</t>
  </si>
  <si>
    <t>E500 GR Equity</t>
  </si>
  <si>
    <t>D5BM GR Equity</t>
  </si>
  <si>
    <t>D500 GR Equity</t>
  </si>
  <si>
    <t>SPXS LN Equity</t>
  </si>
  <si>
    <t>SCHH US Equity</t>
  </si>
  <si>
    <t>IEXF LN Equity</t>
  </si>
  <si>
    <t>XWEH GR Equity</t>
  </si>
  <si>
    <t>SP5H FP Equity</t>
  </si>
  <si>
    <t>LYP7 GR Equity</t>
  </si>
  <si>
    <t>LYSPH SW Equity</t>
  </si>
  <si>
    <t>LSPU LN Equity</t>
  </si>
  <si>
    <t>IXUS US Equity</t>
  </si>
  <si>
    <t>ZSP CN Equity</t>
  </si>
  <si>
    <t>JBGOEA SW Equity</t>
  </si>
  <si>
    <t>XMJG LN Equity</t>
  </si>
  <si>
    <t>XMUJ LN Equity</t>
  </si>
  <si>
    <t>XMK9 GR Equity</t>
  </si>
  <si>
    <t>CD5 FP Equity</t>
  </si>
  <si>
    <t>CSSX5E SW Equity</t>
  </si>
  <si>
    <t>C50U FP Equity</t>
  </si>
  <si>
    <t>C5HU FP Equity</t>
  </si>
  <si>
    <t>LEML LN Equity</t>
  </si>
  <si>
    <t>EMLC US Equity</t>
  </si>
  <si>
    <t>MEU SP Equity</t>
  </si>
  <si>
    <t>NUGT US Equity</t>
  </si>
  <si>
    <t>WLDH FP Equity</t>
  </si>
  <si>
    <t>AUEM FP Equity</t>
  </si>
  <si>
    <t>LYWLD SW Equity</t>
  </si>
  <si>
    <t>WLDU LN Equity</t>
  </si>
  <si>
    <t>VCLT US Equity</t>
  </si>
  <si>
    <t>SBINIFT IN Equity</t>
  </si>
  <si>
    <t>ESEH FP Equity</t>
  </si>
  <si>
    <t>TPHG FP Equity</t>
  </si>
  <si>
    <t>KSMDAX IT EQUITY</t>
  </si>
  <si>
    <t>IEMG US EQUITY</t>
  </si>
  <si>
    <t>1570 JP EQUITY</t>
  </si>
  <si>
    <t>EMUP SW Equity</t>
  </si>
  <si>
    <t>XLRE US Equity</t>
  </si>
  <si>
    <t>510810 CH Equity</t>
  </si>
  <si>
    <t>QTEC US Equity</t>
  </si>
  <si>
    <t>AFLE FP Equity</t>
  </si>
  <si>
    <t>AFLT FP Equity</t>
  </si>
  <si>
    <t>FXR US Equity</t>
  </si>
  <si>
    <t>500USD SW Equity</t>
  </si>
  <si>
    <t>ACWIJ SW Equity</t>
  </si>
  <si>
    <t>ACWIU SW Equity</t>
  </si>
  <si>
    <t>Bln</t>
  </si>
  <si>
    <t>CSPX LN Equity</t>
  </si>
  <si>
    <t>FI</t>
  </si>
  <si>
    <t xml:space="preserve">    Specialty</t>
  </si>
  <si>
    <t xml:space="preserve">        Derivative</t>
  </si>
  <si>
    <t>Investment Grade BBB or higher</t>
  </si>
  <si>
    <t>High Yield</t>
  </si>
  <si>
    <t>Specialty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</si>
</sst>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Calibri"/>
      <family val="2"/>
    </font>
    <font>
      <b/>
      <sz val="10"/>
      <color indexed="9"/>
      <name val="Calibri"/>
      <family val="2"/>
    </font>
    <font>
      <b/>
      <sz val="10"/>
      <name val="Calibri"/>
      <family val="2"/>
    </font>
    <font>
      <b/>
      <sz val="10"/>
      <color indexed="8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i/>
      <sz val="11"/>
      <name val="Calibri"/>
      <family val="2"/>
    </font>
    <font>
      <b/>
      <sz val="11"/>
      <color theme="0"/>
      <name val="Calibri"/>
      <family val="2"/>
    </font>
    <font>
      <b/>
      <i/>
      <sz val="11"/>
      <color rgb="FF000000"/>
      <name val="Calibri"/>
      <family val="2"/>
    </font>
    <font>
      <b/>
      <i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rgb="FFFF0000"/>
      <name val="Calibri"/>
      <family val="2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patternFill patternType="solid">
        <fgColor rgb="FFFFFFFF"/>
        <bgColor auto="1"/>
      </patternFill>
    </fill>
    <fill>
      <patternFill patternType="solid">
        <fgColor rgb="FF63BE7B"/>
        <bgColor auto="1"/>
      </patternFill>
    </fill>
    <fill>
      <gradientFill>
        <stop position="0">
          <color theme="3"/>
        </stop>
        <stop position="0.5">
          <color theme="4"/>
        </stop>
        <stop position="1">
          <color theme="3"/>
        </stop>
      </gradientFill>
    </fill>
    <fill>
      <patternFill patternType="solid">
        <fgColor theme="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8"/>
      </top>
      <bottom style="thin">
        <color theme="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theme="0"/>
      </right>
      <top style="thin">
        <color indexed="8"/>
      </top>
      <bottom style="thin">
        <color theme="0"/>
      </bottom>
      <diagonal/>
    </border>
    <border>
      <left style="thin">
        <color theme="0"/>
      </left>
      <right style="thin">
        <color indexed="8"/>
      </right>
      <top style="thin">
        <color indexed="8"/>
      </top>
      <bottom style="thin">
        <color theme="0"/>
      </bottom>
      <diagonal/>
    </border>
    <border>
      <left style="thin">
        <color indexed="8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8"/>
      </right>
      <top style="thin">
        <color theme="0"/>
      </top>
      <bottom style="thin">
        <color theme="0"/>
      </bottom>
      <diagonal/>
    </border>
    <border>
      <left style="thin">
        <color indexed="8"/>
      </left>
      <right style="thin">
        <color theme="0"/>
      </right>
      <top style="thin">
        <color theme="0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8"/>
      </bottom>
      <diagonal/>
    </border>
    <border>
      <left style="thin">
        <color theme="0"/>
      </left>
      <right style="thin">
        <color indexed="8"/>
      </right>
      <top style="thin">
        <color theme="0"/>
      </top>
      <bottom style="thin">
        <color indexed="8"/>
      </bottom>
      <diagonal/>
    </border>
    <border>
      <left style="thin">
        <color theme="0"/>
      </left>
      <right/>
      <top style="thin">
        <color theme="0"/>
      </top>
      <bottom style="thin">
        <color indexed="8"/>
      </bottom>
      <diagonal/>
    </border>
    <border>
      <left/>
      <right/>
      <top style="thin">
        <color theme="0"/>
      </top>
      <bottom style="thin">
        <color indexed="8"/>
      </bottom>
      <diagonal/>
    </border>
    <border>
      <left/>
      <right style="thin">
        <color indexed="8"/>
      </right>
      <top style="thin">
        <color theme="0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9"/>
      </right>
      <top style="thin">
        <color indexed="8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8"/>
      </top>
      <bottom/>
      <diagonal/>
    </border>
    <border>
      <left style="thin">
        <color indexed="9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theme="0"/>
      </bottom>
      <diagonal/>
    </border>
    <border>
      <left/>
      <right style="thin">
        <color indexed="8"/>
      </right>
      <top/>
      <bottom style="thin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/>
      <top style="thin">
        <color indexed="8"/>
      </top>
      <bottom style="thin">
        <color theme="0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8"/>
      </right>
      <top/>
      <bottom style="thin">
        <color theme="0"/>
      </bottom>
      <diagonal/>
    </border>
    <border>
      <left style="thin">
        <color theme="0"/>
      </left>
      <right/>
      <top style="thin">
        <color indexed="8"/>
      </top>
      <bottom style="thin">
        <color indexed="8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indexed="8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FFFFFF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rgb="FFFFFFFF"/>
      </right>
      <top/>
      <bottom style="thin">
        <color theme="0"/>
      </bottom>
      <diagonal/>
    </border>
    <border>
      <left/>
      <right style="thin">
        <color theme="0"/>
      </right>
      <top style="thin">
        <color indexed="8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FFFFFF"/>
      </top>
      <bottom style="thin">
        <color rgb="FFFFFFFF"/>
      </bottom>
      <diagonal/>
    </border>
    <border>
      <left style="thin">
        <color theme="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theme="0"/>
      </left>
      <right style="thin">
        <color theme="0"/>
      </right>
      <top/>
      <bottom style="thin">
        <color rgb="FFFFFFFF"/>
      </bottom>
      <diagonal/>
    </border>
    <border>
      <left style="thin">
        <color theme="0"/>
      </left>
      <right style="thin">
        <color rgb="FFFFFFFF"/>
      </right>
      <top/>
      <bottom style="thin">
        <color rgb="FFFFFFFF"/>
      </bottom>
      <diagonal/>
    </border>
    <border>
      <left style="thin">
        <color indexed="8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theme="0"/>
      </right>
      <top style="thin">
        <color theme="0"/>
      </top>
      <bottom style="thin">
        <color indexed="8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8"/>
      </left>
      <right style="thin">
        <color theme="0"/>
      </right>
      <top/>
      <bottom style="thin">
        <color theme="0"/>
      </bottom>
      <diagonal/>
    </border>
    <border>
      <left style="thin">
        <color indexed="8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8"/>
      </right>
      <top style="thin">
        <color theme="0"/>
      </top>
      <bottom/>
      <diagonal/>
    </border>
    <border>
      <left style="thin">
        <color indexed="8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8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29" fillId="0" borderId="0" applyNumberFormat="0" applyFill="0" applyBorder="0" applyAlignment="0" applyProtection="0"/>
  </cellStyleXfs>
  <cellXfs count="251">
    <xf numFmtId="0" fontId="0" fillId="0" borderId="0" xfId="0"/>
    <xf numFmtId="0" fontId="3" fillId="0" borderId="0" xfId="0" applyFont="1"/>
    <xf numFmtId="0" fontId="3" fillId="3" borderId="0" xfId="0" applyFont="1" applyFill="1"/>
    <xf numFmtId="0" fontId="3" fillId="5" borderId="0" xfId="0" applyFont="1" applyFill="1"/>
    <xf numFmtId="0" fontId="6" fillId="0" borderId="0" xfId="0" applyFont="1"/>
    <xf numFmtId="0" fontId="3" fillId="0" borderId="3" xfId="0" applyFont="1" applyBorder="1"/>
    <xf numFmtId="0" fontId="6" fillId="5" borderId="3" xfId="0" applyFont="1" applyFill="1" applyBorder="1"/>
    <xf numFmtId="0" fontId="6" fillId="5" borderId="4" xfId="0" applyFont="1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3" fillId="5" borderId="3" xfId="0" applyFont="1" applyFill="1" applyBorder="1"/>
    <xf numFmtId="0" fontId="6" fillId="5" borderId="3" xfId="0" applyFont="1" applyFill="1" applyBorder="1" applyAlignment="1">
      <alignment wrapText="1"/>
    </xf>
    <xf numFmtId="0" fontId="3" fillId="5" borderId="3" xfId="0" applyFont="1" applyFill="1" applyBorder="1" applyAlignment="1">
      <alignment wrapText="1"/>
    </xf>
    <xf numFmtId="0" fontId="7" fillId="0" borderId="0" xfId="0" applyFont="1"/>
    <xf numFmtId="14" fontId="3" fillId="5" borderId="3" xfId="0" applyNumberFormat="1" applyFont="1" applyFill="1" applyBorder="1"/>
    <xf numFmtId="4" fontId="3" fillId="5" borderId="3" xfId="0" applyNumberFormat="1" applyFont="1" applyFill="1" applyBorder="1"/>
    <xf numFmtId="0" fontId="8" fillId="0" borderId="0" xfId="0" applyFont="1"/>
    <xf numFmtId="0" fontId="3" fillId="0" borderId="12" xfId="0" applyFont="1" applyBorder="1"/>
    <xf numFmtId="0" fontId="4" fillId="6" borderId="1" xfId="0" applyFont="1" applyFill="1" applyBorder="1" applyAlignment="1">
      <alignment horizontal="left"/>
    </xf>
    <xf numFmtId="0" fontId="4" fillId="6" borderId="2" xfId="0" applyFont="1" applyFill="1" applyBorder="1" applyAlignment="1">
      <alignment horizontal="left"/>
    </xf>
    <xf numFmtId="0" fontId="4" fillId="6" borderId="3" xfId="0" applyFont="1" applyFill="1" applyBorder="1" applyAlignment="1">
      <alignment horizontal="center"/>
    </xf>
    <xf numFmtId="0" fontId="3" fillId="3" borderId="2" xfId="0" applyFont="1" applyFill="1" applyBorder="1"/>
    <xf numFmtId="0" fontId="4" fillId="6" borderId="13" xfId="0" applyFont="1" applyFill="1" applyBorder="1" applyAlignment="1">
      <alignment horizontal="center"/>
    </xf>
    <xf numFmtId="0" fontId="4" fillId="2" borderId="5" xfId="0" applyFont="1" applyFill="1" applyBorder="1"/>
    <xf numFmtId="0" fontId="3" fillId="2" borderId="5" xfId="0" applyFont="1" applyFill="1" applyBorder="1"/>
    <xf numFmtId="0" fontId="9" fillId="0" borderId="0" xfId="0" applyFont="1"/>
    <xf numFmtId="0" fontId="4" fillId="2" borderId="3" xfId="0" applyFont="1" applyFill="1" applyBorder="1" applyAlignment="1">
      <alignment horizontal="left"/>
    </xf>
    <xf numFmtId="14" fontId="5" fillId="3" borderId="3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0" fillId="6" borderId="3" xfId="0" applyFont="1" applyFill="1" applyBorder="1"/>
    <xf numFmtId="0" fontId="3" fillId="5" borderId="14" xfId="0" applyFont="1" applyFill="1" applyBorder="1"/>
    <xf numFmtId="0" fontId="3" fillId="5" borderId="15" xfId="0" applyFont="1" applyFill="1" applyBorder="1"/>
    <xf numFmtId="0" fontId="11" fillId="0" borderId="0" xfId="0" applyFont="1"/>
    <xf numFmtId="0" fontId="10" fillId="6" borderId="4" xfId="0" applyFont="1" applyFill="1" applyBorder="1"/>
    <xf numFmtId="0" fontId="10" fillId="6" borderId="5" xfId="0" applyFont="1" applyFill="1" applyBorder="1"/>
    <xf numFmtId="0" fontId="9" fillId="0" borderId="1" xfId="0" applyFont="1" applyBorder="1"/>
    <xf numFmtId="0" fontId="3" fillId="5" borderId="1" xfId="0" applyFont="1" applyFill="1" applyBorder="1"/>
    <xf numFmtId="0" fontId="3" fillId="0" borderId="1" xfId="0" applyFont="1" applyBorder="1"/>
    <xf numFmtId="14" fontId="9" fillId="0" borderId="0" xfId="0" applyNumberFormat="1" applyFont="1"/>
    <xf numFmtId="14" fontId="9" fillId="5" borderId="3" xfId="0" applyNumberFormat="1" applyFont="1" applyFill="1" applyBorder="1"/>
    <xf numFmtId="14" fontId="3" fillId="7" borderId="3" xfId="0" applyNumberFormat="1" applyFont="1" applyFill="1" applyBorder="1"/>
    <xf numFmtId="14" fontId="9" fillId="7" borderId="3" xfId="0" applyNumberFormat="1" applyFont="1" applyFill="1" applyBorder="1"/>
    <xf numFmtId="0" fontId="5" fillId="5" borderId="3" xfId="0" applyFont="1" applyFill="1" applyBorder="1"/>
    <xf numFmtId="14" fontId="3" fillId="8" borderId="3" xfId="0" applyNumberFormat="1" applyFont="1" applyFill="1" applyBorder="1"/>
    <xf numFmtId="0" fontId="10" fillId="9" borderId="3" xfId="0" applyFont="1" applyFill="1" applyBorder="1"/>
    <xf numFmtId="0" fontId="14" fillId="0" borderId="0" xfId="0" applyFont="1"/>
    <xf numFmtId="0" fontId="15" fillId="0" borderId="16" xfId="0" applyFont="1" applyBorder="1"/>
    <xf numFmtId="0" fontId="15" fillId="0" borderId="10" xfId="0" applyFont="1" applyBorder="1"/>
    <xf numFmtId="0" fontId="14" fillId="0" borderId="17" xfId="0" applyFont="1" applyBorder="1"/>
    <xf numFmtId="0" fontId="14" fillId="0" borderId="16" xfId="0" applyFont="1" applyBorder="1"/>
    <xf numFmtId="2" fontId="14" fillId="0" borderId="16" xfId="0" applyNumberFormat="1" applyFont="1" applyBorder="1"/>
    <xf numFmtId="0" fontId="14" fillId="0" borderId="0" xfId="0" applyFont="1" applyAlignment="1">
      <alignment horizontal="center"/>
    </xf>
    <xf numFmtId="0" fontId="16" fillId="10" borderId="22" xfId="0" applyFont="1" applyFill="1" applyBorder="1" applyAlignment="1">
      <alignment horizontal="left" vertical="center"/>
    </xf>
    <xf numFmtId="0" fontId="16" fillId="10" borderId="24" xfId="0" applyFont="1" applyFill="1" applyBorder="1" applyAlignment="1">
      <alignment horizontal="left" vertical="center"/>
    </xf>
    <xf numFmtId="0" fontId="16" fillId="10" borderId="26" xfId="0" applyFont="1" applyFill="1" applyBorder="1" applyAlignment="1">
      <alignment horizontal="left" vertical="center"/>
    </xf>
    <xf numFmtId="2" fontId="18" fillId="11" borderId="25" xfId="0" applyNumberFormat="1" applyFont="1" applyFill="1" applyBorder="1" applyAlignment="1">
      <alignment vertical="top"/>
    </xf>
    <xf numFmtId="0" fontId="18" fillId="11" borderId="23" xfId="0" applyFont="1" applyFill="1" applyBorder="1" applyAlignment="1">
      <alignment vertical="top"/>
    </xf>
    <xf numFmtId="10" fontId="18" fillId="11" borderId="28" xfId="0" applyNumberFormat="1" applyFont="1" applyFill="1" applyBorder="1" applyAlignment="1">
      <alignment vertical="top"/>
    </xf>
    <xf numFmtId="0" fontId="17" fillId="12" borderId="25" xfId="0" applyFont="1" applyFill="1" applyBorder="1" applyAlignment="1">
      <alignment horizontal="right" vertical="center"/>
    </xf>
    <xf numFmtId="2" fontId="18" fillId="11" borderId="25" xfId="0" applyNumberFormat="1" applyFont="1" applyFill="1" applyBorder="1" applyAlignment="1">
      <alignment vertical="center"/>
    </xf>
    <xf numFmtId="2" fontId="18" fillId="11" borderId="28" xfId="0" applyNumberFormat="1" applyFont="1" applyFill="1" applyBorder="1" applyAlignment="1">
      <alignment vertical="center"/>
    </xf>
    <xf numFmtId="0" fontId="14" fillId="0" borderId="38" xfId="0" applyFont="1" applyBorder="1"/>
    <xf numFmtId="0" fontId="14" fillId="0" borderId="12" xfId="0" applyFont="1" applyBorder="1"/>
    <xf numFmtId="0" fontId="14" fillId="0" borderId="39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40" xfId="0" applyFont="1" applyBorder="1"/>
    <xf numFmtId="0" fontId="14" fillId="0" borderId="1" xfId="0" applyFont="1" applyBorder="1"/>
    <xf numFmtId="0" fontId="14" fillId="0" borderId="2" xfId="0" applyFont="1" applyBorder="1"/>
    <xf numFmtId="0" fontId="16" fillId="10" borderId="16" xfId="0" applyFont="1" applyFill="1" applyBorder="1" applyAlignment="1">
      <alignment horizontal="right" vertical="center"/>
    </xf>
    <xf numFmtId="0" fontId="16" fillId="10" borderId="25" xfId="0" applyFont="1" applyFill="1" applyBorder="1" applyAlignment="1">
      <alignment horizontal="left" vertical="center"/>
    </xf>
    <xf numFmtId="164" fontId="18" fillId="11" borderId="16" xfId="0" applyNumberFormat="1" applyFont="1" applyFill="1" applyBorder="1" applyAlignment="1">
      <alignment horizontal="right" vertical="top"/>
    </xf>
    <xf numFmtId="164" fontId="18" fillId="12" borderId="16" xfId="0" applyNumberFormat="1" applyFont="1" applyFill="1" applyBorder="1" applyAlignment="1">
      <alignment horizontal="right" vertical="top"/>
    </xf>
    <xf numFmtId="164" fontId="18" fillId="12" borderId="27" xfId="0" applyNumberFormat="1" applyFont="1" applyFill="1" applyBorder="1" applyAlignment="1">
      <alignment horizontal="right" vertical="top"/>
    </xf>
    <xf numFmtId="10" fontId="18" fillId="11" borderId="25" xfId="0" applyNumberFormat="1" applyFont="1" applyFill="1" applyBorder="1" applyAlignment="1">
      <alignment horizontal="left" vertical="top"/>
    </xf>
    <xf numFmtId="10" fontId="18" fillId="12" borderId="25" xfId="0" applyNumberFormat="1" applyFont="1" applyFill="1" applyBorder="1" applyAlignment="1">
      <alignment horizontal="left" vertical="top"/>
    </xf>
    <xf numFmtId="10" fontId="18" fillId="12" borderId="28" xfId="0" applyNumberFormat="1" applyFont="1" applyFill="1" applyBorder="1" applyAlignment="1">
      <alignment horizontal="left" vertical="top"/>
    </xf>
    <xf numFmtId="0" fontId="18" fillId="11" borderId="24" xfId="0" applyFont="1" applyFill="1" applyBorder="1" applyAlignment="1">
      <alignment horizontal="left" vertical="top"/>
    </xf>
    <xf numFmtId="0" fontId="18" fillId="12" borderId="24" xfId="0" applyFont="1" applyFill="1" applyBorder="1" applyAlignment="1">
      <alignment horizontal="left" vertical="top"/>
    </xf>
    <xf numFmtId="0" fontId="18" fillId="12" borderId="26" xfId="0" applyFont="1" applyFill="1" applyBorder="1" applyAlignment="1">
      <alignment horizontal="left" vertical="top"/>
    </xf>
    <xf numFmtId="165" fontId="18" fillId="11" borderId="16" xfId="0" applyNumberFormat="1" applyFont="1" applyFill="1" applyBorder="1" applyAlignment="1">
      <alignment horizontal="right" vertical="top"/>
    </xf>
    <xf numFmtId="165" fontId="18" fillId="12" borderId="16" xfId="0" applyNumberFormat="1" applyFont="1" applyFill="1" applyBorder="1" applyAlignment="1">
      <alignment horizontal="right" vertical="top"/>
    </xf>
    <xf numFmtId="165" fontId="18" fillId="12" borderId="27" xfId="0" applyNumberFormat="1" applyFont="1" applyFill="1" applyBorder="1" applyAlignment="1">
      <alignment horizontal="right" vertical="top"/>
    </xf>
    <xf numFmtId="0" fontId="20" fillId="0" borderId="0" xfId="0" applyFont="1"/>
    <xf numFmtId="0" fontId="20" fillId="0" borderId="0" xfId="0" applyFont="1" applyAlignment="1">
      <alignment horizontal="center"/>
    </xf>
    <xf numFmtId="0" fontId="21" fillId="10" borderId="19" xfId="0" applyFont="1" applyFill="1" applyBorder="1" applyAlignment="1">
      <alignment horizontal="center" vertical="center"/>
    </xf>
    <xf numFmtId="14" fontId="22" fillId="11" borderId="23" xfId="0" applyNumberFormat="1" applyFont="1" applyFill="1" applyBorder="1" applyAlignment="1">
      <alignment vertical="top"/>
    </xf>
    <xf numFmtId="0" fontId="21" fillId="10" borderId="27" xfId="0" applyFont="1" applyFill="1" applyBorder="1" applyAlignment="1">
      <alignment horizontal="center" vertical="center"/>
    </xf>
    <xf numFmtId="14" fontId="22" fillId="11" borderId="28" xfId="0" applyNumberFormat="1" applyFont="1" applyFill="1" applyBorder="1" applyAlignment="1">
      <alignment vertical="top"/>
    </xf>
    <xf numFmtId="0" fontId="24" fillId="0" borderId="0" xfId="0" applyFont="1"/>
    <xf numFmtId="165" fontId="24" fillId="0" borderId="0" xfId="0" applyNumberFormat="1" applyFont="1" applyAlignment="1">
      <alignment horizontal="right"/>
    </xf>
    <xf numFmtId="165" fontId="24" fillId="0" borderId="0" xfId="0" applyNumberFormat="1" applyFont="1"/>
    <xf numFmtId="164" fontId="24" fillId="0" borderId="0" xfId="0" applyNumberFormat="1" applyFont="1"/>
    <xf numFmtId="0" fontId="24" fillId="0" borderId="0" xfId="0" applyFont="1" applyAlignment="1">
      <alignment horizontal="right" indent="1"/>
    </xf>
    <xf numFmtId="0" fontId="24" fillId="0" borderId="0" xfId="0" applyFont="1" applyAlignment="1">
      <alignment horizontal="right"/>
    </xf>
    <xf numFmtId="0" fontId="25" fillId="0" borderId="7" xfId="0" applyFont="1" applyBorder="1"/>
    <xf numFmtId="0" fontId="25" fillId="0" borderId="8" xfId="0" applyFont="1" applyBorder="1"/>
    <xf numFmtId="4" fontId="25" fillId="0" borderId="8" xfId="0" applyNumberFormat="1" applyFont="1" applyBorder="1" applyAlignment="1">
      <alignment horizontal="right" indent="1"/>
    </xf>
    <xf numFmtId="4" fontId="25" fillId="0" borderId="9" xfId="0" applyNumberFormat="1" applyFont="1" applyBorder="1"/>
    <xf numFmtId="4" fontId="24" fillId="0" borderId="0" xfId="0" applyNumberFormat="1" applyFont="1" applyAlignment="1">
      <alignment horizontal="right" indent="1"/>
    </xf>
    <xf numFmtId="4" fontId="24" fillId="0" borderId="0" xfId="0" applyNumberFormat="1" applyFont="1"/>
    <xf numFmtId="0" fontId="24" fillId="0" borderId="35" xfId="0" applyFont="1" applyBorder="1"/>
    <xf numFmtId="0" fontId="24" fillId="0" borderId="34" xfId="0" applyFont="1" applyBorder="1"/>
    <xf numFmtId="0" fontId="24" fillId="0" borderId="40" xfId="0" applyFont="1" applyBorder="1"/>
    <xf numFmtId="0" fontId="24" fillId="0" borderId="1" xfId="0" applyFont="1" applyBorder="1"/>
    <xf numFmtId="0" fontId="24" fillId="0" borderId="2" xfId="0" applyFont="1" applyBorder="1"/>
    <xf numFmtId="3" fontId="22" fillId="11" borderId="19" xfId="0" applyNumberFormat="1" applyFont="1" applyFill="1" applyBorder="1" applyAlignment="1">
      <alignment vertical="top"/>
    </xf>
    <xf numFmtId="3" fontId="22" fillId="11" borderId="27" xfId="0" applyNumberFormat="1" applyFont="1" applyFill="1" applyBorder="1" applyAlignment="1">
      <alignment vertical="top"/>
    </xf>
    <xf numFmtId="165" fontId="23" fillId="0" borderId="16" xfId="0" applyNumberFormat="1" applyFont="1" applyBorder="1"/>
    <xf numFmtId="164" fontId="23" fillId="0" borderId="16" xfId="0" applyNumberFormat="1" applyFont="1" applyBorder="1"/>
    <xf numFmtId="0" fontId="18" fillId="0" borderId="17" xfId="0" applyFont="1" applyBorder="1"/>
    <xf numFmtId="0" fontId="23" fillId="0" borderId="53" xfId="0" applyFont="1" applyBorder="1" applyAlignment="1">
      <alignment horizontal="right" indent="1"/>
    </xf>
    <xf numFmtId="165" fontId="23" fillId="12" borderId="56" xfId="0" applyNumberFormat="1" applyFont="1" applyFill="1" applyBorder="1"/>
    <xf numFmtId="164" fontId="23" fillId="12" borderId="56" xfId="0" applyNumberFormat="1" applyFont="1" applyFill="1" applyBorder="1"/>
    <xf numFmtId="3" fontId="23" fillId="12" borderId="57" xfId="0" applyNumberFormat="1" applyFont="1" applyFill="1" applyBorder="1" applyAlignment="1">
      <alignment horizontal="right" indent="1"/>
    </xf>
    <xf numFmtId="165" fontId="23" fillId="12" borderId="60" xfId="0" applyNumberFormat="1" applyFont="1" applyFill="1" applyBorder="1"/>
    <xf numFmtId="164" fontId="23" fillId="12" borderId="60" xfId="0" applyNumberFormat="1" applyFont="1" applyFill="1" applyBorder="1"/>
    <xf numFmtId="0" fontId="23" fillId="12" borderId="61" xfId="0" applyFont="1" applyFill="1" applyBorder="1" applyAlignment="1">
      <alignment horizontal="right" indent="1"/>
    </xf>
    <xf numFmtId="165" fontId="27" fillId="11" borderId="60" xfId="0" applyNumberFormat="1" applyFont="1" applyFill="1" applyBorder="1"/>
    <xf numFmtId="164" fontId="27" fillId="11" borderId="60" xfId="0" applyNumberFormat="1" applyFont="1" applyFill="1" applyBorder="1"/>
    <xf numFmtId="0" fontId="27" fillId="11" borderId="61" xfId="0" applyFont="1" applyFill="1" applyBorder="1" applyAlignment="1">
      <alignment horizontal="right" indent="1"/>
    </xf>
    <xf numFmtId="165" fontId="27" fillId="11" borderId="62" xfId="0" applyNumberFormat="1" applyFont="1" applyFill="1" applyBorder="1"/>
    <xf numFmtId="164" fontId="27" fillId="11" borderId="62" xfId="0" applyNumberFormat="1" applyFont="1" applyFill="1" applyBorder="1"/>
    <xf numFmtId="0" fontId="27" fillId="11" borderId="63" xfId="0" applyFont="1" applyFill="1" applyBorder="1" applyAlignment="1">
      <alignment horizontal="right" indent="1"/>
    </xf>
    <xf numFmtId="0" fontId="23" fillId="0" borderId="11" xfId="0" applyFont="1" applyBorder="1"/>
    <xf numFmtId="165" fontId="27" fillId="14" borderId="16" xfId="0" applyNumberFormat="1" applyFont="1" applyFill="1" applyBorder="1"/>
    <xf numFmtId="164" fontId="27" fillId="14" borderId="16" xfId="0" applyNumberFormat="1" applyFont="1" applyFill="1" applyBorder="1"/>
    <xf numFmtId="0" fontId="27" fillId="14" borderId="53" xfId="0" applyFont="1" applyFill="1" applyBorder="1" applyAlignment="1">
      <alignment horizontal="right" indent="1"/>
    </xf>
    <xf numFmtId="165" fontId="23" fillId="14" borderId="16" xfId="0" applyNumberFormat="1" applyFont="1" applyFill="1" applyBorder="1"/>
    <xf numFmtId="164" fontId="23" fillId="14" borderId="16" xfId="0" applyNumberFormat="1" applyFont="1" applyFill="1" applyBorder="1"/>
    <xf numFmtId="0" fontId="23" fillId="14" borderId="53" xfId="0" applyFont="1" applyFill="1" applyBorder="1" applyAlignment="1">
      <alignment horizontal="right" indent="1"/>
    </xf>
    <xf numFmtId="165" fontId="22" fillId="14" borderId="16" xfId="0" applyNumberFormat="1" applyFont="1" applyFill="1" applyBorder="1"/>
    <xf numFmtId="164" fontId="22" fillId="14" borderId="16" xfId="0" applyNumberFormat="1" applyFont="1" applyFill="1" applyBorder="1"/>
    <xf numFmtId="0" fontId="22" fillId="14" borderId="53" xfId="0" applyFont="1" applyFill="1" applyBorder="1" applyAlignment="1">
      <alignment horizontal="right" indent="1"/>
    </xf>
    <xf numFmtId="14" fontId="3" fillId="0" borderId="0" xfId="0" applyNumberFormat="1" applyFont="1"/>
    <xf numFmtId="14" fontId="9" fillId="8" borderId="3" xfId="0" applyNumberFormat="1" applyFont="1" applyFill="1" applyBorder="1"/>
    <xf numFmtId="0" fontId="21" fillId="10" borderId="48" xfId="0" applyFont="1" applyFill="1" applyBorder="1" applyAlignment="1">
      <alignment horizontal="center" vertical="center"/>
    </xf>
    <xf numFmtId="0" fontId="26" fillId="10" borderId="48" xfId="0" applyFont="1" applyFill="1" applyBorder="1" applyAlignment="1">
      <alignment horizontal="center" vertical="center"/>
    </xf>
    <xf numFmtId="0" fontId="21" fillId="10" borderId="49" xfId="0" applyFont="1" applyFill="1" applyBorder="1" applyAlignment="1">
      <alignment horizontal="center" vertical="center"/>
    </xf>
    <xf numFmtId="14" fontId="7" fillId="0" borderId="0" xfId="0" applyNumberFormat="1" applyFont="1"/>
    <xf numFmtId="0" fontId="21" fillId="15" borderId="48" xfId="0" applyFont="1" applyFill="1" applyBorder="1" applyAlignment="1">
      <alignment horizontal="center" vertical="center"/>
    </xf>
    <xf numFmtId="0" fontId="26" fillId="16" borderId="24" xfId="0" applyFont="1" applyFill="1" applyBorder="1"/>
    <xf numFmtId="0" fontId="22" fillId="13" borderId="25" xfId="0" applyFont="1" applyFill="1" applyBorder="1" applyAlignment="1">
      <alignment horizontal="center" vertical="top"/>
    </xf>
    <xf numFmtId="0" fontId="21" fillId="10" borderId="23" xfId="0" applyFont="1" applyFill="1" applyBorder="1" applyAlignment="1">
      <alignment horizontal="center" vertical="center"/>
    </xf>
    <xf numFmtId="0" fontId="22" fillId="13" borderId="25" xfId="0" applyFont="1" applyFill="1" applyBorder="1" applyAlignment="1">
      <alignment vertical="top"/>
    </xf>
    <xf numFmtId="0" fontId="22" fillId="13" borderId="28" xfId="0" applyFont="1" applyFill="1" applyBorder="1" applyAlignment="1">
      <alignment vertical="top"/>
    </xf>
    <xf numFmtId="0" fontId="21" fillId="10" borderId="59" xfId="0" applyFont="1" applyFill="1" applyBorder="1" applyAlignment="1">
      <alignment horizontal="center" vertical="center"/>
    </xf>
    <xf numFmtId="0" fontId="22" fillId="13" borderId="17" xfId="0" applyFont="1" applyFill="1" applyBorder="1" applyAlignment="1">
      <alignment vertical="top"/>
    </xf>
    <xf numFmtId="0" fontId="22" fillId="13" borderId="65" xfId="0" applyFont="1" applyFill="1" applyBorder="1" applyAlignment="1">
      <alignment vertical="top"/>
    </xf>
    <xf numFmtId="0" fontId="16" fillId="10" borderId="64" xfId="0" applyFont="1" applyFill="1" applyBorder="1" applyAlignment="1">
      <alignment horizontal="center" vertical="center"/>
    </xf>
    <xf numFmtId="0" fontId="16" fillId="10" borderId="66" xfId="0" applyFont="1" applyFill="1" applyBorder="1" applyAlignment="1">
      <alignment horizontal="center" vertical="center"/>
    </xf>
    <xf numFmtId="0" fontId="16" fillId="10" borderId="67" xfId="0" applyFont="1" applyFill="1" applyBorder="1" applyAlignment="1">
      <alignment horizontal="center" vertical="center"/>
    </xf>
    <xf numFmtId="0" fontId="20" fillId="0" borderId="18" xfId="0" applyFont="1" applyBorder="1"/>
    <xf numFmtId="0" fontId="20" fillId="0" borderId="11" xfId="0" applyFont="1" applyBorder="1"/>
    <xf numFmtId="0" fontId="26" fillId="16" borderId="68" xfId="0" applyFont="1" applyFill="1" applyBorder="1"/>
    <xf numFmtId="0" fontId="21" fillId="10" borderId="22" xfId="0" applyFont="1" applyFill="1" applyBorder="1" applyAlignment="1">
      <alignment vertical="center"/>
    </xf>
    <xf numFmtId="0" fontId="26" fillId="16" borderId="69" xfId="0" applyFont="1" applyFill="1" applyBorder="1"/>
    <xf numFmtId="0" fontId="22" fillId="13" borderId="70" xfId="0" applyFont="1" applyFill="1" applyBorder="1" applyAlignment="1">
      <alignment horizontal="center" vertical="top"/>
    </xf>
    <xf numFmtId="0" fontId="30" fillId="11" borderId="24" xfId="5" applyFont="1" applyFill="1" applyBorder="1" applyAlignment="1">
      <alignment horizontal="left" vertical="top"/>
    </xf>
    <xf numFmtId="0" fontId="30" fillId="12" borderId="24" xfId="5" applyFont="1" applyFill="1" applyBorder="1" applyAlignment="1">
      <alignment horizontal="left" vertical="top"/>
    </xf>
    <xf numFmtId="0" fontId="30" fillId="12" borderId="26" xfId="5" applyFont="1" applyFill="1" applyBorder="1" applyAlignment="1">
      <alignment horizontal="left" vertical="top"/>
    </xf>
    <xf numFmtId="165" fontId="30" fillId="11" borderId="16" xfId="5" applyNumberFormat="1" applyFont="1" applyFill="1" applyBorder="1" applyAlignment="1">
      <alignment horizontal="right" vertical="top"/>
    </xf>
    <xf numFmtId="165" fontId="30" fillId="12" borderId="16" xfId="5" applyNumberFormat="1" applyFont="1" applyFill="1" applyBorder="1" applyAlignment="1">
      <alignment horizontal="right" vertical="top"/>
    </xf>
    <xf numFmtId="165" fontId="30" fillId="12" borderId="27" xfId="5" applyNumberFormat="1" applyFont="1" applyFill="1" applyBorder="1" applyAlignment="1">
      <alignment horizontal="right" vertical="top"/>
    </xf>
    <xf numFmtId="0" fontId="31" fillId="0" borderId="0" xfId="0" applyFont="1"/>
    <xf numFmtId="0" fontId="26" fillId="0" borderId="0" xfId="0" applyFont="1"/>
    <xf numFmtId="0" fontId="22" fillId="0" borderId="0" xfId="0" applyFont="1" applyAlignment="1">
      <alignment horizontal="center" vertical="top"/>
    </xf>
    <xf numFmtId="0" fontId="26" fillId="16" borderId="71" xfId="0" applyFont="1" applyFill="1" applyBorder="1"/>
    <xf numFmtId="0" fontId="22" fillId="13" borderId="72" xfId="0" applyFont="1" applyFill="1" applyBorder="1" applyAlignment="1">
      <alignment horizontal="center" vertical="top"/>
    </xf>
    <xf numFmtId="0" fontId="16" fillId="10" borderId="16" xfId="0" applyFont="1" applyFill="1" applyBorder="1" applyAlignment="1">
      <alignment horizontal="left" vertical="center"/>
    </xf>
    <xf numFmtId="165" fontId="27" fillId="14" borderId="60" xfId="0" applyNumberFormat="1" applyFont="1" applyFill="1" applyBorder="1"/>
    <xf numFmtId="164" fontId="27" fillId="14" borderId="60" xfId="0" applyNumberFormat="1" applyFont="1" applyFill="1" applyBorder="1"/>
    <xf numFmtId="0" fontId="27" fillId="14" borderId="61" xfId="0" applyFont="1" applyFill="1" applyBorder="1" applyAlignment="1">
      <alignment horizontal="right" indent="1"/>
    </xf>
    <xf numFmtId="165" fontId="23" fillId="14" borderId="48" xfId="0" applyNumberFormat="1" applyFont="1" applyFill="1" applyBorder="1"/>
    <xf numFmtId="164" fontId="23" fillId="14" borderId="48" xfId="0" applyNumberFormat="1" applyFont="1" applyFill="1" applyBorder="1"/>
    <xf numFmtId="0" fontId="23" fillId="14" borderId="58" xfId="0" applyFont="1" applyFill="1" applyBorder="1" applyAlignment="1">
      <alignment horizontal="right" indent="1"/>
    </xf>
    <xf numFmtId="2" fontId="18" fillId="11" borderId="73" xfId="0" applyNumberFormat="1" applyFont="1" applyFill="1" applyBorder="1" applyAlignment="1">
      <alignment vertical="top"/>
    </xf>
    <xf numFmtId="2" fontId="18" fillId="11" borderId="74" xfId="0" applyNumberFormat="1" applyFont="1" applyFill="1" applyBorder="1" applyAlignment="1">
      <alignment vertical="top"/>
    </xf>
    <xf numFmtId="2" fontId="18" fillId="11" borderId="75" xfId="0" applyNumberFormat="1" applyFont="1" applyFill="1" applyBorder="1" applyAlignment="1">
      <alignment vertical="top"/>
    </xf>
    <xf numFmtId="0" fontId="16" fillId="10" borderId="19" xfId="0" applyFont="1" applyFill="1" applyBorder="1" applyAlignment="1">
      <alignment horizontal="left" vertical="center"/>
    </xf>
    <xf numFmtId="0" fontId="16" fillId="10" borderId="27" xfId="0" applyFont="1" applyFill="1" applyBorder="1" applyAlignment="1">
      <alignment horizontal="left" vertical="center"/>
    </xf>
    <xf numFmtId="0" fontId="17" fillId="11" borderId="19" xfId="0" applyFont="1" applyFill="1" applyBorder="1" applyAlignment="1">
      <alignment horizontal="center" vertical="center"/>
    </xf>
    <xf numFmtId="0" fontId="17" fillId="11" borderId="23" xfId="0" applyFont="1" applyFill="1" applyBorder="1" applyAlignment="1">
      <alignment horizontal="center" vertical="center"/>
    </xf>
    <xf numFmtId="0" fontId="17" fillId="11" borderId="16" xfId="0" applyFont="1" applyFill="1" applyBorder="1" applyAlignment="1">
      <alignment horizontal="center" vertical="center"/>
    </xf>
    <xf numFmtId="0" fontId="17" fillId="11" borderId="25" xfId="0" applyFont="1" applyFill="1" applyBorder="1" applyAlignment="1">
      <alignment horizontal="center" vertical="center"/>
    </xf>
    <xf numFmtId="0" fontId="17" fillId="11" borderId="29" xfId="0" applyFont="1" applyFill="1" applyBorder="1" applyAlignment="1">
      <alignment horizontal="left" vertical="center"/>
    </xf>
    <xf numFmtId="0" fontId="17" fillId="11" borderId="30" xfId="0" applyFont="1" applyFill="1" applyBorder="1" applyAlignment="1">
      <alignment horizontal="left" vertical="center"/>
    </xf>
    <xf numFmtId="0" fontId="17" fillId="11" borderId="31" xfId="0" applyFont="1" applyFill="1" applyBorder="1" applyAlignment="1">
      <alignment horizontal="left" vertical="center"/>
    </xf>
    <xf numFmtId="0" fontId="16" fillId="10" borderId="33" xfId="0" applyFont="1" applyFill="1" applyBorder="1" applyAlignment="1">
      <alignment horizontal="center" vertical="center"/>
    </xf>
    <xf numFmtId="0" fontId="16" fillId="10" borderId="36" xfId="0" applyFont="1" applyFill="1" applyBorder="1" applyAlignment="1">
      <alignment horizontal="center" vertical="center"/>
    </xf>
    <xf numFmtId="0" fontId="16" fillId="10" borderId="37" xfId="0" applyFont="1" applyFill="1" applyBorder="1" applyAlignment="1">
      <alignment horizontal="center" vertical="center"/>
    </xf>
    <xf numFmtId="0" fontId="16" fillId="10" borderId="22" xfId="0" applyFont="1" applyFill="1" applyBorder="1" applyAlignment="1">
      <alignment horizontal="center" vertical="center"/>
    </xf>
    <xf numFmtId="0" fontId="16" fillId="10" borderId="24" xfId="0" applyFont="1" applyFill="1" applyBorder="1" applyAlignment="1">
      <alignment horizontal="center" vertical="center"/>
    </xf>
    <xf numFmtId="0" fontId="16" fillId="10" borderId="26" xfId="0" applyFont="1" applyFill="1" applyBorder="1" applyAlignment="1">
      <alignment horizontal="center" vertical="center"/>
    </xf>
    <xf numFmtId="0" fontId="16" fillId="10" borderId="20" xfId="0" applyFont="1" applyFill="1" applyBorder="1" applyAlignment="1">
      <alignment horizontal="left" vertical="top" wrapText="1"/>
    </xf>
    <xf numFmtId="0" fontId="16" fillId="10" borderId="21" xfId="0" applyFont="1" applyFill="1" applyBorder="1" applyAlignment="1">
      <alignment horizontal="left" vertical="top" wrapText="1"/>
    </xf>
    <xf numFmtId="0" fontId="16" fillId="10" borderId="32" xfId="0" applyFont="1" applyFill="1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16" fillId="10" borderId="19" xfId="0" applyFont="1" applyFill="1" applyBorder="1" applyAlignment="1">
      <alignment horizontal="center" vertical="center"/>
    </xf>
    <xf numFmtId="0" fontId="16" fillId="10" borderId="23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left" vertical="center"/>
    </xf>
    <xf numFmtId="0" fontId="18" fillId="11" borderId="24" xfId="0" applyFont="1" applyFill="1" applyBorder="1" applyAlignment="1">
      <alignment vertical="center"/>
    </xf>
    <xf numFmtId="0" fontId="18" fillId="11" borderId="16" xfId="0" applyFont="1" applyFill="1" applyBorder="1" applyAlignment="1">
      <alignment vertical="center"/>
    </xf>
    <xf numFmtId="0" fontId="17" fillId="12" borderId="24" xfId="0" applyFont="1" applyFill="1" applyBorder="1" applyAlignment="1">
      <alignment vertical="center"/>
    </xf>
    <xf numFmtId="0" fontId="17" fillId="12" borderId="16" xfId="0" applyFont="1" applyFill="1" applyBorder="1" applyAlignment="1">
      <alignment vertical="center"/>
    </xf>
    <xf numFmtId="0" fontId="19" fillId="12" borderId="16" xfId="0" applyFont="1" applyFill="1" applyBorder="1" applyAlignment="1">
      <alignment horizontal="left" vertical="top"/>
    </xf>
    <xf numFmtId="0" fontId="19" fillId="11" borderId="16" xfId="0" applyFont="1" applyFill="1" applyBorder="1" applyAlignment="1">
      <alignment horizontal="left" vertical="top"/>
    </xf>
    <xf numFmtId="0" fontId="19" fillId="12" borderId="27" xfId="0" applyFont="1" applyFill="1" applyBorder="1" applyAlignment="1">
      <alignment horizontal="left" vertical="top"/>
    </xf>
    <xf numFmtId="0" fontId="18" fillId="11" borderId="26" xfId="0" applyFont="1" applyFill="1" applyBorder="1" applyAlignment="1">
      <alignment vertical="center"/>
    </xf>
    <xf numFmtId="0" fontId="18" fillId="11" borderId="27" xfId="0" applyFont="1" applyFill="1" applyBorder="1" applyAlignment="1">
      <alignment vertical="center"/>
    </xf>
    <xf numFmtId="0" fontId="21" fillId="10" borderId="52" xfId="0" applyFont="1" applyFill="1" applyBorder="1" applyAlignment="1">
      <alignment horizontal="center" vertical="center"/>
    </xf>
    <xf numFmtId="0" fontId="21" fillId="10" borderId="17" xfId="0" applyFont="1" applyFill="1" applyBorder="1" applyAlignment="1">
      <alignment horizontal="center" vertical="center"/>
    </xf>
    <xf numFmtId="0" fontId="23" fillId="11" borderId="50" xfId="0" applyFont="1" applyFill="1" applyBorder="1" applyAlignment="1">
      <alignment vertical="top"/>
    </xf>
    <xf numFmtId="0" fontId="0" fillId="0" borderId="46" xfId="0" applyBorder="1" applyAlignment="1">
      <alignment vertical="top"/>
    </xf>
    <xf numFmtId="0" fontId="0" fillId="0" borderId="47" xfId="0" applyBorder="1" applyAlignment="1">
      <alignment vertical="top"/>
    </xf>
    <xf numFmtId="0" fontId="21" fillId="10" borderId="45" xfId="0" applyFont="1" applyFill="1" applyBorder="1" applyAlignment="1">
      <alignment horizontal="center" vertical="center"/>
    </xf>
    <xf numFmtId="0" fontId="0" fillId="0" borderId="51" xfId="0" applyBorder="1"/>
    <xf numFmtId="0" fontId="21" fillId="10" borderId="22" xfId="0" applyFont="1" applyFill="1" applyBorder="1" applyAlignment="1">
      <alignment horizontal="left" vertical="center"/>
    </xf>
    <xf numFmtId="0" fontId="21" fillId="10" borderId="19" xfId="0" applyFont="1" applyFill="1" applyBorder="1" applyAlignment="1">
      <alignment horizontal="left" vertical="center"/>
    </xf>
    <xf numFmtId="0" fontId="23" fillId="13" borderId="44" xfId="0" applyFont="1" applyFill="1" applyBorder="1" applyAlignment="1">
      <alignment horizontal="center" vertical="center"/>
    </xf>
    <xf numFmtId="0" fontId="23" fillId="13" borderId="59" xfId="0" applyFont="1" applyFill="1" applyBorder="1" applyAlignment="1">
      <alignment horizontal="center" vertical="center"/>
    </xf>
    <xf numFmtId="0" fontId="21" fillId="10" borderId="33" xfId="0" applyFont="1" applyFill="1" applyBorder="1" applyAlignment="1">
      <alignment horizontal="center" vertical="center"/>
    </xf>
    <xf numFmtId="0" fontId="21" fillId="10" borderId="36" xfId="0" applyFont="1" applyFill="1" applyBorder="1" applyAlignment="1">
      <alignment horizontal="center" vertical="center"/>
    </xf>
    <xf numFmtId="0" fontId="21" fillId="10" borderId="37" xfId="0" applyFont="1" applyFill="1" applyBorder="1" applyAlignment="1">
      <alignment horizontal="center" vertical="center"/>
    </xf>
    <xf numFmtId="0" fontId="21" fillId="10" borderId="22" xfId="0" applyFont="1" applyFill="1" applyBorder="1" applyAlignment="1">
      <alignment horizontal="center" vertical="center"/>
    </xf>
    <xf numFmtId="0" fontId="21" fillId="10" borderId="19" xfId="0" applyFont="1" applyFill="1" applyBorder="1" applyAlignment="1">
      <alignment horizontal="center" vertical="center"/>
    </xf>
    <xf numFmtId="0" fontId="21" fillId="10" borderId="26" xfId="0" applyFont="1" applyFill="1" applyBorder="1" applyAlignment="1">
      <alignment horizontal="center" vertical="center"/>
    </xf>
    <xf numFmtId="0" fontId="21" fillId="10" borderId="27" xfId="0" applyFont="1" applyFill="1" applyBorder="1" applyAlignment="1">
      <alignment horizontal="center" vertical="center"/>
    </xf>
    <xf numFmtId="0" fontId="23" fillId="13" borderId="43" xfId="0" applyFont="1" applyFill="1" applyBorder="1" applyAlignment="1">
      <alignment vertical="center"/>
    </xf>
    <xf numFmtId="0" fontId="21" fillId="10" borderId="54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23" fillId="12" borderId="11" xfId="0" applyFont="1" applyFill="1" applyBorder="1" applyAlignment="1">
      <alignment horizontal="left" vertical="center"/>
    </xf>
    <xf numFmtId="0" fontId="17" fillId="12" borderId="17" xfId="0" applyFont="1" applyFill="1" applyBorder="1" applyAlignment="1">
      <alignment horizontal="left" vertical="center"/>
    </xf>
    <xf numFmtId="0" fontId="27" fillId="11" borderId="11" xfId="0" applyFont="1" applyFill="1" applyBorder="1" applyAlignment="1">
      <alignment horizontal="left" vertical="center"/>
    </xf>
    <xf numFmtId="0" fontId="28" fillId="11" borderId="17" xfId="0" applyFont="1" applyFill="1" applyBorder="1" applyAlignment="1">
      <alignment horizontal="left" vertical="center"/>
    </xf>
    <xf numFmtId="0" fontId="18" fillId="12" borderId="17" xfId="0" applyFont="1" applyFill="1" applyBorder="1" applyAlignment="1">
      <alignment horizontal="left" vertical="center"/>
    </xf>
    <xf numFmtId="0" fontId="27" fillId="14" borderId="11" xfId="0" applyFont="1" applyFill="1" applyBorder="1" applyAlignment="1">
      <alignment horizontal="left" vertical="center"/>
    </xf>
    <xf numFmtId="0" fontId="28" fillId="14" borderId="17" xfId="0" applyFont="1" applyFill="1" applyBorder="1" applyAlignment="1">
      <alignment horizontal="left" vertical="center"/>
    </xf>
    <xf numFmtId="0" fontId="22" fillId="14" borderId="11" xfId="0" applyFont="1" applyFill="1" applyBorder="1" applyAlignment="1">
      <alignment horizontal="left" vertical="center"/>
    </xf>
    <xf numFmtId="0" fontId="18" fillId="14" borderId="17" xfId="0" applyFont="1" applyFill="1" applyBorder="1" applyAlignment="1">
      <alignment horizontal="left" vertical="center"/>
    </xf>
    <xf numFmtId="0" fontId="23" fillId="14" borderId="11" xfId="0" applyFont="1" applyFill="1" applyBorder="1" applyAlignment="1">
      <alignment horizontal="left" vertical="center"/>
    </xf>
    <xf numFmtId="0" fontId="17" fillId="14" borderId="17" xfId="0" applyFont="1" applyFill="1" applyBorder="1" applyAlignment="1">
      <alignment horizontal="left" vertical="center"/>
    </xf>
    <xf numFmtId="0" fontId="23" fillId="0" borderId="11" xfId="0" applyFon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30" fillId="11" borderId="16" xfId="0" applyFont="1" applyFill="1" applyBorder="1" applyAlignment="1">
      <alignment horizontal="left" vertical="top"/>
    </xf>
    <xf numFmtId="0" fontId="30" fillId="12" borderId="27" xfId="0" applyFont="1" applyFill="1" applyBorder="1" applyAlignment="1">
      <alignment horizontal="left" vertical="top"/>
    </xf>
    <xf numFmtId="0" fontId="30" fillId="12" borderId="16" xfId="0" applyFont="1" applyFill="1" applyBorder="1" applyAlignment="1">
      <alignment horizontal="left" vertical="top"/>
    </xf>
    <xf numFmtId="0" fontId="32" fillId="17" borderId="0" xfId="0" applyFont="1" applyFill="1"/>
  </cellXfs>
  <cellStyles count="6">
    <cellStyle name="Hyperlink" xfId="5" builtinId="8"/>
    <cellStyle name="Normal" xfId="0" builtinId="0"/>
    <cellStyle name="Normal 2" xfId="2" xr:uid="{00000000-0005-0000-0000-000002000000}"/>
    <cellStyle name="Normal 3" xfId="1" xr:uid="{00000000-0005-0000-0000-000003000000}"/>
    <cellStyle name="Normal 4" xfId="4" xr:uid="{00000000-0005-0000-0000-000004000000}"/>
    <cellStyle name="Normal 5" xfId="3" xr:uid="{00000000-0005-0000-0000-000005000000}"/>
  </cellStyles>
  <dxfs count="5">
    <dxf>
      <border>
        <bottom style="thin">
          <color theme="1"/>
        </bottom>
      </border>
    </dxf>
    <dxf>
      <border>
        <left style="thin">
          <color theme="1"/>
        </left>
        <vertical/>
        <horizontal/>
      </border>
    </dxf>
    <dxf>
      <border>
        <right style="thin">
          <color theme="1"/>
        </right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F79646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DD5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BC4D10"/>
      <rgbColor rgb="00FAC090"/>
      <rgbColor rgb="00FCD5B4"/>
    </indexedColors>
    <mruColors>
      <color rgb="FFF8696B"/>
      <color rgb="FF7BBE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70136631579774E-3"/>
          <c:y val="2.9591028394177998E-2"/>
          <c:w val="0.96646638915358507"/>
          <c:h val="0.83446241947029343"/>
        </c:manualLayout>
      </c:layout>
      <c:barChart>
        <c:barDir val="col"/>
        <c:grouping val="clustered"/>
        <c:varyColors val="0"/>
        <c:ser>
          <c:idx val="0"/>
          <c:order val="0"/>
          <c:tx>
            <c:v>Net Flow+ (Bln)</c:v>
          </c:tx>
          <c:spPr>
            <a:solidFill>
              <a:srgbClr val="63BE7B"/>
            </a:solidFill>
          </c:spPr>
          <c:invertIfNegative val="0"/>
          <c:cat>
            <c:numRef>
              <c:f>Template!$BD$14:$BD$18</c:f>
              <c:numCache>
                <c:formatCode>General</c:formatCode>
                <c:ptCount val="5"/>
              </c:numCache>
            </c:numRef>
          </c:cat>
          <c:val>
            <c:numRef>
              <c:f>Template!$BJ$14:$BJ$18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2-4631-9309-DA89F10D1672}"/>
            </c:ext>
          </c:extLst>
        </c:ser>
        <c:ser>
          <c:idx val="1"/>
          <c:order val="1"/>
          <c:tx>
            <c:v>Net Flow- (Bln)</c:v>
          </c:tx>
          <c:spPr>
            <a:solidFill>
              <a:srgbClr val="F8696B"/>
            </a:solidFill>
          </c:spPr>
          <c:invertIfNegative val="0"/>
          <c:cat>
            <c:numRef>
              <c:f>Template!$BD$14:$BD$18</c:f>
              <c:numCache>
                <c:formatCode>General</c:formatCode>
                <c:ptCount val="5"/>
              </c:numCache>
            </c:numRef>
          </c:cat>
          <c:val>
            <c:numRef>
              <c:f>Template!$BK$14:$BK$18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D2-4631-9309-DA89F10D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1170275872"/>
        <c:axId val="1170276264"/>
      </c:barChart>
      <c:catAx>
        <c:axId val="117027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170276264"/>
        <c:crosses val="autoZero"/>
        <c:auto val="1"/>
        <c:lblAlgn val="ctr"/>
        <c:lblOffset val="100"/>
        <c:noMultiLvlLbl val="0"/>
      </c:catAx>
      <c:valAx>
        <c:axId val="1170276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170275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467479404006258E-2"/>
          <c:y val="0.10058552269882207"/>
          <c:w val="0.92151573375213469"/>
          <c:h val="0.566062992125984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Main!$D$15</c:f>
              <c:strCache>
                <c:ptCount val="1"/>
                <c:pt idx="0">
                  <c:v>Flow (BLN)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cat>
            <c:strRef>
              <c:f>[0]!AttributeRanked_Custom</c:f>
              <c:strCache>
                <c:ptCount val="5"/>
                <c:pt idx="0">
                  <c:v>Equity</c:v>
                </c:pt>
                <c:pt idx="1">
                  <c:v>Fixed Income</c:v>
                </c:pt>
                <c:pt idx="2">
                  <c:v>Commodity</c:v>
                </c:pt>
                <c:pt idx="3">
                  <c:v>Money Market</c:v>
                </c:pt>
                <c:pt idx="4">
                  <c:v>Specialty</c:v>
                </c:pt>
              </c:strCache>
            </c:strRef>
          </c:cat>
          <c:val>
            <c:numRef>
              <c:f>[0]!ValueRanked_Custom</c:f>
              <c:numCache>
                <c:formatCode>General</c:formatCode>
                <c:ptCount val="5"/>
                <c:pt idx="0">
                  <c:v>1766.7799757000016</c:v>
                </c:pt>
                <c:pt idx="1">
                  <c:v>637.61610289999817</c:v>
                </c:pt>
                <c:pt idx="2">
                  <c:v>19.890980699999933</c:v>
                </c:pt>
                <c:pt idx="3">
                  <c:v>14.135949100000028</c:v>
                </c:pt>
                <c:pt idx="4">
                  <c:v>1.3696248999999989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7-4FA7-89DF-91EF723AF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70277440"/>
        <c:axId val="1170277832"/>
      </c:barChart>
      <c:catAx>
        <c:axId val="117027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1170277832"/>
        <c:crosses val="autoZero"/>
        <c:auto val="1"/>
        <c:lblAlgn val="ctr"/>
        <c:lblOffset val="100"/>
        <c:noMultiLvlLbl val="0"/>
      </c:catAx>
      <c:valAx>
        <c:axId val="11702778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1170277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ViewData!$M$24</c:f>
          <c:strCache>
            <c:ptCount val="1"/>
            <c:pt idx="0">
              <c:v>Top Ten Outflow (BLN)</c:v>
            </c:pt>
          </c:strCache>
        </c:strRef>
      </c:tx>
      <c:layout>
        <c:manualLayout>
          <c:xMode val="edge"/>
          <c:yMode val="edge"/>
          <c:x val="0.36672908496732026"/>
          <c:y val="9.4420917425517127E-4"/>
        </c:manualLayout>
      </c:layout>
      <c:overlay val="1"/>
      <c:txPr>
        <a:bodyPr/>
        <a:lstStyle/>
        <a:p>
          <a:pPr>
            <a:defRPr sz="1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206307189542482"/>
          <c:y val="0.10079382294703534"/>
          <c:w val="0.58911339869281043"/>
          <c:h val="0.87121919184883734"/>
        </c:manualLayout>
      </c:layout>
      <c:barChart>
        <c:barDir val="bar"/>
        <c:grouping val="clustered"/>
        <c:varyColors val="0"/>
        <c:ser>
          <c:idx val="0"/>
          <c:order val="0"/>
          <c:tx>
            <c:v>Top Outflow (Bln)</c:v>
          </c:tx>
          <c:spPr>
            <a:solidFill>
              <a:srgbClr val="F8696B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ViewData!$K$25:$K$34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[0]!TopOutFlowVal</c:f>
              <c:numCache>
                <c:formatCode>General</c:formatCode>
                <c:ptCount val="10"/>
                <c:pt idx="0">
                  <c:v>-22.354446999999997</c:v>
                </c:pt>
                <c:pt idx="1">
                  <c:v>-10.075552099999996</c:v>
                </c:pt>
                <c:pt idx="2">
                  <c:v>-8.9654233000000048</c:v>
                </c:pt>
                <c:pt idx="3">
                  <c:v>-7.8253843999999937</c:v>
                </c:pt>
                <c:pt idx="4">
                  <c:v>-7.4006146000000124</c:v>
                </c:pt>
                <c:pt idx="5">
                  <c:v>-6.8469357000000013</c:v>
                </c:pt>
                <c:pt idx="6">
                  <c:v>-6.069771099999997</c:v>
                </c:pt>
                <c:pt idx="7">
                  <c:v>-5.9547137999999933</c:v>
                </c:pt>
                <c:pt idx="8">
                  <c:v>-5.3276248000000095</c:v>
                </c:pt>
                <c:pt idx="9">
                  <c:v>-4.4496564000000012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F-4734-A331-C60FF91E0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78616"/>
        <c:axId val="1170279008"/>
      </c:barChart>
      <c:catAx>
        <c:axId val="1170278616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high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1170279008"/>
        <c:crosses val="autoZero"/>
        <c:auto val="1"/>
        <c:lblAlgn val="ctr"/>
        <c:lblOffset val="100"/>
        <c:noMultiLvlLbl val="0"/>
      </c:catAx>
      <c:valAx>
        <c:axId val="1170279008"/>
        <c:scaling>
          <c:orientation val="maxMin"/>
        </c:scaling>
        <c:delete val="1"/>
        <c:axPos val="t"/>
        <c:numFmt formatCode="#,##0.0" sourceLinked="0"/>
        <c:majorTickMark val="out"/>
        <c:minorTickMark val="none"/>
        <c:tickLblPos val="none"/>
        <c:crossAx val="11702786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ViewData!$M$11</c:f>
          <c:strCache>
            <c:ptCount val="1"/>
            <c:pt idx="0">
              <c:v>Top Ten Inflow (BLN)</c:v>
            </c:pt>
          </c:strCache>
        </c:strRef>
      </c:tx>
      <c:layout>
        <c:manualLayout>
          <c:xMode val="edge"/>
          <c:yMode val="edge"/>
          <c:x val="0.3542781045751634"/>
          <c:y val="9.4406908102118658E-4"/>
        </c:manualLayout>
      </c:layout>
      <c:overlay val="1"/>
      <c:txPr>
        <a:bodyPr/>
        <a:lstStyle/>
        <a:p>
          <a:pPr>
            <a:defRPr sz="1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880751633986926"/>
          <c:y val="0.10079410060305796"/>
          <c:w val="0.58236895424836599"/>
          <c:h val="0.87122014162628236"/>
        </c:manualLayout>
      </c:layout>
      <c:barChart>
        <c:barDir val="bar"/>
        <c:grouping val="clustered"/>
        <c:varyColors val="0"/>
        <c:ser>
          <c:idx val="0"/>
          <c:order val="0"/>
          <c:tx>
            <c:v>Top Inflow (Bln)</c:v>
          </c:tx>
          <c:spPr>
            <a:solidFill>
              <a:srgbClr val="63BE7B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ViewData!$K$12:$K$21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[0]!TopInFlowVal</c:f>
              <c:numCache>
                <c:formatCode>General</c:formatCode>
                <c:ptCount val="10"/>
                <c:pt idx="0">
                  <c:v>200.88867749999989</c:v>
                </c:pt>
                <c:pt idx="1">
                  <c:v>160.95807030000006</c:v>
                </c:pt>
                <c:pt idx="2">
                  <c:v>160.88375400000021</c:v>
                </c:pt>
                <c:pt idx="3">
                  <c:v>84.940990599999793</c:v>
                </c:pt>
                <c:pt idx="4">
                  <c:v>84.486826000000164</c:v>
                </c:pt>
                <c:pt idx="5">
                  <c:v>81.083187299999977</c:v>
                </c:pt>
                <c:pt idx="6">
                  <c:v>68.817338200000009</c:v>
                </c:pt>
                <c:pt idx="7">
                  <c:v>65.979764900000077</c:v>
                </c:pt>
                <c:pt idx="8">
                  <c:v>62.802386600000055</c:v>
                </c:pt>
                <c:pt idx="9">
                  <c:v>58.581423300000012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F-48A1-BA97-49DCB33BE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79792"/>
        <c:axId val="1170280184"/>
      </c:barChart>
      <c:catAx>
        <c:axId val="1170279792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low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1170280184"/>
        <c:crosses val="autoZero"/>
        <c:auto val="1"/>
        <c:lblAlgn val="ctr"/>
        <c:lblOffset val="100"/>
        <c:noMultiLvlLbl val="0"/>
      </c:catAx>
      <c:valAx>
        <c:axId val="1170280184"/>
        <c:scaling>
          <c:orientation val="minMax"/>
        </c:scaling>
        <c:delete val="1"/>
        <c:axPos val="t"/>
        <c:numFmt formatCode="#,##0.0" sourceLinked="0"/>
        <c:majorTickMark val="out"/>
        <c:minorTickMark val="none"/>
        <c:tickLblPos val="none"/>
        <c:crossAx val="117027979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61298377028718E-2"/>
          <c:y val="0.13199295503833125"/>
          <c:w val="0.90102607704586646"/>
          <c:h val="0.70458963911081485"/>
        </c:manualLayout>
      </c:layout>
      <c:lineChart>
        <c:grouping val="standard"/>
        <c:varyColors val="0"/>
        <c:ser>
          <c:idx val="2"/>
          <c:order val="0"/>
          <c:tx>
            <c:v>Acc. Net Flow</c:v>
          </c:tx>
          <c:spPr>
            <a:ln w="22225">
              <a:solidFill>
                <a:schemeClr val="tx2"/>
              </a:solidFill>
              <a:prstDash val="solid"/>
            </a:ln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[0]!AccNet</c:f>
              <c:numCache>
                <c:formatCode>General</c:formatCode>
                <c:ptCount val="500"/>
                <c:pt idx="0">
                  <c:v>-0.16974480000000003</c:v>
                </c:pt>
                <c:pt idx="1">
                  <c:v>5.2261967000000009</c:v>
                </c:pt>
                <c:pt idx="2">
                  <c:v>8.3896424000000014</c:v>
                </c:pt>
                <c:pt idx="3">
                  <c:v>11.584401100000004</c:v>
                </c:pt>
                <c:pt idx="4">
                  <c:v>13.646269200000004</c:v>
                </c:pt>
                <c:pt idx="5">
                  <c:v>14.273466800000005</c:v>
                </c:pt>
                <c:pt idx="6">
                  <c:v>16.518797200000005</c:v>
                </c:pt>
                <c:pt idx="7">
                  <c:v>14.633167800000006</c:v>
                </c:pt>
                <c:pt idx="8">
                  <c:v>18.600021400000006</c:v>
                </c:pt>
                <c:pt idx="9">
                  <c:v>17.906572900000008</c:v>
                </c:pt>
                <c:pt idx="10">
                  <c:v>18.193836700000009</c:v>
                </c:pt>
                <c:pt idx="11">
                  <c:v>19.936699300000008</c:v>
                </c:pt>
                <c:pt idx="12">
                  <c:v>22.291222800000007</c:v>
                </c:pt>
                <c:pt idx="13">
                  <c:v>21.974919600000007</c:v>
                </c:pt>
                <c:pt idx="14">
                  <c:v>17.431078600000006</c:v>
                </c:pt>
                <c:pt idx="15">
                  <c:v>19.520478500000007</c:v>
                </c:pt>
                <c:pt idx="16">
                  <c:v>24.914412800000008</c:v>
                </c:pt>
                <c:pt idx="17">
                  <c:v>33.035191000000012</c:v>
                </c:pt>
                <c:pt idx="18">
                  <c:v>39.836878700000014</c:v>
                </c:pt>
                <c:pt idx="19">
                  <c:v>43.880800300000018</c:v>
                </c:pt>
                <c:pt idx="20">
                  <c:v>44.993240600000021</c:v>
                </c:pt>
                <c:pt idx="21">
                  <c:v>45.905473600000022</c:v>
                </c:pt>
                <c:pt idx="22">
                  <c:v>44.321594400000023</c:v>
                </c:pt>
                <c:pt idx="23">
                  <c:v>46.420427700000026</c:v>
                </c:pt>
                <c:pt idx="24">
                  <c:v>50.040006200000029</c:v>
                </c:pt>
                <c:pt idx="25">
                  <c:v>53.050304500000031</c:v>
                </c:pt>
                <c:pt idx="26">
                  <c:v>55.930846900000034</c:v>
                </c:pt>
                <c:pt idx="27">
                  <c:v>57.919883900000038</c:v>
                </c:pt>
                <c:pt idx="28">
                  <c:v>61.837213600000034</c:v>
                </c:pt>
                <c:pt idx="29">
                  <c:v>67.330480500000036</c:v>
                </c:pt>
                <c:pt idx="30">
                  <c:v>71.426152100000039</c:v>
                </c:pt>
                <c:pt idx="31">
                  <c:v>74.967866600000036</c:v>
                </c:pt>
                <c:pt idx="32">
                  <c:v>75.87097340000004</c:v>
                </c:pt>
                <c:pt idx="33">
                  <c:v>76.425487300000043</c:v>
                </c:pt>
                <c:pt idx="34">
                  <c:v>74.858213000000049</c:v>
                </c:pt>
                <c:pt idx="35">
                  <c:v>74.768308900000051</c:v>
                </c:pt>
                <c:pt idx="36">
                  <c:v>80.741699000000054</c:v>
                </c:pt>
                <c:pt idx="37">
                  <c:v>83.727155400000058</c:v>
                </c:pt>
                <c:pt idx="38">
                  <c:v>86.617727300000055</c:v>
                </c:pt>
                <c:pt idx="39">
                  <c:v>90.625408600000057</c:v>
                </c:pt>
                <c:pt idx="40">
                  <c:v>92.240081500000059</c:v>
                </c:pt>
                <c:pt idx="41">
                  <c:v>96.203588500000052</c:v>
                </c:pt>
                <c:pt idx="42">
                  <c:v>106.93853520000005</c:v>
                </c:pt>
                <c:pt idx="43">
                  <c:v>105.77964340000004</c:v>
                </c:pt>
                <c:pt idx="44">
                  <c:v>103.16692570000004</c:v>
                </c:pt>
                <c:pt idx="45">
                  <c:v>107.08357550000004</c:v>
                </c:pt>
                <c:pt idx="46">
                  <c:v>108.81635820000004</c:v>
                </c:pt>
                <c:pt idx="47">
                  <c:v>111.27929610000004</c:v>
                </c:pt>
                <c:pt idx="48">
                  <c:v>111.91076160000004</c:v>
                </c:pt>
                <c:pt idx="49">
                  <c:v>111.77767190000004</c:v>
                </c:pt>
                <c:pt idx="50">
                  <c:v>115.26221090000004</c:v>
                </c:pt>
                <c:pt idx="51">
                  <c:v>123.29187000000005</c:v>
                </c:pt>
                <c:pt idx="52">
                  <c:v>129.05530230000005</c:v>
                </c:pt>
                <c:pt idx="53">
                  <c:v>127.44606160000005</c:v>
                </c:pt>
                <c:pt idx="54">
                  <c:v>123.18523020000005</c:v>
                </c:pt>
                <c:pt idx="55">
                  <c:v>121.79857470000005</c:v>
                </c:pt>
                <c:pt idx="56">
                  <c:v>127.45729050000004</c:v>
                </c:pt>
                <c:pt idx="57">
                  <c:v>131.76818500000005</c:v>
                </c:pt>
                <c:pt idx="58">
                  <c:v>133.92048770000005</c:v>
                </c:pt>
                <c:pt idx="59">
                  <c:v>135.54515580000006</c:v>
                </c:pt>
                <c:pt idx="60">
                  <c:v>137.77879520000005</c:v>
                </c:pt>
                <c:pt idx="61">
                  <c:v>141.12109010000006</c:v>
                </c:pt>
                <c:pt idx="62">
                  <c:v>142.49853110000006</c:v>
                </c:pt>
                <c:pt idx="63">
                  <c:v>144.39131000000006</c:v>
                </c:pt>
                <c:pt idx="64">
                  <c:v>143.25830260000006</c:v>
                </c:pt>
                <c:pt idx="65">
                  <c:v>140.28315430000006</c:v>
                </c:pt>
                <c:pt idx="66">
                  <c:v>140.27487920000007</c:v>
                </c:pt>
                <c:pt idx="67">
                  <c:v>140.38005600000008</c:v>
                </c:pt>
                <c:pt idx="68">
                  <c:v>142.49354640000007</c:v>
                </c:pt>
                <c:pt idx="69">
                  <c:v>143.05694170000007</c:v>
                </c:pt>
                <c:pt idx="70">
                  <c:v>144.42013950000006</c:v>
                </c:pt>
                <c:pt idx="71">
                  <c:v>145.02405840000006</c:v>
                </c:pt>
                <c:pt idx="72">
                  <c:v>147.44212270000006</c:v>
                </c:pt>
                <c:pt idx="73">
                  <c:v>148.64322570000004</c:v>
                </c:pt>
                <c:pt idx="74">
                  <c:v>149.35994280000006</c:v>
                </c:pt>
                <c:pt idx="75">
                  <c:v>149.26331400000007</c:v>
                </c:pt>
                <c:pt idx="76">
                  <c:v>148.99104350000007</c:v>
                </c:pt>
                <c:pt idx="77">
                  <c:v>150.25398090000007</c:v>
                </c:pt>
                <c:pt idx="78">
                  <c:v>152.79918950000007</c:v>
                </c:pt>
                <c:pt idx="79">
                  <c:v>151.10564940000006</c:v>
                </c:pt>
                <c:pt idx="80">
                  <c:v>161.08066650000006</c:v>
                </c:pt>
                <c:pt idx="81">
                  <c:v>169.23160860000007</c:v>
                </c:pt>
                <c:pt idx="82">
                  <c:v>172.84796380000006</c:v>
                </c:pt>
                <c:pt idx="83">
                  <c:v>174.15971040000005</c:v>
                </c:pt>
                <c:pt idx="84">
                  <c:v>174.32271750000004</c:v>
                </c:pt>
                <c:pt idx="85">
                  <c:v>175.90471210000004</c:v>
                </c:pt>
                <c:pt idx="86">
                  <c:v>173.69033510000003</c:v>
                </c:pt>
                <c:pt idx="87">
                  <c:v>172.66292430000001</c:v>
                </c:pt>
                <c:pt idx="88">
                  <c:v>173.31464620000003</c:v>
                </c:pt>
                <c:pt idx="89">
                  <c:v>175.18844700000002</c:v>
                </c:pt>
                <c:pt idx="90">
                  <c:v>175.64201580000002</c:v>
                </c:pt>
                <c:pt idx="91">
                  <c:v>178.44109840000002</c:v>
                </c:pt>
                <c:pt idx="92">
                  <c:v>178.43445590000002</c:v>
                </c:pt>
                <c:pt idx="93">
                  <c:v>180.61933170000003</c:v>
                </c:pt>
                <c:pt idx="94">
                  <c:v>180.25038150000003</c:v>
                </c:pt>
                <c:pt idx="95">
                  <c:v>182.60200390000003</c:v>
                </c:pt>
                <c:pt idx="96">
                  <c:v>184.39829340000003</c:v>
                </c:pt>
                <c:pt idx="97">
                  <c:v>182.22060230000002</c:v>
                </c:pt>
                <c:pt idx="98">
                  <c:v>183.45564720000002</c:v>
                </c:pt>
                <c:pt idx="99">
                  <c:v>179.45231400000003</c:v>
                </c:pt>
                <c:pt idx="100">
                  <c:v>185.03912060000002</c:v>
                </c:pt>
                <c:pt idx="101">
                  <c:v>185.45898770000002</c:v>
                </c:pt>
                <c:pt idx="102">
                  <c:v>188.98580340000004</c:v>
                </c:pt>
                <c:pt idx="103">
                  <c:v>192.80836770000005</c:v>
                </c:pt>
                <c:pt idx="104">
                  <c:v>196.82175170000005</c:v>
                </c:pt>
                <c:pt idx="105">
                  <c:v>196.89335390000005</c:v>
                </c:pt>
                <c:pt idx="106">
                  <c:v>202.25396000000006</c:v>
                </c:pt>
                <c:pt idx="107">
                  <c:v>201.63445770000007</c:v>
                </c:pt>
                <c:pt idx="108">
                  <c:v>203.24774570000008</c:v>
                </c:pt>
                <c:pt idx="109">
                  <c:v>203.51761070000009</c:v>
                </c:pt>
                <c:pt idx="110">
                  <c:v>204.97268220000009</c:v>
                </c:pt>
                <c:pt idx="111">
                  <c:v>207.14094710000009</c:v>
                </c:pt>
                <c:pt idx="112">
                  <c:v>211.4669272000001</c:v>
                </c:pt>
                <c:pt idx="113">
                  <c:v>218.67364440000011</c:v>
                </c:pt>
                <c:pt idx="114">
                  <c:v>222.48595750000013</c:v>
                </c:pt>
                <c:pt idx="115">
                  <c:v>227.40484260000014</c:v>
                </c:pt>
                <c:pt idx="116">
                  <c:v>238.91240640000012</c:v>
                </c:pt>
                <c:pt idx="117">
                  <c:v>240.37225590000011</c:v>
                </c:pt>
                <c:pt idx="118">
                  <c:v>239.38434860000012</c:v>
                </c:pt>
                <c:pt idx="119">
                  <c:v>240.58151920000012</c:v>
                </c:pt>
                <c:pt idx="120">
                  <c:v>235.17894920000012</c:v>
                </c:pt>
                <c:pt idx="121">
                  <c:v>240.66057320000013</c:v>
                </c:pt>
                <c:pt idx="122">
                  <c:v>241.08327950000012</c:v>
                </c:pt>
                <c:pt idx="123">
                  <c:v>240.86212380000012</c:v>
                </c:pt>
                <c:pt idx="124">
                  <c:v>242.68385370000013</c:v>
                </c:pt>
                <c:pt idx="125">
                  <c:v>242.46887380000013</c:v>
                </c:pt>
                <c:pt idx="126">
                  <c:v>243.30089440000012</c:v>
                </c:pt>
                <c:pt idx="127">
                  <c:v>242.68291800000011</c:v>
                </c:pt>
                <c:pt idx="128">
                  <c:v>242.83350060000012</c:v>
                </c:pt>
                <c:pt idx="129">
                  <c:v>241.10806160000013</c:v>
                </c:pt>
                <c:pt idx="130">
                  <c:v>240.30861230000014</c:v>
                </c:pt>
                <c:pt idx="131">
                  <c:v>241.62559410000014</c:v>
                </c:pt>
                <c:pt idx="132">
                  <c:v>244.85209580000014</c:v>
                </c:pt>
                <c:pt idx="133">
                  <c:v>244.95177630000015</c:v>
                </c:pt>
                <c:pt idx="134">
                  <c:v>247.93517820000014</c:v>
                </c:pt>
                <c:pt idx="135">
                  <c:v>248.96000250000014</c:v>
                </c:pt>
                <c:pt idx="136">
                  <c:v>250.09504520000013</c:v>
                </c:pt>
                <c:pt idx="137">
                  <c:v>251.66943930000014</c:v>
                </c:pt>
                <c:pt idx="138">
                  <c:v>254.55960500000015</c:v>
                </c:pt>
                <c:pt idx="139">
                  <c:v>256.87281980000017</c:v>
                </c:pt>
                <c:pt idx="140">
                  <c:v>259.26118110000016</c:v>
                </c:pt>
                <c:pt idx="141">
                  <c:v>257.35334340000014</c:v>
                </c:pt>
                <c:pt idx="142">
                  <c:v>259.12867890000012</c:v>
                </c:pt>
                <c:pt idx="143">
                  <c:v>259.7002801000001</c:v>
                </c:pt>
                <c:pt idx="144">
                  <c:v>263.07877150000007</c:v>
                </c:pt>
                <c:pt idx="145">
                  <c:v>264.53663610000007</c:v>
                </c:pt>
                <c:pt idx="146">
                  <c:v>262.76915450000007</c:v>
                </c:pt>
                <c:pt idx="147">
                  <c:v>264.01975360000006</c:v>
                </c:pt>
                <c:pt idx="148">
                  <c:v>264.46868810000007</c:v>
                </c:pt>
                <c:pt idx="149">
                  <c:v>265.95583590000007</c:v>
                </c:pt>
                <c:pt idx="150">
                  <c:v>268.82033030000008</c:v>
                </c:pt>
                <c:pt idx="151">
                  <c:v>270.14290870000008</c:v>
                </c:pt>
                <c:pt idx="152">
                  <c:v>270.77872760000008</c:v>
                </c:pt>
                <c:pt idx="153">
                  <c:v>274.75607750000006</c:v>
                </c:pt>
                <c:pt idx="154">
                  <c:v>275.71317720000008</c:v>
                </c:pt>
                <c:pt idx="155">
                  <c:v>275.15028200000006</c:v>
                </c:pt>
                <c:pt idx="156">
                  <c:v>279.39312340000004</c:v>
                </c:pt>
                <c:pt idx="157">
                  <c:v>278.90405740000006</c:v>
                </c:pt>
                <c:pt idx="158">
                  <c:v>278.02515080000006</c:v>
                </c:pt>
                <c:pt idx="159">
                  <c:v>275.22246730000006</c:v>
                </c:pt>
                <c:pt idx="160">
                  <c:v>277.96674050000007</c:v>
                </c:pt>
                <c:pt idx="161">
                  <c:v>280.23650290000006</c:v>
                </c:pt>
                <c:pt idx="162">
                  <c:v>284.22591150000005</c:v>
                </c:pt>
                <c:pt idx="163">
                  <c:v>280.82339890000003</c:v>
                </c:pt>
                <c:pt idx="164">
                  <c:v>279.68043240000003</c:v>
                </c:pt>
                <c:pt idx="165">
                  <c:v>280.25044870000005</c:v>
                </c:pt>
                <c:pt idx="166">
                  <c:v>284.77721310000004</c:v>
                </c:pt>
                <c:pt idx="167">
                  <c:v>289.17182030000004</c:v>
                </c:pt>
                <c:pt idx="168">
                  <c:v>290.96129020000001</c:v>
                </c:pt>
                <c:pt idx="169">
                  <c:v>293.17517850000002</c:v>
                </c:pt>
                <c:pt idx="170">
                  <c:v>295.24075650000003</c:v>
                </c:pt>
                <c:pt idx="171">
                  <c:v>296.33755170000001</c:v>
                </c:pt>
                <c:pt idx="172">
                  <c:v>298.01645660000003</c:v>
                </c:pt>
                <c:pt idx="173">
                  <c:v>295.56508050000002</c:v>
                </c:pt>
                <c:pt idx="174">
                  <c:v>297.36969880000004</c:v>
                </c:pt>
                <c:pt idx="175">
                  <c:v>297.21881400000007</c:v>
                </c:pt>
                <c:pt idx="176">
                  <c:v>301.45613490000005</c:v>
                </c:pt>
                <c:pt idx="177">
                  <c:v>305.90441900000008</c:v>
                </c:pt>
                <c:pt idx="178">
                  <c:v>310.04419030000008</c:v>
                </c:pt>
                <c:pt idx="179">
                  <c:v>308.01471550000008</c:v>
                </c:pt>
                <c:pt idx="180">
                  <c:v>312.31590990000007</c:v>
                </c:pt>
                <c:pt idx="181">
                  <c:v>319.30083110000004</c:v>
                </c:pt>
                <c:pt idx="182">
                  <c:v>320.34976490000003</c:v>
                </c:pt>
                <c:pt idx="183">
                  <c:v>320.43682390000004</c:v>
                </c:pt>
                <c:pt idx="184">
                  <c:v>311.65423230000005</c:v>
                </c:pt>
                <c:pt idx="185">
                  <c:v>318.92040300000002</c:v>
                </c:pt>
                <c:pt idx="186">
                  <c:v>323.8924821</c:v>
                </c:pt>
                <c:pt idx="187">
                  <c:v>324.93744570000001</c:v>
                </c:pt>
                <c:pt idx="188">
                  <c:v>324.8539687</c:v>
                </c:pt>
                <c:pt idx="189">
                  <c:v>324.17040700000001</c:v>
                </c:pt>
                <c:pt idx="190">
                  <c:v>325.30639710000003</c:v>
                </c:pt>
                <c:pt idx="191">
                  <c:v>324.9913636</c:v>
                </c:pt>
                <c:pt idx="192">
                  <c:v>326.29301070000002</c:v>
                </c:pt>
                <c:pt idx="193">
                  <c:v>325.8159215</c:v>
                </c:pt>
                <c:pt idx="194">
                  <c:v>328.47026720000002</c:v>
                </c:pt>
                <c:pt idx="195">
                  <c:v>329.56684430000001</c:v>
                </c:pt>
                <c:pt idx="196">
                  <c:v>332.52929090000003</c:v>
                </c:pt>
                <c:pt idx="197">
                  <c:v>333.31563080000001</c:v>
                </c:pt>
                <c:pt idx="198">
                  <c:v>334.44923670000003</c:v>
                </c:pt>
                <c:pt idx="199">
                  <c:v>333.93673980000005</c:v>
                </c:pt>
                <c:pt idx="200">
                  <c:v>337.22962860000007</c:v>
                </c:pt>
                <c:pt idx="201">
                  <c:v>339.39741420000007</c:v>
                </c:pt>
                <c:pt idx="202">
                  <c:v>341.28794020000009</c:v>
                </c:pt>
                <c:pt idx="203">
                  <c:v>346.14772760000011</c:v>
                </c:pt>
                <c:pt idx="204">
                  <c:v>346.41653130000009</c:v>
                </c:pt>
                <c:pt idx="205">
                  <c:v>349.12955490000007</c:v>
                </c:pt>
                <c:pt idx="206">
                  <c:v>351.61900810000009</c:v>
                </c:pt>
                <c:pt idx="207">
                  <c:v>351.6608988000001</c:v>
                </c:pt>
                <c:pt idx="208">
                  <c:v>354.2030592000001</c:v>
                </c:pt>
                <c:pt idx="209">
                  <c:v>358.93417620000008</c:v>
                </c:pt>
                <c:pt idx="210">
                  <c:v>359.0570062000001</c:v>
                </c:pt>
                <c:pt idx="211">
                  <c:v>363.72042070000009</c:v>
                </c:pt>
                <c:pt idx="212">
                  <c:v>361.98431710000011</c:v>
                </c:pt>
                <c:pt idx="213">
                  <c:v>364.11004330000009</c:v>
                </c:pt>
                <c:pt idx="214">
                  <c:v>368.10992260000006</c:v>
                </c:pt>
                <c:pt idx="215">
                  <c:v>365.96037920000003</c:v>
                </c:pt>
                <c:pt idx="216">
                  <c:v>364.42303780000003</c:v>
                </c:pt>
                <c:pt idx="217">
                  <c:v>366.84282970000004</c:v>
                </c:pt>
                <c:pt idx="218">
                  <c:v>368.02463720000003</c:v>
                </c:pt>
                <c:pt idx="219">
                  <c:v>372.55826630000001</c:v>
                </c:pt>
                <c:pt idx="220">
                  <c:v>371.55959690000003</c:v>
                </c:pt>
                <c:pt idx="221">
                  <c:v>371.05722220000001</c:v>
                </c:pt>
                <c:pt idx="222">
                  <c:v>372.03747530000004</c:v>
                </c:pt>
                <c:pt idx="223">
                  <c:v>373.05851930000006</c:v>
                </c:pt>
                <c:pt idx="224">
                  <c:v>374.35223720000005</c:v>
                </c:pt>
                <c:pt idx="225">
                  <c:v>373.84340390000006</c:v>
                </c:pt>
                <c:pt idx="226">
                  <c:v>375.18869570000004</c:v>
                </c:pt>
                <c:pt idx="227">
                  <c:v>375.87660750000003</c:v>
                </c:pt>
                <c:pt idx="228">
                  <c:v>379.46926470000005</c:v>
                </c:pt>
                <c:pt idx="229">
                  <c:v>377.60209370000007</c:v>
                </c:pt>
                <c:pt idx="230">
                  <c:v>383.32693720000009</c:v>
                </c:pt>
                <c:pt idx="231">
                  <c:v>387.60927410000011</c:v>
                </c:pt>
                <c:pt idx="232">
                  <c:v>387.5138065000001</c:v>
                </c:pt>
                <c:pt idx="233">
                  <c:v>388.11193130000009</c:v>
                </c:pt>
                <c:pt idx="234">
                  <c:v>389.9294397000001</c:v>
                </c:pt>
                <c:pt idx="235">
                  <c:v>390.40100110000009</c:v>
                </c:pt>
                <c:pt idx="236">
                  <c:v>393.85704220000008</c:v>
                </c:pt>
                <c:pt idx="237">
                  <c:v>398.65145030000008</c:v>
                </c:pt>
                <c:pt idx="238">
                  <c:v>399.86318850000009</c:v>
                </c:pt>
                <c:pt idx="239">
                  <c:v>402.25747300000012</c:v>
                </c:pt>
                <c:pt idx="240">
                  <c:v>406.79351940000009</c:v>
                </c:pt>
                <c:pt idx="241">
                  <c:v>407.94984120000009</c:v>
                </c:pt>
                <c:pt idx="242">
                  <c:v>410.01979670000009</c:v>
                </c:pt>
                <c:pt idx="243">
                  <c:v>418.68877320000007</c:v>
                </c:pt>
                <c:pt idx="244">
                  <c:v>421.07164780000005</c:v>
                </c:pt>
                <c:pt idx="245">
                  <c:v>423.20743720000007</c:v>
                </c:pt>
                <c:pt idx="246">
                  <c:v>432.41157410000005</c:v>
                </c:pt>
                <c:pt idx="247">
                  <c:v>436.84314480000006</c:v>
                </c:pt>
                <c:pt idx="248">
                  <c:v>431.64707390000007</c:v>
                </c:pt>
                <c:pt idx="249">
                  <c:v>431.53432830000008</c:v>
                </c:pt>
                <c:pt idx="250">
                  <c:v>438.23409960000009</c:v>
                </c:pt>
                <c:pt idx="251">
                  <c:v>442.08579880000008</c:v>
                </c:pt>
                <c:pt idx="252">
                  <c:v>436.99880320000005</c:v>
                </c:pt>
                <c:pt idx="253">
                  <c:v>441.37281780000006</c:v>
                </c:pt>
                <c:pt idx="254">
                  <c:v>447.53232570000006</c:v>
                </c:pt>
                <c:pt idx="255">
                  <c:v>446.81124260000007</c:v>
                </c:pt>
                <c:pt idx="256">
                  <c:v>446.7395772000001</c:v>
                </c:pt>
                <c:pt idx="257">
                  <c:v>446.51230490000012</c:v>
                </c:pt>
                <c:pt idx="258">
                  <c:v>446.9206013000001</c:v>
                </c:pt>
                <c:pt idx="259">
                  <c:v>437.82651980000009</c:v>
                </c:pt>
                <c:pt idx="260">
                  <c:v>437.82651980000009</c:v>
                </c:pt>
                <c:pt idx="261">
                  <c:v>439.91007030000009</c:v>
                </c:pt>
                <c:pt idx="262">
                  <c:v>443.93632800000006</c:v>
                </c:pt>
                <c:pt idx="263">
                  <c:v>448.68669890000007</c:v>
                </c:pt>
                <c:pt idx="264">
                  <c:v>451.30071530000009</c:v>
                </c:pt>
                <c:pt idx="265">
                  <c:v>456.41294590000007</c:v>
                </c:pt>
                <c:pt idx="266">
                  <c:v>458.77385020000008</c:v>
                </c:pt>
                <c:pt idx="267">
                  <c:v>461.23493170000006</c:v>
                </c:pt>
                <c:pt idx="268">
                  <c:v>464.52397100000007</c:v>
                </c:pt>
                <c:pt idx="269">
                  <c:v>462.16356960000007</c:v>
                </c:pt>
                <c:pt idx="270">
                  <c:v>462.50599310000007</c:v>
                </c:pt>
                <c:pt idx="271">
                  <c:v>465.44302330000005</c:v>
                </c:pt>
                <c:pt idx="272">
                  <c:v>476.59053580000005</c:v>
                </c:pt>
                <c:pt idx="273">
                  <c:v>477.17984900000005</c:v>
                </c:pt>
                <c:pt idx="274">
                  <c:v>478.12845890000006</c:v>
                </c:pt>
                <c:pt idx="275">
                  <c:v>483.12552250000005</c:v>
                </c:pt>
                <c:pt idx="276">
                  <c:v>491.54547150000002</c:v>
                </c:pt>
                <c:pt idx="277">
                  <c:v>491.60856420000005</c:v>
                </c:pt>
                <c:pt idx="278">
                  <c:v>494.26963560000007</c:v>
                </c:pt>
                <c:pt idx="279">
                  <c:v>496.15070780000008</c:v>
                </c:pt>
                <c:pt idx="280">
                  <c:v>504.93720450000006</c:v>
                </c:pt>
                <c:pt idx="281">
                  <c:v>506.84538840000005</c:v>
                </c:pt>
                <c:pt idx="282">
                  <c:v>508.57682150000005</c:v>
                </c:pt>
                <c:pt idx="283">
                  <c:v>506.43378030000002</c:v>
                </c:pt>
                <c:pt idx="284">
                  <c:v>505.04384490000001</c:v>
                </c:pt>
                <c:pt idx="285">
                  <c:v>499.96579869999999</c:v>
                </c:pt>
                <c:pt idx="286">
                  <c:v>489.95415279999997</c:v>
                </c:pt>
                <c:pt idx="287">
                  <c:v>488.9835645</c:v>
                </c:pt>
                <c:pt idx="288">
                  <c:v>482.01938319999999</c:v>
                </c:pt>
                <c:pt idx="289">
                  <c:v>478.68651180000001</c:v>
                </c:pt>
                <c:pt idx="290">
                  <c:v>484.63392579999999</c:v>
                </c:pt>
                <c:pt idx="291">
                  <c:v>481.08079279999998</c:v>
                </c:pt>
                <c:pt idx="292">
                  <c:v>479.84625019999999</c:v>
                </c:pt>
                <c:pt idx="293">
                  <c:v>484.8579067</c:v>
                </c:pt>
                <c:pt idx="294">
                  <c:v>480.16361160000002</c:v>
                </c:pt>
                <c:pt idx="295">
                  <c:v>480.28917060000003</c:v>
                </c:pt>
                <c:pt idx="296">
                  <c:v>481.69393300000002</c:v>
                </c:pt>
                <c:pt idx="297">
                  <c:v>486.70732989999999</c:v>
                </c:pt>
                <c:pt idx="298">
                  <c:v>482.89792769999997</c:v>
                </c:pt>
                <c:pt idx="299">
                  <c:v>484.05422729999998</c:v>
                </c:pt>
                <c:pt idx="300">
                  <c:v>492.27355169999998</c:v>
                </c:pt>
                <c:pt idx="301">
                  <c:v>495.08775859999997</c:v>
                </c:pt>
                <c:pt idx="302">
                  <c:v>494.21445199999999</c:v>
                </c:pt>
                <c:pt idx="303">
                  <c:v>485.62785780000002</c:v>
                </c:pt>
                <c:pt idx="304">
                  <c:v>482.41358389999999</c:v>
                </c:pt>
                <c:pt idx="305">
                  <c:v>488.69959549999999</c:v>
                </c:pt>
                <c:pt idx="306">
                  <c:v>487.15944780000001</c:v>
                </c:pt>
                <c:pt idx="307">
                  <c:v>486.87836140000002</c:v>
                </c:pt>
                <c:pt idx="308">
                  <c:v>493.1426002</c:v>
                </c:pt>
                <c:pt idx="309">
                  <c:v>498.32476220000001</c:v>
                </c:pt>
                <c:pt idx="310">
                  <c:v>508.39212700000002</c:v>
                </c:pt>
                <c:pt idx="311">
                  <c:v>520.48493800000006</c:v>
                </c:pt>
                <c:pt idx="312">
                  <c:v>530.72291000000007</c:v>
                </c:pt>
                <c:pt idx="313">
                  <c:v>528.81634460000009</c:v>
                </c:pt>
                <c:pt idx="314">
                  <c:v>517.5904905000001</c:v>
                </c:pt>
                <c:pt idx="315">
                  <c:v>508.33340200000009</c:v>
                </c:pt>
                <c:pt idx="316">
                  <c:v>503.50159420000011</c:v>
                </c:pt>
                <c:pt idx="317">
                  <c:v>505.7424433000001</c:v>
                </c:pt>
                <c:pt idx="318">
                  <c:v>504.8639970000001</c:v>
                </c:pt>
                <c:pt idx="319">
                  <c:v>495.99570060000008</c:v>
                </c:pt>
                <c:pt idx="320">
                  <c:v>500.9132340000001</c:v>
                </c:pt>
                <c:pt idx="321">
                  <c:v>500.18168120000013</c:v>
                </c:pt>
                <c:pt idx="322">
                  <c:v>497.88642720000013</c:v>
                </c:pt>
                <c:pt idx="323">
                  <c:v>496.14700230000011</c:v>
                </c:pt>
                <c:pt idx="324">
                  <c:v>496.17714160000008</c:v>
                </c:pt>
                <c:pt idx="325">
                  <c:v>492.7613606000001</c:v>
                </c:pt>
                <c:pt idx="326">
                  <c:v>491.85222900000008</c:v>
                </c:pt>
                <c:pt idx="327">
                  <c:v>492.93702990000008</c:v>
                </c:pt>
                <c:pt idx="328">
                  <c:v>497.1521651000001</c:v>
                </c:pt>
                <c:pt idx="329">
                  <c:v>494.68020430000013</c:v>
                </c:pt>
                <c:pt idx="330">
                  <c:v>502.28269330000012</c:v>
                </c:pt>
                <c:pt idx="331">
                  <c:v>504.80339810000009</c:v>
                </c:pt>
                <c:pt idx="332">
                  <c:v>508.36619780000012</c:v>
                </c:pt>
                <c:pt idx="333">
                  <c:v>511.58825760000013</c:v>
                </c:pt>
                <c:pt idx="334">
                  <c:v>511.23073240000014</c:v>
                </c:pt>
                <c:pt idx="335">
                  <c:v>511.71119370000014</c:v>
                </c:pt>
                <c:pt idx="336">
                  <c:v>514.53726150000011</c:v>
                </c:pt>
                <c:pt idx="337">
                  <c:v>515.65994920000014</c:v>
                </c:pt>
                <c:pt idx="338">
                  <c:v>516.15188090000015</c:v>
                </c:pt>
                <c:pt idx="339">
                  <c:v>513.96281980000015</c:v>
                </c:pt>
                <c:pt idx="340">
                  <c:v>515.6145772000001</c:v>
                </c:pt>
                <c:pt idx="341">
                  <c:v>512.16930470000011</c:v>
                </c:pt>
                <c:pt idx="342">
                  <c:v>511.45528640000009</c:v>
                </c:pt>
                <c:pt idx="343">
                  <c:v>514.49388900000008</c:v>
                </c:pt>
                <c:pt idx="344">
                  <c:v>516.45761420000008</c:v>
                </c:pt>
                <c:pt idx="345">
                  <c:v>514.14093240000011</c:v>
                </c:pt>
                <c:pt idx="346">
                  <c:v>513.67943850000006</c:v>
                </c:pt>
                <c:pt idx="347">
                  <c:v>511.64446710000004</c:v>
                </c:pt>
                <c:pt idx="348">
                  <c:v>512.41483990000006</c:v>
                </c:pt>
                <c:pt idx="349">
                  <c:v>513.63203930000009</c:v>
                </c:pt>
                <c:pt idx="350">
                  <c:v>515.85691300000008</c:v>
                </c:pt>
                <c:pt idx="351">
                  <c:v>518.99377100000004</c:v>
                </c:pt>
                <c:pt idx="352">
                  <c:v>520.56163709999998</c:v>
                </c:pt>
                <c:pt idx="353">
                  <c:v>525.31458850000001</c:v>
                </c:pt>
                <c:pt idx="354">
                  <c:v>530.63518599999998</c:v>
                </c:pt>
                <c:pt idx="355">
                  <c:v>531.01549349999993</c:v>
                </c:pt>
                <c:pt idx="356">
                  <c:v>533.32473929999992</c:v>
                </c:pt>
                <c:pt idx="357">
                  <c:v>534.49818789999995</c:v>
                </c:pt>
                <c:pt idx="358">
                  <c:v>538.20506489999991</c:v>
                </c:pt>
                <c:pt idx="359">
                  <c:v>532.61702589999993</c:v>
                </c:pt>
                <c:pt idx="360">
                  <c:v>534.8981561999999</c:v>
                </c:pt>
                <c:pt idx="361">
                  <c:v>535.93083999999988</c:v>
                </c:pt>
                <c:pt idx="362">
                  <c:v>539.78366619999986</c:v>
                </c:pt>
                <c:pt idx="363">
                  <c:v>541.46902839999984</c:v>
                </c:pt>
                <c:pt idx="364">
                  <c:v>539.86689369999988</c:v>
                </c:pt>
                <c:pt idx="365">
                  <c:v>539.93708759999993</c:v>
                </c:pt>
                <c:pt idx="366">
                  <c:v>541.38222109999992</c:v>
                </c:pt>
                <c:pt idx="367">
                  <c:v>541.97836049999989</c:v>
                </c:pt>
                <c:pt idx="368">
                  <c:v>539.98584819999985</c:v>
                </c:pt>
                <c:pt idx="369">
                  <c:v>535.62833209999985</c:v>
                </c:pt>
                <c:pt idx="370">
                  <c:v>540.8415511999998</c:v>
                </c:pt>
                <c:pt idx="371">
                  <c:v>541.18238889999975</c:v>
                </c:pt>
                <c:pt idx="372">
                  <c:v>541.88888039999972</c:v>
                </c:pt>
                <c:pt idx="373">
                  <c:v>541.32492669999976</c:v>
                </c:pt>
                <c:pt idx="374">
                  <c:v>538.62382409999975</c:v>
                </c:pt>
                <c:pt idx="375">
                  <c:v>536.32364279999979</c:v>
                </c:pt>
                <c:pt idx="376">
                  <c:v>548.98465399999975</c:v>
                </c:pt>
                <c:pt idx="377">
                  <c:v>552.64982669999972</c:v>
                </c:pt>
                <c:pt idx="378">
                  <c:v>548.57896259999973</c:v>
                </c:pt>
                <c:pt idx="379">
                  <c:v>546.90886329999978</c:v>
                </c:pt>
                <c:pt idx="380">
                  <c:v>542.02190279999979</c:v>
                </c:pt>
                <c:pt idx="381">
                  <c:v>542.58513539999979</c:v>
                </c:pt>
                <c:pt idx="382">
                  <c:v>556.43543789999978</c:v>
                </c:pt>
                <c:pt idx="383">
                  <c:v>543.09776669999974</c:v>
                </c:pt>
                <c:pt idx="384">
                  <c:v>542.4240295999997</c:v>
                </c:pt>
                <c:pt idx="385">
                  <c:v>539.53309299999967</c:v>
                </c:pt>
                <c:pt idx="386">
                  <c:v>536.73116419999963</c:v>
                </c:pt>
                <c:pt idx="387">
                  <c:v>535.10168819999967</c:v>
                </c:pt>
                <c:pt idx="388">
                  <c:v>535.40419779999968</c:v>
                </c:pt>
                <c:pt idx="389">
                  <c:v>532.96934869999973</c:v>
                </c:pt>
                <c:pt idx="390">
                  <c:v>529.35940289999974</c:v>
                </c:pt>
                <c:pt idx="391">
                  <c:v>536.62681659999976</c:v>
                </c:pt>
                <c:pt idx="392">
                  <c:v>538.67159489999972</c:v>
                </c:pt>
                <c:pt idx="393">
                  <c:v>539.21749079999972</c:v>
                </c:pt>
                <c:pt idx="394">
                  <c:v>544.54284649999977</c:v>
                </c:pt>
                <c:pt idx="395">
                  <c:v>546.28042259999972</c:v>
                </c:pt>
                <c:pt idx="396">
                  <c:v>547.42513589999976</c:v>
                </c:pt>
                <c:pt idx="397">
                  <c:v>553.39877909999973</c:v>
                </c:pt>
                <c:pt idx="398">
                  <c:v>555.22537469999975</c:v>
                </c:pt>
                <c:pt idx="399">
                  <c:v>554.3818428999997</c:v>
                </c:pt>
                <c:pt idx="400">
                  <c:v>556.70706709999968</c:v>
                </c:pt>
                <c:pt idx="401">
                  <c:v>557.88121309999963</c:v>
                </c:pt>
                <c:pt idx="402">
                  <c:v>558.69782719999967</c:v>
                </c:pt>
                <c:pt idx="403">
                  <c:v>558.67127419999963</c:v>
                </c:pt>
                <c:pt idx="404">
                  <c:v>555.86928559999967</c:v>
                </c:pt>
                <c:pt idx="405">
                  <c:v>558.91801729999963</c:v>
                </c:pt>
                <c:pt idx="406">
                  <c:v>562.47708309999962</c:v>
                </c:pt>
                <c:pt idx="407">
                  <c:v>564.96944559999963</c:v>
                </c:pt>
                <c:pt idx="408">
                  <c:v>564.72004879999963</c:v>
                </c:pt>
                <c:pt idx="409">
                  <c:v>566.84177999999963</c:v>
                </c:pt>
                <c:pt idx="410">
                  <c:v>566.02187739999965</c:v>
                </c:pt>
                <c:pt idx="411">
                  <c:v>566.64391189999969</c:v>
                </c:pt>
                <c:pt idx="412">
                  <c:v>566.47712699999965</c:v>
                </c:pt>
                <c:pt idx="413">
                  <c:v>565.62878139999964</c:v>
                </c:pt>
                <c:pt idx="414">
                  <c:v>565.33812649999959</c:v>
                </c:pt>
                <c:pt idx="415">
                  <c:v>566.18385519999958</c:v>
                </c:pt>
                <c:pt idx="416">
                  <c:v>571.22117839999953</c:v>
                </c:pt>
                <c:pt idx="417">
                  <c:v>576.08794919999957</c:v>
                </c:pt>
                <c:pt idx="418">
                  <c:v>578.15320629999962</c:v>
                </c:pt>
                <c:pt idx="419">
                  <c:v>572.6634339999996</c:v>
                </c:pt>
                <c:pt idx="420">
                  <c:v>573.65740349999965</c:v>
                </c:pt>
                <c:pt idx="421">
                  <c:v>572.52426669999966</c:v>
                </c:pt>
                <c:pt idx="422">
                  <c:v>574.96437969999965</c:v>
                </c:pt>
                <c:pt idx="423">
                  <c:v>578.00989109999966</c:v>
                </c:pt>
                <c:pt idx="424">
                  <c:v>576.31825719999961</c:v>
                </c:pt>
                <c:pt idx="425">
                  <c:v>579.34492999999964</c:v>
                </c:pt>
                <c:pt idx="426">
                  <c:v>578.80864429999963</c:v>
                </c:pt>
                <c:pt idx="427">
                  <c:v>581.19506469999965</c:v>
                </c:pt>
                <c:pt idx="428">
                  <c:v>581.56536609999966</c:v>
                </c:pt>
                <c:pt idx="429">
                  <c:v>582.03917979999972</c:v>
                </c:pt>
                <c:pt idx="430">
                  <c:v>590.28301799999974</c:v>
                </c:pt>
                <c:pt idx="431">
                  <c:v>588.40532489999975</c:v>
                </c:pt>
                <c:pt idx="432">
                  <c:v>590.94949589999976</c:v>
                </c:pt>
                <c:pt idx="433">
                  <c:v>590.60591279999971</c:v>
                </c:pt>
                <c:pt idx="434">
                  <c:v>589.33799439999973</c:v>
                </c:pt>
                <c:pt idx="435">
                  <c:v>589.63786679999976</c:v>
                </c:pt>
                <c:pt idx="436">
                  <c:v>585.0456125999998</c:v>
                </c:pt>
                <c:pt idx="437">
                  <c:v>594.47962149999978</c:v>
                </c:pt>
                <c:pt idx="438">
                  <c:v>590.97022469999979</c:v>
                </c:pt>
                <c:pt idx="439">
                  <c:v>593.08924549999983</c:v>
                </c:pt>
                <c:pt idx="440">
                  <c:v>594.28914999999984</c:v>
                </c:pt>
                <c:pt idx="441">
                  <c:v>594.75485359999982</c:v>
                </c:pt>
                <c:pt idx="442">
                  <c:v>596.2461758999998</c:v>
                </c:pt>
                <c:pt idx="443">
                  <c:v>597.12675419999982</c:v>
                </c:pt>
                <c:pt idx="444">
                  <c:v>593.1834852999998</c:v>
                </c:pt>
                <c:pt idx="445">
                  <c:v>598.12322739999979</c:v>
                </c:pt>
                <c:pt idx="446">
                  <c:v>613.43891789999975</c:v>
                </c:pt>
                <c:pt idx="447">
                  <c:v>630.59287549999976</c:v>
                </c:pt>
                <c:pt idx="448">
                  <c:v>631.67606339999975</c:v>
                </c:pt>
                <c:pt idx="449">
                  <c:v>618.62392029999978</c:v>
                </c:pt>
                <c:pt idx="450">
                  <c:v>616.01522739999973</c:v>
                </c:pt>
                <c:pt idx="451">
                  <c:v>615.40981819999968</c:v>
                </c:pt>
                <c:pt idx="452">
                  <c:v>613.03586189999965</c:v>
                </c:pt>
                <c:pt idx="453">
                  <c:v>612.35414479999963</c:v>
                </c:pt>
                <c:pt idx="454">
                  <c:v>616.76750519999962</c:v>
                </c:pt>
                <c:pt idx="455">
                  <c:v>613.85546349999959</c:v>
                </c:pt>
                <c:pt idx="456">
                  <c:v>615.3752436999996</c:v>
                </c:pt>
                <c:pt idx="457">
                  <c:v>614.38268019999964</c:v>
                </c:pt>
                <c:pt idx="458">
                  <c:v>618.45402139999965</c:v>
                </c:pt>
                <c:pt idx="459">
                  <c:v>614.28305079999961</c:v>
                </c:pt>
                <c:pt idx="460">
                  <c:v>613.28920739999967</c:v>
                </c:pt>
                <c:pt idx="461">
                  <c:v>607.90891939999972</c:v>
                </c:pt>
                <c:pt idx="462">
                  <c:v>610.30808379999974</c:v>
                </c:pt>
                <c:pt idx="463">
                  <c:v>598.44696609999971</c:v>
                </c:pt>
                <c:pt idx="464">
                  <c:v>592.83530619999976</c:v>
                </c:pt>
                <c:pt idx="465">
                  <c:v>589.0202059999998</c:v>
                </c:pt>
                <c:pt idx="466">
                  <c:v>591.44954049999978</c:v>
                </c:pt>
                <c:pt idx="467">
                  <c:v>605.27630739999984</c:v>
                </c:pt>
                <c:pt idx="468">
                  <c:v>604.22172239999986</c:v>
                </c:pt>
                <c:pt idx="469">
                  <c:v>609.05729239999982</c:v>
                </c:pt>
                <c:pt idx="470">
                  <c:v>610.38045919999979</c:v>
                </c:pt>
                <c:pt idx="471">
                  <c:v>608.05329309999979</c:v>
                </c:pt>
                <c:pt idx="472">
                  <c:v>613.39982029999976</c:v>
                </c:pt>
                <c:pt idx="473">
                  <c:v>604.1515397999998</c:v>
                </c:pt>
                <c:pt idx="474">
                  <c:v>600.50406999999984</c:v>
                </c:pt>
                <c:pt idx="475">
                  <c:v>609.92476529999988</c:v>
                </c:pt>
                <c:pt idx="476">
                  <c:v>616.75382209999987</c:v>
                </c:pt>
                <c:pt idx="477">
                  <c:v>610.75588209999989</c:v>
                </c:pt>
                <c:pt idx="478">
                  <c:v>612.23306059999993</c:v>
                </c:pt>
                <c:pt idx="479">
                  <c:v>614.54098269999997</c:v>
                </c:pt>
                <c:pt idx="480">
                  <c:v>616.16375679999999</c:v>
                </c:pt>
                <c:pt idx="481">
                  <c:v>618.4811608</c:v>
                </c:pt>
                <c:pt idx="482">
                  <c:v>625.53150019999998</c:v>
                </c:pt>
                <c:pt idx="483">
                  <c:v>626.87756899999999</c:v>
                </c:pt>
                <c:pt idx="484">
                  <c:v>624.60822210000003</c:v>
                </c:pt>
                <c:pt idx="485">
                  <c:v>623.52120320000006</c:v>
                </c:pt>
                <c:pt idx="486">
                  <c:v>632.10804940000003</c:v>
                </c:pt>
                <c:pt idx="487">
                  <c:v>627.6779057</c:v>
                </c:pt>
                <c:pt idx="488">
                  <c:v>633.28920559999995</c:v>
                </c:pt>
                <c:pt idx="489">
                  <c:v>632.51154419999989</c:v>
                </c:pt>
                <c:pt idx="490">
                  <c:v>633.14661279999984</c:v>
                </c:pt>
                <c:pt idx="491">
                  <c:v>634.73365339999987</c:v>
                </c:pt>
                <c:pt idx="492">
                  <c:v>635.0085499999999</c:v>
                </c:pt>
                <c:pt idx="493">
                  <c:v>635.48665679999988</c:v>
                </c:pt>
                <c:pt idx="494">
                  <c:v>634.36327139999992</c:v>
                </c:pt>
                <c:pt idx="495">
                  <c:v>633.76176449999991</c:v>
                </c:pt>
                <c:pt idx="496">
                  <c:v>637.87458229999993</c:v>
                </c:pt>
                <c:pt idx="497">
                  <c:v>648.59099399999991</c:v>
                </c:pt>
                <c:pt idx="498">
                  <c:v>652.48646669999994</c:v>
                </c:pt>
                <c:pt idx="499">
                  <c:v>648.6153781999999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C-4C02-9BF4-909444A7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281360"/>
        <c:axId val="1170281752"/>
      </c:lineChart>
      <c:lineChart>
        <c:grouping val="standard"/>
        <c:varyColors val="0"/>
        <c:ser>
          <c:idx val="1"/>
          <c:order val="1"/>
          <c:tx>
            <c:v>Avg. Return</c:v>
          </c:tx>
          <c:spPr>
            <a:ln w="22225" cmpd="sng">
              <a:solidFill>
                <a:schemeClr val="accent2">
                  <a:alpha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[0]!Acc_Equal_Ret</c:f>
              <c:numCache>
                <c:formatCode>General</c:formatCode>
                <c:ptCount val="500"/>
                <c:pt idx="0">
                  <c:v>0.20487274837511601</c:v>
                </c:pt>
                <c:pt idx="1">
                  <c:v>0.43758282265552462</c:v>
                </c:pt>
                <c:pt idx="2">
                  <c:v>1.2083487465181053</c:v>
                </c:pt>
                <c:pt idx="3">
                  <c:v>1.7157077994428971</c:v>
                </c:pt>
                <c:pt idx="4">
                  <c:v>1.4691128133704734</c:v>
                </c:pt>
                <c:pt idx="5">
                  <c:v>1.2985305013927579</c:v>
                </c:pt>
                <c:pt idx="6">
                  <c:v>1.3879933147632313</c:v>
                </c:pt>
                <c:pt idx="7">
                  <c:v>1.6590108635097487</c:v>
                </c:pt>
                <c:pt idx="8">
                  <c:v>1.7039766016713094</c:v>
                </c:pt>
                <c:pt idx="9">
                  <c:v>1.8922777158774369</c:v>
                </c:pt>
                <c:pt idx="10">
                  <c:v>1.7156685236768803</c:v>
                </c:pt>
                <c:pt idx="11">
                  <c:v>1.8447927576601675</c:v>
                </c:pt>
                <c:pt idx="12">
                  <c:v>1.7761729805013924</c:v>
                </c:pt>
                <c:pt idx="13">
                  <c:v>1.3240467966573821</c:v>
                </c:pt>
                <c:pt idx="14">
                  <c:v>1.6891309192200556</c:v>
                </c:pt>
                <c:pt idx="15">
                  <c:v>1.8805509749303622</c:v>
                </c:pt>
                <c:pt idx="16">
                  <c:v>2.3563674094707521</c:v>
                </c:pt>
                <c:pt idx="17">
                  <c:v>2.8559142857142867</c:v>
                </c:pt>
                <c:pt idx="18">
                  <c:v>2.7131221647433348</c:v>
                </c:pt>
                <c:pt idx="19">
                  <c:v>2.604430508024937</c:v>
                </c:pt>
                <c:pt idx="20">
                  <c:v>2.1193042180660586</c:v>
                </c:pt>
                <c:pt idx="21">
                  <c:v>2.3736809921740285</c:v>
                </c:pt>
                <c:pt idx="22">
                  <c:v>2.4148048414909131</c:v>
                </c:pt>
                <c:pt idx="23">
                  <c:v>2.6334374187558041</c:v>
                </c:pt>
                <c:pt idx="24">
                  <c:v>3.1113738161559894</c:v>
                </c:pt>
                <c:pt idx="25">
                  <c:v>2.9510182451253488</c:v>
                </c:pt>
                <c:pt idx="26">
                  <c:v>2.800552367688022</c:v>
                </c:pt>
                <c:pt idx="27">
                  <c:v>3.0773947075208912</c:v>
                </c:pt>
                <c:pt idx="28">
                  <c:v>3.2813161559888573</c:v>
                </c:pt>
                <c:pt idx="29">
                  <c:v>3.7136766016713074</c:v>
                </c:pt>
                <c:pt idx="30">
                  <c:v>3.9323732590529237</c:v>
                </c:pt>
                <c:pt idx="31">
                  <c:v>3.946313370473538</c:v>
                </c:pt>
                <c:pt idx="32">
                  <c:v>4.3110933147632311</c:v>
                </c:pt>
                <c:pt idx="33">
                  <c:v>4.4206732590529239</c:v>
                </c:pt>
                <c:pt idx="34">
                  <c:v>4.2957359331476317</c:v>
                </c:pt>
                <c:pt idx="35">
                  <c:v>4.5564002785515294</c:v>
                </c:pt>
                <c:pt idx="36">
                  <c:v>4.737834818941506</c:v>
                </c:pt>
                <c:pt idx="37">
                  <c:v>4.6623381615598882</c:v>
                </c:pt>
                <c:pt idx="38">
                  <c:v>4.8168236768802242</c:v>
                </c:pt>
                <c:pt idx="39">
                  <c:v>4.6392105849582181</c:v>
                </c:pt>
                <c:pt idx="40">
                  <c:v>4.6071812441968385</c:v>
                </c:pt>
                <c:pt idx="41">
                  <c:v>4.338950510677809</c:v>
                </c:pt>
                <c:pt idx="42">
                  <c:v>5.0730972144846787</c:v>
                </c:pt>
                <c:pt idx="43">
                  <c:v>4.3249587743732594</c:v>
                </c:pt>
                <c:pt idx="44">
                  <c:v>4.429074373259053</c:v>
                </c:pt>
                <c:pt idx="45">
                  <c:v>4.1960259052924789</c:v>
                </c:pt>
                <c:pt idx="46">
                  <c:v>3.9759651810584966</c:v>
                </c:pt>
                <c:pt idx="47">
                  <c:v>3.4693178272980494</c:v>
                </c:pt>
                <c:pt idx="48">
                  <c:v>3.3356314763231221</c:v>
                </c:pt>
                <c:pt idx="49">
                  <c:v>3.8052136490250685</c:v>
                </c:pt>
                <c:pt idx="50">
                  <c:v>4.1133952646239571</c:v>
                </c:pt>
                <c:pt idx="51">
                  <c:v>3.6854888579387177</c:v>
                </c:pt>
                <c:pt idx="52">
                  <c:v>4.6469206128133722</c:v>
                </c:pt>
                <c:pt idx="53">
                  <c:v>5.0936495821727066</c:v>
                </c:pt>
                <c:pt idx="54">
                  <c:v>5.1663629526462369</c:v>
                </c:pt>
                <c:pt idx="55">
                  <c:v>5.1715174094707539</c:v>
                </c:pt>
                <c:pt idx="56">
                  <c:v>4.5806885793871874</c:v>
                </c:pt>
                <c:pt idx="57">
                  <c:v>4.5950545961002751</c:v>
                </c:pt>
                <c:pt idx="58">
                  <c:v>4.6657771587743726</c:v>
                </c:pt>
                <c:pt idx="59">
                  <c:v>4.8381930362116963</c:v>
                </c:pt>
                <c:pt idx="60">
                  <c:v>4.8024100278551538</c:v>
                </c:pt>
                <c:pt idx="61">
                  <c:v>5.162677994428968</c:v>
                </c:pt>
                <c:pt idx="62">
                  <c:v>5.2892033426183849</c:v>
                </c:pt>
                <c:pt idx="63">
                  <c:v>5.2546008356545979</c:v>
                </c:pt>
                <c:pt idx="64">
                  <c:v>5.1916206128133711</c:v>
                </c:pt>
                <c:pt idx="65">
                  <c:v>5.0948787372330546</c:v>
                </c:pt>
                <c:pt idx="66">
                  <c:v>5.1539924326833786</c:v>
                </c:pt>
                <c:pt idx="67">
                  <c:v>4.9216072423398334</c:v>
                </c:pt>
                <c:pt idx="68">
                  <c:v>5.018666573816156</c:v>
                </c:pt>
                <c:pt idx="69">
                  <c:v>4.9539707520891367</c:v>
                </c:pt>
                <c:pt idx="70">
                  <c:v>4.9889844011142053</c:v>
                </c:pt>
                <c:pt idx="71">
                  <c:v>5.1788713091921998</c:v>
                </c:pt>
                <c:pt idx="72">
                  <c:v>4.9921713091922006</c:v>
                </c:pt>
                <c:pt idx="73">
                  <c:v>4.7070832869080785</c:v>
                </c:pt>
                <c:pt idx="74">
                  <c:v>4.8990292014856083</c:v>
                </c:pt>
                <c:pt idx="75">
                  <c:v>5.1338687093779019</c:v>
                </c:pt>
                <c:pt idx="76">
                  <c:v>4.9393275766016709</c:v>
                </c:pt>
                <c:pt idx="77">
                  <c:v>4.6396548746518107</c:v>
                </c:pt>
                <c:pt idx="78">
                  <c:v>5.1680557103064082</c:v>
                </c:pt>
                <c:pt idx="79">
                  <c:v>5.1008431754874648</c:v>
                </c:pt>
                <c:pt idx="80">
                  <c:v>6.1068242339832866</c:v>
                </c:pt>
                <c:pt idx="81">
                  <c:v>6.5545922005571056</c:v>
                </c:pt>
                <c:pt idx="82">
                  <c:v>6.426917270194985</c:v>
                </c:pt>
                <c:pt idx="83">
                  <c:v>6.3920969359331483</c:v>
                </c:pt>
                <c:pt idx="84">
                  <c:v>6.2607910863509773</c:v>
                </c:pt>
                <c:pt idx="85">
                  <c:v>6.3953821727019502</c:v>
                </c:pt>
                <c:pt idx="86">
                  <c:v>6.5188969359331477</c:v>
                </c:pt>
                <c:pt idx="87">
                  <c:v>6.2909052228412232</c:v>
                </c:pt>
                <c:pt idx="88">
                  <c:v>6.2392747910863529</c:v>
                </c:pt>
                <c:pt idx="89">
                  <c:v>6.7615238857938742</c:v>
                </c:pt>
                <c:pt idx="90">
                  <c:v>6.5675367688022286</c:v>
                </c:pt>
                <c:pt idx="91">
                  <c:v>6.4839582172701951</c:v>
                </c:pt>
                <c:pt idx="92">
                  <c:v>6.7433089136490265</c:v>
                </c:pt>
                <c:pt idx="93">
                  <c:v>6.639686629526464</c:v>
                </c:pt>
                <c:pt idx="94">
                  <c:v>6.8100947075208893</c:v>
                </c:pt>
                <c:pt idx="95">
                  <c:v>7.3282980501392778</c:v>
                </c:pt>
                <c:pt idx="96">
                  <c:v>7.5463036211699182</c:v>
                </c:pt>
                <c:pt idx="97">
                  <c:v>6.6798484679665746</c:v>
                </c:pt>
                <c:pt idx="98">
                  <c:v>6.484643732590528</c:v>
                </c:pt>
                <c:pt idx="99">
                  <c:v>7.2240384401114257</c:v>
                </c:pt>
                <c:pt idx="100">
                  <c:v>7.6165410863509706</c:v>
                </c:pt>
                <c:pt idx="101">
                  <c:v>7.5874228412256226</c:v>
                </c:pt>
                <c:pt idx="102">
                  <c:v>7.7217142061281336</c:v>
                </c:pt>
                <c:pt idx="103">
                  <c:v>8.0323838440111395</c:v>
                </c:pt>
                <c:pt idx="104">
                  <c:v>7.9917922005571</c:v>
                </c:pt>
                <c:pt idx="105">
                  <c:v>7.929854363974</c:v>
                </c:pt>
                <c:pt idx="106">
                  <c:v>7.8294839368616529</c:v>
                </c:pt>
                <c:pt idx="107">
                  <c:v>7.8565902506963781</c:v>
                </c:pt>
                <c:pt idx="108">
                  <c:v>8.4206590529247869</c:v>
                </c:pt>
                <c:pt idx="109">
                  <c:v>9.0327225626740972</c:v>
                </c:pt>
                <c:pt idx="110">
                  <c:v>8.8698889972144812</c:v>
                </c:pt>
                <c:pt idx="111">
                  <c:v>8.8480150417827303</c:v>
                </c:pt>
                <c:pt idx="112">
                  <c:v>8.7955495821727006</c:v>
                </c:pt>
                <c:pt idx="113">
                  <c:v>8.8020891364902472</c:v>
                </c:pt>
                <c:pt idx="114">
                  <c:v>8.7694445682451327</c:v>
                </c:pt>
                <c:pt idx="115">
                  <c:v>8.528162674094709</c:v>
                </c:pt>
                <c:pt idx="116">
                  <c:v>9.023535933147631</c:v>
                </c:pt>
                <c:pt idx="117">
                  <c:v>9.0303885793871856</c:v>
                </c:pt>
                <c:pt idx="118">
                  <c:v>8.2774136490250712</c:v>
                </c:pt>
                <c:pt idx="119">
                  <c:v>8.535385793871864</c:v>
                </c:pt>
                <c:pt idx="120">
                  <c:v>8.9985197771587746</c:v>
                </c:pt>
                <c:pt idx="121">
                  <c:v>8.395184679665741</c:v>
                </c:pt>
                <c:pt idx="122">
                  <c:v>8.2780200557103019</c:v>
                </c:pt>
                <c:pt idx="123">
                  <c:v>8.4771239554317575</c:v>
                </c:pt>
                <c:pt idx="124">
                  <c:v>8.7684732590529233</c:v>
                </c:pt>
                <c:pt idx="125">
                  <c:v>8.979328133704735</c:v>
                </c:pt>
                <c:pt idx="126">
                  <c:v>8.5945075208913675</c:v>
                </c:pt>
                <c:pt idx="127">
                  <c:v>9.1867150417827279</c:v>
                </c:pt>
                <c:pt idx="128">
                  <c:v>8.5719183844011138</c:v>
                </c:pt>
                <c:pt idx="129">
                  <c:v>8.6145167130919251</c:v>
                </c:pt>
                <c:pt idx="130">
                  <c:v>8.6772934540389937</c:v>
                </c:pt>
                <c:pt idx="131">
                  <c:v>8.560860863509749</c:v>
                </c:pt>
                <c:pt idx="132">
                  <c:v>8.5786621169916444</c:v>
                </c:pt>
                <c:pt idx="133">
                  <c:v>8.0026348189415035</c:v>
                </c:pt>
                <c:pt idx="134">
                  <c:v>8.1563757660167155</c:v>
                </c:pt>
                <c:pt idx="135">
                  <c:v>8.3434584958217322</c:v>
                </c:pt>
                <c:pt idx="136">
                  <c:v>8.505406406685232</c:v>
                </c:pt>
                <c:pt idx="137">
                  <c:v>9.2952713091922021</c:v>
                </c:pt>
                <c:pt idx="138">
                  <c:v>9.4306849582172738</c:v>
                </c:pt>
                <c:pt idx="139">
                  <c:v>10.055836211699168</c:v>
                </c:pt>
                <c:pt idx="140">
                  <c:v>10.057403342618384</c:v>
                </c:pt>
                <c:pt idx="141">
                  <c:v>10.18796155988858</c:v>
                </c:pt>
                <c:pt idx="142">
                  <c:v>10.678971587743735</c:v>
                </c:pt>
                <c:pt idx="143">
                  <c:v>10.887323119777159</c:v>
                </c:pt>
                <c:pt idx="144">
                  <c:v>10.765546239554315</c:v>
                </c:pt>
                <c:pt idx="145">
                  <c:v>10.698544011142065</c:v>
                </c:pt>
                <c:pt idx="146">
                  <c:v>10.858271309192201</c:v>
                </c:pt>
                <c:pt idx="147">
                  <c:v>10.952782451253482</c:v>
                </c:pt>
                <c:pt idx="148">
                  <c:v>10.966100835654595</c:v>
                </c:pt>
                <c:pt idx="149">
                  <c:v>10.957517827298053</c:v>
                </c:pt>
                <c:pt idx="150">
                  <c:v>11.056481615598887</c:v>
                </c:pt>
                <c:pt idx="151">
                  <c:v>11.389951392757659</c:v>
                </c:pt>
                <c:pt idx="152">
                  <c:v>11.35640919220055</c:v>
                </c:pt>
                <c:pt idx="153">
                  <c:v>11.175327298050142</c:v>
                </c:pt>
                <c:pt idx="154">
                  <c:v>11.142386350974929</c:v>
                </c:pt>
                <c:pt idx="155">
                  <c:v>11.304509888579387</c:v>
                </c:pt>
                <c:pt idx="156">
                  <c:v>11.112986629526464</c:v>
                </c:pt>
                <c:pt idx="157">
                  <c:v>10.820353760445681</c:v>
                </c:pt>
                <c:pt idx="158">
                  <c:v>9.8774749303621157</c:v>
                </c:pt>
                <c:pt idx="159">
                  <c:v>9.8054750696378754</c:v>
                </c:pt>
                <c:pt idx="160">
                  <c:v>10.461128133704733</c:v>
                </c:pt>
                <c:pt idx="161">
                  <c:v>10.24723342618384</c:v>
                </c:pt>
                <c:pt idx="162">
                  <c:v>10.52103342618385</c:v>
                </c:pt>
                <c:pt idx="163">
                  <c:v>9.8421105849582204</c:v>
                </c:pt>
                <c:pt idx="164">
                  <c:v>9.7685821727019544</c:v>
                </c:pt>
                <c:pt idx="165">
                  <c:v>9.9019047353760428</c:v>
                </c:pt>
                <c:pt idx="166">
                  <c:v>10.42291643454039</c:v>
                </c:pt>
                <c:pt idx="167">
                  <c:v>10.470564484679663</c:v>
                </c:pt>
                <c:pt idx="168">
                  <c:v>10.411908913649025</c:v>
                </c:pt>
                <c:pt idx="169">
                  <c:v>10.858472144846788</c:v>
                </c:pt>
                <c:pt idx="170">
                  <c:v>11.015823398328688</c:v>
                </c:pt>
                <c:pt idx="171">
                  <c:v>10.98098941504178</c:v>
                </c:pt>
                <c:pt idx="172">
                  <c:v>11.099059052924785</c:v>
                </c:pt>
                <c:pt idx="173">
                  <c:v>11.665116155988857</c:v>
                </c:pt>
                <c:pt idx="174">
                  <c:v>11.964688997214486</c:v>
                </c:pt>
                <c:pt idx="175">
                  <c:v>11.727045682451251</c:v>
                </c:pt>
                <c:pt idx="176">
                  <c:v>11.570464066852365</c:v>
                </c:pt>
                <c:pt idx="177">
                  <c:v>11.838281894150416</c:v>
                </c:pt>
                <c:pt idx="178">
                  <c:v>12.231176323119769</c:v>
                </c:pt>
                <c:pt idx="179">
                  <c:v>12.194186629526463</c:v>
                </c:pt>
                <c:pt idx="180">
                  <c:v>12.774284679665744</c:v>
                </c:pt>
                <c:pt idx="181">
                  <c:v>12.958654874651819</c:v>
                </c:pt>
                <c:pt idx="182">
                  <c:v>12.703760445682446</c:v>
                </c:pt>
                <c:pt idx="183">
                  <c:v>12.797162116991643</c:v>
                </c:pt>
                <c:pt idx="184">
                  <c:v>12.997423119777165</c:v>
                </c:pt>
                <c:pt idx="185">
                  <c:v>13.134135933147631</c:v>
                </c:pt>
                <c:pt idx="186">
                  <c:v>13.2107208913649</c:v>
                </c:pt>
                <c:pt idx="187">
                  <c:v>13.367223119777162</c:v>
                </c:pt>
                <c:pt idx="188">
                  <c:v>12.999849303621168</c:v>
                </c:pt>
                <c:pt idx="189">
                  <c:v>13.006818941504173</c:v>
                </c:pt>
                <c:pt idx="190">
                  <c:v>12.785683844011139</c:v>
                </c:pt>
                <c:pt idx="191">
                  <c:v>12.604666016713098</c:v>
                </c:pt>
                <c:pt idx="192">
                  <c:v>12.650186350974927</c:v>
                </c:pt>
                <c:pt idx="193">
                  <c:v>12.821439275766012</c:v>
                </c:pt>
                <c:pt idx="194">
                  <c:v>13.176590529247912</c:v>
                </c:pt>
                <c:pt idx="195">
                  <c:v>13.365138161559893</c:v>
                </c:pt>
                <c:pt idx="196">
                  <c:v>13.72253147632312</c:v>
                </c:pt>
                <c:pt idx="197">
                  <c:v>13.800606685236763</c:v>
                </c:pt>
                <c:pt idx="198">
                  <c:v>13.978280919220049</c:v>
                </c:pt>
                <c:pt idx="199">
                  <c:v>13.852031894150418</c:v>
                </c:pt>
                <c:pt idx="200">
                  <c:v>13.872851160631386</c:v>
                </c:pt>
                <c:pt idx="201">
                  <c:v>14.329575023212623</c:v>
                </c:pt>
                <c:pt idx="202">
                  <c:v>14.544893036211707</c:v>
                </c:pt>
                <c:pt idx="203">
                  <c:v>14.652952367688028</c:v>
                </c:pt>
                <c:pt idx="204">
                  <c:v>14.911808635097495</c:v>
                </c:pt>
                <c:pt idx="205">
                  <c:v>14.904154317548754</c:v>
                </c:pt>
                <c:pt idx="206">
                  <c:v>14.687145125348193</c:v>
                </c:pt>
                <c:pt idx="207">
                  <c:v>14.814086908077991</c:v>
                </c:pt>
                <c:pt idx="208">
                  <c:v>14.728622562674099</c:v>
                </c:pt>
                <c:pt idx="209">
                  <c:v>14.816843454038997</c:v>
                </c:pt>
                <c:pt idx="210">
                  <c:v>14.548643454038993</c:v>
                </c:pt>
                <c:pt idx="211">
                  <c:v>14.619848189415039</c:v>
                </c:pt>
                <c:pt idx="212">
                  <c:v>14.201963231197761</c:v>
                </c:pt>
                <c:pt idx="213">
                  <c:v>14.223920612813368</c:v>
                </c:pt>
                <c:pt idx="214">
                  <c:v>14.65742701949862</c:v>
                </c:pt>
                <c:pt idx="215">
                  <c:v>14.584417270194985</c:v>
                </c:pt>
                <c:pt idx="216">
                  <c:v>14.842476044568246</c:v>
                </c:pt>
                <c:pt idx="217">
                  <c:v>15.119094150417828</c:v>
                </c:pt>
                <c:pt idx="218">
                  <c:v>15.196555292479111</c:v>
                </c:pt>
                <c:pt idx="219">
                  <c:v>15.175734958217266</c:v>
                </c:pt>
                <c:pt idx="220">
                  <c:v>15.539569916434537</c:v>
                </c:pt>
                <c:pt idx="221">
                  <c:v>15.395803899721448</c:v>
                </c:pt>
                <c:pt idx="222">
                  <c:v>15.58242033426183</c:v>
                </c:pt>
                <c:pt idx="223">
                  <c:v>15.252290807799438</c:v>
                </c:pt>
                <c:pt idx="224">
                  <c:v>15.025143175487464</c:v>
                </c:pt>
                <c:pt idx="225">
                  <c:v>14.894952089136495</c:v>
                </c:pt>
                <c:pt idx="226">
                  <c:v>14.808896378830077</c:v>
                </c:pt>
                <c:pt idx="227">
                  <c:v>14.331869916434545</c:v>
                </c:pt>
                <c:pt idx="228">
                  <c:v>15.171125905292472</c:v>
                </c:pt>
                <c:pt idx="229">
                  <c:v>15.258518662952653</c:v>
                </c:pt>
                <c:pt idx="230">
                  <c:v>15.303880779944285</c:v>
                </c:pt>
                <c:pt idx="231">
                  <c:v>16.02903370473539</c:v>
                </c:pt>
                <c:pt idx="232">
                  <c:v>16.231693314763234</c:v>
                </c:pt>
                <c:pt idx="233">
                  <c:v>16.279823816155989</c:v>
                </c:pt>
                <c:pt idx="234">
                  <c:v>16.476216713091919</c:v>
                </c:pt>
                <c:pt idx="235">
                  <c:v>16.122361002785517</c:v>
                </c:pt>
                <c:pt idx="236">
                  <c:v>16.673128690807797</c:v>
                </c:pt>
                <c:pt idx="237">
                  <c:v>16.388902228412263</c:v>
                </c:pt>
                <c:pt idx="238">
                  <c:v>16.608130640668524</c:v>
                </c:pt>
                <c:pt idx="239">
                  <c:v>16.496558217270199</c:v>
                </c:pt>
                <c:pt idx="240">
                  <c:v>16.339981894150416</c:v>
                </c:pt>
                <c:pt idx="241">
                  <c:v>16.031735097493033</c:v>
                </c:pt>
                <c:pt idx="242">
                  <c:v>15.542089415041774</c:v>
                </c:pt>
                <c:pt idx="243">
                  <c:v>15.823825905292468</c:v>
                </c:pt>
                <c:pt idx="244">
                  <c:v>16.25510194986072</c:v>
                </c:pt>
                <c:pt idx="245">
                  <c:v>16.541945125348182</c:v>
                </c:pt>
                <c:pt idx="246">
                  <c:v>16.365773398328688</c:v>
                </c:pt>
                <c:pt idx="247">
                  <c:v>16.706971587743741</c:v>
                </c:pt>
                <c:pt idx="248">
                  <c:v>16.426624791086358</c:v>
                </c:pt>
                <c:pt idx="249">
                  <c:v>16.690493314763241</c:v>
                </c:pt>
                <c:pt idx="250">
                  <c:v>17.517481615598886</c:v>
                </c:pt>
                <c:pt idx="251">
                  <c:v>17.192120891364905</c:v>
                </c:pt>
                <c:pt idx="252">
                  <c:v>17.167780779944284</c:v>
                </c:pt>
                <c:pt idx="253">
                  <c:v>17.429451532033411</c:v>
                </c:pt>
                <c:pt idx="254">
                  <c:v>17.540718384401117</c:v>
                </c:pt>
                <c:pt idx="255">
                  <c:v>17.627459656453112</c:v>
                </c:pt>
                <c:pt idx="256">
                  <c:v>17.702421819870011</c:v>
                </c:pt>
                <c:pt idx="257">
                  <c:v>17.808905013927575</c:v>
                </c:pt>
                <c:pt idx="258">
                  <c:v>18.102133147632305</c:v>
                </c:pt>
                <c:pt idx="259">
                  <c:v>18.171964902506954</c:v>
                </c:pt>
                <c:pt idx="260">
                  <c:v>18.519818987929437</c:v>
                </c:pt>
                <c:pt idx="261">
                  <c:v>18.901365273909001</c:v>
                </c:pt>
                <c:pt idx="262">
                  <c:v>19.443051392757656</c:v>
                </c:pt>
                <c:pt idx="263">
                  <c:v>19.970387186629523</c:v>
                </c:pt>
                <c:pt idx="264">
                  <c:v>20.456408077994432</c:v>
                </c:pt>
                <c:pt idx="265">
                  <c:v>20.557128690807801</c:v>
                </c:pt>
                <c:pt idx="266">
                  <c:v>20.518542061281345</c:v>
                </c:pt>
                <c:pt idx="267">
                  <c:v>20.371951253481896</c:v>
                </c:pt>
                <c:pt idx="268">
                  <c:v>20.965438161559881</c:v>
                </c:pt>
                <c:pt idx="269">
                  <c:v>21.703578551532036</c:v>
                </c:pt>
                <c:pt idx="270">
                  <c:v>21.892336768802227</c:v>
                </c:pt>
                <c:pt idx="271">
                  <c:v>21.7997807799443</c:v>
                </c:pt>
                <c:pt idx="272">
                  <c:v>22.355934261838449</c:v>
                </c:pt>
                <c:pt idx="273">
                  <c:v>22.109749860724236</c:v>
                </c:pt>
                <c:pt idx="274">
                  <c:v>22.654029247910856</c:v>
                </c:pt>
                <c:pt idx="275">
                  <c:v>23.206501114206127</c:v>
                </c:pt>
                <c:pt idx="276">
                  <c:v>23.787614484679676</c:v>
                </c:pt>
                <c:pt idx="277">
                  <c:v>24.055254038997216</c:v>
                </c:pt>
                <c:pt idx="278">
                  <c:v>24.071935933147646</c:v>
                </c:pt>
                <c:pt idx="279">
                  <c:v>24.725669359331473</c:v>
                </c:pt>
                <c:pt idx="280">
                  <c:v>23.790780501392753</c:v>
                </c:pt>
                <c:pt idx="281">
                  <c:v>22.810472701949866</c:v>
                </c:pt>
                <c:pt idx="282">
                  <c:v>22.916737883008349</c:v>
                </c:pt>
                <c:pt idx="283">
                  <c:v>22.801883844011147</c:v>
                </c:pt>
                <c:pt idx="284">
                  <c:v>20.998208635097487</c:v>
                </c:pt>
                <c:pt idx="285">
                  <c:v>18.189700835654595</c:v>
                </c:pt>
                <c:pt idx="286">
                  <c:v>18.257481058495816</c:v>
                </c:pt>
                <c:pt idx="287">
                  <c:v>17.711111142061288</c:v>
                </c:pt>
                <c:pt idx="288">
                  <c:v>15.240905292479114</c:v>
                </c:pt>
                <c:pt idx="289">
                  <c:v>15.291203621169908</c:v>
                </c:pt>
                <c:pt idx="290">
                  <c:v>16.509047771587749</c:v>
                </c:pt>
                <c:pt idx="291">
                  <c:v>16.710278710704337</c:v>
                </c:pt>
                <c:pt idx="292">
                  <c:v>18.025334023079981</c:v>
                </c:pt>
                <c:pt idx="293">
                  <c:v>19.074886132113015</c:v>
                </c:pt>
                <c:pt idx="294">
                  <c:v>19.439602493699436</c:v>
                </c:pt>
                <c:pt idx="295">
                  <c:v>19.100759245257997</c:v>
                </c:pt>
                <c:pt idx="296">
                  <c:v>18.667695105451642</c:v>
                </c:pt>
                <c:pt idx="297">
                  <c:v>18.426547214484678</c:v>
                </c:pt>
                <c:pt idx="298">
                  <c:v>18.44541448467967</c:v>
                </c:pt>
                <c:pt idx="299">
                  <c:v>19.488162395543178</c:v>
                </c:pt>
                <c:pt idx="300">
                  <c:v>20.344562116991632</c:v>
                </c:pt>
                <c:pt idx="301">
                  <c:v>19.143596657381611</c:v>
                </c:pt>
                <c:pt idx="302">
                  <c:v>18.083298189415046</c:v>
                </c:pt>
                <c:pt idx="303">
                  <c:v>17.218425069637888</c:v>
                </c:pt>
                <c:pt idx="304">
                  <c:v>17.280284958217273</c:v>
                </c:pt>
                <c:pt idx="305">
                  <c:v>17.94269080779944</c:v>
                </c:pt>
                <c:pt idx="306">
                  <c:v>18.640525626740942</c:v>
                </c:pt>
                <c:pt idx="307">
                  <c:v>18.516329247910864</c:v>
                </c:pt>
                <c:pt idx="308">
                  <c:v>18.796742339832868</c:v>
                </c:pt>
                <c:pt idx="309">
                  <c:v>19.859644011142059</c:v>
                </c:pt>
                <c:pt idx="310">
                  <c:v>20.163471030640668</c:v>
                </c:pt>
                <c:pt idx="311">
                  <c:v>19.743056545961004</c:v>
                </c:pt>
                <c:pt idx="312">
                  <c:v>19.525458495821731</c:v>
                </c:pt>
                <c:pt idx="313">
                  <c:v>19.378696100278543</c:v>
                </c:pt>
                <c:pt idx="314">
                  <c:v>19.330815598885806</c:v>
                </c:pt>
                <c:pt idx="315">
                  <c:v>18.460158495821727</c:v>
                </c:pt>
                <c:pt idx="316">
                  <c:v>18.507465459610039</c:v>
                </c:pt>
                <c:pt idx="317">
                  <c:v>18.727225069637878</c:v>
                </c:pt>
                <c:pt idx="318">
                  <c:v>17.077278272980507</c:v>
                </c:pt>
                <c:pt idx="319">
                  <c:v>15.618686908077988</c:v>
                </c:pt>
                <c:pt idx="320">
                  <c:v>17.062699164345403</c:v>
                </c:pt>
                <c:pt idx="321">
                  <c:v>16.552750974930358</c:v>
                </c:pt>
                <c:pt idx="322">
                  <c:v>16.220944011142066</c:v>
                </c:pt>
                <c:pt idx="323">
                  <c:v>17.191184401114199</c:v>
                </c:pt>
                <c:pt idx="324">
                  <c:v>16.638630408542248</c:v>
                </c:pt>
                <c:pt idx="325">
                  <c:v>16.007745496750232</c:v>
                </c:pt>
                <c:pt idx="326">
                  <c:v>16.514037883008353</c:v>
                </c:pt>
                <c:pt idx="327">
                  <c:v>16.956397493036217</c:v>
                </c:pt>
                <c:pt idx="328">
                  <c:v>17.66178820798514</c:v>
                </c:pt>
                <c:pt idx="329">
                  <c:v>16.525766945218198</c:v>
                </c:pt>
                <c:pt idx="330">
                  <c:v>16.913281337047362</c:v>
                </c:pt>
                <c:pt idx="331">
                  <c:v>18.084661281337063</c:v>
                </c:pt>
                <c:pt idx="332">
                  <c:v>18.044927298050141</c:v>
                </c:pt>
                <c:pt idx="333">
                  <c:v>18.227697771587732</c:v>
                </c:pt>
                <c:pt idx="334">
                  <c:v>18.12847576601671</c:v>
                </c:pt>
                <c:pt idx="335">
                  <c:v>18.505211142061281</c:v>
                </c:pt>
                <c:pt idx="336">
                  <c:v>19.084857938718663</c:v>
                </c:pt>
                <c:pt idx="337">
                  <c:v>19.476461838440105</c:v>
                </c:pt>
                <c:pt idx="338">
                  <c:v>18.982933426183852</c:v>
                </c:pt>
                <c:pt idx="339">
                  <c:v>18.249295821727014</c:v>
                </c:pt>
                <c:pt idx="340">
                  <c:v>17.985078830083566</c:v>
                </c:pt>
                <c:pt idx="341">
                  <c:v>17.595102506963798</c:v>
                </c:pt>
                <c:pt idx="342">
                  <c:v>17.228616434540381</c:v>
                </c:pt>
                <c:pt idx="343">
                  <c:v>17.834988022284129</c:v>
                </c:pt>
                <c:pt idx="344">
                  <c:v>18.072239275766023</c:v>
                </c:pt>
                <c:pt idx="345">
                  <c:v>17.734305060352835</c:v>
                </c:pt>
                <c:pt idx="346">
                  <c:v>17.497650510677811</c:v>
                </c:pt>
                <c:pt idx="347">
                  <c:v>17.16717465181058</c:v>
                </c:pt>
                <c:pt idx="348">
                  <c:v>16.972711699164339</c:v>
                </c:pt>
                <c:pt idx="349">
                  <c:v>17.668847075208909</c:v>
                </c:pt>
                <c:pt idx="350">
                  <c:v>17.875256824512537</c:v>
                </c:pt>
                <c:pt idx="351">
                  <c:v>17.934264345403896</c:v>
                </c:pt>
                <c:pt idx="352">
                  <c:v>18.293811699164348</c:v>
                </c:pt>
                <c:pt idx="353">
                  <c:v>19.21317019498607</c:v>
                </c:pt>
                <c:pt idx="354">
                  <c:v>19.478669359331469</c:v>
                </c:pt>
                <c:pt idx="355">
                  <c:v>19.615135654596095</c:v>
                </c:pt>
                <c:pt idx="356">
                  <c:v>18.679149582172709</c:v>
                </c:pt>
                <c:pt idx="357">
                  <c:v>18.967412534818937</c:v>
                </c:pt>
                <c:pt idx="358">
                  <c:v>18.916727298050127</c:v>
                </c:pt>
                <c:pt idx="359">
                  <c:v>18.716921727019503</c:v>
                </c:pt>
                <c:pt idx="360">
                  <c:v>19.201639972144839</c:v>
                </c:pt>
                <c:pt idx="361">
                  <c:v>19.112827994428965</c:v>
                </c:pt>
                <c:pt idx="362">
                  <c:v>18.728850139275757</c:v>
                </c:pt>
                <c:pt idx="363">
                  <c:v>18.648499164345402</c:v>
                </c:pt>
                <c:pt idx="364">
                  <c:v>18.402418384401113</c:v>
                </c:pt>
                <c:pt idx="365">
                  <c:v>17.979216573816164</c:v>
                </c:pt>
                <c:pt idx="366">
                  <c:v>17.294279108635099</c:v>
                </c:pt>
                <c:pt idx="367">
                  <c:v>18.175594986072429</c:v>
                </c:pt>
                <c:pt idx="368">
                  <c:v>17.864816155988866</c:v>
                </c:pt>
                <c:pt idx="369">
                  <c:v>18.450751253481883</c:v>
                </c:pt>
                <c:pt idx="370">
                  <c:v>18.97677688022284</c:v>
                </c:pt>
                <c:pt idx="371">
                  <c:v>19.079489136490253</c:v>
                </c:pt>
                <c:pt idx="372">
                  <c:v>19.659727576601675</c:v>
                </c:pt>
                <c:pt idx="373">
                  <c:v>19.573872980501385</c:v>
                </c:pt>
                <c:pt idx="374">
                  <c:v>19.54761364902507</c:v>
                </c:pt>
                <c:pt idx="375">
                  <c:v>19.847212256267415</c:v>
                </c:pt>
                <c:pt idx="376">
                  <c:v>19.846840668523694</c:v>
                </c:pt>
                <c:pt idx="377">
                  <c:v>19.578351532033427</c:v>
                </c:pt>
                <c:pt idx="378">
                  <c:v>19.497623119777153</c:v>
                </c:pt>
                <c:pt idx="379">
                  <c:v>19.00156323119776</c:v>
                </c:pt>
                <c:pt idx="380">
                  <c:v>18.589620334261841</c:v>
                </c:pt>
                <c:pt idx="381">
                  <c:v>17.931945403899725</c:v>
                </c:pt>
                <c:pt idx="382">
                  <c:v>18.263798328690811</c:v>
                </c:pt>
                <c:pt idx="383">
                  <c:v>17.612727019498607</c:v>
                </c:pt>
                <c:pt idx="384">
                  <c:v>18.108140111420607</c:v>
                </c:pt>
                <c:pt idx="385">
                  <c:v>16.894755153203334</c:v>
                </c:pt>
                <c:pt idx="386">
                  <c:v>16.973179665738162</c:v>
                </c:pt>
                <c:pt idx="387">
                  <c:v>16.175020334261848</c:v>
                </c:pt>
                <c:pt idx="388">
                  <c:v>16.326840111420612</c:v>
                </c:pt>
                <c:pt idx="389">
                  <c:v>16.962817827298046</c:v>
                </c:pt>
                <c:pt idx="390">
                  <c:v>16.283572841225634</c:v>
                </c:pt>
                <c:pt idx="391">
                  <c:v>16.546079944289701</c:v>
                </c:pt>
                <c:pt idx="392">
                  <c:v>16.767044289693594</c:v>
                </c:pt>
                <c:pt idx="393">
                  <c:v>17.070330362116984</c:v>
                </c:pt>
                <c:pt idx="394">
                  <c:v>17.893307242339834</c:v>
                </c:pt>
                <c:pt idx="395">
                  <c:v>18.666312813370478</c:v>
                </c:pt>
                <c:pt idx="396">
                  <c:v>18.764513091922016</c:v>
                </c:pt>
                <c:pt idx="397">
                  <c:v>17.687756545960998</c:v>
                </c:pt>
                <c:pt idx="398">
                  <c:v>18.38056880222841</c:v>
                </c:pt>
                <c:pt idx="399">
                  <c:v>18.515698885793874</c:v>
                </c:pt>
                <c:pt idx="400">
                  <c:v>18.324029108635095</c:v>
                </c:pt>
                <c:pt idx="401">
                  <c:v>18.457454317548741</c:v>
                </c:pt>
                <c:pt idx="402">
                  <c:v>18.576245682451248</c:v>
                </c:pt>
                <c:pt idx="403">
                  <c:v>18.246111420612813</c:v>
                </c:pt>
                <c:pt idx="404">
                  <c:v>18.59939415041783</c:v>
                </c:pt>
                <c:pt idx="405">
                  <c:v>18.427334818941503</c:v>
                </c:pt>
                <c:pt idx="406">
                  <c:v>18.873024791086369</c:v>
                </c:pt>
                <c:pt idx="407">
                  <c:v>19.506266295264624</c:v>
                </c:pt>
                <c:pt idx="408">
                  <c:v>19.469530919220052</c:v>
                </c:pt>
                <c:pt idx="409">
                  <c:v>19.171405013927579</c:v>
                </c:pt>
                <c:pt idx="410">
                  <c:v>18.882967130919212</c:v>
                </c:pt>
                <c:pt idx="411">
                  <c:v>19.24208607242339</c:v>
                </c:pt>
                <c:pt idx="412">
                  <c:v>18.876710445682463</c:v>
                </c:pt>
                <c:pt idx="413">
                  <c:v>18.607753481894157</c:v>
                </c:pt>
                <c:pt idx="414">
                  <c:v>18.924915877437332</c:v>
                </c:pt>
                <c:pt idx="415">
                  <c:v>18.865127019498608</c:v>
                </c:pt>
                <c:pt idx="416">
                  <c:v>19.37967075208913</c:v>
                </c:pt>
                <c:pt idx="417">
                  <c:v>19.225703899721449</c:v>
                </c:pt>
                <c:pt idx="418">
                  <c:v>19.193750139275757</c:v>
                </c:pt>
                <c:pt idx="419">
                  <c:v>18.057101114206134</c:v>
                </c:pt>
                <c:pt idx="420">
                  <c:v>17.360654038997222</c:v>
                </c:pt>
                <c:pt idx="421">
                  <c:v>17.79178133704735</c:v>
                </c:pt>
                <c:pt idx="422">
                  <c:v>16.611947353760449</c:v>
                </c:pt>
                <c:pt idx="423">
                  <c:v>17.259312813370467</c:v>
                </c:pt>
                <c:pt idx="424">
                  <c:v>17.688276601671308</c:v>
                </c:pt>
                <c:pt idx="425">
                  <c:v>18.176364623955436</c:v>
                </c:pt>
                <c:pt idx="426">
                  <c:v>18.702931476323112</c:v>
                </c:pt>
                <c:pt idx="427">
                  <c:v>18.919745403899714</c:v>
                </c:pt>
                <c:pt idx="428">
                  <c:v>18.429269359331478</c:v>
                </c:pt>
                <c:pt idx="429">
                  <c:v>19.18312980501393</c:v>
                </c:pt>
                <c:pt idx="430">
                  <c:v>20.044851810584955</c:v>
                </c:pt>
                <c:pt idx="431">
                  <c:v>20.053203899721446</c:v>
                </c:pt>
                <c:pt idx="432">
                  <c:v>20.357437047353766</c:v>
                </c:pt>
                <c:pt idx="433">
                  <c:v>19.668542896935929</c:v>
                </c:pt>
                <c:pt idx="434">
                  <c:v>19.449397771587748</c:v>
                </c:pt>
                <c:pt idx="435">
                  <c:v>19.251201671309186</c:v>
                </c:pt>
                <c:pt idx="436">
                  <c:v>18.852983008356549</c:v>
                </c:pt>
                <c:pt idx="437">
                  <c:v>18.359570194986073</c:v>
                </c:pt>
                <c:pt idx="438">
                  <c:v>18.100679108635099</c:v>
                </c:pt>
                <c:pt idx="439">
                  <c:v>17.696991922005566</c:v>
                </c:pt>
                <c:pt idx="440">
                  <c:v>17.840372980501396</c:v>
                </c:pt>
                <c:pt idx="441">
                  <c:v>17.939143732590537</c:v>
                </c:pt>
                <c:pt idx="442">
                  <c:v>18.292296657381627</c:v>
                </c:pt>
                <c:pt idx="443">
                  <c:v>18.808570752089135</c:v>
                </c:pt>
                <c:pt idx="444">
                  <c:v>18.916554596100283</c:v>
                </c:pt>
                <c:pt idx="445">
                  <c:v>18.690620891364905</c:v>
                </c:pt>
                <c:pt idx="446">
                  <c:v>19.188358217270192</c:v>
                </c:pt>
                <c:pt idx="447">
                  <c:v>19.478997214484689</c:v>
                </c:pt>
                <c:pt idx="448">
                  <c:v>20.218983008356538</c:v>
                </c:pt>
                <c:pt idx="449">
                  <c:v>20.385730083565459</c:v>
                </c:pt>
                <c:pt idx="450">
                  <c:v>19.910175348189412</c:v>
                </c:pt>
                <c:pt idx="451">
                  <c:v>20.03645626740947</c:v>
                </c:pt>
                <c:pt idx="452">
                  <c:v>19.907450696378834</c:v>
                </c:pt>
                <c:pt idx="453">
                  <c:v>19.835252367688021</c:v>
                </c:pt>
                <c:pt idx="454">
                  <c:v>19.792827019498603</c:v>
                </c:pt>
                <c:pt idx="455">
                  <c:v>19.827753806870941</c:v>
                </c:pt>
                <c:pt idx="456">
                  <c:v>19.48126583101207</c:v>
                </c:pt>
                <c:pt idx="457">
                  <c:v>19.338982590529252</c:v>
                </c:pt>
                <c:pt idx="458">
                  <c:v>18.235904642525526</c:v>
                </c:pt>
                <c:pt idx="459">
                  <c:v>17.717054271123484</c:v>
                </c:pt>
                <c:pt idx="460">
                  <c:v>17.409585376044575</c:v>
                </c:pt>
                <c:pt idx="461">
                  <c:v>17.296880779944289</c:v>
                </c:pt>
                <c:pt idx="462">
                  <c:v>15.366561420612808</c:v>
                </c:pt>
                <c:pt idx="463">
                  <c:v>13.675591922005575</c:v>
                </c:pt>
                <c:pt idx="464">
                  <c:v>14.368797771587746</c:v>
                </c:pt>
                <c:pt idx="465">
                  <c:v>14.204016434540396</c:v>
                </c:pt>
                <c:pt idx="466">
                  <c:v>15.694240389972142</c:v>
                </c:pt>
                <c:pt idx="467">
                  <c:v>15.426033147632323</c:v>
                </c:pt>
                <c:pt idx="468">
                  <c:v>14.19517075208914</c:v>
                </c:pt>
                <c:pt idx="469">
                  <c:v>14.330711420612813</c:v>
                </c:pt>
                <c:pt idx="470">
                  <c:v>14.076259052924794</c:v>
                </c:pt>
                <c:pt idx="471">
                  <c:v>13.183264345403895</c:v>
                </c:pt>
                <c:pt idx="472">
                  <c:v>11.303488300835658</c:v>
                </c:pt>
                <c:pt idx="473">
                  <c:v>11.994534540389967</c:v>
                </c:pt>
                <c:pt idx="474">
                  <c:v>11.045530640668522</c:v>
                </c:pt>
                <c:pt idx="475">
                  <c:v>10.649705013927575</c:v>
                </c:pt>
                <c:pt idx="476">
                  <c:v>11.522416991643452</c:v>
                </c:pt>
                <c:pt idx="477">
                  <c:v>12.224570473537609</c:v>
                </c:pt>
                <c:pt idx="478">
                  <c:v>13.491929526462389</c:v>
                </c:pt>
                <c:pt idx="479">
                  <c:v>13.615844846796659</c:v>
                </c:pt>
                <c:pt idx="480">
                  <c:v>13.78999442896936</c:v>
                </c:pt>
                <c:pt idx="481">
                  <c:v>14.162962674094709</c:v>
                </c:pt>
                <c:pt idx="482">
                  <c:v>15.447269080779945</c:v>
                </c:pt>
                <c:pt idx="483">
                  <c:v>15.002733147632323</c:v>
                </c:pt>
                <c:pt idx="484">
                  <c:v>14.015879108635101</c:v>
                </c:pt>
                <c:pt idx="485">
                  <c:v>12.688375766016712</c:v>
                </c:pt>
                <c:pt idx="486">
                  <c:v>12.73188412256267</c:v>
                </c:pt>
                <c:pt idx="487">
                  <c:v>12.392983008356552</c:v>
                </c:pt>
                <c:pt idx="488">
                  <c:v>13.058208356545958</c:v>
                </c:pt>
                <c:pt idx="489">
                  <c:v>13.438037325905293</c:v>
                </c:pt>
                <c:pt idx="490">
                  <c:v>12.678024094707524</c:v>
                </c:pt>
                <c:pt idx="491">
                  <c:v>11.069238718662952</c:v>
                </c:pt>
                <c:pt idx="492">
                  <c:v>11.824459331476321</c:v>
                </c:pt>
                <c:pt idx="493">
                  <c:v>11.521224791086349</c:v>
                </c:pt>
                <c:pt idx="494">
                  <c:v>11.211639554317552</c:v>
                </c:pt>
                <c:pt idx="495">
                  <c:v>12.151710027855151</c:v>
                </c:pt>
                <c:pt idx="496">
                  <c:v>12.022887465181057</c:v>
                </c:pt>
                <c:pt idx="497">
                  <c:v>13.491436490250701</c:v>
                </c:pt>
                <c:pt idx="498">
                  <c:v>13.50957186629527</c:v>
                </c:pt>
                <c:pt idx="499">
                  <c:v>13.65488245125348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2C-4C02-9BF4-909444A7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282536"/>
        <c:axId val="1170282144"/>
      </c:lineChart>
      <c:dateAx>
        <c:axId val="11702813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ln>
            <a:solidFill>
              <a:schemeClr val="tx2"/>
            </a:solidFill>
          </a:ln>
        </c:spPr>
        <c:txPr>
          <a:bodyPr rot="0" vert="horz" anchor="ctr" anchorCtr="1"/>
          <a:lstStyle/>
          <a:p>
            <a:pPr>
              <a:defRPr sz="1000" b="0"/>
            </a:pPr>
            <a:endParaRPr lang="en-US"/>
          </a:p>
        </c:txPr>
        <c:crossAx val="1170281752"/>
        <c:crosses val="autoZero"/>
        <c:auto val="1"/>
        <c:lblOffset val="100"/>
        <c:baseTimeUnit val="days"/>
        <c:majorUnit val="1"/>
        <c:majorTimeUnit val="months"/>
      </c:dateAx>
      <c:valAx>
        <c:axId val="11702817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tx2"/>
            </a:solidFill>
          </a:ln>
        </c:spPr>
        <c:txPr>
          <a:bodyPr/>
          <a:lstStyle/>
          <a:p>
            <a:pPr>
              <a:defRPr sz="1000" b="0">
                <a:solidFill>
                  <a:schemeClr val="tx2"/>
                </a:solidFill>
              </a:defRPr>
            </a:pPr>
            <a:endParaRPr lang="en-US"/>
          </a:p>
        </c:txPr>
        <c:crossAx val="1170281360"/>
        <c:crosses val="autoZero"/>
        <c:crossBetween val="between"/>
      </c:valAx>
      <c:valAx>
        <c:axId val="1170282144"/>
        <c:scaling>
          <c:orientation val="minMax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ln>
            <a:solidFill>
              <a:schemeClr val="accent2"/>
            </a:solidFill>
          </a:ln>
        </c:spPr>
        <c:txPr>
          <a:bodyPr/>
          <a:lstStyle/>
          <a:p>
            <a:pPr>
              <a:defRPr sz="1000" b="0">
                <a:solidFill>
                  <a:schemeClr val="accent2"/>
                </a:solidFill>
              </a:defRPr>
            </a:pPr>
            <a:endParaRPr lang="en-US"/>
          </a:p>
        </c:txPr>
        <c:crossAx val="1170282536"/>
        <c:crosses val="max"/>
        <c:crossBetween val="between"/>
      </c:valAx>
      <c:dateAx>
        <c:axId val="117028253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one"/>
        <c:crossAx val="1170282144"/>
        <c:crosses val="autoZero"/>
        <c:auto val="1"/>
        <c:lblOffset val="100"/>
        <c:baseTimeUnit val="days"/>
      </c:dateAx>
      <c:spPr>
        <a:solidFill>
          <a:schemeClr val="bg1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1803921568627451"/>
          <c:y val="3.5946170152994744E-3"/>
          <c:w val="0.66485348155010038"/>
          <c:h val="0.12418548345719249"/>
        </c:manualLayout>
      </c:layout>
      <c:overlay val="0"/>
      <c:spPr>
        <a:noFill/>
      </c:spPr>
      <c:txPr>
        <a:bodyPr/>
        <a:lstStyle/>
        <a:p>
          <a:pPr>
            <a:defRPr sz="10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702006172839506E-2"/>
          <c:y val="6.1609081199234951E-2"/>
          <c:w val="0.90602067901234573"/>
          <c:h val="0.72507909812688698"/>
        </c:manualLayout>
      </c:layout>
      <c:barChart>
        <c:barDir val="col"/>
        <c:grouping val="clustered"/>
        <c:varyColors val="0"/>
        <c:ser>
          <c:idx val="0"/>
          <c:order val="0"/>
          <c:tx>
            <c:v>In Flow (Bln)</c:v>
          </c:tx>
          <c:spPr>
            <a:solidFill>
              <a:srgbClr val="63BE7B"/>
            </a:solidFill>
          </c:spPr>
          <c:invertIfNegative val="0"/>
          <c:cat>
            <c:strRef>
              <c:f>[0]!DtsStr</c:f>
              <c:strCache>
                <c:ptCount val="500"/>
                <c:pt idx="0">
                  <c:v>2017/1/2</c:v>
                </c:pt>
                <c:pt idx="1">
                  <c:v>2017/1/3</c:v>
                </c:pt>
                <c:pt idx="2">
                  <c:v>2017/1/4</c:v>
                </c:pt>
                <c:pt idx="3">
                  <c:v>2017/1/5</c:v>
                </c:pt>
                <c:pt idx="4">
                  <c:v>2017/1/6</c:v>
                </c:pt>
                <c:pt idx="5">
                  <c:v>2017/1/9</c:v>
                </c:pt>
                <c:pt idx="6">
                  <c:v>2017/1/10</c:v>
                </c:pt>
                <c:pt idx="7">
                  <c:v>2017/1/11</c:v>
                </c:pt>
                <c:pt idx="8">
                  <c:v>2017/1/12</c:v>
                </c:pt>
                <c:pt idx="9">
                  <c:v>2017/1/13</c:v>
                </c:pt>
                <c:pt idx="10">
                  <c:v>2017/1/16</c:v>
                </c:pt>
                <c:pt idx="11">
                  <c:v>2017/1/17</c:v>
                </c:pt>
                <c:pt idx="12">
                  <c:v>2017/1/18</c:v>
                </c:pt>
                <c:pt idx="13">
                  <c:v>2017/1/19</c:v>
                </c:pt>
                <c:pt idx="14">
                  <c:v>2017/1/20</c:v>
                </c:pt>
                <c:pt idx="15">
                  <c:v>2017/1/23</c:v>
                </c:pt>
                <c:pt idx="16">
                  <c:v>2017/1/24</c:v>
                </c:pt>
                <c:pt idx="17">
                  <c:v>2017/1/25</c:v>
                </c:pt>
                <c:pt idx="18">
                  <c:v>2017/1/26</c:v>
                </c:pt>
                <c:pt idx="19">
                  <c:v>2017/1/27</c:v>
                </c:pt>
                <c:pt idx="20">
                  <c:v>2017/1/30</c:v>
                </c:pt>
                <c:pt idx="21">
                  <c:v>2017/1/31</c:v>
                </c:pt>
                <c:pt idx="22">
                  <c:v>2017/2/1</c:v>
                </c:pt>
                <c:pt idx="23">
                  <c:v>2017/2/2</c:v>
                </c:pt>
                <c:pt idx="24">
                  <c:v>2017/2/3</c:v>
                </c:pt>
                <c:pt idx="25">
                  <c:v>2017/2/6</c:v>
                </c:pt>
                <c:pt idx="26">
                  <c:v>2017/2/7</c:v>
                </c:pt>
                <c:pt idx="27">
                  <c:v>2017/2/8</c:v>
                </c:pt>
                <c:pt idx="28">
                  <c:v>2017/2/9</c:v>
                </c:pt>
                <c:pt idx="29">
                  <c:v>2017/2/10</c:v>
                </c:pt>
                <c:pt idx="30">
                  <c:v>2017/2/13</c:v>
                </c:pt>
                <c:pt idx="31">
                  <c:v>2017/2/14</c:v>
                </c:pt>
                <c:pt idx="32">
                  <c:v>2017/2/15</c:v>
                </c:pt>
                <c:pt idx="33">
                  <c:v>2017/2/16</c:v>
                </c:pt>
                <c:pt idx="34">
                  <c:v>2017/2/17</c:v>
                </c:pt>
                <c:pt idx="35">
                  <c:v>2017/2/20</c:v>
                </c:pt>
                <c:pt idx="36">
                  <c:v>2017/2/21</c:v>
                </c:pt>
                <c:pt idx="37">
                  <c:v>2017/2/22</c:v>
                </c:pt>
                <c:pt idx="38">
                  <c:v>2017/2/23</c:v>
                </c:pt>
                <c:pt idx="39">
                  <c:v>2017/2/24</c:v>
                </c:pt>
                <c:pt idx="40">
                  <c:v>2017/2/27</c:v>
                </c:pt>
                <c:pt idx="41">
                  <c:v>2017/2/28</c:v>
                </c:pt>
                <c:pt idx="42">
                  <c:v>2017/3/1</c:v>
                </c:pt>
                <c:pt idx="43">
                  <c:v>2017/3/2</c:v>
                </c:pt>
                <c:pt idx="44">
                  <c:v>2017/3/3</c:v>
                </c:pt>
                <c:pt idx="45">
                  <c:v>2017/3/6</c:v>
                </c:pt>
                <c:pt idx="46">
                  <c:v>2017/3/7</c:v>
                </c:pt>
                <c:pt idx="47">
                  <c:v>2017/3/8</c:v>
                </c:pt>
                <c:pt idx="48">
                  <c:v>2017/3/9</c:v>
                </c:pt>
                <c:pt idx="49">
                  <c:v>2017/3/10</c:v>
                </c:pt>
                <c:pt idx="50">
                  <c:v>2017/3/13</c:v>
                </c:pt>
                <c:pt idx="51">
                  <c:v>2017/3/14</c:v>
                </c:pt>
                <c:pt idx="52">
                  <c:v>2017/3/15</c:v>
                </c:pt>
                <c:pt idx="53">
                  <c:v>2017/3/16</c:v>
                </c:pt>
                <c:pt idx="54">
                  <c:v>2017/3/17</c:v>
                </c:pt>
                <c:pt idx="55">
                  <c:v>2017/3/20</c:v>
                </c:pt>
                <c:pt idx="56">
                  <c:v>2017/3/21</c:v>
                </c:pt>
                <c:pt idx="57">
                  <c:v>2017/3/22</c:v>
                </c:pt>
                <c:pt idx="58">
                  <c:v>2017/3/23</c:v>
                </c:pt>
                <c:pt idx="59">
                  <c:v>2017/3/24</c:v>
                </c:pt>
                <c:pt idx="60">
                  <c:v>2017/3/27</c:v>
                </c:pt>
                <c:pt idx="61">
                  <c:v>2017/3/28</c:v>
                </c:pt>
                <c:pt idx="62">
                  <c:v>2017/3/29</c:v>
                </c:pt>
                <c:pt idx="63">
                  <c:v>2017/3/30</c:v>
                </c:pt>
                <c:pt idx="64">
                  <c:v>2017/3/31</c:v>
                </c:pt>
                <c:pt idx="65">
                  <c:v>2017/4/3</c:v>
                </c:pt>
                <c:pt idx="66">
                  <c:v>2017/4/4</c:v>
                </c:pt>
                <c:pt idx="67">
                  <c:v>2017/4/5</c:v>
                </c:pt>
                <c:pt idx="68">
                  <c:v>2017/4/6</c:v>
                </c:pt>
                <c:pt idx="69">
                  <c:v>2017/4/7</c:v>
                </c:pt>
                <c:pt idx="70">
                  <c:v>2017/4/10</c:v>
                </c:pt>
                <c:pt idx="71">
                  <c:v>2017/4/11</c:v>
                </c:pt>
                <c:pt idx="72">
                  <c:v>2017/4/12</c:v>
                </c:pt>
                <c:pt idx="73">
                  <c:v>2017/4/13</c:v>
                </c:pt>
                <c:pt idx="74">
                  <c:v>2017/4/14</c:v>
                </c:pt>
                <c:pt idx="75">
                  <c:v>2017/4/17</c:v>
                </c:pt>
                <c:pt idx="76">
                  <c:v>2017/4/18</c:v>
                </c:pt>
                <c:pt idx="77">
                  <c:v>2017/4/19</c:v>
                </c:pt>
                <c:pt idx="78">
                  <c:v>2017/4/20</c:v>
                </c:pt>
                <c:pt idx="79">
                  <c:v>2017/4/21</c:v>
                </c:pt>
                <c:pt idx="80">
                  <c:v>2017/4/24</c:v>
                </c:pt>
                <c:pt idx="81">
                  <c:v>2017/4/25</c:v>
                </c:pt>
                <c:pt idx="82">
                  <c:v>2017/4/26</c:v>
                </c:pt>
                <c:pt idx="83">
                  <c:v>2017/4/27</c:v>
                </c:pt>
                <c:pt idx="84">
                  <c:v>2017/4/28</c:v>
                </c:pt>
                <c:pt idx="85">
                  <c:v>2017/5/1</c:v>
                </c:pt>
                <c:pt idx="86">
                  <c:v>2017/5/2</c:v>
                </c:pt>
                <c:pt idx="87">
                  <c:v>2017/5/3</c:v>
                </c:pt>
                <c:pt idx="88">
                  <c:v>2017/5/4</c:v>
                </c:pt>
                <c:pt idx="89">
                  <c:v>2017/5/5</c:v>
                </c:pt>
                <c:pt idx="90">
                  <c:v>2017/5/8</c:v>
                </c:pt>
                <c:pt idx="91">
                  <c:v>2017/5/9</c:v>
                </c:pt>
                <c:pt idx="92">
                  <c:v>2017/5/10</c:v>
                </c:pt>
                <c:pt idx="93">
                  <c:v>2017/5/11</c:v>
                </c:pt>
                <c:pt idx="94">
                  <c:v>2017/5/12</c:v>
                </c:pt>
                <c:pt idx="95">
                  <c:v>2017/5/15</c:v>
                </c:pt>
                <c:pt idx="96">
                  <c:v>2017/5/16</c:v>
                </c:pt>
                <c:pt idx="97">
                  <c:v>2017/5/17</c:v>
                </c:pt>
                <c:pt idx="98">
                  <c:v>2017/5/18</c:v>
                </c:pt>
                <c:pt idx="99">
                  <c:v>2017/5/19</c:v>
                </c:pt>
                <c:pt idx="100">
                  <c:v>2017/5/22</c:v>
                </c:pt>
                <c:pt idx="101">
                  <c:v>2017/5/23</c:v>
                </c:pt>
                <c:pt idx="102">
                  <c:v>2017/5/24</c:v>
                </c:pt>
                <c:pt idx="103">
                  <c:v>2017/5/25</c:v>
                </c:pt>
                <c:pt idx="104">
                  <c:v>2017/5/26</c:v>
                </c:pt>
                <c:pt idx="105">
                  <c:v>2017/5/29</c:v>
                </c:pt>
                <c:pt idx="106">
                  <c:v>2017/5/30</c:v>
                </c:pt>
                <c:pt idx="107">
                  <c:v>2017/5/31</c:v>
                </c:pt>
                <c:pt idx="108">
                  <c:v>2017/6/1</c:v>
                </c:pt>
                <c:pt idx="109">
                  <c:v>2017/6/2</c:v>
                </c:pt>
                <c:pt idx="110">
                  <c:v>2017/6/5</c:v>
                </c:pt>
                <c:pt idx="111">
                  <c:v>2017/6/6</c:v>
                </c:pt>
                <c:pt idx="112">
                  <c:v>2017/6/7</c:v>
                </c:pt>
                <c:pt idx="113">
                  <c:v>2017/6/8</c:v>
                </c:pt>
                <c:pt idx="114">
                  <c:v>2017/6/9</c:v>
                </c:pt>
                <c:pt idx="115">
                  <c:v>2017/6/12</c:v>
                </c:pt>
                <c:pt idx="116">
                  <c:v>2017/6/13</c:v>
                </c:pt>
                <c:pt idx="117">
                  <c:v>2017/6/14</c:v>
                </c:pt>
                <c:pt idx="118">
                  <c:v>2017/6/15</c:v>
                </c:pt>
                <c:pt idx="119">
                  <c:v>2017/6/16</c:v>
                </c:pt>
                <c:pt idx="120">
                  <c:v>2017/6/19</c:v>
                </c:pt>
                <c:pt idx="121">
                  <c:v>2017/6/20</c:v>
                </c:pt>
                <c:pt idx="122">
                  <c:v>2017/6/21</c:v>
                </c:pt>
                <c:pt idx="123">
                  <c:v>2017/6/22</c:v>
                </c:pt>
                <c:pt idx="124">
                  <c:v>2017/6/23</c:v>
                </c:pt>
                <c:pt idx="125">
                  <c:v>2017/6/26</c:v>
                </c:pt>
                <c:pt idx="126">
                  <c:v>2017/6/27</c:v>
                </c:pt>
                <c:pt idx="127">
                  <c:v>2017/6/28</c:v>
                </c:pt>
                <c:pt idx="128">
                  <c:v>2017/6/29</c:v>
                </c:pt>
                <c:pt idx="129">
                  <c:v>2017/6/30</c:v>
                </c:pt>
                <c:pt idx="130">
                  <c:v>2017/7/3</c:v>
                </c:pt>
                <c:pt idx="131">
                  <c:v>2017/7/4</c:v>
                </c:pt>
                <c:pt idx="132">
                  <c:v>2017/7/5</c:v>
                </c:pt>
                <c:pt idx="133">
                  <c:v>2017/7/6</c:v>
                </c:pt>
                <c:pt idx="134">
                  <c:v>2017/7/7</c:v>
                </c:pt>
                <c:pt idx="135">
                  <c:v>2017/7/10</c:v>
                </c:pt>
                <c:pt idx="136">
                  <c:v>2017/7/11</c:v>
                </c:pt>
                <c:pt idx="137">
                  <c:v>2017/7/12</c:v>
                </c:pt>
                <c:pt idx="138">
                  <c:v>2017/7/13</c:v>
                </c:pt>
                <c:pt idx="139">
                  <c:v>2017/7/14</c:v>
                </c:pt>
                <c:pt idx="140">
                  <c:v>2017/7/17</c:v>
                </c:pt>
                <c:pt idx="141">
                  <c:v>2017/7/18</c:v>
                </c:pt>
                <c:pt idx="142">
                  <c:v>2017/7/19</c:v>
                </c:pt>
                <c:pt idx="143">
                  <c:v>2017/7/20</c:v>
                </c:pt>
                <c:pt idx="144">
                  <c:v>2017/7/21</c:v>
                </c:pt>
                <c:pt idx="145">
                  <c:v>2017/7/24</c:v>
                </c:pt>
                <c:pt idx="146">
                  <c:v>2017/7/25</c:v>
                </c:pt>
                <c:pt idx="147">
                  <c:v>2017/7/26</c:v>
                </c:pt>
                <c:pt idx="148">
                  <c:v>2017/7/27</c:v>
                </c:pt>
                <c:pt idx="149">
                  <c:v>2017/7/28</c:v>
                </c:pt>
                <c:pt idx="150">
                  <c:v>2017/7/31</c:v>
                </c:pt>
                <c:pt idx="151">
                  <c:v>2017/8/1</c:v>
                </c:pt>
                <c:pt idx="152">
                  <c:v>2017/8/2</c:v>
                </c:pt>
                <c:pt idx="153">
                  <c:v>2017/8/3</c:v>
                </c:pt>
                <c:pt idx="154">
                  <c:v>2017/8/4</c:v>
                </c:pt>
                <c:pt idx="155">
                  <c:v>2017/8/7</c:v>
                </c:pt>
                <c:pt idx="156">
                  <c:v>2017/8/8</c:v>
                </c:pt>
                <c:pt idx="157">
                  <c:v>2017/8/9</c:v>
                </c:pt>
                <c:pt idx="158">
                  <c:v>2017/8/10</c:v>
                </c:pt>
                <c:pt idx="159">
                  <c:v>2017/8/11</c:v>
                </c:pt>
                <c:pt idx="160">
                  <c:v>2017/8/14</c:v>
                </c:pt>
                <c:pt idx="161">
                  <c:v>2017/8/15</c:v>
                </c:pt>
                <c:pt idx="162">
                  <c:v>2017/8/16</c:v>
                </c:pt>
                <c:pt idx="163">
                  <c:v>2017/8/17</c:v>
                </c:pt>
                <c:pt idx="164">
                  <c:v>2017/8/18</c:v>
                </c:pt>
                <c:pt idx="165">
                  <c:v>2017/8/21</c:v>
                </c:pt>
                <c:pt idx="166">
                  <c:v>2017/8/22</c:v>
                </c:pt>
                <c:pt idx="167">
                  <c:v>2017/8/23</c:v>
                </c:pt>
                <c:pt idx="168">
                  <c:v>2017/8/24</c:v>
                </c:pt>
                <c:pt idx="169">
                  <c:v>2017/8/25</c:v>
                </c:pt>
                <c:pt idx="170">
                  <c:v>2017/8/28</c:v>
                </c:pt>
                <c:pt idx="171">
                  <c:v>2017/8/29</c:v>
                </c:pt>
                <c:pt idx="172">
                  <c:v>2017/8/30</c:v>
                </c:pt>
                <c:pt idx="173">
                  <c:v>2017/8/31</c:v>
                </c:pt>
                <c:pt idx="174">
                  <c:v>2017/9/1</c:v>
                </c:pt>
                <c:pt idx="175">
                  <c:v>2017/9/4</c:v>
                </c:pt>
                <c:pt idx="176">
                  <c:v>2017/9/5</c:v>
                </c:pt>
                <c:pt idx="177">
                  <c:v>2017/9/6</c:v>
                </c:pt>
                <c:pt idx="178">
                  <c:v>2017/9/7</c:v>
                </c:pt>
                <c:pt idx="179">
                  <c:v>2017/9/8</c:v>
                </c:pt>
                <c:pt idx="180">
                  <c:v>2017/9/11</c:v>
                </c:pt>
                <c:pt idx="181">
                  <c:v>2017/9/12</c:v>
                </c:pt>
                <c:pt idx="182">
                  <c:v>2017/9/13</c:v>
                </c:pt>
                <c:pt idx="183">
                  <c:v>2017/9/14</c:v>
                </c:pt>
                <c:pt idx="184">
                  <c:v>2017/9/15</c:v>
                </c:pt>
                <c:pt idx="185">
                  <c:v>2017/9/18</c:v>
                </c:pt>
                <c:pt idx="186">
                  <c:v>2017/9/19</c:v>
                </c:pt>
                <c:pt idx="187">
                  <c:v>2017/9/20</c:v>
                </c:pt>
                <c:pt idx="188">
                  <c:v>2017/9/21</c:v>
                </c:pt>
                <c:pt idx="189">
                  <c:v>2017/9/22</c:v>
                </c:pt>
                <c:pt idx="190">
                  <c:v>2017/9/25</c:v>
                </c:pt>
                <c:pt idx="191">
                  <c:v>2017/9/26</c:v>
                </c:pt>
                <c:pt idx="192">
                  <c:v>2017/9/27</c:v>
                </c:pt>
                <c:pt idx="193">
                  <c:v>2017/9/28</c:v>
                </c:pt>
                <c:pt idx="194">
                  <c:v>2017/9/29</c:v>
                </c:pt>
                <c:pt idx="195">
                  <c:v>2017/10/2</c:v>
                </c:pt>
                <c:pt idx="196">
                  <c:v>2017/10/3</c:v>
                </c:pt>
                <c:pt idx="197">
                  <c:v>2017/10/4</c:v>
                </c:pt>
                <c:pt idx="198">
                  <c:v>2017/10/5</c:v>
                </c:pt>
                <c:pt idx="199">
                  <c:v>2017/10/6</c:v>
                </c:pt>
                <c:pt idx="200">
                  <c:v>2017/10/9</c:v>
                </c:pt>
                <c:pt idx="201">
                  <c:v>2017/10/10</c:v>
                </c:pt>
                <c:pt idx="202">
                  <c:v>2017/10/11</c:v>
                </c:pt>
                <c:pt idx="203">
                  <c:v>2017/10/12</c:v>
                </c:pt>
                <c:pt idx="204">
                  <c:v>2017/10/13</c:v>
                </c:pt>
                <c:pt idx="205">
                  <c:v>2017/10/16</c:v>
                </c:pt>
                <c:pt idx="206">
                  <c:v>2017/10/17</c:v>
                </c:pt>
                <c:pt idx="207">
                  <c:v>2017/10/18</c:v>
                </c:pt>
                <c:pt idx="208">
                  <c:v>2017/10/19</c:v>
                </c:pt>
                <c:pt idx="209">
                  <c:v>2017/10/20</c:v>
                </c:pt>
                <c:pt idx="210">
                  <c:v>2017/10/23</c:v>
                </c:pt>
                <c:pt idx="211">
                  <c:v>2017/10/24</c:v>
                </c:pt>
                <c:pt idx="212">
                  <c:v>2017/10/25</c:v>
                </c:pt>
                <c:pt idx="213">
                  <c:v>2017/10/26</c:v>
                </c:pt>
                <c:pt idx="214">
                  <c:v>2017/10/27</c:v>
                </c:pt>
                <c:pt idx="215">
                  <c:v>2017/10/30</c:v>
                </c:pt>
                <c:pt idx="216">
                  <c:v>2017/10/31</c:v>
                </c:pt>
                <c:pt idx="217">
                  <c:v>2017/11/1</c:v>
                </c:pt>
                <c:pt idx="218">
                  <c:v>2017/11/2</c:v>
                </c:pt>
                <c:pt idx="219">
                  <c:v>2017/11/3</c:v>
                </c:pt>
                <c:pt idx="220">
                  <c:v>2017/11/6</c:v>
                </c:pt>
                <c:pt idx="221">
                  <c:v>2017/11/7</c:v>
                </c:pt>
                <c:pt idx="222">
                  <c:v>2017/11/8</c:v>
                </c:pt>
                <c:pt idx="223">
                  <c:v>2017/11/9</c:v>
                </c:pt>
                <c:pt idx="224">
                  <c:v>2017/11/10</c:v>
                </c:pt>
                <c:pt idx="225">
                  <c:v>2017/11/13</c:v>
                </c:pt>
                <c:pt idx="226">
                  <c:v>2017/11/14</c:v>
                </c:pt>
                <c:pt idx="227">
                  <c:v>2017/11/15</c:v>
                </c:pt>
                <c:pt idx="228">
                  <c:v>2017/11/16</c:v>
                </c:pt>
                <c:pt idx="229">
                  <c:v>2017/11/17</c:v>
                </c:pt>
                <c:pt idx="230">
                  <c:v>2017/11/20</c:v>
                </c:pt>
                <c:pt idx="231">
                  <c:v>2017/11/21</c:v>
                </c:pt>
                <c:pt idx="232">
                  <c:v>2017/11/22</c:v>
                </c:pt>
                <c:pt idx="233">
                  <c:v>2017/11/23</c:v>
                </c:pt>
                <c:pt idx="234">
                  <c:v>2017/11/24</c:v>
                </c:pt>
                <c:pt idx="235">
                  <c:v>2017/11/27</c:v>
                </c:pt>
                <c:pt idx="236">
                  <c:v>2017/11/28</c:v>
                </c:pt>
                <c:pt idx="237">
                  <c:v>2017/11/29</c:v>
                </c:pt>
                <c:pt idx="238">
                  <c:v>2017/11/30</c:v>
                </c:pt>
                <c:pt idx="239">
                  <c:v>2017/12/1</c:v>
                </c:pt>
                <c:pt idx="240">
                  <c:v>2017/12/4</c:v>
                </c:pt>
                <c:pt idx="241">
                  <c:v>2017/12/5</c:v>
                </c:pt>
                <c:pt idx="242">
                  <c:v>2017/12/6</c:v>
                </c:pt>
                <c:pt idx="243">
                  <c:v>2017/12/7</c:v>
                </c:pt>
                <c:pt idx="244">
                  <c:v>2017/12/8</c:v>
                </c:pt>
                <c:pt idx="245">
                  <c:v>2017/12/11</c:v>
                </c:pt>
                <c:pt idx="246">
                  <c:v>2017/12/12</c:v>
                </c:pt>
                <c:pt idx="247">
                  <c:v>2017/12/13</c:v>
                </c:pt>
                <c:pt idx="248">
                  <c:v>2017/12/14</c:v>
                </c:pt>
                <c:pt idx="249">
                  <c:v>2017/12/15</c:v>
                </c:pt>
                <c:pt idx="250">
                  <c:v>2017/12/18</c:v>
                </c:pt>
                <c:pt idx="251">
                  <c:v>2017/12/19</c:v>
                </c:pt>
                <c:pt idx="252">
                  <c:v>2017/12/20</c:v>
                </c:pt>
                <c:pt idx="253">
                  <c:v>2017/12/21</c:v>
                </c:pt>
                <c:pt idx="254">
                  <c:v>2017/12/22</c:v>
                </c:pt>
                <c:pt idx="255">
                  <c:v>2017/12/25</c:v>
                </c:pt>
                <c:pt idx="256">
                  <c:v>2017/12/26</c:v>
                </c:pt>
                <c:pt idx="257">
                  <c:v>2017/12/27</c:v>
                </c:pt>
                <c:pt idx="258">
                  <c:v>2017/12/28</c:v>
                </c:pt>
                <c:pt idx="259">
                  <c:v>2017/12/29</c:v>
                </c:pt>
                <c:pt idx="260">
                  <c:v>2018/1/1</c:v>
                </c:pt>
                <c:pt idx="261">
                  <c:v>2018/1/2</c:v>
                </c:pt>
                <c:pt idx="262">
                  <c:v>2018/1/3</c:v>
                </c:pt>
                <c:pt idx="263">
                  <c:v>2018/1/4</c:v>
                </c:pt>
                <c:pt idx="264">
                  <c:v>2018/1/5</c:v>
                </c:pt>
                <c:pt idx="265">
                  <c:v>2018/1/8</c:v>
                </c:pt>
                <c:pt idx="266">
                  <c:v>2018/1/9</c:v>
                </c:pt>
                <c:pt idx="267">
                  <c:v>2018/1/10</c:v>
                </c:pt>
                <c:pt idx="268">
                  <c:v>2018/1/11</c:v>
                </c:pt>
                <c:pt idx="269">
                  <c:v>2018/1/12</c:v>
                </c:pt>
                <c:pt idx="270">
                  <c:v>2018/1/15</c:v>
                </c:pt>
                <c:pt idx="271">
                  <c:v>2018/1/16</c:v>
                </c:pt>
                <c:pt idx="272">
                  <c:v>2018/1/17</c:v>
                </c:pt>
                <c:pt idx="273">
                  <c:v>2018/1/18</c:v>
                </c:pt>
                <c:pt idx="274">
                  <c:v>2018/1/19</c:v>
                </c:pt>
                <c:pt idx="275">
                  <c:v>2018/1/22</c:v>
                </c:pt>
                <c:pt idx="276">
                  <c:v>2018/1/23</c:v>
                </c:pt>
                <c:pt idx="277">
                  <c:v>2018/1/24</c:v>
                </c:pt>
                <c:pt idx="278">
                  <c:v>2018/1/25</c:v>
                </c:pt>
                <c:pt idx="279">
                  <c:v>2018/1/26</c:v>
                </c:pt>
                <c:pt idx="280">
                  <c:v>2018/1/29</c:v>
                </c:pt>
                <c:pt idx="281">
                  <c:v>2018/1/30</c:v>
                </c:pt>
                <c:pt idx="282">
                  <c:v>2018/1/31</c:v>
                </c:pt>
                <c:pt idx="283">
                  <c:v>2018/2/1</c:v>
                </c:pt>
                <c:pt idx="284">
                  <c:v>2018/2/2</c:v>
                </c:pt>
                <c:pt idx="285">
                  <c:v>2018/2/5</c:v>
                </c:pt>
                <c:pt idx="286">
                  <c:v>2018/2/6</c:v>
                </c:pt>
                <c:pt idx="287">
                  <c:v>2018/2/7</c:v>
                </c:pt>
                <c:pt idx="288">
                  <c:v>2018/2/8</c:v>
                </c:pt>
                <c:pt idx="289">
                  <c:v>2018/2/9</c:v>
                </c:pt>
                <c:pt idx="290">
                  <c:v>2018/2/12</c:v>
                </c:pt>
                <c:pt idx="291">
                  <c:v>2018/2/13</c:v>
                </c:pt>
                <c:pt idx="292">
                  <c:v>2018/2/14</c:v>
                </c:pt>
                <c:pt idx="293">
                  <c:v>2018/2/15</c:v>
                </c:pt>
                <c:pt idx="294">
                  <c:v>2018/2/16</c:v>
                </c:pt>
                <c:pt idx="295">
                  <c:v>2018/2/19</c:v>
                </c:pt>
                <c:pt idx="296">
                  <c:v>2018/2/20</c:v>
                </c:pt>
                <c:pt idx="297">
                  <c:v>2018/2/21</c:v>
                </c:pt>
                <c:pt idx="298">
                  <c:v>2018/2/22</c:v>
                </c:pt>
                <c:pt idx="299">
                  <c:v>2018/2/23</c:v>
                </c:pt>
                <c:pt idx="300">
                  <c:v>2018/2/26</c:v>
                </c:pt>
                <c:pt idx="301">
                  <c:v>2018/2/27</c:v>
                </c:pt>
                <c:pt idx="302">
                  <c:v>2018/2/28</c:v>
                </c:pt>
                <c:pt idx="303">
                  <c:v>2018/3/1</c:v>
                </c:pt>
                <c:pt idx="304">
                  <c:v>2018/3/2</c:v>
                </c:pt>
                <c:pt idx="305">
                  <c:v>2018/3/5</c:v>
                </c:pt>
                <c:pt idx="306">
                  <c:v>2018/3/6</c:v>
                </c:pt>
                <c:pt idx="307">
                  <c:v>2018/3/7</c:v>
                </c:pt>
                <c:pt idx="308">
                  <c:v>2018/3/8</c:v>
                </c:pt>
                <c:pt idx="309">
                  <c:v>2018/3/9</c:v>
                </c:pt>
                <c:pt idx="310">
                  <c:v>2018/3/12</c:v>
                </c:pt>
                <c:pt idx="311">
                  <c:v>2018/3/13</c:v>
                </c:pt>
                <c:pt idx="312">
                  <c:v>2018/3/14</c:v>
                </c:pt>
                <c:pt idx="313">
                  <c:v>2018/3/15</c:v>
                </c:pt>
                <c:pt idx="314">
                  <c:v>2018/3/16</c:v>
                </c:pt>
                <c:pt idx="315">
                  <c:v>2018/3/19</c:v>
                </c:pt>
                <c:pt idx="316">
                  <c:v>2018/3/20</c:v>
                </c:pt>
                <c:pt idx="317">
                  <c:v>2018/3/21</c:v>
                </c:pt>
                <c:pt idx="318">
                  <c:v>2018/3/22</c:v>
                </c:pt>
                <c:pt idx="319">
                  <c:v>2018/3/23</c:v>
                </c:pt>
                <c:pt idx="320">
                  <c:v>2018/3/26</c:v>
                </c:pt>
                <c:pt idx="321">
                  <c:v>2018/3/27</c:v>
                </c:pt>
                <c:pt idx="322">
                  <c:v>2018/3/28</c:v>
                </c:pt>
                <c:pt idx="323">
                  <c:v>2018/3/29</c:v>
                </c:pt>
                <c:pt idx="324">
                  <c:v>2018/3/30</c:v>
                </c:pt>
                <c:pt idx="325">
                  <c:v>2018/4/2</c:v>
                </c:pt>
                <c:pt idx="326">
                  <c:v>2018/4/3</c:v>
                </c:pt>
                <c:pt idx="327">
                  <c:v>2018/4/4</c:v>
                </c:pt>
                <c:pt idx="328">
                  <c:v>2018/4/5</c:v>
                </c:pt>
                <c:pt idx="329">
                  <c:v>2018/4/6</c:v>
                </c:pt>
                <c:pt idx="330">
                  <c:v>2018/4/9</c:v>
                </c:pt>
                <c:pt idx="331">
                  <c:v>2018/4/10</c:v>
                </c:pt>
                <c:pt idx="332">
                  <c:v>2018/4/11</c:v>
                </c:pt>
                <c:pt idx="333">
                  <c:v>2018/4/12</c:v>
                </c:pt>
                <c:pt idx="334">
                  <c:v>2018/4/13</c:v>
                </c:pt>
                <c:pt idx="335">
                  <c:v>2018/4/16</c:v>
                </c:pt>
                <c:pt idx="336">
                  <c:v>2018/4/17</c:v>
                </c:pt>
                <c:pt idx="337">
                  <c:v>2018/4/18</c:v>
                </c:pt>
                <c:pt idx="338">
                  <c:v>2018/4/19</c:v>
                </c:pt>
                <c:pt idx="339">
                  <c:v>2018/4/20</c:v>
                </c:pt>
                <c:pt idx="340">
                  <c:v>2018/4/23</c:v>
                </c:pt>
                <c:pt idx="341">
                  <c:v>2018/4/24</c:v>
                </c:pt>
                <c:pt idx="342">
                  <c:v>2018/4/25</c:v>
                </c:pt>
                <c:pt idx="343">
                  <c:v>2018/4/26</c:v>
                </c:pt>
                <c:pt idx="344">
                  <c:v>2018/4/27</c:v>
                </c:pt>
                <c:pt idx="345">
                  <c:v>2018/4/30</c:v>
                </c:pt>
                <c:pt idx="346">
                  <c:v>2018/5/1</c:v>
                </c:pt>
                <c:pt idx="347">
                  <c:v>2018/5/2</c:v>
                </c:pt>
                <c:pt idx="348">
                  <c:v>2018/5/3</c:v>
                </c:pt>
                <c:pt idx="349">
                  <c:v>2018/5/4</c:v>
                </c:pt>
                <c:pt idx="350">
                  <c:v>2018/5/7</c:v>
                </c:pt>
                <c:pt idx="351">
                  <c:v>2018/5/8</c:v>
                </c:pt>
                <c:pt idx="352">
                  <c:v>2018/5/9</c:v>
                </c:pt>
                <c:pt idx="353">
                  <c:v>2018/5/10</c:v>
                </c:pt>
                <c:pt idx="354">
                  <c:v>2018/5/11</c:v>
                </c:pt>
                <c:pt idx="355">
                  <c:v>2018/5/14</c:v>
                </c:pt>
                <c:pt idx="356">
                  <c:v>2018/5/15</c:v>
                </c:pt>
                <c:pt idx="357">
                  <c:v>2018/5/16</c:v>
                </c:pt>
                <c:pt idx="358">
                  <c:v>2018/5/17</c:v>
                </c:pt>
                <c:pt idx="359">
                  <c:v>2018/5/18</c:v>
                </c:pt>
                <c:pt idx="360">
                  <c:v>2018/5/21</c:v>
                </c:pt>
                <c:pt idx="361">
                  <c:v>2018/5/22</c:v>
                </c:pt>
                <c:pt idx="362">
                  <c:v>2018/5/23</c:v>
                </c:pt>
                <c:pt idx="363">
                  <c:v>2018/5/24</c:v>
                </c:pt>
                <c:pt idx="364">
                  <c:v>2018/5/25</c:v>
                </c:pt>
                <c:pt idx="365">
                  <c:v>2018/5/28</c:v>
                </c:pt>
                <c:pt idx="366">
                  <c:v>2018/5/29</c:v>
                </c:pt>
                <c:pt idx="367">
                  <c:v>2018/5/30</c:v>
                </c:pt>
                <c:pt idx="368">
                  <c:v>2018/5/31</c:v>
                </c:pt>
                <c:pt idx="369">
                  <c:v>2018/6/1</c:v>
                </c:pt>
                <c:pt idx="370">
                  <c:v>2018/6/4</c:v>
                </c:pt>
                <c:pt idx="371">
                  <c:v>2018/6/5</c:v>
                </c:pt>
                <c:pt idx="372">
                  <c:v>2018/6/6</c:v>
                </c:pt>
                <c:pt idx="373">
                  <c:v>2018/6/7</c:v>
                </c:pt>
                <c:pt idx="374">
                  <c:v>2018/6/8</c:v>
                </c:pt>
                <c:pt idx="375">
                  <c:v>2018/6/11</c:v>
                </c:pt>
                <c:pt idx="376">
                  <c:v>2018/6/12</c:v>
                </c:pt>
                <c:pt idx="377">
                  <c:v>2018/6/13</c:v>
                </c:pt>
                <c:pt idx="378">
                  <c:v>2018/6/14</c:v>
                </c:pt>
                <c:pt idx="379">
                  <c:v>2018/6/15</c:v>
                </c:pt>
                <c:pt idx="380">
                  <c:v>2018/6/18</c:v>
                </c:pt>
                <c:pt idx="381">
                  <c:v>2018/6/19</c:v>
                </c:pt>
                <c:pt idx="382">
                  <c:v>2018/6/20</c:v>
                </c:pt>
                <c:pt idx="383">
                  <c:v>2018/6/21</c:v>
                </c:pt>
                <c:pt idx="384">
                  <c:v>2018/6/22</c:v>
                </c:pt>
                <c:pt idx="385">
                  <c:v>2018/6/25</c:v>
                </c:pt>
                <c:pt idx="386">
                  <c:v>2018/6/26</c:v>
                </c:pt>
                <c:pt idx="387">
                  <c:v>2018/6/27</c:v>
                </c:pt>
                <c:pt idx="388">
                  <c:v>2018/6/28</c:v>
                </c:pt>
                <c:pt idx="389">
                  <c:v>2018/6/29</c:v>
                </c:pt>
                <c:pt idx="390">
                  <c:v>2018/7/2</c:v>
                </c:pt>
                <c:pt idx="391">
                  <c:v>2018/7/3</c:v>
                </c:pt>
                <c:pt idx="392">
                  <c:v>2018/7/4</c:v>
                </c:pt>
                <c:pt idx="393">
                  <c:v>2018/7/5</c:v>
                </c:pt>
                <c:pt idx="394">
                  <c:v>2018/7/6</c:v>
                </c:pt>
                <c:pt idx="395">
                  <c:v>2018/7/9</c:v>
                </c:pt>
                <c:pt idx="396">
                  <c:v>2018/7/10</c:v>
                </c:pt>
                <c:pt idx="397">
                  <c:v>2018/7/11</c:v>
                </c:pt>
                <c:pt idx="398">
                  <c:v>2018/7/12</c:v>
                </c:pt>
                <c:pt idx="399">
                  <c:v>2018/7/13</c:v>
                </c:pt>
                <c:pt idx="400">
                  <c:v>2018/7/16</c:v>
                </c:pt>
                <c:pt idx="401">
                  <c:v>2018/7/17</c:v>
                </c:pt>
                <c:pt idx="402">
                  <c:v>2018/7/18</c:v>
                </c:pt>
                <c:pt idx="403">
                  <c:v>2018/7/19</c:v>
                </c:pt>
                <c:pt idx="404">
                  <c:v>2018/7/20</c:v>
                </c:pt>
                <c:pt idx="405">
                  <c:v>2018/7/23</c:v>
                </c:pt>
                <c:pt idx="406">
                  <c:v>2018/7/24</c:v>
                </c:pt>
                <c:pt idx="407">
                  <c:v>2018/7/25</c:v>
                </c:pt>
                <c:pt idx="408">
                  <c:v>2018/7/26</c:v>
                </c:pt>
                <c:pt idx="409">
                  <c:v>2018/7/27</c:v>
                </c:pt>
                <c:pt idx="410">
                  <c:v>2018/7/30</c:v>
                </c:pt>
                <c:pt idx="411">
                  <c:v>2018/7/31</c:v>
                </c:pt>
                <c:pt idx="412">
                  <c:v>2018/8/1</c:v>
                </c:pt>
                <c:pt idx="413">
                  <c:v>2018/8/2</c:v>
                </c:pt>
                <c:pt idx="414">
                  <c:v>2018/8/3</c:v>
                </c:pt>
                <c:pt idx="415">
                  <c:v>2018/8/6</c:v>
                </c:pt>
                <c:pt idx="416">
                  <c:v>2018/8/7</c:v>
                </c:pt>
                <c:pt idx="417">
                  <c:v>2018/8/8</c:v>
                </c:pt>
                <c:pt idx="418">
                  <c:v>2018/8/9</c:v>
                </c:pt>
                <c:pt idx="419">
                  <c:v>2018/8/10</c:v>
                </c:pt>
                <c:pt idx="420">
                  <c:v>2018/8/13</c:v>
                </c:pt>
                <c:pt idx="421">
                  <c:v>2018/8/14</c:v>
                </c:pt>
                <c:pt idx="422">
                  <c:v>2018/8/15</c:v>
                </c:pt>
                <c:pt idx="423">
                  <c:v>2018/8/16</c:v>
                </c:pt>
                <c:pt idx="424">
                  <c:v>2018/8/17</c:v>
                </c:pt>
                <c:pt idx="425">
                  <c:v>2018/8/20</c:v>
                </c:pt>
                <c:pt idx="426">
                  <c:v>2018/8/21</c:v>
                </c:pt>
                <c:pt idx="427">
                  <c:v>2018/8/22</c:v>
                </c:pt>
                <c:pt idx="428">
                  <c:v>2018/8/23</c:v>
                </c:pt>
                <c:pt idx="429">
                  <c:v>2018/8/24</c:v>
                </c:pt>
                <c:pt idx="430">
                  <c:v>2018/8/27</c:v>
                </c:pt>
                <c:pt idx="431">
                  <c:v>2018/8/28</c:v>
                </c:pt>
                <c:pt idx="432">
                  <c:v>2018/8/29</c:v>
                </c:pt>
                <c:pt idx="433">
                  <c:v>2018/8/30</c:v>
                </c:pt>
                <c:pt idx="434">
                  <c:v>2018/8/31</c:v>
                </c:pt>
                <c:pt idx="435">
                  <c:v>2018/9/3</c:v>
                </c:pt>
                <c:pt idx="436">
                  <c:v>2018/9/4</c:v>
                </c:pt>
                <c:pt idx="437">
                  <c:v>2018/9/5</c:v>
                </c:pt>
                <c:pt idx="438">
                  <c:v>2018/9/6</c:v>
                </c:pt>
                <c:pt idx="439">
                  <c:v>2018/9/7</c:v>
                </c:pt>
                <c:pt idx="440">
                  <c:v>2018/9/10</c:v>
                </c:pt>
                <c:pt idx="441">
                  <c:v>2018/9/11</c:v>
                </c:pt>
                <c:pt idx="442">
                  <c:v>2018/9/12</c:v>
                </c:pt>
                <c:pt idx="443">
                  <c:v>2018/9/13</c:v>
                </c:pt>
                <c:pt idx="444">
                  <c:v>2018/9/14</c:v>
                </c:pt>
                <c:pt idx="445">
                  <c:v>2018/9/17</c:v>
                </c:pt>
                <c:pt idx="446">
                  <c:v>2018/9/18</c:v>
                </c:pt>
                <c:pt idx="447">
                  <c:v>2018/9/19</c:v>
                </c:pt>
                <c:pt idx="448">
                  <c:v>2018/9/20</c:v>
                </c:pt>
                <c:pt idx="449">
                  <c:v>2018/9/21</c:v>
                </c:pt>
                <c:pt idx="450">
                  <c:v>2018/9/24</c:v>
                </c:pt>
                <c:pt idx="451">
                  <c:v>2018/9/25</c:v>
                </c:pt>
                <c:pt idx="452">
                  <c:v>2018/9/26</c:v>
                </c:pt>
                <c:pt idx="453">
                  <c:v>2018/9/27</c:v>
                </c:pt>
                <c:pt idx="454">
                  <c:v>2018/9/28</c:v>
                </c:pt>
                <c:pt idx="455">
                  <c:v>2018/10/1</c:v>
                </c:pt>
                <c:pt idx="456">
                  <c:v>2018/10/2</c:v>
                </c:pt>
                <c:pt idx="457">
                  <c:v>2018/10/3</c:v>
                </c:pt>
                <c:pt idx="458">
                  <c:v>2018/10/4</c:v>
                </c:pt>
                <c:pt idx="459">
                  <c:v>2018/10/5</c:v>
                </c:pt>
                <c:pt idx="460">
                  <c:v>2018/10/8</c:v>
                </c:pt>
                <c:pt idx="461">
                  <c:v>2018/10/9</c:v>
                </c:pt>
                <c:pt idx="462">
                  <c:v>2018/10/10</c:v>
                </c:pt>
                <c:pt idx="463">
                  <c:v>2018/10/11</c:v>
                </c:pt>
                <c:pt idx="464">
                  <c:v>2018/10/12</c:v>
                </c:pt>
                <c:pt idx="465">
                  <c:v>2018/10/15</c:v>
                </c:pt>
                <c:pt idx="466">
                  <c:v>2018/10/16</c:v>
                </c:pt>
                <c:pt idx="467">
                  <c:v>2018/10/17</c:v>
                </c:pt>
                <c:pt idx="468">
                  <c:v>2018/10/18</c:v>
                </c:pt>
                <c:pt idx="469">
                  <c:v>2018/10/19</c:v>
                </c:pt>
                <c:pt idx="470">
                  <c:v>2018/10/22</c:v>
                </c:pt>
                <c:pt idx="471">
                  <c:v>2018/10/23</c:v>
                </c:pt>
                <c:pt idx="472">
                  <c:v>2018/10/24</c:v>
                </c:pt>
                <c:pt idx="473">
                  <c:v>2018/10/25</c:v>
                </c:pt>
                <c:pt idx="474">
                  <c:v>2018/10/26</c:v>
                </c:pt>
                <c:pt idx="475">
                  <c:v>2018/10/29</c:v>
                </c:pt>
                <c:pt idx="476">
                  <c:v>2018/10/30</c:v>
                </c:pt>
                <c:pt idx="477">
                  <c:v>2018/10/31</c:v>
                </c:pt>
                <c:pt idx="478">
                  <c:v>2018/11/1</c:v>
                </c:pt>
                <c:pt idx="479">
                  <c:v>2018/11/2</c:v>
                </c:pt>
                <c:pt idx="480">
                  <c:v>2018/11/5</c:v>
                </c:pt>
                <c:pt idx="481">
                  <c:v>2018/11/6</c:v>
                </c:pt>
                <c:pt idx="482">
                  <c:v>2018/11/7</c:v>
                </c:pt>
                <c:pt idx="483">
                  <c:v>2018/11/8</c:v>
                </c:pt>
                <c:pt idx="484">
                  <c:v>2018/11/9</c:v>
                </c:pt>
                <c:pt idx="485">
                  <c:v>2018/11/12</c:v>
                </c:pt>
                <c:pt idx="486">
                  <c:v>2018/11/13</c:v>
                </c:pt>
                <c:pt idx="487">
                  <c:v>2018/11/14</c:v>
                </c:pt>
                <c:pt idx="488">
                  <c:v>2018/11/15</c:v>
                </c:pt>
                <c:pt idx="489">
                  <c:v>2018/11/16</c:v>
                </c:pt>
                <c:pt idx="490">
                  <c:v>2018/11/19</c:v>
                </c:pt>
                <c:pt idx="491">
                  <c:v>2018/11/20</c:v>
                </c:pt>
                <c:pt idx="492">
                  <c:v>2018/11/21</c:v>
                </c:pt>
                <c:pt idx="493">
                  <c:v>2018/11/22</c:v>
                </c:pt>
                <c:pt idx="494">
                  <c:v>2018/11/23</c:v>
                </c:pt>
                <c:pt idx="495">
                  <c:v>2018/11/26</c:v>
                </c:pt>
                <c:pt idx="496">
                  <c:v>2018/11/27</c:v>
                </c:pt>
                <c:pt idx="497">
                  <c:v>2018/11/28</c:v>
                </c:pt>
                <c:pt idx="498">
                  <c:v>2018/11/29</c:v>
                </c:pt>
                <c:pt idx="499">
                  <c:v>2018/11/30</c:v>
                </c:pt>
              </c:strCache>
            </c:strRef>
          </c:cat>
          <c:val>
            <c:numRef>
              <c:f>[0]!In</c:f>
              <c:numCache>
                <c:formatCode>General</c:formatCode>
                <c:ptCount val="500"/>
                <c:pt idx="0">
                  <c:v>7.6085299999999995E-2</c:v>
                </c:pt>
                <c:pt idx="1">
                  <c:v>7.3193866000000005</c:v>
                </c:pt>
                <c:pt idx="2">
                  <c:v>6.104846199999999</c:v>
                </c:pt>
                <c:pt idx="3">
                  <c:v>6.7187908999999992</c:v>
                </c:pt>
                <c:pt idx="4">
                  <c:v>6.5718967000000017</c:v>
                </c:pt>
                <c:pt idx="5">
                  <c:v>3.7423352000000003</c:v>
                </c:pt>
                <c:pt idx="6">
                  <c:v>5.0283491000000016</c:v>
                </c:pt>
                <c:pt idx="7">
                  <c:v>3.8677735999999996</c:v>
                </c:pt>
                <c:pt idx="8">
                  <c:v>7.0772288000000012</c:v>
                </c:pt>
                <c:pt idx="9">
                  <c:v>4.2428512999999999</c:v>
                </c:pt>
                <c:pt idx="10">
                  <c:v>0.60284499999999996</c:v>
                </c:pt>
                <c:pt idx="11">
                  <c:v>4.5151097000000009</c:v>
                </c:pt>
                <c:pt idx="12">
                  <c:v>4.8728163999999996</c:v>
                </c:pt>
                <c:pt idx="13">
                  <c:v>4.1816952000000001</c:v>
                </c:pt>
                <c:pt idx="14">
                  <c:v>3.4414361000000002</c:v>
                </c:pt>
                <c:pt idx="15">
                  <c:v>4.8365926000000004</c:v>
                </c:pt>
                <c:pt idx="16">
                  <c:v>9.4358888000000007</c:v>
                </c:pt>
                <c:pt idx="17">
                  <c:v>10.041991799999998</c:v>
                </c:pt>
                <c:pt idx="18">
                  <c:v>8.2595991000000009</c:v>
                </c:pt>
                <c:pt idx="19">
                  <c:v>5.4270402000000004</c:v>
                </c:pt>
                <c:pt idx="20">
                  <c:v>4.0378973</c:v>
                </c:pt>
                <c:pt idx="21">
                  <c:v>4.7402737000000004</c:v>
                </c:pt>
                <c:pt idx="22">
                  <c:v>3.4425395999999995</c:v>
                </c:pt>
                <c:pt idx="23">
                  <c:v>5.9716324999999992</c:v>
                </c:pt>
                <c:pt idx="24">
                  <c:v>5.4787815000000011</c:v>
                </c:pt>
                <c:pt idx="25">
                  <c:v>5.5611373999999998</c:v>
                </c:pt>
                <c:pt idx="26">
                  <c:v>5.3964280000000011</c:v>
                </c:pt>
                <c:pt idx="27">
                  <c:v>5.3121817</c:v>
                </c:pt>
                <c:pt idx="28">
                  <c:v>5.7660082000000008</c:v>
                </c:pt>
                <c:pt idx="29">
                  <c:v>6.6888539000000007</c:v>
                </c:pt>
                <c:pt idx="30">
                  <c:v>5.7742366999999977</c:v>
                </c:pt>
                <c:pt idx="31">
                  <c:v>7.2048339999999991</c:v>
                </c:pt>
                <c:pt idx="32">
                  <c:v>4.032641700000001</c:v>
                </c:pt>
                <c:pt idx="33">
                  <c:v>4.0377881000000002</c:v>
                </c:pt>
                <c:pt idx="34">
                  <c:v>3.2783037000000004</c:v>
                </c:pt>
                <c:pt idx="35">
                  <c:v>0.24046360000000003</c:v>
                </c:pt>
                <c:pt idx="36">
                  <c:v>7.3286031999999972</c:v>
                </c:pt>
                <c:pt idx="37">
                  <c:v>6.0320536999999996</c:v>
                </c:pt>
                <c:pt idx="38">
                  <c:v>5.2346851999999986</c:v>
                </c:pt>
                <c:pt idx="39">
                  <c:v>5.3518571000000001</c:v>
                </c:pt>
                <c:pt idx="40">
                  <c:v>3.5972474999999999</c:v>
                </c:pt>
                <c:pt idx="41">
                  <c:v>6.6157897999999999</c:v>
                </c:pt>
                <c:pt idx="42">
                  <c:v>13.0975363</c:v>
                </c:pt>
                <c:pt idx="43">
                  <c:v>4.517179800000001</c:v>
                </c:pt>
                <c:pt idx="44">
                  <c:v>3.8754797999999995</c:v>
                </c:pt>
                <c:pt idx="45">
                  <c:v>6.3643440000000018</c:v>
                </c:pt>
                <c:pt idx="46">
                  <c:v>5.0553808000000009</c:v>
                </c:pt>
                <c:pt idx="47">
                  <c:v>5.6173479000000004</c:v>
                </c:pt>
                <c:pt idx="48">
                  <c:v>3.3130348999999999</c:v>
                </c:pt>
                <c:pt idx="49">
                  <c:v>3.6010968000000005</c:v>
                </c:pt>
                <c:pt idx="50">
                  <c:v>6.4262354999999989</c:v>
                </c:pt>
                <c:pt idx="51">
                  <c:v>11.322626899999999</c:v>
                </c:pt>
                <c:pt idx="52">
                  <c:v>7.9313250000000011</c:v>
                </c:pt>
                <c:pt idx="53">
                  <c:v>6.9044600000000003</c:v>
                </c:pt>
                <c:pt idx="54">
                  <c:v>5.7361452000000002</c:v>
                </c:pt>
                <c:pt idx="55">
                  <c:v>5.5845099000000005</c:v>
                </c:pt>
                <c:pt idx="56">
                  <c:v>9.6531789000000003</c:v>
                </c:pt>
                <c:pt idx="57">
                  <c:v>7.5604080999999992</c:v>
                </c:pt>
                <c:pt idx="58">
                  <c:v>4.870992600000001</c:v>
                </c:pt>
                <c:pt idx="59">
                  <c:v>4.1846358999999991</c:v>
                </c:pt>
                <c:pt idx="60">
                  <c:v>5.242744899999999</c:v>
                </c:pt>
                <c:pt idx="61">
                  <c:v>6.3765585000000007</c:v>
                </c:pt>
                <c:pt idx="62">
                  <c:v>5.1139532000000001</c:v>
                </c:pt>
                <c:pt idx="63">
                  <c:v>4.7286275</c:v>
                </c:pt>
                <c:pt idx="64">
                  <c:v>2.8323559000000005</c:v>
                </c:pt>
                <c:pt idx="65">
                  <c:v>4.4587592000000003</c:v>
                </c:pt>
                <c:pt idx="66">
                  <c:v>3.759961800000001</c:v>
                </c:pt>
                <c:pt idx="67">
                  <c:v>5.2222587000000003</c:v>
                </c:pt>
                <c:pt idx="68">
                  <c:v>5.2559522999999997</c:v>
                </c:pt>
                <c:pt idx="69">
                  <c:v>2.8687398999999996</c:v>
                </c:pt>
                <c:pt idx="70">
                  <c:v>5.3313885000000001</c:v>
                </c:pt>
                <c:pt idx="71">
                  <c:v>4.0980895000000004</c:v>
                </c:pt>
                <c:pt idx="72">
                  <c:v>4.3745533999999999</c:v>
                </c:pt>
                <c:pt idx="73">
                  <c:v>4.0285880999999995</c:v>
                </c:pt>
                <c:pt idx="74">
                  <c:v>0.91153800000000007</c:v>
                </c:pt>
                <c:pt idx="75">
                  <c:v>1.9402256000000002</c:v>
                </c:pt>
                <c:pt idx="76">
                  <c:v>3.901629100000001</c:v>
                </c:pt>
                <c:pt idx="77">
                  <c:v>3.4350526999999991</c:v>
                </c:pt>
                <c:pt idx="78">
                  <c:v>4.7845926000000008</c:v>
                </c:pt>
                <c:pt idx="79">
                  <c:v>3.4663273999999995</c:v>
                </c:pt>
                <c:pt idx="80">
                  <c:v>12.025306500000003</c:v>
                </c:pt>
                <c:pt idx="81">
                  <c:v>10.281891600000002</c:v>
                </c:pt>
                <c:pt idx="82">
                  <c:v>6.2719094000000011</c:v>
                </c:pt>
                <c:pt idx="83">
                  <c:v>3.4636464999999994</c:v>
                </c:pt>
                <c:pt idx="84">
                  <c:v>2.7337164999999994</c:v>
                </c:pt>
                <c:pt idx="85">
                  <c:v>3.6805867999999999</c:v>
                </c:pt>
                <c:pt idx="86">
                  <c:v>5.2908011000000004</c:v>
                </c:pt>
                <c:pt idx="87">
                  <c:v>3.7937276999999998</c:v>
                </c:pt>
                <c:pt idx="88">
                  <c:v>4.2344212000000008</c:v>
                </c:pt>
                <c:pt idx="89">
                  <c:v>4.9630388999999999</c:v>
                </c:pt>
                <c:pt idx="90">
                  <c:v>3.1632255999999987</c:v>
                </c:pt>
                <c:pt idx="91">
                  <c:v>6.4184225000000019</c:v>
                </c:pt>
                <c:pt idx="92">
                  <c:v>4.2502554999999997</c:v>
                </c:pt>
                <c:pt idx="93">
                  <c:v>5.2080944999999996</c:v>
                </c:pt>
                <c:pt idx="94">
                  <c:v>3.0530156000000002</c:v>
                </c:pt>
                <c:pt idx="95">
                  <c:v>4.3218274000000001</c:v>
                </c:pt>
                <c:pt idx="96">
                  <c:v>4.8924413000000007</c:v>
                </c:pt>
                <c:pt idx="97">
                  <c:v>3.909724199999999</c:v>
                </c:pt>
                <c:pt idx="98">
                  <c:v>4.7583495999999998</c:v>
                </c:pt>
                <c:pt idx="99">
                  <c:v>3.8917280000000001</c:v>
                </c:pt>
                <c:pt idx="100">
                  <c:v>7.4276654999999998</c:v>
                </c:pt>
                <c:pt idx="101">
                  <c:v>3.8777904999999993</c:v>
                </c:pt>
                <c:pt idx="102">
                  <c:v>6.2402218000000014</c:v>
                </c:pt>
                <c:pt idx="103">
                  <c:v>5.4975909000000005</c:v>
                </c:pt>
                <c:pt idx="104">
                  <c:v>5.5813755</c:v>
                </c:pt>
                <c:pt idx="105">
                  <c:v>0.23309470000000002</c:v>
                </c:pt>
                <c:pt idx="106">
                  <c:v>6.4855703999999994</c:v>
                </c:pt>
                <c:pt idx="107">
                  <c:v>4.1117279</c:v>
                </c:pt>
                <c:pt idx="108">
                  <c:v>4.2443423999999998</c:v>
                </c:pt>
                <c:pt idx="109">
                  <c:v>6.6316628999999985</c:v>
                </c:pt>
                <c:pt idx="110">
                  <c:v>4.3320717999999996</c:v>
                </c:pt>
                <c:pt idx="111">
                  <c:v>5.3037070000000002</c:v>
                </c:pt>
                <c:pt idx="112">
                  <c:v>7.1550098999999978</c:v>
                </c:pt>
                <c:pt idx="113">
                  <c:v>9.2787621000000016</c:v>
                </c:pt>
                <c:pt idx="114">
                  <c:v>7.0909034000000002</c:v>
                </c:pt>
                <c:pt idx="115">
                  <c:v>6.8431894999999985</c:v>
                </c:pt>
                <c:pt idx="116">
                  <c:v>12.605093999999996</c:v>
                </c:pt>
                <c:pt idx="117">
                  <c:v>4.6149932999999992</c:v>
                </c:pt>
                <c:pt idx="118">
                  <c:v>6.7761240000000011</c:v>
                </c:pt>
                <c:pt idx="119">
                  <c:v>6.886130999999998</c:v>
                </c:pt>
                <c:pt idx="120">
                  <c:v>3.8383275000000001</c:v>
                </c:pt>
                <c:pt idx="121">
                  <c:v>10.231736900000001</c:v>
                </c:pt>
                <c:pt idx="122">
                  <c:v>3.9185596</c:v>
                </c:pt>
                <c:pt idx="123">
                  <c:v>4.6156321000000009</c:v>
                </c:pt>
                <c:pt idx="124">
                  <c:v>4.6639499000000013</c:v>
                </c:pt>
                <c:pt idx="125">
                  <c:v>3.3805527000000009</c:v>
                </c:pt>
                <c:pt idx="126">
                  <c:v>5.4213626999999986</c:v>
                </c:pt>
                <c:pt idx="127">
                  <c:v>4.9888303999999994</c:v>
                </c:pt>
                <c:pt idx="128">
                  <c:v>6.1308102</c:v>
                </c:pt>
                <c:pt idx="129">
                  <c:v>3.9472732999999991</c:v>
                </c:pt>
                <c:pt idx="130">
                  <c:v>3.0688911000000001</c:v>
                </c:pt>
                <c:pt idx="131">
                  <c:v>1.6622372999999995</c:v>
                </c:pt>
                <c:pt idx="132">
                  <c:v>6.6242786999999996</c:v>
                </c:pt>
                <c:pt idx="133">
                  <c:v>3.8234357000000001</c:v>
                </c:pt>
                <c:pt idx="134">
                  <c:v>5.2645273999999995</c:v>
                </c:pt>
                <c:pt idx="135">
                  <c:v>3.7489542</c:v>
                </c:pt>
                <c:pt idx="136">
                  <c:v>3.8881036</c:v>
                </c:pt>
                <c:pt idx="137">
                  <c:v>4.3493520999999999</c:v>
                </c:pt>
                <c:pt idx="138">
                  <c:v>4.7340461999999999</c:v>
                </c:pt>
                <c:pt idx="139">
                  <c:v>4.9029901000000002</c:v>
                </c:pt>
                <c:pt idx="140">
                  <c:v>3.7312034999999995</c:v>
                </c:pt>
                <c:pt idx="141">
                  <c:v>4.0949162999999986</c:v>
                </c:pt>
                <c:pt idx="142">
                  <c:v>4.350284900000001</c:v>
                </c:pt>
                <c:pt idx="143">
                  <c:v>3.4888977000000003</c:v>
                </c:pt>
                <c:pt idx="144">
                  <c:v>7.3629188000000001</c:v>
                </c:pt>
                <c:pt idx="145">
                  <c:v>6.0729414999999989</c:v>
                </c:pt>
                <c:pt idx="146">
                  <c:v>3.6272704</c:v>
                </c:pt>
                <c:pt idx="147">
                  <c:v>4.5325355999999992</c:v>
                </c:pt>
                <c:pt idx="148">
                  <c:v>4.3566696000000018</c:v>
                </c:pt>
                <c:pt idx="149">
                  <c:v>4.2686636</c:v>
                </c:pt>
                <c:pt idx="150">
                  <c:v>5.0521017000000006</c:v>
                </c:pt>
                <c:pt idx="151">
                  <c:v>5.8495845000000006</c:v>
                </c:pt>
                <c:pt idx="152">
                  <c:v>4.1601411000000015</c:v>
                </c:pt>
                <c:pt idx="153">
                  <c:v>6.5029915000000011</c:v>
                </c:pt>
                <c:pt idx="154">
                  <c:v>3.3847071</c:v>
                </c:pt>
                <c:pt idx="155">
                  <c:v>2.3340382000000002</c:v>
                </c:pt>
                <c:pt idx="156">
                  <c:v>5.6297429999999995</c:v>
                </c:pt>
                <c:pt idx="157">
                  <c:v>2.8574043000000002</c:v>
                </c:pt>
                <c:pt idx="158">
                  <c:v>3.1182227</c:v>
                </c:pt>
                <c:pt idx="159">
                  <c:v>2.1945414000000003</c:v>
                </c:pt>
                <c:pt idx="160">
                  <c:v>5.3932994999999986</c:v>
                </c:pt>
                <c:pt idx="161">
                  <c:v>4.8376453000000001</c:v>
                </c:pt>
                <c:pt idx="162">
                  <c:v>5.3943099000000005</c:v>
                </c:pt>
                <c:pt idx="163">
                  <c:v>2.7888803999999996</c:v>
                </c:pt>
                <c:pt idx="164">
                  <c:v>3.0224998999999992</c:v>
                </c:pt>
                <c:pt idx="165">
                  <c:v>4.6444843000000002</c:v>
                </c:pt>
                <c:pt idx="166">
                  <c:v>6.6746332000000006</c:v>
                </c:pt>
                <c:pt idx="167">
                  <c:v>6.528708700000001</c:v>
                </c:pt>
                <c:pt idx="168">
                  <c:v>3.9719060000000002</c:v>
                </c:pt>
                <c:pt idx="169">
                  <c:v>3.7517517000000007</c:v>
                </c:pt>
                <c:pt idx="170">
                  <c:v>3.5981179000000001</c:v>
                </c:pt>
                <c:pt idx="171">
                  <c:v>4.0642835000000002</c:v>
                </c:pt>
                <c:pt idx="172">
                  <c:v>4.6903557999999999</c:v>
                </c:pt>
                <c:pt idx="173">
                  <c:v>4.0892492000000003</c:v>
                </c:pt>
                <c:pt idx="174">
                  <c:v>3.7912514999999996</c:v>
                </c:pt>
                <c:pt idx="175">
                  <c:v>0.3071333</c:v>
                </c:pt>
                <c:pt idx="176">
                  <c:v>8.1177982000000029</c:v>
                </c:pt>
                <c:pt idx="177">
                  <c:v>6.362475700000001</c:v>
                </c:pt>
                <c:pt idx="178">
                  <c:v>6.3488609000000009</c:v>
                </c:pt>
                <c:pt idx="179">
                  <c:v>3.0787042000000002</c:v>
                </c:pt>
                <c:pt idx="180">
                  <c:v>6.8476249999999999</c:v>
                </c:pt>
                <c:pt idx="181">
                  <c:v>8.8958259999999996</c:v>
                </c:pt>
                <c:pt idx="182">
                  <c:v>6.2365431000000005</c:v>
                </c:pt>
                <c:pt idx="183">
                  <c:v>4.5419570000000009</c:v>
                </c:pt>
                <c:pt idx="184">
                  <c:v>3.1861834000000004</c:v>
                </c:pt>
                <c:pt idx="185">
                  <c:v>9.3087166000000021</c:v>
                </c:pt>
                <c:pt idx="186">
                  <c:v>8.3367470000000008</c:v>
                </c:pt>
                <c:pt idx="187">
                  <c:v>5.7451389999999991</c:v>
                </c:pt>
                <c:pt idx="188">
                  <c:v>4.1648717000000008</c:v>
                </c:pt>
                <c:pt idx="189">
                  <c:v>3.8587567999999992</c:v>
                </c:pt>
                <c:pt idx="190">
                  <c:v>5.1109188000000012</c:v>
                </c:pt>
                <c:pt idx="191">
                  <c:v>3.2713521000000001</c:v>
                </c:pt>
                <c:pt idx="192">
                  <c:v>4.966769199999999</c:v>
                </c:pt>
                <c:pt idx="193">
                  <c:v>4.0098968000000008</c:v>
                </c:pt>
                <c:pt idx="194">
                  <c:v>5.6713944999999972</c:v>
                </c:pt>
                <c:pt idx="195">
                  <c:v>3.7891719999999998</c:v>
                </c:pt>
                <c:pt idx="196">
                  <c:v>5.9879574000000009</c:v>
                </c:pt>
                <c:pt idx="197">
                  <c:v>3.3844674000000006</c:v>
                </c:pt>
                <c:pt idx="198">
                  <c:v>4.6791713000000001</c:v>
                </c:pt>
                <c:pt idx="199">
                  <c:v>4.4497869999999997</c:v>
                </c:pt>
                <c:pt idx="200">
                  <c:v>4.2368835999999988</c:v>
                </c:pt>
                <c:pt idx="201">
                  <c:v>4.9150031999999992</c:v>
                </c:pt>
                <c:pt idx="202">
                  <c:v>4.7619890999999992</c:v>
                </c:pt>
                <c:pt idx="203">
                  <c:v>7.6696802000000002</c:v>
                </c:pt>
                <c:pt idx="204">
                  <c:v>4.4070372000000013</c:v>
                </c:pt>
                <c:pt idx="205">
                  <c:v>6.5351711999999997</c:v>
                </c:pt>
                <c:pt idx="206">
                  <c:v>4.2841426</c:v>
                </c:pt>
                <c:pt idx="207">
                  <c:v>3.8657031999999991</c:v>
                </c:pt>
                <c:pt idx="208">
                  <c:v>5.1257735000000002</c:v>
                </c:pt>
                <c:pt idx="209">
                  <c:v>7.8531782999999997</c:v>
                </c:pt>
                <c:pt idx="210">
                  <c:v>2.8718151999999999</c:v>
                </c:pt>
                <c:pt idx="211">
                  <c:v>6.9806730999999989</c:v>
                </c:pt>
                <c:pt idx="212">
                  <c:v>4.0645571</c:v>
                </c:pt>
                <c:pt idx="213">
                  <c:v>4.8260080000000007</c:v>
                </c:pt>
                <c:pt idx="214">
                  <c:v>6.5558168999999999</c:v>
                </c:pt>
                <c:pt idx="215">
                  <c:v>2.2978355000000006</c:v>
                </c:pt>
                <c:pt idx="216">
                  <c:v>2.3815512999999999</c:v>
                </c:pt>
                <c:pt idx="217">
                  <c:v>4.9852198000000003</c:v>
                </c:pt>
                <c:pt idx="218">
                  <c:v>4.8167524999999989</c:v>
                </c:pt>
                <c:pt idx="219">
                  <c:v>6.5855076999999991</c:v>
                </c:pt>
                <c:pt idx="220">
                  <c:v>3.6906215000000002</c:v>
                </c:pt>
                <c:pt idx="221">
                  <c:v>4.2629592000000001</c:v>
                </c:pt>
                <c:pt idx="222">
                  <c:v>4.5075142999999986</c:v>
                </c:pt>
                <c:pt idx="223">
                  <c:v>4.1500732999999999</c:v>
                </c:pt>
                <c:pt idx="224">
                  <c:v>4.8617501000000001</c:v>
                </c:pt>
                <c:pt idx="225">
                  <c:v>3.4746836000000001</c:v>
                </c:pt>
                <c:pt idx="226">
                  <c:v>5.1388293999999997</c:v>
                </c:pt>
                <c:pt idx="227">
                  <c:v>5.1735578000000002</c:v>
                </c:pt>
                <c:pt idx="228">
                  <c:v>6.2096005999999981</c:v>
                </c:pt>
                <c:pt idx="229">
                  <c:v>3.8197751000000006</c:v>
                </c:pt>
                <c:pt idx="230">
                  <c:v>7.373807900000001</c:v>
                </c:pt>
                <c:pt idx="231">
                  <c:v>6.216419000000001</c:v>
                </c:pt>
                <c:pt idx="232">
                  <c:v>3.1740924000000001</c:v>
                </c:pt>
                <c:pt idx="233">
                  <c:v>1.0169646999999997</c:v>
                </c:pt>
                <c:pt idx="234">
                  <c:v>3.0329478000000001</c:v>
                </c:pt>
                <c:pt idx="235">
                  <c:v>2.7531009999999996</c:v>
                </c:pt>
                <c:pt idx="236">
                  <c:v>6.713633999999999</c:v>
                </c:pt>
                <c:pt idx="237">
                  <c:v>7.5457381000000021</c:v>
                </c:pt>
                <c:pt idx="238">
                  <c:v>7.0808204999999971</c:v>
                </c:pt>
                <c:pt idx="239">
                  <c:v>5.5686596999999995</c:v>
                </c:pt>
                <c:pt idx="240">
                  <c:v>7.3855849000000013</c:v>
                </c:pt>
                <c:pt idx="241">
                  <c:v>5.3819685000000002</c:v>
                </c:pt>
                <c:pt idx="242">
                  <c:v>5.4982865999999984</c:v>
                </c:pt>
                <c:pt idx="243">
                  <c:v>11.169559999999997</c:v>
                </c:pt>
                <c:pt idx="244">
                  <c:v>5.1023768</c:v>
                </c:pt>
                <c:pt idx="245">
                  <c:v>6.8257576999999996</c:v>
                </c:pt>
                <c:pt idx="246">
                  <c:v>12.677160800000001</c:v>
                </c:pt>
                <c:pt idx="247">
                  <c:v>9.1597816999999981</c:v>
                </c:pt>
                <c:pt idx="248">
                  <c:v>7.7423908000000017</c:v>
                </c:pt>
                <c:pt idx="249">
                  <c:v>13.015004699999997</c:v>
                </c:pt>
                <c:pt idx="250">
                  <c:v>12.5895346</c:v>
                </c:pt>
                <c:pt idx="251">
                  <c:v>7.4115053000000009</c:v>
                </c:pt>
                <c:pt idx="252">
                  <c:v>2.780630700000001</c:v>
                </c:pt>
                <c:pt idx="253">
                  <c:v>7.448704499999999</c:v>
                </c:pt>
                <c:pt idx="254">
                  <c:v>8.0137655999999993</c:v>
                </c:pt>
                <c:pt idx="255">
                  <c:v>3.2286300000000004E-2</c:v>
                </c:pt>
                <c:pt idx="256">
                  <c:v>3.6404072000000003</c:v>
                </c:pt>
                <c:pt idx="257">
                  <c:v>4.3953215999999991</c:v>
                </c:pt>
                <c:pt idx="258">
                  <c:v>3.4613517000000003</c:v>
                </c:pt>
                <c:pt idx="259">
                  <c:v>2.7351188999999998</c:v>
                </c:pt>
                <c:pt idx="260">
                  <c:v>0</c:v>
                </c:pt>
                <c:pt idx="261">
                  <c:v>5.7645162000000001</c:v>
                </c:pt>
                <c:pt idx="262">
                  <c:v>8.4201575999999978</c:v>
                </c:pt>
                <c:pt idx="263">
                  <c:v>7.5460016999999997</c:v>
                </c:pt>
                <c:pt idx="264">
                  <c:v>7.6744376999999995</c:v>
                </c:pt>
                <c:pt idx="265">
                  <c:v>8.0540327000000023</c:v>
                </c:pt>
                <c:pt idx="266">
                  <c:v>6.7192647999999977</c:v>
                </c:pt>
                <c:pt idx="267">
                  <c:v>8.3646848000000027</c:v>
                </c:pt>
                <c:pt idx="268">
                  <c:v>7.141197</c:v>
                </c:pt>
                <c:pt idx="269">
                  <c:v>5.4068018999999987</c:v>
                </c:pt>
                <c:pt idx="270">
                  <c:v>0.82250949999999989</c:v>
                </c:pt>
                <c:pt idx="271">
                  <c:v>6.7893789999999985</c:v>
                </c:pt>
                <c:pt idx="272">
                  <c:v>14.194513800000001</c:v>
                </c:pt>
                <c:pt idx="273">
                  <c:v>4.9703587000000002</c:v>
                </c:pt>
                <c:pt idx="274">
                  <c:v>7.2806284000000003</c:v>
                </c:pt>
                <c:pt idx="275">
                  <c:v>8.0973267000000018</c:v>
                </c:pt>
                <c:pt idx="276">
                  <c:v>11.9934966</c:v>
                </c:pt>
                <c:pt idx="277">
                  <c:v>5.6223192999999991</c:v>
                </c:pt>
                <c:pt idx="278">
                  <c:v>4.9659454000000007</c:v>
                </c:pt>
                <c:pt idx="279">
                  <c:v>7.2982453999999999</c:v>
                </c:pt>
                <c:pt idx="280">
                  <c:v>11.736463400000002</c:v>
                </c:pt>
                <c:pt idx="281">
                  <c:v>9.4766000000000012</c:v>
                </c:pt>
                <c:pt idx="282">
                  <c:v>9.0894140999999991</c:v>
                </c:pt>
                <c:pt idx="283">
                  <c:v>7.1258894999999987</c:v>
                </c:pt>
                <c:pt idx="284">
                  <c:v>6.1735113999999998</c:v>
                </c:pt>
                <c:pt idx="285">
                  <c:v>5.8177638999999992</c:v>
                </c:pt>
                <c:pt idx="286">
                  <c:v>6.7067149000000006</c:v>
                </c:pt>
                <c:pt idx="287">
                  <c:v>7.0158111999999999</c:v>
                </c:pt>
                <c:pt idx="288">
                  <c:v>9.8245831000000017</c:v>
                </c:pt>
                <c:pt idx="289">
                  <c:v>6.9529660000000026</c:v>
                </c:pt>
                <c:pt idx="290">
                  <c:v>11.465194399999998</c:v>
                </c:pt>
                <c:pt idx="291">
                  <c:v>4.8414301000000002</c:v>
                </c:pt>
                <c:pt idx="292">
                  <c:v>6.3680040999999994</c:v>
                </c:pt>
                <c:pt idx="293">
                  <c:v>7.2790928000000026</c:v>
                </c:pt>
                <c:pt idx="294">
                  <c:v>4.2583316999999994</c:v>
                </c:pt>
                <c:pt idx="295">
                  <c:v>0.7117542</c:v>
                </c:pt>
                <c:pt idx="296">
                  <c:v>5.0456978999999986</c:v>
                </c:pt>
                <c:pt idx="297">
                  <c:v>8.0901934000000004</c:v>
                </c:pt>
                <c:pt idx="298">
                  <c:v>2.8904976999999996</c:v>
                </c:pt>
                <c:pt idx="299">
                  <c:v>6.3154908999999995</c:v>
                </c:pt>
                <c:pt idx="300">
                  <c:v>10.428358100000001</c:v>
                </c:pt>
                <c:pt idx="301">
                  <c:v>6.3573884999999999</c:v>
                </c:pt>
                <c:pt idx="302">
                  <c:v>2.6572201999999998</c:v>
                </c:pt>
                <c:pt idx="303">
                  <c:v>3.186149700000001</c:v>
                </c:pt>
                <c:pt idx="304">
                  <c:v>4.0580087999999988</c:v>
                </c:pt>
                <c:pt idx="305">
                  <c:v>11.378913200000001</c:v>
                </c:pt>
                <c:pt idx="306">
                  <c:v>5.2152995000000022</c:v>
                </c:pt>
                <c:pt idx="307">
                  <c:v>6.8948100000000023</c:v>
                </c:pt>
                <c:pt idx="308">
                  <c:v>10.303527600000002</c:v>
                </c:pt>
                <c:pt idx="309">
                  <c:v>10.085897300000001</c:v>
                </c:pt>
                <c:pt idx="310">
                  <c:v>12.008224700000005</c:v>
                </c:pt>
                <c:pt idx="311">
                  <c:v>14.306895400000002</c:v>
                </c:pt>
                <c:pt idx="312">
                  <c:v>13.454381100000001</c:v>
                </c:pt>
                <c:pt idx="313">
                  <c:v>6.7628583999999989</c:v>
                </c:pt>
                <c:pt idx="314">
                  <c:v>8.4838126000000003</c:v>
                </c:pt>
                <c:pt idx="315">
                  <c:v>2.5851309000000002</c:v>
                </c:pt>
                <c:pt idx="316">
                  <c:v>4.7138742999999996</c:v>
                </c:pt>
                <c:pt idx="317">
                  <c:v>5.0831577999999995</c:v>
                </c:pt>
                <c:pt idx="318">
                  <c:v>9.5784167</c:v>
                </c:pt>
                <c:pt idx="319">
                  <c:v>3.1162894999999993</c:v>
                </c:pt>
                <c:pt idx="320">
                  <c:v>8.1750574000000018</c:v>
                </c:pt>
                <c:pt idx="321">
                  <c:v>7.3615364999999988</c:v>
                </c:pt>
                <c:pt idx="322">
                  <c:v>3.7433119999999995</c:v>
                </c:pt>
                <c:pt idx="323">
                  <c:v>5.5018792000000012</c:v>
                </c:pt>
                <c:pt idx="324">
                  <c:v>0.39599990000000002</c:v>
                </c:pt>
                <c:pt idx="325">
                  <c:v>2.9872172999999997</c:v>
                </c:pt>
                <c:pt idx="326">
                  <c:v>4.8610231999999991</c:v>
                </c:pt>
                <c:pt idx="327">
                  <c:v>6.1299993999999991</c:v>
                </c:pt>
                <c:pt idx="328">
                  <c:v>6.4481062000000007</c:v>
                </c:pt>
                <c:pt idx="329">
                  <c:v>4.471468999999999</c:v>
                </c:pt>
                <c:pt idx="330">
                  <c:v>10.0816783</c:v>
                </c:pt>
                <c:pt idx="331">
                  <c:v>5.6045670999999997</c:v>
                </c:pt>
                <c:pt idx="332">
                  <c:v>5.2850661000000008</c:v>
                </c:pt>
                <c:pt idx="333">
                  <c:v>5.3699272999999987</c:v>
                </c:pt>
                <c:pt idx="334">
                  <c:v>3.8304355999999999</c:v>
                </c:pt>
                <c:pt idx="335">
                  <c:v>2.9829187000000004</c:v>
                </c:pt>
                <c:pt idx="336">
                  <c:v>5.4063514000000001</c:v>
                </c:pt>
                <c:pt idx="337">
                  <c:v>5.4331996999999994</c:v>
                </c:pt>
                <c:pt idx="338">
                  <c:v>4.6189752000000013</c:v>
                </c:pt>
                <c:pt idx="339">
                  <c:v>3.8901103999999997</c:v>
                </c:pt>
                <c:pt idx="340">
                  <c:v>7.1364839999999994</c:v>
                </c:pt>
                <c:pt idx="341">
                  <c:v>4.0842179999999999</c:v>
                </c:pt>
                <c:pt idx="342">
                  <c:v>3.9064571999999993</c:v>
                </c:pt>
                <c:pt idx="343">
                  <c:v>5.2025249999999987</c:v>
                </c:pt>
                <c:pt idx="344">
                  <c:v>4.2294634999999996</c:v>
                </c:pt>
                <c:pt idx="345">
                  <c:v>1.9914445000000003</c:v>
                </c:pt>
                <c:pt idx="346">
                  <c:v>2.9656688</c:v>
                </c:pt>
                <c:pt idx="347">
                  <c:v>3.1927518000000004</c:v>
                </c:pt>
                <c:pt idx="348">
                  <c:v>8.0089617999999998</c:v>
                </c:pt>
                <c:pt idx="349">
                  <c:v>4.9295714999999998</c:v>
                </c:pt>
                <c:pt idx="350">
                  <c:v>4.4858367000000001</c:v>
                </c:pt>
                <c:pt idx="351">
                  <c:v>7.2374465999999966</c:v>
                </c:pt>
                <c:pt idx="352">
                  <c:v>4.6382232999999999</c:v>
                </c:pt>
                <c:pt idx="353">
                  <c:v>7.503056299999999</c:v>
                </c:pt>
                <c:pt idx="354">
                  <c:v>8.3142976000000015</c:v>
                </c:pt>
                <c:pt idx="355">
                  <c:v>4.0896563000000006</c:v>
                </c:pt>
                <c:pt idx="356">
                  <c:v>5.7002278999999998</c:v>
                </c:pt>
                <c:pt idx="357">
                  <c:v>5.0485222999999992</c:v>
                </c:pt>
                <c:pt idx="358">
                  <c:v>7.2436026999999976</c:v>
                </c:pt>
                <c:pt idx="359">
                  <c:v>2.2639793999999998</c:v>
                </c:pt>
                <c:pt idx="360">
                  <c:v>5.4631888999999996</c:v>
                </c:pt>
                <c:pt idx="361">
                  <c:v>5.2093170999999989</c:v>
                </c:pt>
                <c:pt idx="362">
                  <c:v>6.4723216999999948</c:v>
                </c:pt>
                <c:pt idx="363">
                  <c:v>4.6686035999999991</c:v>
                </c:pt>
                <c:pt idx="364">
                  <c:v>3.2012991</c:v>
                </c:pt>
                <c:pt idx="365">
                  <c:v>0.80001929999999999</c:v>
                </c:pt>
                <c:pt idx="366">
                  <c:v>7.7645455000000014</c:v>
                </c:pt>
                <c:pt idx="367">
                  <c:v>4.9342608000000006</c:v>
                </c:pt>
                <c:pt idx="368">
                  <c:v>6.2189682999999993</c:v>
                </c:pt>
                <c:pt idx="369">
                  <c:v>2.5552674999999994</c:v>
                </c:pt>
                <c:pt idx="370">
                  <c:v>7.7993620000000004</c:v>
                </c:pt>
                <c:pt idx="371">
                  <c:v>7.1598034000000004</c:v>
                </c:pt>
                <c:pt idx="372">
                  <c:v>4.7878781000000021</c:v>
                </c:pt>
                <c:pt idx="373">
                  <c:v>5.3416174000000005</c:v>
                </c:pt>
                <c:pt idx="374">
                  <c:v>3.5701725000000004</c:v>
                </c:pt>
                <c:pt idx="375">
                  <c:v>3.7077216000000002</c:v>
                </c:pt>
                <c:pt idx="376">
                  <c:v>15.9507195</c:v>
                </c:pt>
                <c:pt idx="377">
                  <c:v>6.9893711999999981</c:v>
                </c:pt>
                <c:pt idx="378">
                  <c:v>5.349811400000001</c:v>
                </c:pt>
                <c:pt idx="379">
                  <c:v>7.9084833999999997</c:v>
                </c:pt>
                <c:pt idx="380">
                  <c:v>6.3297976999999985</c:v>
                </c:pt>
                <c:pt idx="381">
                  <c:v>6.7689245999999983</c:v>
                </c:pt>
                <c:pt idx="382">
                  <c:v>20.688271799999999</c:v>
                </c:pt>
                <c:pt idx="383">
                  <c:v>5.5400409999999995</c:v>
                </c:pt>
                <c:pt idx="384">
                  <c:v>4.7612265000000003</c:v>
                </c:pt>
                <c:pt idx="385">
                  <c:v>4.4092823000000001</c:v>
                </c:pt>
                <c:pt idx="386">
                  <c:v>5.1534739999999992</c:v>
                </c:pt>
                <c:pt idx="387">
                  <c:v>3.9111352999999998</c:v>
                </c:pt>
                <c:pt idx="388">
                  <c:v>4.2295077000000001</c:v>
                </c:pt>
                <c:pt idx="389">
                  <c:v>3.3365109999999998</c:v>
                </c:pt>
                <c:pt idx="390">
                  <c:v>4.6365396000000008</c:v>
                </c:pt>
                <c:pt idx="391">
                  <c:v>9.4200673000000013</c:v>
                </c:pt>
                <c:pt idx="392">
                  <c:v>2.5450815999999996</c:v>
                </c:pt>
                <c:pt idx="393">
                  <c:v>3.9929818999999993</c:v>
                </c:pt>
                <c:pt idx="394">
                  <c:v>7.7641982</c:v>
                </c:pt>
                <c:pt idx="395">
                  <c:v>6.3599302</c:v>
                </c:pt>
                <c:pt idx="396">
                  <c:v>6.8705506000000005</c:v>
                </c:pt>
                <c:pt idx="397">
                  <c:v>8.1007882999999996</c:v>
                </c:pt>
                <c:pt idx="398">
                  <c:v>5.3343848999999999</c:v>
                </c:pt>
                <c:pt idx="399">
                  <c:v>3.5479915000000011</c:v>
                </c:pt>
                <c:pt idx="400">
                  <c:v>3.8642260999999993</c:v>
                </c:pt>
                <c:pt idx="401">
                  <c:v>3.4153692999999992</c:v>
                </c:pt>
                <c:pt idx="402">
                  <c:v>5.3418451999999998</c:v>
                </c:pt>
                <c:pt idx="403">
                  <c:v>4.1500895999999994</c:v>
                </c:pt>
                <c:pt idx="404">
                  <c:v>3.3033467000000001</c:v>
                </c:pt>
                <c:pt idx="405">
                  <c:v>5.6886533999999997</c:v>
                </c:pt>
                <c:pt idx="406">
                  <c:v>5.878579600000001</c:v>
                </c:pt>
                <c:pt idx="407">
                  <c:v>5.5961431999999993</c:v>
                </c:pt>
                <c:pt idx="408">
                  <c:v>4.5022680999999993</c:v>
                </c:pt>
                <c:pt idx="409">
                  <c:v>6.5922470000000004</c:v>
                </c:pt>
                <c:pt idx="410">
                  <c:v>3.8870612000000002</c:v>
                </c:pt>
                <c:pt idx="411">
                  <c:v>6.0553769999999991</c:v>
                </c:pt>
                <c:pt idx="412">
                  <c:v>4.9787908999999999</c:v>
                </c:pt>
                <c:pt idx="413">
                  <c:v>5.6156094999999997</c:v>
                </c:pt>
                <c:pt idx="414">
                  <c:v>3.3951973000000004</c:v>
                </c:pt>
                <c:pt idx="415">
                  <c:v>3.3282247999999992</c:v>
                </c:pt>
                <c:pt idx="416">
                  <c:v>6.7529239000000016</c:v>
                </c:pt>
                <c:pt idx="417">
                  <c:v>7.9404599999999999</c:v>
                </c:pt>
                <c:pt idx="418">
                  <c:v>5.3603859999999992</c:v>
                </c:pt>
                <c:pt idx="419">
                  <c:v>2.6347654999999999</c:v>
                </c:pt>
                <c:pt idx="420">
                  <c:v>6.1244457000000008</c:v>
                </c:pt>
                <c:pt idx="421">
                  <c:v>3.148628</c:v>
                </c:pt>
                <c:pt idx="422">
                  <c:v>5.375276099999998</c:v>
                </c:pt>
                <c:pt idx="423">
                  <c:v>5.4944954999999993</c:v>
                </c:pt>
                <c:pt idx="424">
                  <c:v>2.4504322000000003</c:v>
                </c:pt>
                <c:pt idx="425">
                  <c:v>5.2790650000000001</c:v>
                </c:pt>
                <c:pt idx="426">
                  <c:v>3.9110135000000001</c:v>
                </c:pt>
                <c:pt idx="427">
                  <c:v>5.9698465000000001</c:v>
                </c:pt>
                <c:pt idx="428">
                  <c:v>3.0796492000000004</c:v>
                </c:pt>
                <c:pt idx="429">
                  <c:v>2.8804669999999999</c:v>
                </c:pt>
                <c:pt idx="430">
                  <c:v>9.5116364000000004</c:v>
                </c:pt>
                <c:pt idx="431">
                  <c:v>3.9302747</c:v>
                </c:pt>
                <c:pt idx="432">
                  <c:v>5.0389308999999995</c:v>
                </c:pt>
                <c:pt idx="433">
                  <c:v>7.809400000000001</c:v>
                </c:pt>
                <c:pt idx="434">
                  <c:v>2.7332874</c:v>
                </c:pt>
                <c:pt idx="435">
                  <c:v>0.81174199999999996</c:v>
                </c:pt>
                <c:pt idx="436">
                  <c:v>2.8499555999999999</c:v>
                </c:pt>
                <c:pt idx="437">
                  <c:v>12.184513900000004</c:v>
                </c:pt>
                <c:pt idx="438">
                  <c:v>3.2369245000000002</c:v>
                </c:pt>
                <c:pt idx="439">
                  <c:v>5.8298512000000002</c:v>
                </c:pt>
                <c:pt idx="440">
                  <c:v>3.8952098000000017</c:v>
                </c:pt>
                <c:pt idx="441">
                  <c:v>4.0918866000000005</c:v>
                </c:pt>
                <c:pt idx="442">
                  <c:v>5.1625343999999984</c:v>
                </c:pt>
                <c:pt idx="443">
                  <c:v>5.4757992999999994</c:v>
                </c:pt>
                <c:pt idx="444">
                  <c:v>3.6211232000000004</c:v>
                </c:pt>
                <c:pt idx="445">
                  <c:v>7.1654593999999987</c:v>
                </c:pt>
                <c:pt idx="446">
                  <c:v>18.221641099999999</c:v>
                </c:pt>
                <c:pt idx="447">
                  <c:v>20.600537199999998</c:v>
                </c:pt>
                <c:pt idx="448">
                  <c:v>6.6781006000000014</c:v>
                </c:pt>
                <c:pt idx="449">
                  <c:v>4.9071347999999997</c:v>
                </c:pt>
                <c:pt idx="450">
                  <c:v>5.1115940000000002</c:v>
                </c:pt>
                <c:pt idx="451">
                  <c:v>6.3214320000000006</c:v>
                </c:pt>
                <c:pt idx="452">
                  <c:v>5.6111811999999999</c:v>
                </c:pt>
                <c:pt idx="453">
                  <c:v>6.1011731000000005</c:v>
                </c:pt>
                <c:pt idx="454">
                  <c:v>9.7658410999999994</c:v>
                </c:pt>
                <c:pt idx="455">
                  <c:v>4.2901956999999999</c:v>
                </c:pt>
                <c:pt idx="456">
                  <c:v>5.8008856999999994</c:v>
                </c:pt>
                <c:pt idx="457">
                  <c:v>4.3686201000000002</c:v>
                </c:pt>
                <c:pt idx="458">
                  <c:v>8.2756941000000026</c:v>
                </c:pt>
                <c:pt idx="459">
                  <c:v>4.5126227999999999</c:v>
                </c:pt>
                <c:pt idx="460">
                  <c:v>4.0601510999999997</c:v>
                </c:pt>
                <c:pt idx="461">
                  <c:v>5.8916309000000009</c:v>
                </c:pt>
                <c:pt idx="462">
                  <c:v>8.1005577000000013</c:v>
                </c:pt>
                <c:pt idx="463">
                  <c:v>7.1289530999999986</c:v>
                </c:pt>
                <c:pt idx="464">
                  <c:v>5.0912663999999994</c:v>
                </c:pt>
                <c:pt idx="465">
                  <c:v>5.8956904999999997</c:v>
                </c:pt>
                <c:pt idx="466">
                  <c:v>8.6751594999999995</c:v>
                </c:pt>
                <c:pt idx="467">
                  <c:v>15.143816699999997</c:v>
                </c:pt>
                <c:pt idx="468">
                  <c:v>4.2752123000000006</c:v>
                </c:pt>
                <c:pt idx="469">
                  <c:v>9.1020494999999961</c:v>
                </c:pt>
                <c:pt idx="470">
                  <c:v>4.5522662</c:v>
                </c:pt>
                <c:pt idx="471">
                  <c:v>4.5715407000000017</c:v>
                </c:pt>
                <c:pt idx="472">
                  <c:v>8.7317308000000011</c:v>
                </c:pt>
                <c:pt idx="473">
                  <c:v>5.451885400000001</c:v>
                </c:pt>
                <c:pt idx="474">
                  <c:v>4.5966152000000013</c:v>
                </c:pt>
                <c:pt idx="475">
                  <c:v>12.434844299999998</c:v>
                </c:pt>
                <c:pt idx="476">
                  <c:v>11.064003599999998</c:v>
                </c:pt>
                <c:pt idx="477">
                  <c:v>4.8373900000000001</c:v>
                </c:pt>
                <c:pt idx="478">
                  <c:v>8.5347474000000023</c:v>
                </c:pt>
                <c:pt idx="479">
                  <c:v>7.3557528999999988</c:v>
                </c:pt>
                <c:pt idx="480">
                  <c:v>5.8026448000000004</c:v>
                </c:pt>
                <c:pt idx="481">
                  <c:v>5.884494300000001</c:v>
                </c:pt>
                <c:pt idx="482">
                  <c:v>10.491389</c:v>
                </c:pt>
                <c:pt idx="483">
                  <c:v>6.7944210999999992</c:v>
                </c:pt>
                <c:pt idx="484">
                  <c:v>3.192076699999999</c:v>
                </c:pt>
                <c:pt idx="485">
                  <c:v>3.2192267000000001</c:v>
                </c:pt>
                <c:pt idx="486">
                  <c:v>12.046284900000003</c:v>
                </c:pt>
                <c:pt idx="487">
                  <c:v>6.4745476000000002</c:v>
                </c:pt>
                <c:pt idx="488">
                  <c:v>8.2933172000000006</c:v>
                </c:pt>
                <c:pt idx="489">
                  <c:v>5.6322802999999997</c:v>
                </c:pt>
                <c:pt idx="490">
                  <c:v>5.0778870999999999</c:v>
                </c:pt>
                <c:pt idx="491">
                  <c:v>6.017659000000001</c:v>
                </c:pt>
                <c:pt idx="492">
                  <c:v>4.1521261000000003</c:v>
                </c:pt>
                <c:pt idx="493">
                  <c:v>0.88860739999999994</c:v>
                </c:pt>
                <c:pt idx="494">
                  <c:v>2.5875206999999998</c:v>
                </c:pt>
                <c:pt idx="495">
                  <c:v>3.9232696000000002</c:v>
                </c:pt>
                <c:pt idx="496">
                  <c:v>6.698800799999999</c:v>
                </c:pt>
                <c:pt idx="497">
                  <c:v>14.059019999999999</c:v>
                </c:pt>
                <c:pt idx="498">
                  <c:v>7.5042642000000015</c:v>
                </c:pt>
                <c:pt idx="499">
                  <c:v>4.0371696000000012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4-4FAA-ABEB-D875A0975BBC}"/>
            </c:ext>
          </c:extLst>
        </c:ser>
        <c:ser>
          <c:idx val="1"/>
          <c:order val="1"/>
          <c:tx>
            <c:v>Out Flow (Bln)</c:v>
          </c:tx>
          <c:spPr>
            <a:solidFill>
              <a:srgbClr val="F8696B"/>
            </a:solidFill>
          </c:spPr>
          <c:invertIfNegative val="0"/>
          <c:cat>
            <c:strRef>
              <c:f>[0]!DtsStr</c:f>
              <c:strCache>
                <c:ptCount val="500"/>
                <c:pt idx="0">
                  <c:v>2017/1/2</c:v>
                </c:pt>
                <c:pt idx="1">
                  <c:v>2017/1/3</c:v>
                </c:pt>
                <c:pt idx="2">
                  <c:v>2017/1/4</c:v>
                </c:pt>
                <c:pt idx="3">
                  <c:v>2017/1/5</c:v>
                </c:pt>
                <c:pt idx="4">
                  <c:v>2017/1/6</c:v>
                </c:pt>
                <c:pt idx="5">
                  <c:v>2017/1/9</c:v>
                </c:pt>
                <c:pt idx="6">
                  <c:v>2017/1/10</c:v>
                </c:pt>
                <c:pt idx="7">
                  <c:v>2017/1/11</c:v>
                </c:pt>
                <c:pt idx="8">
                  <c:v>2017/1/12</c:v>
                </c:pt>
                <c:pt idx="9">
                  <c:v>2017/1/13</c:v>
                </c:pt>
                <c:pt idx="10">
                  <c:v>2017/1/16</c:v>
                </c:pt>
                <c:pt idx="11">
                  <c:v>2017/1/17</c:v>
                </c:pt>
                <c:pt idx="12">
                  <c:v>2017/1/18</c:v>
                </c:pt>
                <c:pt idx="13">
                  <c:v>2017/1/19</c:v>
                </c:pt>
                <c:pt idx="14">
                  <c:v>2017/1/20</c:v>
                </c:pt>
                <c:pt idx="15">
                  <c:v>2017/1/23</c:v>
                </c:pt>
                <c:pt idx="16">
                  <c:v>2017/1/24</c:v>
                </c:pt>
                <c:pt idx="17">
                  <c:v>2017/1/25</c:v>
                </c:pt>
                <c:pt idx="18">
                  <c:v>2017/1/26</c:v>
                </c:pt>
                <c:pt idx="19">
                  <c:v>2017/1/27</c:v>
                </c:pt>
                <c:pt idx="20">
                  <c:v>2017/1/30</c:v>
                </c:pt>
                <c:pt idx="21">
                  <c:v>2017/1/31</c:v>
                </c:pt>
                <c:pt idx="22">
                  <c:v>2017/2/1</c:v>
                </c:pt>
                <c:pt idx="23">
                  <c:v>2017/2/2</c:v>
                </c:pt>
                <c:pt idx="24">
                  <c:v>2017/2/3</c:v>
                </c:pt>
                <c:pt idx="25">
                  <c:v>2017/2/6</c:v>
                </c:pt>
                <c:pt idx="26">
                  <c:v>2017/2/7</c:v>
                </c:pt>
                <c:pt idx="27">
                  <c:v>2017/2/8</c:v>
                </c:pt>
                <c:pt idx="28">
                  <c:v>2017/2/9</c:v>
                </c:pt>
                <c:pt idx="29">
                  <c:v>2017/2/10</c:v>
                </c:pt>
                <c:pt idx="30">
                  <c:v>2017/2/13</c:v>
                </c:pt>
                <c:pt idx="31">
                  <c:v>2017/2/14</c:v>
                </c:pt>
                <c:pt idx="32">
                  <c:v>2017/2/15</c:v>
                </c:pt>
                <c:pt idx="33">
                  <c:v>2017/2/16</c:v>
                </c:pt>
                <c:pt idx="34">
                  <c:v>2017/2/17</c:v>
                </c:pt>
                <c:pt idx="35">
                  <c:v>2017/2/20</c:v>
                </c:pt>
                <c:pt idx="36">
                  <c:v>2017/2/21</c:v>
                </c:pt>
                <c:pt idx="37">
                  <c:v>2017/2/22</c:v>
                </c:pt>
                <c:pt idx="38">
                  <c:v>2017/2/23</c:v>
                </c:pt>
                <c:pt idx="39">
                  <c:v>2017/2/24</c:v>
                </c:pt>
                <c:pt idx="40">
                  <c:v>2017/2/27</c:v>
                </c:pt>
                <c:pt idx="41">
                  <c:v>2017/2/28</c:v>
                </c:pt>
                <c:pt idx="42">
                  <c:v>2017/3/1</c:v>
                </c:pt>
                <c:pt idx="43">
                  <c:v>2017/3/2</c:v>
                </c:pt>
                <c:pt idx="44">
                  <c:v>2017/3/3</c:v>
                </c:pt>
                <c:pt idx="45">
                  <c:v>2017/3/6</c:v>
                </c:pt>
                <c:pt idx="46">
                  <c:v>2017/3/7</c:v>
                </c:pt>
                <c:pt idx="47">
                  <c:v>2017/3/8</c:v>
                </c:pt>
                <c:pt idx="48">
                  <c:v>2017/3/9</c:v>
                </c:pt>
                <c:pt idx="49">
                  <c:v>2017/3/10</c:v>
                </c:pt>
                <c:pt idx="50">
                  <c:v>2017/3/13</c:v>
                </c:pt>
                <c:pt idx="51">
                  <c:v>2017/3/14</c:v>
                </c:pt>
                <c:pt idx="52">
                  <c:v>2017/3/15</c:v>
                </c:pt>
                <c:pt idx="53">
                  <c:v>2017/3/16</c:v>
                </c:pt>
                <c:pt idx="54">
                  <c:v>2017/3/17</c:v>
                </c:pt>
                <c:pt idx="55">
                  <c:v>2017/3/20</c:v>
                </c:pt>
                <c:pt idx="56">
                  <c:v>2017/3/21</c:v>
                </c:pt>
                <c:pt idx="57">
                  <c:v>2017/3/22</c:v>
                </c:pt>
                <c:pt idx="58">
                  <c:v>2017/3/23</c:v>
                </c:pt>
                <c:pt idx="59">
                  <c:v>2017/3/24</c:v>
                </c:pt>
                <c:pt idx="60">
                  <c:v>2017/3/27</c:v>
                </c:pt>
                <c:pt idx="61">
                  <c:v>2017/3/28</c:v>
                </c:pt>
                <c:pt idx="62">
                  <c:v>2017/3/29</c:v>
                </c:pt>
                <c:pt idx="63">
                  <c:v>2017/3/30</c:v>
                </c:pt>
                <c:pt idx="64">
                  <c:v>2017/3/31</c:v>
                </c:pt>
                <c:pt idx="65">
                  <c:v>2017/4/3</c:v>
                </c:pt>
                <c:pt idx="66">
                  <c:v>2017/4/4</c:v>
                </c:pt>
                <c:pt idx="67">
                  <c:v>2017/4/5</c:v>
                </c:pt>
                <c:pt idx="68">
                  <c:v>2017/4/6</c:v>
                </c:pt>
                <c:pt idx="69">
                  <c:v>2017/4/7</c:v>
                </c:pt>
                <c:pt idx="70">
                  <c:v>2017/4/10</c:v>
                </c:pt>
                <c:pt idx="71">
                  <c:v>2017/4/11</c:v>
                </c:pt>
                <c:pt idx="72">
                  <c:v>2017/4/12</c:v>
                </c:pt>
                <c:pt idx="73">
                  <c:v>2017/4/13</c:v>
                </c:pt>
                <c:pt idx="74">
                  <c:v>2017/4/14</c:v>
                </c:pt>
                <c:pt idx="75">
                  <c:v>2017/4/17</c:v>
                </c:pt>
                <c:pt idx="76">
                  <c:v>2017/4/18</c:v>
                </c:pt>
                <c:pt idx="77">
                  <c:v>2017/4/19</c:v>
                </c:pt>
                <c:pt idx="78">
                  <c:v>2017/4/20</c:v>
                </c:pt>
                <c:pt idx="79">
                  <c:v>2017/4/21</c:v>
                </c:pt>
                <c:pt idx="80">
                  <c:v>2017/4/24</c:v>
                </c:pt>
                <c:pt idx="81">
                  <c:v>2017/4/25</c:v>
                </c:pt>
                <c:pt idx="82">
                  <c:v>2017/4/26</c:v>
                </c:pt>
                <c:pt idx="83">
                  <c:v>2017/4/27</c:v>
                </c:pt>
                <c:pt idx="84">
                  <c:v>2017/4/28</c:v>
                </c:pt>
                <c:pt idx="85">
                  <c:v>2017/5/1</c:v>
                </c:pt>
                <c:pt idx="86">
                  <c:v>2017/5/2</c:v>
                </c:pt>
                <c:pt idx="87">
                  <c:v>2017/5/3</c:v>
                </c:pt>
                <c:pt idx="88">
                  <c:v>2017/5/4</c:v>
                </c:pt>
                <c:pt idx="89">
                  <c:v>2017/5/5</c:v>
                </c:pt>
                <c:pt idx="90">
                  <c:v>2017/5/8</c:v>
                </c:pt>
                <c:pt idx="91">
                  <c:v>2017/5/9</c:v>
                </c:pt>
                <c:pt idx="92">
                  <c:v>2017/5/10</c:v>
                </c:pt>
                <c:pt idx="93">
                  <c:v>2017/5/11</c:v>
                </c:pt>
                <c:pt idx="94">
                  <c:v>2017/5/12</c:v>
                </c:pt>
                <c:pt idx="95">
                  <c:v>2017/5/15</c:v>
                </c:pt>
                <c:pt idx="96">
                  <c:v>2017/5/16</c:v>
                </c:pt>
                <c:pt idx="97">
                  <c:v>2017/5/17</c:v>
                </c:pt>
                <c:pt idx="98">
                  <c:v>2017/5/18</c:v>
                </c:pt>
                <c:pt idx="99">
                  <c:v>2017/5/19</c:v>
                </c:pt>
                <c:pt idx="100">
                  <c:v>2017/5/22</c:v>
                </c:pt>
                <c:pt idx="101">
                  <c:v>2017/5/23</c:v>
                </c:pt>
                <c:pt idx="102">
                  <c:v>2017/5/24</c:v>
                </c:pt>
                <c:pt idx="103">
                  <c:v>2017/5/25</c:v>
                </c:pt>
                <c:pt idx="104">
                  <c:v>2017/5/26</c:v>
                </c:pt>
                <c:pt idx="105">
                  <c:v>2017/5/29</c:v>
                </c:pt>
                <c:pt idx="106">
                  <c:v>2017/5/30</c:v>
                </c:pt>
                <c:pt idx="107">
                  <c:v>2017/5/31</c:v>
                </c:pt>
                <c:pt idx="108">
                  <c:v>2017/6/1</c:v>
                </c:pt>
                <c:pt idx="109">
                  <c:v>2017/6/2</c:v>
                </c:pt>
                <c:pt idx="110">
                  <c:v>2017/6/5</c:v>
                </c:pt>
                <c:pt idx="111">
                  <c:v>2017/6/6</c:v>
                </c:pt>
                <c:pt idx="112">
                  <c:v>2017/6/7</c:v>
                </c:pt>
                <c:pt idx="113">
                  <c:v>2017/6/8</c:v>
                </c:pt>
                <c:pt idx="114">
                  <c:v>2017/6/9</c:v>
                </c:pt>
                <c:pt idx="115">
                  <c:v>2017/6/12</c:v>
                </c:pt>
                <c:pt idx="116">
                  <c:v>2017/6/13</c:v>
                </c:pt>
                <c:pt idx="117">
                  <c:v>2017/6/14</c:v>
                </c:pt>
                <c:pt idx="118">
                  <c:v>2017/6/15</c:v>
                </c:pt>
                <c:pt idx="119">
                  <c:v>2017/6/16</c:v>
                </c:pt>
                <c:pt idx="120">
                  <c:v>2017/6/19</c:v>
                </c:pt>
                <c:pt idx="121">
                  <c:v>2017/6/20</c:v>
                </c:pt>
                <c:pt idx="122">
                  <c:v>2017/6/21</c:v>
                </c:pt>
                <c:pt idx="123">
                  <c:v>2017/6/22</c:v>
                </c:pt>
                <c:pt idx="124">
                  <c:v>2017/6/23</c:v>
                </c:pt>
                <c:pt idx="125">
                  <c:v>2017/6/26</c:v>
                </c:pt>
                <c:pt idx="126">
                  <c:v>2017/6/27</c:v>
                </c:pt>
                <c:pt idx="127">
                  <c:v>2017/6/28</c:v>
                </c:pt>
                <c:pt idx="128">
                  <c:v>2017/6/29</c:v>
                </c:pt>
                <c:pt idx="129">
                  <c:v>2017/6/30</c:v>
                </c:pt>
                <c:pt idx="130">
                  <c:v>2017/7/3</c:v>
                </c:pt>
                <c:pt idx="131">
                  <c:v>2017/7/4</c:v>
                </c:pt>
                <c:pt idx="132">
                  <c:v>2017/7/5</c:v>
                </c:pt>
                <c:pt idx="133">
                  <c:v>2017/7/6</c:v>
                </c:pt>
                <c:pt idx="134">
                  <c:v>2017/7/7</c:v>
                </c:pt>
                <c:pt idx="135">
                  <c:v>2017/7/10</c:v>
                </c:pt>
                <c:pt idx="136">
                  <c:v>2017/7/11</c:v>
                </c:pt>
                <c:pt idx="137">
                  <c:v>2017/7/12</c:v>
                </c:pt>
                <c:pt idx="138">
                  <c:v>2017/7/13</c:v>
                </c:pt>
                <c:pt idx="139">
                  <c:v>2017/7/14</c:v>
                </c:pt>
                <c:pt idx="140">
                  <c:v>2017/7/17</c:v>
                </c:pt>
                <c:pt idx="141">
                  <c:v>2017/7/18</c:v>
                </c:pt>
                <c:pt idx="142">
                  <c:v>2017/7/19</c:v>
                </c:pt>
                <c:pt idx="143">
                  <c:v>2017/7/20</c:v>
                </c:pt>
                <c:pt idx="144">
                  <c:v>2017/7/21</c:v>
                </c:pt>
                <c:pt idx="145">
                  <c:v>2017/7/24</c:v>
                </c:pt>
                <c:pt idx="146">
                  <c:v>2017/7/25</c:v>
                </c:pt>
                <c:pt idx="147">
                  <c:v>2017/7/26</c:v>
                </c:pt>
                <c:pt idx="148">
                  <c:v>2017/7/27</c:v>
                </c:pt>
                <c:pt idx="149">
                  <c:v>2017/7/28</c:v>
                </c:pt>
                <c:pt idx="150">
                  <c:v>2017/7/31</c:v>
                </c:pt>
                <c:pt idx="151">
                  <c:v>2017/8/1</c:v>
                </c:pt>
                <c:pt idx="152">
                  <c:v>2017/8/2</c:v>
                </c:pt>
                <c:pt idx="153">
                  <c:v>2017/8/3</c:v>
                </c:pt>
                <c:pt idx="154">
                  <c:v>2017/8/4</c:v>
                </c:pt>
                <c:pt idx="155">
                  <c:v>2017/8/7</c:v>
                </c:pt>
                <c:pt idx="156">
                  <c:v>2017/8/8</c:v>
                </c:pt>
                <c:pt idx="157">
                  <c:v>2017/8/9</c:v>
                </c:pt>
                <c:pt idx="158">
                  <c:v>2017/8/10</c:v>
                </c:pt>
                <c:pt idx="159">
                  <c:v>2017/8/11</c:v>
                </c:pt>
                <c:pt idx="160">
                  <c:v>2017/8/14</c:v>
                </c:pt>
                <c:pt idx="161">
                  <c:v>2017/8/15</c:v>
                </c:pt>
                <c:pt idx="162">
                  <c:v>2017/8/16</c:v>
                </c:pt>
                <c:pt idx="163">
                  <c:v>2017/8/17</c:v>
                </c:pt>
                <c:pt idx="164">
                  <c:v>2017/8/18</c:v>
                </c:pt>
                <c:pt idx="165">
                  <c:v>2017/8/21</c:v>
                </c:pt>
                <c:pt idx="166">
                  <c:v>2017/8/22</c:v>
                </c:pt>
                <c:pt idx="167">
                  <c:v>2017/8/23</c:v>
                </c:pt>
                <c:pt idx="168">
                  <c:v>2017/8/24</c:v>
                </c:pt>
                <c:pt idx="169">
                  <c:v>2017/8/25</c:v>
                </c:pt>
                <c:pt idx="170">
                  <c:v>2017/8/28</c:v>
                </c:pt>
                <c:pt idx="171">
                  <c:v>2017/8/29</c:v>
                </c:pt>
                <c:pt idx="172">
                  <c:v>2017/8/30</c:v>
                </c:pt>
                <c:pt idx="173">
                  <c:v>2017/8/31</c:v>
                </c:pt>
                <c:pt idx="174">
                  <c:v>2017/9/1</c:v>
                </c:pt>
                <c:pt idx="175">
                  <c:v>2017/9/4</c:v>
                </c:pt>
                <c:pt idx="176">
                  <c:v>2017/9/5</c:v>
                </c:pt>
                <c:pt idx="177">
                  <c:v>2017/9/6</c:v>
                </c:pt>
                <c:pt idx="178">
                  <c:v>2017/9/7</c:v>
                </c:pt>
                <c:pt idx="179">
                  <c:v>2017/9/8</c:v>
                </c:pt>
                <c:pt idx="180">
                  <c:v>2017/9/11</c:v>
                </c:pt>
                <c:pt idx="181">
                  <c:v>2017/9/12</c:v>
                </c:pt>
                <c:pt idx="182">
                  <c:v>2017/9/13</c:v>
                </c:pt>
                <c:pt idx="183">
                  <c:v>2017/9/14</c:v>
                </c:pt>
                <c:pt idx="184">
                  <c:v>2017/9/15</c:v>
                </c:pt>
                <c:pt idx="185">
                  <c:v>2017/9/18</c:v>
                </c:pt>
                <c:pt idx="186">
                  <c:v>2017/9/19</c:v>
                </c:pt>
                <c:pt idx="187">
                  <c:v>2017/9/20</c:v>
                </c:pt>
                <c:pt idx="188">
                  <c:v>2017/9/21</c:v>
                </c:pt>
                <c:pt idx="189">
                  <c:v>2017/9/22</c:v>
                </c:pt>
                <c:pt idx="190">
                  <c:v>2017/9/25</c:v>
                </c:pt>
                <c:pt idx="191">
                  <c:v>2017/9/26</c:v>
                </c:pt>
                <c:pt idx="192">
                  <c:v>2017/9/27</c:v>
                </c:pt>
                <c:pt idx="193">
                  <c:v>2017/9/28</c:v>
                </c:pt>
                <c:pt idx="194">
                  <c:v>2017/9/29</c:v>
                </c:pt>
                <c:pt idx="195">
                  <c:v>2017/10/2</c:v>
                </c:pt>
                <c:pt idx="196">
                  <c:v>2017/10/3</c:v>
                </c:pt>
                <c:pt idx="197">
                  <c:v>2017/10/4</c:v>
                </c:pt>
                <c:pt idx="198">
                  <c:v>2017/10/5</c:v>
                </c:pt>
                <c:pt idx="199">
                  <c:v>2017/10/6</c:v>
                </c:pt>
                <c:pt idx="200">
                  <c:v>2017/10/9</c:v>
                </c:pt>
                <c:pt idx="201">
                  <c:v>2017/10/10</c:v>
                </c:pt>
                <c:pt idx="202">
                  <c:v>2017/10/11</c:v>
                </c:pt>
                <c:pt idx="203">
                  <c:v>2017/10/12</c:v>
                </c:pt>
                <c:pt idx="204">
                  <c:v>2017/10/13</c:v>
                </c:pt>
                <c:pt idx="205">
                  <c:v>2017/10/16</c:v>
                </c:pt>
                <c:pt idx="206">
                  <c:v>2017/10/17</c:v>
                </c:pt>
                <c:pt idx="207">
                  <c:v>2017/10/18</c:v>
                </c:pt>
                <c:pt idx="208">
                  <c:v>2017/10/19</c:v>
                </c:pt>
                <c:pt idx="209">
                  <c:v>2017/10/20</c:v>
                </c:pt>
                <c:pt idx="210">
                  <c:v>2017/10/23</c:v>
                </c:pt>
                <c:pt idx="211">
                  <c:v>2017/10/24</c:v>
                </c:pt>
                <c:pt idx="212">
                  <c:v>2017/10/25</c:v>
                </c:pt>
                <c:pt idx="213">
                  <c:v>2017/10/26</c:v>
                </c:pt>
                <c:pt idx="214">
                  <c:v>2017/10/27</c:v>
                </c:pt>
                <c:pt idx="215">
                  <c:v>2017/10/30</c:v>
                </c:pt>
                <c:pt idx="216">
                  <c:v>2017/10/31</c:v>
                </c:pt>
                <c:pt idx="217">
                  <c:v>2017/11/1</c:v>
                </c:pt>
                <c:pt idx="218">
                  <c:v>2017/11/2</c:v>
                </c:pt>
                <c:pt idx="219">
                  <c:v>2017/11/3</c:v>
                </c:pt>
                <c:pt idx="220">
                  <c:v>2017/11/6</c:v>
                </c:pt>
                <c:pt idx="221">
                  <c:v>2017/11/7</c:v>
                </c:pt>
                <c:pt idx="222">
                  <c:v>2017/11/8</c:v>
                </c:pt>
                <c:pt idx="223">
                  <c:v>2017/11/9</c:v>
                </c:pt>
                <c:pt idx="224">
                  <c:v>2017/11/10</c:v>
                </c:pt>
                <c:pt idx="225">
                  <c:v>2017/11/13</c:v>
                </c:pt>
                <c:pt idx="226">
                  <c:v>2017/11/14</c:v>
                </c:pt>
                <c:pt idx="227">
                  <c:v>2017/11/15</c:v>
                </c:pt>
                <c:pt idx="228">
                  <c:v>2017/11/16</c:v>
                </c:pt>
                <c:pt idx="229">
                  <c:v>2017/11/17</c:v>
                </c:pt>
                <c:pt idx="230">
                  <c:v>2017/11/20</c:v>
                </c:pt>
                <c:pt idx="231">
                  <c:v>2017/11/21</c:v>
                </c:pt>
                <c:pt idx="232">
                  <c:v>2017/11/22</c:v>
                </c:pt>
                <c:pt idx="233">
                  <c:v>2017/11/23</c:v>
                </c:pt>
                <c:pt idx="234">
                  <c:v>2017/11/24</c:v>
                </c:pt>
                <c:pt idx="235">
                  <c:v>2017/11/27</c:v>
                </c:pt>
                <c:pt idx="236">
                  <c:v>2017/11/28</c:v>
                </c:pt>
                <c:pt idx="237">
                  <c:v>2017/11/29</c:v>
                </c:pt>
                <c:pt idx="238">
                  <c:v>2017/11/30</c:v>
                </c:pt>
                <c:pt idx="239">
                  <c:v>2017/12/1</c:v>
                </c:pt>
                <c:pt idx="240">
                  <c:v>2017/12/4</c:v>
                </c:pt>
                <c:pt idx="241">
                  <c:v>2017/12/5</c:v>
                </c:pt>
                <c:pt idx="242">
                  <c:v>2017/12/6</c:v>
                </c:pt>
                <c:pt idx="243">
                  <c:v>2017/12/7</c:v>
                </c:pt>
                <c:pt idx="244">
                  <c:v>2017/12/8</c:v>
                </c:pt>
                <c:pt idx="245">
                  <c:v>2017/12/11</c:v>
                </c:pt>
                <c:pt idx="246">
                  <c:v>2017/12/12</c:v>
                </c:pt>
                <c:pt idx="247">
                  <c:v>2017/12/13</c:v>
                </c:pt>
                <c:pt idx="248">
                  <c:v>2017/12/14</c:v>
                </c:pt>
                <c:pt idx="249">
                  <c:v>2017/12/15</c:v>
                </c:pt>
                <c:pt idx="250">
                  <c:v>2017/12/18</c:v>
                </c:pt>
                <c:pt idx="251">
                  <c:v>2017/12/19</c:v>
                </c:pt>
                <c:pt idx="252">
                  <c:v>2017/12/20</c:v>
                </c:pt>
                <c:pt idx="253">
                  <c:v>2017/12/21</c:v>
                </c:pt>
                <c:pt idx="254">
                  <c:v>2017/12/22</c:v>
                </c:pt>
                <c:pt idx="255">
                  <c:v>2017/12/25</c:v>
                </c:pt>
                <c:pt idx="256">
                  <c:v>2017/12/26</c:v>
                </c:pt>
                <c:pt idx="257">
                  <c:v>2017/12/27</c:v>
                </c:pt>
                <c:pt idx="258">
                  <c:v>2017/12/28</c:v>
                </c:pt>
                <c:pt idx="259">
                  <c:v>2017/12/29</c:v>
                </c:pt>
                <c:pt idx="260">
                  <c:v>2018/1/1</c:v>
                </c:pt>
                <c:pt idx="261">
                  <c:v>2018/1/2</c:v>
                </c:pt>
                <c:pt idx="262">
                  <c:v>2018/1/3</c:v>
                </c:pt>
                <c:pt idx="263">
                  <c:v>2018/1/4</c:v>
                </c:pt>
                <c:pt idx="264">
                  <c:v>2018/1/5</c:v>
                </c:pt>
                <c:pt idx="265">
                  <c:v>2018/1/8</c:v>
                </c:pt>
                <c:pt idx="266">
                  <c:v>2018/1/9</c:v>
                </c:pt>
                <c:pt idx="267">
                  <c:v>2018/1/10</c:v>
                </c:pt>
                <c:pt idx="268">
                  <c:v>2018/1/11</c:v>
                </c:pt>
                <c:pt idx="269">
                  <c:v>2018/1/12</c:v>
                </c:pt>
                <c:pt idx="270">
                  <c:v>2018/1/15</c:v>
                </c:pt>
                <c:pt idx="271">
                  <c:v>2018/1/16</c:v>
                </c:pt>
                <c:pt idx="272">
                  <c:v>2018/1/17</c:v>
                </c:pt>
                <c:pt idx="273">
                  <c:v>2018/1/18</c:v>
                </c:pt>
                <c:pt idx="274">
                  <c:v>2018/1/19</c:v>
                </c:pt>
                <c:pt idx="275">
                  <c:v>2018/1/22</c:v>
                </c:pt>
                <c:pt idx="276">
                  <c:v>2018/1/23</c:v>
                </c:pt>
                <c:pt idx="277">
                  <c:v>2018/1/24</c:v>
                </c:pt>
                <c:pt idx="278">
                  <c:v>2018/1/25</c:v>
                </c:pt>
                <c:pt idx="279">
                  <c:v>2018/1/26</c:v>
                </c:pt>
                <c:pt idx="280">
                  <c:v>2018/1/29</c:v>
                </c:pt>
                <c:pt idx="281">
                  <c:v>2018/1/30</c:v>
                </c:pt>
                <c:pt idx="282">
                  <c:v>2018/1/31</c:v>
                </c:pt>
                <c:pt idx="283">
                  <c:v>2018/2/1</c:v>
                </c:pt>
                <c:pt idx="284">
                  <c:v>2018/2/2</c:v>
                </c:pt>
                <c:pt idx="285">
                  <c:v>2018/2/5</c:v>
                </c:pt>
                <c:pt idx="286">
                  <c:v>2018/2/6</c:v>
                </c:pt>
                <c:pt idx="287">
                  <c:v>2018/2/7</c:v>
                </c:pt>
                <c:pt idx="288">
                  <c:v>2018/2/8</c:v>
                </c:pt>
                <c:pt idx="289">
                  <c:v>2018/2/9</c:v>
                </c:pt>
                <c:pt idx="290">
                  <c:v>2018/2/12</c:v>
                </c:pt>
                <c:pt idx="291">
                  <c:v>2018/2/13</c:v>
                </c:pt>
                <c:pt idx="292">
                  <c:v>2018/2/14</c:v>
                </c:pt>
                <c:pt idx="293">
                  <c:v>2018/2/15</c:v>
                </c:pt>
                <c:pt idx="294">
                  <c:v>2018/2/16</c:v>
                </c:pt>
                <c:pt idx="295">
                  <c:v>2018/2/19</c:v>
                </c:pt>
                <c:pt idx="296">
                  <c:v>2018/2/20</c:v>
                </c:pt>
                <c:pt idx="297">
                  <c:v>2018/2/21</c:v>
                </c:pt>
                <c:pt idx="298">
                  <c:v>2018/2/22</c:v>
                </c:pt>
                <c:pt idx="299">
                  <c:v>2018/2/23</c:v>
                </c:pt>
                <c:pt idx="300">
                  <c:v>2018/2/26</c:v>
                </c:pt>
                <c:pt idx="301">
                  <c:v>2018/2/27</c:v>
                </c:pt>
                <c:pt idx="302">
                  <c:v>2018/2/28</c:v>
                </c:pt>
                <c:pt idx="303">
                  <c:v>2018/3/1</c:v>
                </c:pt>
                <c:pt idx="304">
                  <c:v>2018/3/2</c:v>
                </c:pt>
                <c:pt idx="305">
                  <c:v>2018/3/5</c:v>
                </c:pt>
                <c:pt idx="306">
                  <c:v>2018/3/6</c:v>
                </c:pt>
                <c:pt idx="307">
                  <c:v>2018/3/7</c:v>
                </c:pt>
                <c:pt idx="308">
                  <c:v>2018/3/8</c:v>
                </c:pt>
                <c:pt idx="309">
                  <c:v>2018/3/9</c:v>
                </c:pt>
                <c:pt idx="310">
                  <c:v>2018/3/12</c:v>
                </c:pt>
                <c:pt idx="311">
                  <c:v>2018/3/13</c:v>
                </c:pt>
                <c:pt idx="312">
                  <c:v>2018/3/14</c:v>
                </c:pt>
                <c:pt idx="313">
                  <c:v>2018/3/15</c:v>
                </c:pt>
                <c:pt idx="314">
                  <c:v>2018/3/16</c:v>
                </c:pt>
                <c:pt idx="315">
                  <c:v>2018/3/19</c:v>
                </c:pt>
                <c:pt idx="316">
                  <c:v>2018/3/20</c:v>
                </c:pt>
                <c:pt idx="317">
                  <c:v>2018/3/21</c:v>
                </c:pt>
                <c:pt idx="318">
                  <c:v>2018/3/22</c:v>
                </c:pt>
                <c:pt idx="319">
                  <c:v>2018/3/23</c:v>
                </c:pt>
                <c:pt idx="320">
                  <c:v>2018/3/26</c:v>
                </c:pt>
                <c:pt idx="321">
                  <c:v>2018/3/27</c:v>
                </c:pt>
                <c:pt idx="322">
                  <c:v>2018/3/28</c:v>
                </c:pt>
                <c:pt idx="323">
                  <c:v>2018/3/29</c:v>
                </c:pt>
                <c:pt idx="324">
                  <c:v>2018/3/30</c:v>
                </c:pt>
                <c:pt idx="325">
                  <c:v>2018/4/2</c:v>
                </c:pt>
                <c:pt idx="326">
                  <c:v>2018/4/3</c:v>
                </c:pt>
                <c:pt idx="327">
                  <c:v>2018/4/4</c:v>
                </c:pt>
                <c:pt idx="328">
                  <c:v>2018/4/5</c:v>
                </c:pt>
                <c:pt idx="329">
                  <c:v>2018/4/6</c:v>
                </c:pt>
                <c:pt idx="330">
                  <c:v>2018/4/9</c:v>
                </c:pt>
                <c:pt idx="331">
                  <c:v>2018/4/10</c:v>
                </c:pt>
                <c:pt idx="332">
                  <c:v>2018/4/11</c:v>
                </c:pt>
                <c:pt idx="333">
                  <c:v>2018/4/12</c:v>
                </c:pt>
                <c:pt idx="334">
                  <c:v>2018/4/13</c:v>
                </c:pt>
                <c:pt idx="335">
                  <c:v>2018/4/16</c:v>
                </c:pt>
                <c:pt idx="336">
                  <c:v>2018/4/17</c:v>
                </c:pt>
                <c:pt idx="337">
                  <c:v>2018/4/18</c:v>
                </c:pt>
                <c:pt idx="338">
                  <c:v>2018/4/19</c:v>
                </c:pt>
                <c:pt idx="339">
                  <c:v>2018/4/20</c:v>
                </c:pt>
                <c:pt idx="340">
                  <c:v>2018/4/23</c:v>
                </c:pt>
                <c:pt idx="341">
                  <c:v>2018/4/24</c:v>
                </c:pt>
                <c:pt idx="342">
                  <c:v>2018/4/25</c:v>
                </c:pt>
                <c:pt idx="343">
                  <c:v>2018/4/26</c:v>
                </c:pt>
                <c:pt idx="344">
                  <c:v>2018/4/27</c:v>
                </c:pt>
                <c:pt idx="345">
                  <c:v>2018/4/30</c:v>
                </c:pt>
                <c:pt idx="346">
                  <c:v>2018/5/1</c:v>
                </c:pt>
                <c:pt idx="347">
                  <c:v>2018/5/2</c:v>
                </c:pt>
                <c:pt idx="348">
                  <c:v>2018/5/3</c:v>
                </c:pt>
                <c:pt idx="349">
                  <c:v>2018/5/4</c:v>
                </c:pt>
                <c:pt idx="350">
                  <c:v>2018/5/7</c:v>
                </c:pt>
                <c:pt idx="351">
                  <c:v>2018/5/8</c:v>
                </c:pt>
                <c:pt idx="352">
                  <c:v>2018/5/9</c:v>
                </c:pt>
                <c:pt idx="353">
                  <c:v>2018/5/10</c:v>
                </c:pt>
                <c:pt idx="354">
                  <c:v>2018/5/11</c:v>
                </c:pt>
                <c:pt idx="355">
                  <c:v>2018/5/14</c:v>
                </c:pt>
                <c:pt idx="356">
                  <c:v>2018/5/15</c:v>
                </c:pt>
                <c:pt idx="357">
                  <c:v>2018/5/16</c:v>
                </c:pt>
                <c:pt idx="358">
                  <c:v>2018/5/17</c:v>
                </c:pt>
                <c:pt idx="359">
                  <c:v>2018/5/18</c:v>
                </c:pt>
                <c:pt idx="360">
                  <c:v>2018/5/21</c:v>
                </c:pt>
                <c:pt idx="361">
                  <c:v>2018/5/22</c:v>
                </c:pt>
                <c:pt idx="362">
                  <c:v>2018/5/23</c:v>
                </c:pt>
                <c:pt idx="363">
                  <c:v>2018/5/24</c:v>
                </c:pt>
                <c:pt idx="364">
                  <c:v>2018/5/25</c:v>
                </c:pt>
                <c:pt idx="365">
                  <c:v>2018/5/28</c:v>
                </c:pt>
                <c:pt idx="366">
                  <c:v>2018/5/29</c:v>
                </c:pt>
                <c:pt idx="367">
                  <c:v>2018/5/30</c:v>
                </c:pt>
                <c:pt idx="368">
                  <c:v>2018/5/31</c:v>
                </c:pt>
                <c:pt idx="369">
                  <c:v>2018/6/1</c:v>
                </c:pt>
                <c:pt idx="370">
                  <c:v>2018/6/4</c:v>
                </c:pt>
                <c:pt idx="371">
                  <c:v>2018/6/5</c:v>
                </c:pt>
                <c:pt idx="372">
                  <c:v>2018/6/6</c:v>
                </c:pt>
                <c:pt idx="373">
                  <c:v>2018/6/7</c:v>
                </c:pt>
                <c:pt idx="374">
                  <c:v>2018/6/8</c:v>
                </c:pt>
                <c:pt idx="375">
                  <c:v>2018/6/11</c:v>
                </c:pt>
                <c:pt idx="376">
                  <c:v>2018/6/12</c:v>
                </c:pt>
                <c:pt idx="377">
                  <c:v>2018/6/13</c:v>
                </c:pt>
                <c:pt idx="378">
                  <c:v>2018/6/14</c:v>
                </c:pt>
                <c:pt idx="379">
                  <c:v>2018/6/15</c:v>
                </c:pt>
                <c:pt idx="380">
                  <c:v>2018/6/18</c:v>
                </c:pt>
                <c:pt idx="381">
                  <c:v>2018/6/19</c:v>
                </c:pt>
                <c:pt idx="382">
                  <c:v>2018/6/20</c:v>
                </c:pt>
                <c:pt idx="383">
                  <c:v>2018/6/21</c:v>
                </c:pt>
                <c:pt idx="384">
                  <c:v>2018/6/22</c:v>
                </c:pt>
                <c:pt idx="385">
                  <c:v>2018/6/25</c:v>
                </c:pt>
                <c:pt idx="386">
                  <c:v>2018/6/26</c:v>
                </c:pt>
                <c:pt idx="387">
                  <c:v>2018/6/27</c:v>
                </c:pt>
                <c:pt idx="388">
                  <c:v>2018/6/28</c:v>
                </c:pt>
                <c:pt idx="389">
                  <c:v>2018/6/29</c:v>
                </c:pt>
                <c:pt idx="390">
                  <c:v>2018/7/2</c:v>
                </c:pt>
                <c:pt idx="391">
                  <c:v>2018/7/3</c:v>
                </c:pt>
                <c:pt idx="392">
                  <c:v>2018/7/4</c:v>
                </c:pt>
                <c:pt idx="393">
                  <c:v>2018/7/5</c:v>
                </c:pt>
                <c:pt idx="394">
                  <c:v>2018/7/6</c:v>
                </c:pt>
                <c:pt idx="395">
                  <c:v>2018/7/9</c:v>
                </c:pt>
                <c:pt idx="396">
                  <c:v>2018/7/10</c:v>
                </c:pt>
                <c:pt idx="397">
                  <c:v>2018/7/11</c:v>
                </c:pt>
                <c:pt idx="398">
                  <c:v>2018/7/12</c:v>
                </c:pt>
                <c:pt idx="399">
                  <c:v>2018/7/13</c:v>
                </c:pt>
                <c:pt idx="400">
                  <c:v>2018/7/16</c:v>
                </c:pt>
                <c:pt idx="401">
                  <c:v>2018/7/17</c:v>
                </c:pt>
                <c:pt idx="402">
                  <c:v>2018/7/18</c:v>
                </c:pt>
                <c:pt idx="403">
                  <c:v>2018/7/19</c:v>
                </c:pt>
                <c:pt idx="404">
                  <c:v>2018/7/20</c:v>
                </c:pt>
                <c:pt idx="405">
                  <c:v>2018/7/23</c:v>
                </c:pt>
                <c:pt idx="406">
                  <c:v>2018/7/24</c:v>
                </c:pt>
                <c:pt idx="407">
                  <c:v>2018/7/25</c:v>
                </c:pt>
                <c:pt idx="408">
                  <c:v>2018/7/26</c:v>
                </c:pt>
                <c:pt idx="409">
                  <c:v>2018/7/27</c:v>
                </c:pt>
                <c:pt idx="410">
                  <c:v>2018/7/30</c:v>
                </c:pt>
                <c:pt idx="411">
                  <c:v>2018/7/31</c:v>
                </c:pt>
                <c:pt idx="412">
                  <c:v>2018/8/1</c:v>
                </c:pt>
                <c:pt idx="413">
                  <c:v>2018/8/2</c:v>
                </c:pt>
                <c:pt idx="414">
                  <c:v>2018/8/3</c:v>
                </c:pt>
                <c:pt idx="415">
                  <c:v>2018/8/6</c:v>
                </c:pt>
                <c:pt idx="416">
                  <c:v>2018/8/7</c:v>
                </c:pt>
                <c:pt idx="417">
                  <c:v>2018/8/8</c:v>
                </c:pt>
                <c:pt idx="418">
                  <c:v>2018/8/9</c:v>
                </c:pt>
                <c:pt idx="419">
                  <c:v>2018/8/10</c:v>
                </c:pt>
                <c:pt idx="420">
                  <c:v>2018/8/13</c:v>
                </c:pt>
                <c:pt idx="421">
                  <c:v>2018/8/14</c:v>
                </c:pt>
                <c:pt idx="422">
                  <c:v>2018/8/15</c:v>
                </c:pt>
                <c:pt idx="423">
                  <c:v>2018/8/16</c:v>
                </c:pt>
                <c:pt idx="424">
                  <c:v>2018/8/17</c:v>
                </c:pt>
                <c:pt idx="425">
                  <c:v>2018/8/20</c:v>
                </c:pt>
                <c:pt idx="426">
                  <c:v>2018/8/21</c:v>
                </c:pt>
                <c:pt idx="427">
                  <c:v>2018/8/22</c:v>
                </c:pt>
                <c:pt idx="428">
                  <c:v>2018/8/23</c:v>
                </c:pt>
                <c:pt idx="429">
                  <c:v>2018/8/24</c:v>
                </c:pt>
                <c:pt idx="430">
                  <c:v>2018/8/27</c:v>
                </c:pt>
                <c:pt idx="431">
                  <c:v>2018/8/28</c:v>
                </c:pt>
                <c:pt idx="432">
                  <c:v>2018/8/29</c:v>
                </c:pt>
                <c:pt idx="433">
                  <c:v>2018/8/30</c:v>
                </c:pt>
                <c:pt idx="434">
                  <c:v>2018/8/31</c:v>
                </c:pt>
                <c:pt idx="435">
                  <c:v>2018/9/3</c:v>
                </c:pt>
                <c:pt idx="436">
                  <c:v>2018/9/4</c:v>
                </c:pt>
                <c:pt idx="437">
                  <c:v>2018/9/5</c:v>
                </c:pt>
                <c:pt idx="438">
                  <c:v>2018/9/6</c:v>
                </c:pt>
                <c:pt idx="439">
                  <c:v>2018/9/7</c:v>
                </c:pt>
                <c:pt idx="440">
                  <c:v>2018/9/10</c:v>
                </c:pt>
                <c:pt idx="441">
                  <c:v>2018/9/11</c:v>
                </c:pt>
                <c:pt idx="442">
                  <c:v>2018/9/12</c:v>
                </c:pt>
                <c:pt idx="443">
                  <c:v>2018/9/13</c:v>
                </c:pt>
                <c:pt idx="444">
                  <c:v>2018/9/14</c:v>
                </c:pt>
                <c:pt idx="445">
                  <c:v>2018/9/17</c:v>
                </c:pt>
                <c:pt idx="446">
                  <c:v>2018/9/18</c:v>
                </c:pt>
                <c:pt idx="447">
                  <c:v>2018/9/19</c:v>
                </c:pt>
                <c:pt idx="448">
                  <c:v>2018/9/20</c:v>
                </c:pt>
                <c:pt idx="449">
                  <c:v>2018/9/21</c:v>
                </c:pt>
                <c:pt idx="450">
                  <c:v>2018/9/24</c:v>
                </c:pt>
                <c:pt idx="451">
                  <c:v>2018/9/25</c:v>
                </c:pt>
                <c:pt idx="452">
                  <c:v>2018/9/26</c:v>
                </c:pt>
                <c:pt idx="453">
                  <c:v>2018/9/27</c:v>
                </c:pt>
                <c:pt idx="454">
                  <c:v>2018/9/28</c:v>
                </c:pt>
                <c:pt idx="455">
                  <c:v>2018/10/1</c:v>
                </c:pt>
                <c:pt idx="456">
                  <c:v>2018/10/2</c:v>
                </c:pt>
                <c:pt idx="457">
                  <c:v>2018/10/3</c:v>
                </c:pt>
                <c:pt idx="458">
                  <c:v>2018/10/4</c:v>
                </c:pt>
                <c:pt idx="459">
                  <c:v>2018/10/5</c:v>
                </c:pt>
                <c:pt idx="460">
                  <c:v>2018/10/8</c:v>
                </c:pt>
                <c:pt idx="461">
                  <c:v>2018/10/9</c:v>
                </c:pt>
                <c:pt idx="462">
                  <c:v>2018/10/10</c:v>
                </c:pt>
                <c:pt idx="463">
                  <c:v>2018/10/11</c:v>
                </c:pt>
                <c:pt idx="464">
                  <c:v>2018/10/12</c:v>
                </c:pt>
                <c:pt idx="465">
                  <c:v>2018/10/15</c:v>
                </c:pt>
                <c:pt idx="466">
                  <c:v>2018/10/16</c:v>
                </c:pt>
                <c:pt idx="467">
                  <c:v>2018/10/17</c:v>
                </c:pt>
                <c:pt idx="468">
                  <c:v>2018/10/18</c:v>
                </c:pt>
                <c:pt idx="469">
                  <c:v>2018/10/19</c:v>
                </c:pt>
                <c:pt idx="470">
                  <c:v>2018/10/22</c:v>
                </c:pt>
                <c:pt idx="471">
                  <c:v>2018/10/23</c:v>
                </c:pt>
                <c:pt idx="472">
                  <c:v>2018/10/24</c:v>
                </c:pt>
                <c:pt idx="473">
                  <c:v>2018/10/25</c:v>
                </c:pt>
                <c:pt idx="474">
                  <c:v>2018/10/26</c:v>
                </c:pt>
                <c:pt idx="475">
                  <c:v>2018/10/29</c:v>
                </c:pt>
                <c:pt idx="476">
                  <c:v>2018/10/30</c:v>
                </c:pt>
                <c:pt idx="477">
                  <c:v>2018/10/31</c:v>
                </c:pt>
                <c:pt idx="478">
                  <c:v>2018/11/1</c:v>
                </c:pt>
                <c:pt idx="479">
                  <c:v>2018/11/2</c:v>
                </c:pt>
                <c:pt idx="480">
                  <c:v>2018/11/5</c:v>
                </c:pt>
                <c:pt idx="481">
                  <c:v>2018/11/6</c:v>
                </c:pt>
                <c:pt idx="482">
                  <c:v>2018/11/7</c:v>
                </c:pt>
                <c:pt idx="483">
                  <c:v>2018/11/8</c:v>
                </c:pt>
                <c:pt idx="484">
                  <c:v>2018/11/9</c:v>
                </c:pt>
                <c:pt idx="485">
                  <c:v>2018/11/12</c:v>
                </c:pt>
                <c:pt idx="486">
                  <c:v>2018/11/13</c:v>
                </c:pt>
                <c:pt idx="487">
                  <c:v>2018/11/14</c:v>
                </c:pt>
                <c:pt idx="488">
                  <c:v>2018/11/15</c:v>
                </c:pt>
                <c:pt idx="489">
                  <c:v>2018/11/16</c:v>
                </c:pt>
                <c:pt idx="490">
                  <c:v>2018/11/19</c:v>
                </c:pt>
                <c:pt idx="491">
                  <c:v>2018/11/20</c:v>
                </c:pt>
                <c:pt idx="492">
                  <c:v>2018/11/21</c:v>
                </c:pt>
                <c:pt idx="493">
                  <c:v>2018/11/22</c:v>
                </c:pt>
                <c:pt idx="494">
                  <c:v>2018/11/23</c:v>
                </c:pt>
                <c:pt idx="495">
                  <c:v>2018/11/26</c:v>
                </c:pt>
                <c:pt idx="496">
                  <c:v>2018/11/27</c:v>
                </c:pt>
                <c:pt idx="497">
                  <c:v>2018/11/28</c:v>
                </c:pt>
                <c:pt idx="498">
                  <c:v>2018/11/29</c:v>
                </c:pt>
                <c:pt idx="499">
                  <c:v>2018/11/30</c:v>
                </c:pt>
              </c:strCache>
            </c:strRef>
          </c:cat>
          <c:val>
            <c:numRef>
              <c:f>[0]!Out</c:f>
              <c:numCache>
                <c:formatCode>General</c:formatCode>
                <c:ptCount val="500"/>
                <c:pt idx="0">
                  <c:v>-0.24583010000000002</c:v>
                </c:pt>
                <c:pt idx="1">
                  <c:v>-1.9234450999999999</c:v>
                </c:pt>
                <c:pt idx="2">
                  <c:v>-2.9414005000000003</c:v>
                </c:pt>
                <c:pt idx="3">
                  <c:v>-3.5240322000000002</c:v>
                </c:pt>
                <c:pt idx="4">
                  <c:v>-4.5100286000000009</c:v>
                </c:pt>
                <c:pt idx="5">
                  <c:v>-3.1151375999999997</c:v>
                </c:pt>
                <c:pt idx="6">
                  <c:v>-2.7830187000000004</c:v>
                </c:pt>
                <c:pt idx="7">
                  <c:v>-5.7534029999999996</c:v>
                </c:pt>
                <c:pt idx="8">
                  <c:v>-3.1103752</c:v>
                </c:pt>
                <c:pt idx="9">
                  <c:v>-4.9362997999999996</c:v>
                </c:pt>
                <c:pt idx="10">
                  <c:v>-0.31558120000000001</c:v>
                </c:pt>
                <c:pt idx="11">
                  <c:v>-2.7722471</c:v>
                </c:pt>
                <c:pt idx="12">
                  <c:v>-2.5182929000000001</c:v>
                </c:pt>
                <c:pt idx="13">
                  <c:v>-4.4979984000000002</c:v>
                </c:pt>
                <c:pt idx="14">
                  <c:v>-7.9852770999999976</c:v>
                </c:pt>
                <c:pt idx="15">
                  <c:v>-2.7471926999999998</c:v>
                </c:pt>
                <c:pt idx="16">
                  <c:v>-4.0419545000000001</c:v>
                </c:pt>
                <c:pt idx="17">
                  <c:v>-1.9212135999999997</c:v>
                </c:pt>
                <c:pt idx="18">
                  <c:v>-1.4579114</c:v>
                </c:pt>
                <c:pt idx="19">
                  <c:v>-1.3831185999999998</c:v>
                </c:pt>
                <c:pt idx="20">
                  <c:v>-2.9254569999999998</c:v>
                </c:pt>
                <c:pt idx="21">
                  <c:v>-3.828040699999999</c:v>
                </c:pt>
                <c:pt idx="22">
                  <c:v>-5.0264187999999992</c:v>
                </c:pt>
                <c:pt idx="23">
                  <c:v>-3.8727992000000007</c:v>
                </c:pt>
                <c:pt idx="24">
                  <c:v>-1.8592030000000002</c:v>
                </c:pt>
                <c:pt idx="25">
                  <c:v>-2.5508391000000001</c:v>
                </c:pt>
                <c:pt idx="26">
                  <c:v>-2.5158856000000003</c:v>
                </c:pt>
                <c:pt idx="27">
                  <c:v>-3.3231446999999994</c:v>
                </c:pt>
                <c:pt idx="28">
                  <c:v>-1.8486785000000001</c:v>
                </c:pt>
                <c:pt idx="29">
                  <c:v>-1.1955869999999997</c:v>
                </c:pt>
                <c:pt idx="30">
                  <c:v>-1.6785651000000001</c:v>
                </c:pt>
                <c:pt idx="31">
                  <c:v>-3.663119500000001</c:v>
                </c:pt>
                <c:pt idx="32">
                  <c:v>-3.1295348999999999</c:v>
                </c:pt>
                <c:pt idx="33">
                  <c:v>-3.4832741999999999</c:v>
                </c:pt>
                <c:pt idx="34">
                  <c:v>-4.8455779999999997</c:v>
                </c:pt>
                <c:pt idx="35">
                  <c:v>-0.33036769999999999</c:v>
                </c:pt>
                <c:pt idx="36">
                  <c:v>-1.3552131000000001</c:v>
                </c:pt>
                <c:pt idx="37">
                  <c:v>-3.0465972999999997</c:v>
                </c:pt>
                <c:pt idx="38">
                  <c:v>-2.3441133000000005</c:v>
                </c:pt>
                <c:pt idx="39">
                  <c:v>-1.3441757999999999</c:v>
                </c:pt>
                <c:pt idx="40">
                  <c:v>-1.9825745999999991</c:v>
                </c:pt>
                <c:pt idx="41">
                  <c:v>-2.6522827999999992</c:v>
                </c:pt>
                <c:pt idx="42">
                  <c:v>-2.3625896000000002</c:v>
                </c:pt>
                <c:pt idx="43">
                  <c:v>-5.6760715999999976</c:v>
                </c:pt>
                <c:pt idx="44">
                  <c:v>-6.4881975000000001</c:v>
                </c:pt>
                <c:pt idx="45">
                  <c:v>-2.4476941999999999</c:v>
                </c:pt>
                <c:pt idx="46">
                  <c:v>-3.3225981000000004</c:v>
                </c:pt>
                <c:pt idx="47">
                  <c:v>-3.1544100000000004</c:v>
                </c:pt>
                <c:pt idx="48">
                  <c:v>-2.6815694000000003</c:v>
                </c:pt>
                <c:pt idx="49">
                  <c:v>-3.7341864999999999</c:v>
                </c:pt>
                <c:pt idx="50">
                  <c:v>-2.9416964999999999</c:v>
                </c:pt>
                <c:pt idx="51">
                  <c:v>-3.2929678</c:v>
                </c:pt>
                <c:pt idx="52">
                  <c:v>-2.1678926999999999</c:v>
                </c:pt>
                <c:pt idx="53">
                  <c:v>-8.5137006999999993</c:v>
                </c:pt>
                <c:pt idx="54">
                  <c:v>-9.9969766000000018</c:v>
                </c:pt>
                <c:pt idx="55">
                  <c:v>-6.9711654000000012</c:v>
                </c:pt>
                <c:pt idx="56">
                  <c:v>-3.9944630999999999</c:v>
                </c:pt>
                <c:pt idx="57">
                  <c:v>-3.2495135999999998</c:v>
                </c:pt>
                <c:pt idx="58">
                  <c:v>-2.7186898999999998</c:v>
                </c:pt>
                <c:pt idx="59">
                  <c:v>-2.5599677999999999</c:v>
                </c:pt>
                <c:pt idx="60">
                  <c:v>-3.0091055000000004</c:v>
                </c:pt>
                <c:pt idx="61">
                  <c:v>-3.0342636000000005</c:v>
                </c:pt>
                <c:pt idx="62">
                  <c:v>-3.7365122000000004</c:v>
                </c:pt>
                <c:pt idx="63">
                  <c:v>-2.8358486000000003</c:v>
                </c:pt>
                <c:pt idx="64">
                  <c:v>-3.9653632999999995</c:v>
                </c:pt>
                <c:pt idx="65">
                  <c:v>-7.433907500000001</c:v>
                </c:pt>
                <c:pt idx="66">
                  <c:v>-3.7682369000000011</c:v>
                </c:pt>
                <c:pt idx="67">
                  <c:v>-5.1170819000000005</c:v>
                </c:pt>
                <c:pt idx="68">
                  <c:v>-3.1424619000000011</c:v>
                </c:pt>
                <c:pt idx="69">
                  <c:v>-2.3053446000000002</c:v>
                </c:pt>
                <c:pt idx="70">
                  <c:v>-3.9681907000000001</c:v>
                </c:pt>
                <c:pt idx="71">
                  <c:v>-3.4941705999999999</c:v>
                </c:pt>
                <c:pt idx="72">
                  <c:v>-1.9564891000000002</c:v>
                </c:pt>
                <c:pt idx="73">
                  <c:v>-2.8274851000000005</c:v>
                </c:pt>
                <c:pt idx="74">
                  <c:v>-0.19482089999999999</c:v>
                </c:pt>
                <c:pt idx="75">
                  <c:v>-2.0368544000000002</c:v>
                </c:pt>
                <c:pt idx="76">
                  <c:v>-4.1738996000000004</c:v>
                </c:pt>
                <c:pt idx="77">
                  <c:v>-2.1721152999999993</c:v>
                </c:pt>
                <c:pt idx="78">
                  <c:v>-2.2393840000000003</c:v>
                </c:pt>
                <c:pt idx="79">
                  <c:v>-5.1598674999999981</c:v>
                </c:pt>
                <c:pt idx="80">
                  <c:v>-2.0502893999999996</c:v>
                </c:pt>
                <c:pt idx="81">
                  <c:v>-2.1309495000000003</c:v>
                </c:pt>
                <c:pt idx="82">
                  <c:v>-2.6555542000000001</c:v>
                </c:pt>
                <c:pt idx="83">
                  <c:v>-2.1518998999999996</c:v>
                </c:pt>
                <c:pt idx="84">
                  <c:v>-2.5707093999999993</c:v>
                </c:pt>
                <c:pt idx="85">
                  <c:v>-2.0985921999999997</c:v>
                </c:pt>
                <c:pt idx="86">
                  <c:v>-7.5051780999999984</c:v>
                </c:pt>
                <c:pt idx="87">
                  <c:v>-4.8211385000000018</c:v>
                </c:pt>
                <c:pt idx="88">
                  <c:v>-3.5826992999999998</c:v>
                </c:pt>
                <c:pt idx="89">
                  <c:v>-3.0892381000000002</c:v>
                </c:pt>
                <c:pt idx="90">
                  <c:v>-2.7096568000000003</c:v>
                </c:pt>
                <c:pt idx="91">
                  <c:v>-3.6193398999999995</c:v>
                </c:pt>
                <c:pt idx="92">
                  <c:v>-4.2568979999999996</c:v>
                </c:pt>
                <c:pt idx="93">
                  <c:v>-3.0232186999999997</c:v>
                </c:pt>
                <c:pt idx="94">
                  <c:v>-3.4219658000000006</c:v>
                </c:pt>
                <c:pt idx="95">
                  <c:v>-1.9702049999999998</c:v>
                </c:pt>
                <c:pt idx="96">
                  <c:v>-3.0961517999999995</c:v>
                </c:pt>
                <c:pt idx="97">
                  <c:v>-6.0874153</c:v>
                </c:pt>
                <c:pt idx="98">
                  <c:v>-3.5233046999999997</c:v>
                </c:pt>
                <c:pt idx="99">
                  <c:v>-7.895061199999998</c:v>
                </c:pt>
                <c:pt idx="100">
                  <c:v>-1.8408588999999997</c:v>
                </c:pt>
                <c:pt idx="101">
                  <c:v>-3.4579233999999999</c:v>
                </c:pt>
                <c:pt idx="102">
                  <c:v>-2.7134060999999994</c:v>
                </c:pt>
                <c:pt idx="103">
                  <c:v>-1.6750266</c:v>
                </c:pt>
                <c:pt idx="104">
                  <c:v>-1.5679915</c:v>
                </c:pt>
                <c:pt idx="105">
                  <c:v>-0.16149249999999998</c:v>
                </c:pt>
                <c:pt idx="106">
                  <c:v>-1.1249643000000003</c:v>
                </c:pt>
                <c:pt idx="107">
                  <c:v>-4.7312301999999997</c:v>
                </c:pt>
                <c:pt idx="108">
                  <c:v>-2.6310543999999996</c:v>
                </c:pt>
                <c:pt idx="109">
                  <c:v>-6.3617979000000009</c:v>
                </c:pt>
                <c:pt idx="110">
                  <c:v>-2.8770003000000002</c:v>
                </c:pt>
                <c:pt idx="111">
                  <c:v>-3.1354421000000006</c:v>
                </c:pt>
                <c:pt idx="112">
                  <c:v>-2.8290297999999994</c:v>
                </c:pt>
                <c:pt idx="113">
                  <c:v>-2.0720449000000003</c:v>
                </c:pt>
                <c:pt idx="114">
                  <c:v>-3.2785903000000003</c:v>
                </c:pt>
                <c:pt idx="115">
                  <c:v>-1.9243044000000002</c:v>
                </c:pt>
                <c:pt idx="116">
                  <c:v>-1.0975301999999998</c:v>
                </c:pt>
                <c:pt idx="117">
                  <c:v>-3.1551437999999994</c:v>
                </c:pt>
                <c:pt idx="118">
                  <c:v>-7.7640312999999992</c:v>
                </c:pt>
                <c:pt idx="119">
                  <c:v>-5.6889604000000009</c:v>
                </c:pt>
                <c:pt idx="120">
                  <c:v>-9.2408974999999955</c:v>
                </c:pt>
                <c:pt idx="121">
                  <c:v>-4.7501129000000013</c:v>
                </c:pt>
                <c:pt idx="122">
                  <c:v>-3.4958532999999998</c:v>
                </c:pt>
                <c:pt idx="123">
                  <c:v>-4.8367878000000015</c:v>
                </c:pt>
                <c:pt idx="124">
                  <c:v>-2.8422200000000002</c:v>
                </c:pt>
                <c:pt idx="125">
                  <c:v>-3.5955326000000003</c:v>
                </c:pt>
                <c:pt idx="126">
                  <c:v>-4.5893421000000005</c:v>
                </c:pt>
                <c:pt idx="127">
                  <c:v>-5.6068068000000002</c:v>
                </c:pt>
                <c:pt idx="128">
                  <c:v>-5.9802276000000001</c:v>
                </c:pt>
                <c:pt idx="129">
                  <c:v>-5.6727123000000006</c:v>
                </c:pt>
                <c:pt idx="130">
                  <c:v>-3.8683404000000006</c:v>
                </c:pt>
                <c:pt idx="131">
                  <c:v>-0.34525549999999994</c:v>
                </c:pt>
                <c:pt idx="132">
                  <c:v>-3.397777</c:v>
                </c:pt>
                <c:pt idx="133">
                  <c:v>-3.7237551999999998</c:v>
                </c:pt>
                <c:pt idx="134">
                  <c:v>-2.2811254999999995</c:v>
                </c:pt>
                <c:pt idx="135">
                  <c:v>-2.7241298999999994</c:v>
                </c:pt>
                <c:pt idx="136">
                  <c:v>-2.7530609000000008</c:v>
                </c:pt>
                <c:pt idx="137">
                  <c:v>-2.7749579999999998</c:v>
                </c:pt>
                <c:pt idx="138">
                  <c:v>-1.8438804999999998</c:v>
                </c:pt>
                <c:pt idx="139">
                  <c:v>-2.5897752999999999</c:v>
                </c:pt>
                <c:pt idx="140">
                  <c:v>-1.3428422</c:v>
                </c:pt>
                <c:pt idx="141">
                  <c:v>-6.0027540000000013</c:v>
                </c:pt>
                <c:pt idx="142">
                  <c:v>-2.5749493999999999</c:v>
                </c:pt>
                <c:pt idx="143">
                  <c:v>-2.9172965</c:v>
                </c:pt>
                <c:pt idx="144">
                  <c:v>-3.9844273999999991</c:v>
                </c:pt>
                <c:pt idx="145">
                  <c:v>-4.6150769</c:v>
                </c:pt>
                <c:pt idx="146">
                  <c:v>-5.3947519999999995</c:v>
                </c:pt>
                <c:pt idx="147">
                  <c:v>-3.2819364999999991</c:v>
                </c:pt>
                <c:pt idx="148">
                  <c:v>-3.9077350999999996</c:v>
                </c:pt>
                <c:pt idx="149">
                  <c:v>-2.7815158000000002</c:v>
                </c:pt>
                <c:pt idx="150">
                  <c:v>-2.1876073000000003</c:v>
                </c:pt>
                <c:pt idx="151">
                  <c:v>-4.5270060999999995</c:v>
                </c:pt>
                <c:pt idx="152">
                  <c:v>-3.5243222000000003</c:v>
                </c:pt>
                <c:pt idx="153">
                  <c:v>-2.5256416000000002</c:v>
                </c:pt>
                <c:pt idx="154">
                  <c:v>-2.4276073999999999</c:v>
                </c:pt>
                <c:pt idx="155">
                  <c:v>-2.8969333999999991</c:v>
                </c:pt>
                <c:pt idx="156">
                  <c:v>-1.3869016000000001</c:v>
                </c:pt>
                <c:pt idx="157">
                  <c:v>-3.3464702999999996</c:v>
                </c:pt>
                <c:pt idx="158">
                  <c:v>-3.9971293000000006</c:v>
                </c:pt>
                <c:pt idx="159">
                  <c:v>-4.9972248999999991</c:v>
                </c:pt>
                <c:pt idx="160">
                  <c:v>-2.6490263000000001</c:v>
                </c:pt>
                <c:pt idx="161">
                  <c:v>-2.5678828999999999</c:v>
                </c:pt>
                <c:pt idx="162">
                  <c:v>-1.4049012999999997</c:v>
                </c:pt>
                <c:pt idx="163">
                  <c:v>-6.1913929999999979</c:v>
                </c:pt>
                <c:pt idx="164">
                  <c:v>-4.1654663999999997</c:v>
                </c:pt>
                <c:pt idx="165">
                  <c:v>-4.0744680000000004</c:v>
                </c:pt>
                <c:pt idx="166">
                  <c:v>-2.1478687999999995</c:v>
                </c:pt>
                <c:pt idx="167">
                  <c:v>-2.1341014999999999</c:v>
                </c:pt>
                <c:pt idx="168">
                  <c:v>-2.1824361000000003</c:v>
                </c:pt>
                <c:pt idx="169">
                  <c:v>-1.5378633999999998</c:v>
                </c:pt>
                <c:pt idx="170">
                  <c:v>-1.5325399000000002</c:v>
                </c:pt>
                <c:pt idx="171">
                  <c:v>-2.9674883000000012</c:v>
                </c:pt>
                <c:pt idx="172">
                  <c:v>-3.0114509000000007</c:v>
                </c:pt>
                <c:pt idx="173">
                  <c:v>-6.5406253000000003</c:v>
                </c:pt>
                <c:pt idx="174">
                  <c:v>-1.9866332</c:v>
                </c:pt>
                <c:pt idx="175">
                  <c:v>-0.45801809999999993</c:v>
                </c:pt>
                <c:pt idx="176">
                  <c:v>-3.8804773000000004</c:v>
                </c:pt>
                <c:pt idx="177">
                  <c:v>-1.9141916000000003</c:v>
                </c:pt>
                <c:pt idx="178">
                  <c:v>-2.2090896</c:v>
                </c:pt>
                <c:pt idx="179">
                  <c:v>-5.1081789999999989</c:v>
                </c:pt>
                <c:pt idx="180">
                  <c:v>-2.5464305999999999</c:v>
                </c:pt>
                <c:pt idx="181">
                  <c:v>-1.9109048000000002</c:v>
                </c:pt>
                <c:pt idx="182">
                  <c:v>-5.187609300000001</c:v>
                </c:pt>
                <c:pt idx="183">
                  <c:v>-4.4548980000000009</c:v>
                </c:pt>
                <c:pt idx="184">
                  <c:v>-11.968774999999999</c:v>
                </c:pt>
                <c:pt idx="185">
                  <c:v>-2.0425458999999999</c:v>
                </c:pt>
                <c:pt idx="186">
                  <c:v>-3.3646678999999997</c:v>
                </c:pt>
                <c:pt idx="187">
                  <c:v>-4.7001754000000009</c:v>
                </c:pt>
                <c:pt idx="188">
                  <c:v>-4.2483487000000002</c:v>
                </c:pt>
                <c:pt idx="189">
                  <c:v>-4.5423185000000004</c:v>
                </c:pt>
                <c:pt idx="190">
                  <c:v>-3.9749287</c:v>
                </c:pt>
                <c:pt idx="191">
                  <c:v>-3.5863856000000003</c:v>
                </c:pt>
                <c:pt idx="192">
                  <c:v>-3.6651221</c:v>
                </c:pt>
                <c:pt idx="193">
                  <c:v>-4.4869860000000008</c:v>
                </c:pt>
                <c:pt idx="194">
                  <c:v>-3.0170488000000004</c:v>
                </c:pt>
                <c:pt idx="195">
                  <c:v>-2.6925949000000005</c:v>
                </c:pt>
                <c:pt idx="196">
                  <c:v>-3.0255107999999997</c:v>
                </c:pt>
                <c:pt idx="197">
                  <c:v>-2.5981274999999999</c:v>
                </c:pt>
                <c:pt idx="198">
                  <c:v>-3.5455653999999992</c:v>
                </c:pt>
                <c:pt idx="199">
                  <c:v>-4.962283900000001</c:v>
                </c:pt>
                <c:pt idx="200">
                  <c:v>-0.94399480000000002</c:v>
                </c:pt>
                <c:pt idx="201">
                  <c:v>-2.7472175999999995</c:v>
                </c:pt>
                <c:pt idx="202">
                  <c:v>-2.8714631000000006</c:v>
                </c:pt>
                <c:pt idx="203">
                  <c:v>-2.8098928000000001</c:v>
                </c:pt>
                <c:pt idx="204">
                  <c:v>-4.1382335000000001</c:v>
                </c:pt>
                <c:pt idx="205">
                  <c:v>-3.8221476000000001</c:v>
                </c:pt>
                <c:pt idx="206">
                  <c:v>-1.7946893999999998</c:v>
                </c:pt>
                <c:pt idx="207">
                  <c:v>-3.8238124999999994</c:v>
                </c:pt>
                <c:pt idx="208">
                  <c:v>-2.5836130999999996</c:v>
                </c:pt>
                <c:pt idx="209">
                  <c:v>-3.1220613000000004</c:v>
                </c:pt>
                <c:pt idx="210">
                  <c:v>-2.7489852000000004</c:v>
                </c:pt>
                <c:pt idx="211">
                  <c:v>-2.3172586000000002</c:v>
                </c:pt>
                <c:pt idx="212">
                  <c:v>-5.8006606999999999</c:v>
                </c:pt>
                <c:pt idx="213">
                  <c:v>-2.7002818</c:v>
                </c:pt>
                <c:pt idx="214">
                  <c:v>-2.5559376</c:v>
                </c:pt>
                <c:pt idx="215">
                  <c:v>-4.4473788999999995</c:v>
                </c:pt>
                <c:pt idx="216">
                  <c:v>-3.9188926999999998</c:v>
                </c:pt>
                <c:pt idx="217">
                  <c:v>-2.5654278999999995</c:v>
                </c:pt>
                <c:pt idx="218">
                  <c:v>-3.6349450000000001</c:v>
                </c:pt>
                <c:pt idx="219">
                  <c:v>-2.0518785999999998</c:v>
                </c:pt>
                <c:pt idx="220">
                  <c:v>-4.6892908999999996</c:v>
                </c:pt>
                <c:pt idx="221">
                  <c:v>-4.7653338999999999</c:v>
                </c:pt>
                <c:pt idx="222">
                  <c:v>-3.5272611999999981</c:v>
                </c:pt>
                <c:pt idx="223">
                  <c:v>-3.1290293</c:v>
                </c:pt>
                <c:pt idx="224">
                  <c:v>-3.5680322000000002</c:v>
                </c:pt>
                <c:pt idx="225">
                  <c:v>-3.983516900000001</c:v>
                </c:pt>
                <c:pt idx="226">
                  <c:v>-3.7935376000000001</c:v>
                </c:pt>
                <c:pt idx="227">
                  <c:v>-4.4856459999999991</c:v>
                </c:pt>
                <c:pt idx="228">
                  <c:v>-2.6169434000000003</c:v>
                </c:pt>
                <c:pt idx="229">
                  <c:v>-5.6869461000000001</c:v>
                </c:pt>
                <c:pt idx="230">
                  <c:v>-1.6489643999999999</c:v>
                </c:pt>
                <c:pt idx="231">
                  <c:v>-1.9340820999999999</c:v>
                </c:pt>
                <c:pt idx="232">
                  <c:v>-3.2695600000000007</c:v>
                </c:pt>
                <c:pt idx="233">
                  <c:v>-0.41883989999999993</c:v>
                </c:pt>
                <c:pt idx="234">
                  <c:v>-1.2154393999999999</c:v>
                </c:pt>
                <c:pt idx="235">
                  <c:v>-2.2815395999999999</c:v>
                </c:pt>
                <c:pt idx="236">
                  <c:v>-3.2575928999999997</c:v>
                </c:pt>
                <c:pt idx="237">
                  <c:v>-2.7513299999999998</c:v>
                </c:pt>
                <c:pt idx="238">
                  <c:v>-5.8690822999999988</c:v>
                </c:pt>
                <c:pt idx="239">
                  <c:v>-3.1743752000000001</c:v>
                </c:pt>
                <c:pt idx="240">
                  <c:v>-2.8495385</c:v>
                </c:pt>
                <c:pt idx="241">
                  <c:v>-4.2256466999999995</c:v>
                </c:pt>
                <c:pt idx="242">
                  <c:v>-3.4283311000000003</c:v>
                </c:pt>
                <c:pt idx="243">
                  <c:v>-2.5005835000000003</c:v>
                </c:pt>
                <c:pt idx="244">
                  <c:v>-2.7195021999999995</c:v>
                </c:pt>
                <c:pt idx="245">
                  <c:v>-4.6899683000000003</c:v>
                </c:pt>
                <c:pt idx="246">
                  <c:v>-3.4730239000000003</c:v>
                </c:pt>
                <c:pt idx="247">
                  <c:v>-4.7282110000000008</c:v>
                </c:pt>
                <c:pt idx="248">
                  <c:v>-12.938461700000001</c:v>
                </c:pt>
                <c:pt idx="249">
                  <c:v>-13.127750299999997</c:v>
                </c:pt>
                <c:pt idx="250">
                  <c:v>-5.8897633000000003</c:v>
                </c:pt>
                <c:pt idx="251">
                  <c:v>-3.5598060999999999</c:v>
                </c:pt>
                <c:pt idx="252">
                  <c:v>-7.8676263000000004</c:v>
                </c:pt>
                <c:pt idx="253">
                  <c:v>-3.0746899000000005</c:v>
                </c:pt>
                <c:pt idx="254">
                  <c:v>-1.8542576999999998</c:v>
                </c:pt>
                <c:pt idx="255">
                  <c:v>-0.75336939999999997</c:v>
                </c:pt>
                <c:pt idx="256">
                  <c:v>-3.7120726000000004</c:v>
                </c:pt>
                <c:pt idx="257">
                  <c:v>-4.6225939</c:v>
                </c:pt>
                <c:pt idx="258">
                  <c:v>-3.0530553</c:v>
                </c:pt>
                <c:pt idx="259">
                  <c:v>-11.8292004</c:v>
                </c:pt>
                <c:pt idx="260">
                  <c:v>0</c:v>
                </c:pt>
                <c:pt idx="261">
                  <c:v>-3.6809657000000011</c:v>
                </c:pt>
                <c:pt idx="262">
                  <c:v>-4.3938998999999992</c:v>
                </c:pt>
                <c:pt idx="263">
                  <c:v>-2.7956308000000001</c:v>
                </c:pt>
                <c:pt idx="264">
                  <c:v>-5.0604213000000007</c:v>
                </c:pt>
                <c:pt idx="265">
                  <c:v>-2.9418021000000003</c:v>
                </c:pt>
                <c:pt idx="266">
                  <c:v>-4.3583605000000007</c:v>
                </c:pt>
                <c:pt idx="267">
                  <c:v>-5.9036033000000003</c:v>
                </c:pt>
                <c:pt idx="268">
                  <c:v>-3.8521576999999989</c:v>
                </c:pt>
                <c:pt idx="269">
                  <c:v>-7.7672033000000003</c:v>
                </c:pt>
                <c:pt idx="270">
                  <c:v>-0.48008600000000001</c:v>
                </c:pt>
                <c:pt idx="271">
                  <c:v>-3.8523488000000006</c:v>
                </c:pt>
                <c:pt idx="272">
                  <c:v>-3.0470012999999998</c:v>
                </c:pt>
                <c:pt idx="273">
                  <c:v>-4.3810454999999999</c:v>
                </c:pt>
                <c:pt idx="274">
                  <c:v>-6.3320184999999993</c:v>
                </c:pt>
                <c:pt idx="275">
                  <c:v>-3.1002631000000003</c:v>
                </c:pt>
                <c:pt idx="276">
                  <c:v>-3.5735476000000004</c:v>
                </c:pt>
                <c:pt idx="277">
                  <c:v>-5.5592266000000015</c:v>
                </c:pt>
                <c:pt idx="278">
                  <c:v>-2.3048739999999994</c:v>
                </c:pt>
                <c:pt idx="279">
                  <c:v>-5.4171732000000006</c:v>
                </c:pt>
                <c:pt idx="280">
                  <c:v>-2.9499666999999996</c:v>
                </c:pt>
                <c:pt idx="281">
                  <c:v>-7.5684160999999985</c:v>
                </c:pt>
                <c:pt idx="282">
                  <c:v>-7.3579810000000014</c:v>
                </c:pt>
                <c:pt idx="283">
                  <c:v>-9.2689307000000003</c:v>
                </c:pt>
                <c:pt idx="284">
                  <c:v>-7.5634467999999986</c:v>
                </c:pt>
                <c:pt idx="285">
                  <c:v>-10.895810099999998</c:v>
                </c:pt>
                <c:pt idx="286">
                  <c:v>-16.718360800000003</c:v>
                </c:pt>
                <c:pt idx="287">
                  <c:v>-7.9863994999999992</c:v>
                </c:pt>
                <c:pt idx="288">
                  <c:v>-16.788764400000005</c:v>
                </c:pt>
                <c:pt idx="289">
                  <c:v>-10.285837400000002</c:v>
                </c:pt>
                <c:pt idx="290">
                  <c:v>-5.5177803999999995</c:v>
                </c:pt>
                <c:pt idx="291">
                  <c:v>-8.3945630999999974</c:v>
                </c:pt>
                <c:pt idx="292">
                  <c:v>-7.6025466999999987</c:v>
                </c:pt>
                <c:pt idx="293">
                  <c:v>-2.2674363000000004</c:v>
                </c:pt>
                <c:pt idx="294">
                  <c:v>-8.9526268000000009</c:v>
                </c:pt>
                <c:pt idx="295">
                  <c:v>-0.58619520000000003</c:v>
                </c:pt>
                <c:pt idx="296">
                  <c:v>-3.6409355000000003</c:v>
                </c:pt>
                <c:pt idx="297">
                  <c:v>-3.0767964999999999</c:v>
                </c:pt>
                <c:pt idx="298">
                  <c:v>-6.6998999000000001</c:v>
                </c:pt>
                <c:pt idx="299">
                  <c:v>-5.1591913000000007</c:v>
                </c:pt>
                <c:pt idx="300">
                  <c:v>-2.2090337000000004</c:v>
                </c:pt>
                <c:pt idx="301">
                  <c:v>-3.5431816</c:v>
                </c:pt>
                <c:pt idx="302">
                  <c:v>-3.5305268000000001</c:v>
                </c:pt>
                <c:pt idx="303">
                  <c:v>-11.772743900000002</c:v>
                </c:pt>
                <c:pt idx="304">
                  <c:v>-7.2722827000000025</c:v>
                </c:pt>
                <c:pt idx="305">
                  <c:v>-5.0929016000000003</c:v>
                </c:pt>
                <c:pt idx="306">
                  <c:v>-6.7554472000000017</c:v>
                </c:pt>
                <c:pt idx="307">
                  <c:v>-7.175896400000001</c:v>
                </c:pt>
                <c:pt idx="308">
                  <c:v>-4.0392887999999996</c:v>
                </c:pt>
                <c:pt idx="309">
                  <c:v>-4.903735300000001</c:v>
                </c:pt>
                <c:pt idx="310">
                  <c:v>-1.9408599</c:v>
                </c:pt>
                <c:pt idx="311">
                  <c:v>-2.2140844</c:v>
                </c:pt>
                <c:pt idx="312">
                  <c:v>-3.2164090999999999</c:v>
                </c:pt>
                <c:pt idx="313">
                  <c:v>-8.6694238000000006</c:v>
                </c:pt>
                <c:pt idx="314">
                  <c:v>-19.7096667</c:v>
                </c:pt>
                <c:pt idx="315">
                  <c:v>-11.842219399999999</c:v>
                </c:pt>
                <c:pt idx="316">
                  <c:v>-9.5456820999999987</c:v>
                </c:pt>
                <c:pt idx="317">
                  <c:v>-2.8423086999999998</c:v>
                </c:pt>
                <c:pt idx="318">
                  <c:v>-10.456862999999998</c:v>
                </c:pt>
                <c:pt idx="319">
                  <c:v>-11.984585899999997</c:v>
                </c:pt>
                <c:pt idx="320">
                  <c:v>-3.2575240000000001</c:v>
                </c:pt>
                <c:pt idx="321">
                  <c:v>-8.0930892999999955</c:v>
                </c:pt>
                <c:pt idx="322">
                  <c:v>-6.0385659999999994</c:v>
                </c:pt>
                <c:pt idx="323">
                  <c:v>-7.2413041000000007</c:v>
                </c:pt>
                <c:pt idx="324">
                  <c:v>-0.36586059999999998</c:v>
                </c:pt>
                <c:pt idx="325">
                  <c:v>-6.4029983000000019</c:v>
                </c:pt>
                <c:pt idx="326">
                  <c:v>-5.7701547999999994</c:v>
                </c:pt>
                <c:pt idx="327">
                  <c:v>-5.0451985000000015</c:v>
                </c:pt>
                <c:pt idx="328">
                  <c:v>-2.2329710000000005</c:v>
                </c:pt>
                <c:pt idx="329">
                  <c:v>-6.9434298000000023</c:v>
                </c:pt>
                <c:pt idx="330">
                  <c:v>-2.4791892999999998</c:v>
                </c:pt>
                <c:pt idx="331">
                  <c:v>-3.0838623000000003</c:v>
                </c:pt>
                <c:pt idx="332">
                  <c:v>-1.7222664000000001</c:v>
                </c:pt>
                <c:pt idx="333">
                  <c:v>-2.1478675000000003</c:v>
                </c:pt>
                <c:pt idx="334">
                  <c:v>-4.1879607999999999</c:v>
                </c:pt>
                <c:pt idx="335">
                  <c:v>-2.5024573999999999</c:v>
                </c:pt>
                <c:pt idx="336">
                  <c:v>-2.5802836</c:v>
                </c:pt>
                <c:pt idx="337">
                  <c:v>-4.3105120000000001</c:v>
                </c:pt>
                <c:pt idx="338">
                  <c:v>-4.1270435000000001</c:v>
                </c:pt>
                <c:pt idx="339">
                  <c:v>-6.0791715000000011</c:v>
                </c:pt>
                <c:pt idx="340">
                  <c:v>-5.484726600000001</c:v>
                </c:pt>
                <c:pt idx="341">
                  <c:v>-7.5294904999999996</c:v>
                </c:pt>
                <c:pt idx="342">
                  <c:v>-4.6204754999999995</c:v>
                </c:pt>
                <c:pt idx="343">
                  <c:v>-2.1639223999999997</c:v>
                </c:pt>
                <c:pt idx="344">
                  <c:v>-2.2657382999999993</c:v>
                </c:pt>
                <c:pt idx="345">
                  <c:v>-4.3081262999999996</c:v>
                </c:pt>
                <c:pt idx="346">
                  <c:v>-3.4271627000000007</c:v>
                </c:pt>
                <c:pt idx="347">
                  <c:v>-5.2277231999999989</c:v>
                </c:pt>
                <c:pt idx="348">
                  <c:v>-7.2385890000000011</c:v>
                </c:pt>
                <c:pt idx="349">
                  <c:v>-3.7123720999999996</c:v>
                </c:pt>
                <c:pt idx="350">
                  <c:v>-2.2609629999999994</c:v>
                </c:pt>
                <c:pt idx="351">
                  <c:v>-4.1005886</c:v>
                </c:pt>
                <c:pt idx="352">
                  <c:v>-3.0703571999999992</c:v>
                </c:pt>
                <c:pt idx="353">
                  <c:v>-2.7501049000000002</c:v>
                </c:pt>
                <c:pt idx="354">
                  <c:v>-2.9937000999999999</c:v>
                </c:pt>
                <c:pt idx="355">
                  <c:v>-3.7093487999999999</c:v>
                </c:pt>
                <c:pt idx="356">
                  <c:v>-3.3909820999999996</c:v>
                </c:pt>
                <c:pt idx="357">
                  <c:v>-3.8750736999999988</c:v>
                </c:pt>
                <c:pt idx="358">
                  <c:v>-3.5367257000000007</c:v>
                </c:pt>
                <c:pt idx="359">
                  <c:v>-7.8520183999999995</c:v>
                </c:pt>
                <c:pt idx="360">
                  <c:v>-3.1820586</c:v>
                </c:pt>
                <c:pt idx="361">
                  <c:v>-4.1766332999999998</c:v>
                </c:pt>
                <c:pt idx="362">
                  <c:v>-2.6194955000000006</c:v>
                </c:pt>
                <c:pt idx="363">
                  <c:v>-2.9832414000000003</c:v>
                </c:pt>
                <c:pt idx="364">
                  <c:v>-4.8034338000000005</c:v>
                </c:pt>
                <c:pt idx="365">
                  <c:v>-0.72982539999999974</c:v>
                </c:pt>
                <c:pt idx="366">
                  <c:v>-6.3194120000000007</c:v>
                </c:pt>
                <c:pt idx="367">
                  <c:v>-4.3381214000000003</c:v>
                </c:pt>
                <c:pt idx="368">
                  <c:v>-8.2114806000000016</c:v>
                </c:pt>
                <c:pt idx="369">
                  <c:v>-6.9127836000000009</c:v>
                </c:pt>
                <c:pt idx="370">
                  <c:v>-2.5861429</c:v>
                </c:pt>
                <c:pt idx="371">
                  <c:v>-6.8189656999999997</c:v>
                </c:pt>
                <c:pt idx="372">
                  <c:v>-4.0813866000000001</c:v>
                </c:pt>
                <c:pt idx="373">
                  <c:v>-5.9055711000000013</c:v>
                </c:pt>
                <c:pt idx="374">
                  <c:v>-6.2712750999999995</c:v>
                </c:pt>
                <c:pt idx="375">
                  <c:v>-6.0079029000000013</c:v>
                </c:pt>
                <c:pt idx="376">
                  <c:v>-3.2897083</c:v>
                </c:pt>
                <c:pt idx="377">
                  <c:v>-3.3241984999999996</c:v>
                </c:pt>
                <c:pt idx="378">
                  <c:v>-9.4206755000000033</c:v>
                </c:pt>
                <c:pt idx="379">
                  <c:v>-9.5785827000000019</c:v>
                </c:pt>
                <c:pt idx="380">
                  <c:v>-11.216758200000001</c:v>
                </c:pt>
                <c:pt idx="381">
                  <c:v>-6.205692</c:v>
                </c:pt>
                <c:pt idx="382">
                  <c:v>-6.8379692999999993</c:v>
                </c:pt>
                <c:pt idx="383">
                  <c:v>-18.877712200000001</c:v>
                </c:pt>
                <c:pt idx="384">
                  <c:v>-5.4349635999999997</c:v>
                </c:pt>
                <c:pt idx="385">
                  <c:v>-7.3002189</c:v>
                </c:pt>
                <c:pt idx="386">
                  <c:v>-7.955402799999999</c:v>
                </c:pt>
                <c:pt idx="387">
                  <c:v>-5.5406112999999984</c:v>
                </c:pt>
                <c:pt idx="388">
                  <c:v>-3.9269981000000005</c:v>
                </c:pt>
                <c:pt idx="389">
                  <c:v>-5.7713601000000008</c:v>
                </c:pt>
                <c:pt idx="390">
                  <c:v>-8.2464853999999974</c:v>
                </c:pt>
                <c:pt idx="391">
                  <c:v>-2.1526535999999998</c:v>
                </c:pt>
                <c:pt idx="392">
                  <c:v>-0.50030330000000001</c:v>
                </c:pt>
                <c:pt idx="393">
                  <c:v>-3.4470859999999997</c:v>
                </c:pt>
                <c:pt idx="394">
                  <c:v>-2.4388425000000002</c:v>
                </c:pt>
                <c:pt idx="395">
                  <c:v>-4.6223540999999999</c:v>
                </c:pt>
                <c:pt idx="396">
                  <c:v>-5.7258373000000011</c:v>
                </c:pt>
                <c:pt idx="397">
                  <c:v>-2.1271450999999999</c:v>
                </c:pt>
                <c:pt idx="398">
                  <c:v>-3.5077892999999998</c:v>
                </c:pt>
                <c:pt idx="399">
                  <c:v>-4.3915233000000002</c:v>
                </c:pt>
                <c:pt idx="400">
                  <c:v>-1.5390018999999999</c:v>
                </c:pt>
                <c:pt idx="401">
                  <c:v>-2.2412232999999997</c:v>
                </c:pt>
                <c:pt idx="402">
                  <c:v>-4.5252311000000009</c:v>
                </c:pt>
                <c:pt idx="403">
                  <c:v>-4.176642600000001</c:v>
                </c:pt>
                <c:pt idx="404">
                  <c:v>-6.1053352999999992</c:v>
                </c:pt>
                <c:pt idx="405">
                  <c:v>-2.6399217000000004</c:v>
                </c:pt>
                <c:pt idx="406">
                  <c:v>-2.3195138000000002</c:v>
                </c:pt>
                <c:pt idx="407">
                  <c:v>-3.1037806999999997</c:v>
                </c:pt>
                <c:pt idx="408">
                  <c:v>-4.7516648999999997</c:v>
                </c:pt>
                <c:pt idx="409">
                  <c:v>-4.4705158000000003</c:v>
                </c:pt>
                <c:pt idx="410">
                  <c:v>-4.7069638000000005</c:v>
                </c:pt>
                <c:pt idx="411">
                  <c:v>-5.4333424999999993</c:v>
                </c:pt>
                <c:pt idx="412">
                  <c:v>-5.1455757999999987</c:v>
                </c:pt>
                <c:pt idx="413">
                  <c:v>-6.4639550999999997</c:v>
                </c:pt>
                <c:pt idx="414">
                  <c:v>-3.6858521999999998</c:v>
                </c:pt>
                <c:pt idx="415">
                  <c:v>-2.4824961000000001</c:v>
                </c:pt>
                <c:pt idx="416">
                  <c:v>-1.7156007</c:v>
                </c:pt>
                <c:pt idx="417">
                  <c:v>-3.0736892000000005</c:v>
                </c:pt>
                <c:pt idx="418">
                  <c:v>-3.2951289000000004</c:v>
                </c:pt>
                <c:pt idx="419">
                  <c:v>-8.1245378000000006</c:v>
                </c:pt>
                <c:pt idx="420">
                  <c:v>-5.1304761999999995</c:v>
                </c:pt>
                <c:pt idx="421">
                  <c:v>-4.2817648000000004</c:v>
                </c:pt>
                <c:pt idx="422">
                  <c:v>-2.9351631</c:v>
                </c:pt>
                <c:pt idx="423">
                  <c:v>-2.4489840999999997</c:v>
                </c:pt>
                <c:pt idx="424">
                  <c:v>-4.1420661000000001</c:v>
                </c:pt>
                <c:pt idx="425">
                  <c:v>-2.2523922000000001</c:v>
                </c:pt>
                <c:pt idx="426">
                  <c:v>-4.4472992000000007</c:v>
                </c:pt>
                <c:pt idx="427">
                  <c:v>-3.5834260999999996</c:v>
                </c:pt>
                <c:pt idx="428">
                  <c:v>-2.7093478000000002</c:v>
                </c:pt>
                <c:pt idx="429">
                  <c:v>-2.4066533000000003</c:v>
                </c:pt>
                <c:pt idx="430">
                  <c:v>-1.2677981999999999</c:v>
                </c:pt>
                <c:pt idx="431">
                  <c:v>-5.8079678000000019</c:v>
                </c:pt>
                <c:pt idx="432">
                  <c:v>-2.4947598999999996</c:v>
                </c:pt>
                <c:pt idx="433">
                  <c:v>-8.1529831000000001</c:v>
                </c:pt>
                <c:pt idx="434">
                  <c:v>-4.0012058000000001</c:v>
                </c:pt>
                <c:pt idx="435">
                  <c:v>-0.51186959999999992</c:v>
                </c:pt>
                <c:pt idx="436">
                  <c:v>-7.4422098000000014</c:v>
                </c:pt>
                <c:pt idx="437">
                  <c:v>-2.750505</c:v>
                </c:pt>
                <c:pt idx="438">
                  <c:v>-6.7463213</c:v>
                </c:pt>
                <c:pt idx="439">
                  <c:v>-3.7108304000000003</c:v>
                </c:pt>
                <c:pt idx="440">
                  <c:v>-2.6953053000000007</c:v>
                </c:pt>
                <c:pt idx="441">
                  <c:v>-3.6261830000000002</c:v>
                </c:pt>
                <c:pt idx="442">
                  <c:v>-3.6712121000000004</c:v>
                </c:pt>
                <c:pt idx="443">
                  <c:v>-4.5952209999999996</c:v>
                </c:pt>
                <c:pt idx="444">
                  <c:v>-7.5643921000000001</c:v>
                </c:pt>
                <c:pt idx="445">
                  <c:v>-2.2257172999999995</c:v>
                </c:pt>
                <c:pt idx="446">
                  <c:v>-2.9059505999999997</c:v>
                </c:pt>
                <c:pt idx="447">
                  <c:v>-3.4465796000000006</c:v>
                </c:pt>
                <c:pt idx="448">
                  <c:v>-5.5949127000000001</c:v>
                </c:pt>
                <c:pt idx="449">
                  <c:v>-17.959277900000004</c:v>
                </c:pt>
                <c:pt idx="450">
                  <c:v>-7.7202869000000005</c:v>
                </c:pt>
                <c:pt idx="451">
                  <c:v>-6.9268411999999984</c:v>
                </c:pt>
                <c:pt idx="452">
                  <c:v>-7.9851375000000022</c:v>
                </c:pt>
                <c:pt idx="453">
                  <c:v>-6.7828901999999998</c:v>
                </c:pt>
                <c:pt idx="454">
                  <c:v>-5.3524807000000001</c:v>
                </c:pt>
                <c:pt idx="455">
                  <c:v>-7.2022373999999996</c:v>
                </c:pt>
                <c:pt idx="456">
                  <c:v>-4.2811054999999998</c:v>
                </c:pt>
                <c:pt idx="457">
                  <c:v>-5.3611835999999995</c:v>
                </c:pt>
                <c:pt idx="458">
                  <c:v>-4.2043528999999999</c:v>
                </c:pt>
                <c:pt idx="459">
                  <c:v>-8.6835934000000012</c:v>
                </c:pt>
                <c:pt idx="460">
                  <c:v>-5.0539944999999999</c:v>
                </c:pt>
                <c:pt idx="461">
                  <c:v>-11.271918899999999</c:v>
                </c:pt>
                <c:pt idx="462">
                  <c:v>-5.7013933000000003</c:v>
                </c:pt>
                <c:pt idx="463">
                  <c:v>-18.990070799999998</c:v>
                </c:pt>
                <c:pt idx="464">
                  <c:v>-10.7029263</c:v>
                </c:pt>
                <c:pt idx="465">
                  <c:v>-9.7107907000000022</c:v>
                </c:pt>
                <c:pt idx="466">
                  <c:v>-6.2458249999999991</c:v>
                </c:pt>
                <c:pt idx="467">
                  <c:v>-1.3170497999999997</c:v>
                </c:pt>
                <c:pt idx="468">
                  <c:v>-5.3297972999999992</c:v>
                </c:pt>
                <c:pt idx="469">
                  <c:v>-4.2664794999999991</c:v>
                </c:pt>
                <c:pt idx="470">
                  <c:v>-3.2290993999999995</c:v>
                </c:pt>
                <c:pt idx="471">
                  <c:v>-6.8987067999999994</c:v>
                </c:pt>
                <c:pt idx="472">
                  <c:v>-3.3852036000000005</c:v>
                </c:pt>
                <c:pt idx="473">
                  <c:v>-14.700165900000002</c:v>
                </c:pt>
                <c:pt idx="474">
                  <c:v>-8.2440850000000001</c:v>
                </c:pt>
                <c:pt idx="475">
                  <c:v>-3.0141489999999997</c:v>
                </c:pt>
                <c:pt idx="476">
                  <c:v>-4.2349468000000003</c:v>
                </c:pt>
                <c:pt idx="477">
                  <c:v>-10.835330000000001</c:v>
                </c:pt>
                <c:pt idx="478">
                  <c:v>-7.0575688999999988</c:v>
                </c:pt>
                <c:pt idx="479">
                  <c:v>-5.047830799999999</c:v>
                </c:pt>
                <c:pt idx="480">
                  <c:v>-4.1798706999999995</c:v>
                </c:pt>
                <c:pt idx="481">
                  <c:v>-3.5670903000000003</c:v>
                </c:pt>
                <c:pt idx="482">
                  <c:v>-3.4410495999999999</c:v>
                </c:pt>
                <c:pt idx="483">
                  <c:v>-5.4483522999999998</c:v>
                </c:pt>
                <c:pt idx="484">
                  <c:v>-5.4614236000000007</c:v>
                </c:pt>
                <c:pt idx="485">
                  <c:v>-4.3062455999999996</c:v>
                </c:pt>
                <c:pt idx="486">
                  <c:v>-3.4594387000000006</c:v>
                </c:pt>
                <c:pt idx="487">
                  <c:v>-10.904691300000001</c:v>
                </c:pt>
                <c:pt idx="488">
                  <c:v>-2.6820172999999996</c:v>
                </c:pt>
                <c:pt idx="489">
                  <c:v>-6.409941700000001</c:v>
                </c:pt>
                <c:pt idx="490">
                  <c:v>-4.4428184999999987</c:v>
                </c:pt>
                <c:pt idx="491">
                  <c:v>-4.4306184000000002</c:v>
                </c:pt>
                <c:pt idx="492">
                  <c:v>-3.8772294999999999</c:v>
                </c:pt>
                <c:pt idx="493">
                  <c:v>-0.41050059999999999</c:v>
                </c:pt>
                <c:pt idx="494">
                  <c:v>-3.7109060999999994</c:v>
                </c:pt>
                <c:pt idx="495">
                  <c:v>-4.5247765000000006</c:v>
                </c:pt>
                <c:pt idx="496">
                  <c:v>-2.5859830000000001</c:v>
                </c:pt>
                <c:pt idx="497">
                  <c:v>-3.3426083000000002</c:v>
                </c:pt>
                <c:pt idx="498">
                  <c:v>-3.6087915000000002</c:v>
                </c:pt>
                <c:pt idx="499">
                  <c:v>-7.9082580999999994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F4-4FAA-ABEB-D875A0975BBC}"/>
            </c:ext>
          </c:extLst>
        </c:ser>
        <c:ser>
          <c:idx val="2"/>
          <c:order val="2"/>
          <c:tx>
            <c:v>Net Flow (Bln)</c:v>
          </c:tx>
          <c:spPr>
            <a:solidFill>
              <a:schemeClr val="tx2"/>
            </a:solidFill>
            <a:ln w="25400">
              <a:noFill/>
            </a:ln>
          </c:spPr>
          <c:invertIfNegative val="0"/>
          <c:cat>
            <c:strRef>
              <c:f>[0]!DtsStr</c:f>
              <c:strCache>
                <c:ptCount val="500"/>
                <c:pt idx="0">
                  <c:v>2017/1/2</c:v>
                </c:pt>
                <c:pt idx="1">
                  <c:v>2017/1/3</c:v>
                </c:pt>
                <c:pt idx="2">
                  <c:v>2017/1/4</c:v>
                </c:pt>
                <c:pt idx="3">
                  <c:v>2017/1/5</c:v>
                </c:pt>
                <c:pt idx="4">
                  <c:v>2017/1/6</c:v>
                </c:pt>
                <c:pt idx="5">
                  <c:v>2017/1/9</c:v>
                </c:pt>
                <c:pt idx="6">
                  <c:v>2017/1/10</c:v>
                </c:pt>
                <c:pt idx="7">
                  <c:v>2017/1/11</c:v>
                </c:pt>
                <c:pt idx="8">
                  <c:v>2017/1/12</c:v>
                </c:pt>
                <c:pt idx="9">
                  <c:v>2017/1/13</c:v>
                </c:pt>
                <c:pt idx="10">
                  <c:v>2017/1/16</c:v>
                </c:pt>
                <c:pt idx="11">
                  <c:v>2017/1/17</c:v>
                </c:pt>
                <c:pt idx="12">
                  <c:v>2017/1/18</c:v>
                </c:pt>
                <c:pt idx="13">
                  <c:v>2017/1/19</c:v>
                </c:pt>
                <c:pt idx="14">
                  <c:v>2017/1/20</c:v>
                </c:pt>
                <c:pt idx="15">
                  <c:v>2017/1/23</c:v>
                </c:pt>
                <c:pt idx="16">
                  <c:v>2017/1/24</c:v>
                </c:pt>
                <c:pt idx="17">
                  <c:v>2017/1/25</c:v>
                </c:pt>
                <c:pt idx="18">
                  <c:v>2017/1/26</c:v>
                </c:pt>
                <c:pt idx="19">
                  <c:v>2017/1/27</c:v>
                </c:pt>
                <c:pt idx="20">
                  <c:v>2017/1/30</c:v>
                </c:pt>
                <c:pt idx="21">
                  <c:v>2017/1/31</c:v>
                </c:pt>
                <c:pt idx="22">
                  <c:v>2017/2/1</c:v>
                </c:pt>
                <c:pt idx="23">
                  <c:v>2017/2/2</c:v>
                </c:pt>
                <c:pt idx="24">
                  <c:v>2017/2/3</c:v>
                </c:pt>
                <c:pt idx="25">
                  <c:v>2017/2/6</c:v>
                </c:pt>
                <c:pt idx="26">
                  <c:v>2017/2/7</c:v>
                </c:pt>
                <c:pt idx="27">
                  <c:v>2017/2/8</c:v>
                </c:pt>
                <c:pt idx="28">
                  <c:v>2017/2/9</c:v>
                </c:pt>
                <c:pt idx="29">
                  <c:v>2017/2/10</c:v>
                </c:pt>
                <c:pt idx="30">
                  <c:v>2017/2/13</c:v>
                </c:pt>
                <c:pt idx="31">
                  <c:v>2017/2/14</c:v>
                </c:pt>
                <c:pt idx="32">
                  <c:v>2017/2/15</c:v>
                </c:pt>
                <c:pt idx="33">
                  <c:v>2017/2/16</c:v>
                </c:pt>
                <c:pt idx="34">
                  <c:v>2017/2/17</c:v>
                </c:pt>
                <c:pt idx="35">
                  <c:v>2017/2/20</c:v>
                </c:pt>
                <c:pt idx="36">
                  <c:v>2017/2/21</c:v>
                </c:pt>
                <c:pt idx="37">
                  <c:v>2017/2/22</c:v>
                </c:pt>
                <c:pt idx="38">
                  <c:v>2017/2/23</c:v>
                </c:pt>
                <c:pt idx="39">
                  <c:v>2017/2/24</c:v>
                </c:pt>
                <c:pt idx="40">
                  <c:v>2017/2/27</c:v>
                </c:pt>
                <c:pt idx="41">
                  <c:v>2017/2/28</c:v>
                </c:pt>
                <c:pt idx="42">
                  <c:v>2017/3/1</c:v>
                </c:pt>
                <c:pt idx="43">
                  <c:v>2017/3/2</c:v>
                </c:pt>
                <c:pt idx="44">
                  <c:v>2017/3/3</c:v>
                </c:pt>
                <c:pt idx="45">
                  <c:v>2017/3/6</c:v>
                </c:pt>
                <c:pt idx="46">
                  <c:v>2017/3/7</c:v>
                </c:pt>
                <c:pt idx="47">
                  <c:v>2017/3/8</c:v>
                </c:pt>
                <c:pt idx="48">
                  <c:v>2017/3/9</c:v>
                </c:pt>
                <c:pt idx="49">
                  <c:v>2017/3/10</c:v>
                </c:pt>
                <c:pt idx="50">
                  <c:v>2017/3/13</c:v>
                </c:pt>
                <c:pt idx="51">
                  <c:v>2017/3/14</c:v>
                </c:pt>
                <c:pt idx="52">
                  <c:v>2017/3/15</c:v>
                </c:pt>
                <c:pt idx="53">
                  <c:v>2017/3/16</c:v>
                </c:pt>
                <c:pt idx="54">
                  <c:v>2017/3/17</c:v>
                </c:pt>
                <c:pt idx="55">
                  <c:v>2017/3/20</c:v>
                </c:pt>
                <c:pt idx="56">
                  <c:v>2017/3/21</c:v>
                </c:pt>
                <c:pt idx="57">
                  <c:v>2017/3/22</c:v>
                </c:pt>
                <c:pt idx="58">
                  <c:v>2017/3/23</c:v>
                </c:pt>
                <c:pt idx="59">
                  <c:v>2017/3/24</c:v>
                </c:pt>
                <c:pt idx="60">
                  <c:v>2017/3/27</c:v>
                </c:pt>
                <c:pt idx="61">
                  <c:v>2017/3/28</c:v>
                </c:pt>
                <c:pt idx="62">
                  <c:v>2017/3/29</c:v>
                </c:pt>
                <c:pt idx="63">
                  <c:v>2017/3/30</c:v>
                </c:pt>
                <c:pt idx="64">
                  <c:v>2017/3/31</c:v>
                </c:pt>
                <c:pt idx="65">
                  <c:v>2017/4/3</c:v>
                </c:pt>
                <c:pt idx="66">
                  <c:v>2017/4/4</c:v>
                </c:pt>
                <c:pt idx="67">
                  <c:v>2017/4/5</c:v>
                </c:pt>
                <c:pt idx="68">
                  <c:v>2017/4/6</c:v>
                </c:pt>
                <c:pt idx="69">
                  <c:v>2017/4/7</c:v>
                </c:pt>
                <c:pt idx="70">
                  <c:v>2017/4/10</c:v>
                </c:pt>
                <c:pt idx="71">
                  <c:v>2017/4/11</c:v>
                </c:pt>
                <c:pt idx="72">
                  <c:v>2017/4/12</c:v>
                </c:pt>
                <c:pt idx="73">
                  <c:v>2017/4/13</c:v>
                </c:pt>
                <c:pt idx="74">
                  <c:v>2017/4/14</c:v>
                </c:pt>
                <c:pt idx="75">
                  <c:v>2017/4/17</c:v>
                </c:pt>
                <c:pt idx="76">
                  <c:v>2017/4/18</c:v>
                </c:pt>
                <c:pt idx="77">
                  <c:v>2017/4/19</c:v>
                </c:pt>
                <c:pt idx="78">
                  <c:v>2017/4/20</c:v>
                </c:pt>
                <c:pt idx="79">
                  <c:v>2017/4/21</c:v>
                </c:pt>
                <c:pt idx="80">
                  <c:v>2017/4/24</c:v>
                </c:pt>
                <c:pt idx="81">
                  <c:v>2017/4/25</c:v>
                </c:pt>
                <c:pt idx="82">
                  <c:v>2017/4/26</c:v>
                </c:pt>
                <c:pt idx="83">
                  <c:v>2017/4/27</c:v>
                </c:pt>
                <c:pt idx="84">
                  <c:v>2017/4/28</c:v>
                </c:pt>
                <c:pt idx="85">
                  <c:v>2017/5/1</c:v>
                </c:pt>
                <c:pt idx="86">
                  <c:v>2017/5/2</c:v>
                </c:pt>
                <c:pt idx="87">
                  <c:v>2017/5/3</c:v>
                </c:pt>
                <c:pt idx="88">
                  <c:v>2017/5/4</c:v>
                </c:pt>
                <c:pt idx="89">
                  <c:v>2017/5/5</c:v>
                </c:pt>
                <c:pt idx="90">
                  <c:v>2017/5/8</c:v>
                </c:pt>
                <c:pt idx="91">
                  <c:v>2017/5/9</c:v>
                </c:pt>
                <c:pt idx="92">
                  <c:v>2017/5/10</c:v>
                </c:pt>
                <c:pt idx="93">
                  <c:v>2017/5/11</c:v>
                </c:pt>
                <c:pt idx="94">
                  <c:v>2017/5/12</c:v>
                </c:pt>
                <c:pt idx="95">
                  <c:v>2017/5/15</c:v>
                </c:pt>
                <c:pt idx="96">
                  <c:v>2017/5/16</c:v>
                </c:pt>
                <c:pt idx="97">
                  <c:v>2017/5/17</c:v>
                </c:pt>
                <c:pt idx="98">
                  <c:v>2017/5/18</c:v>
                </c:pt>
                <c:pt idx="99">
                  <c:v>2017/5/19</c:v>
                </c:pt>
                <c:pt idx="100">
                  <c:v>2017/5/22</c:v>
                </c:pt>
                <c:pt idx="101">
                  <c:v>2017/5/23</c:v>
                </c:pt>
                <c:pt idx="102">
                  <c:v>2017/5/24</c:v>
                </c:pt>
                <c:pt idx="103">
                  <c:v>2017/5/25</c:v>
                </c:pt>
                <c:pt idx="104">
                  <c:v>2017/5/26</c:v>
                </c:pt>
                <c:pt idx="105">
                  <c:v>2017/5/29</c:v>
                </c:pt>
                <c:pt idx="106">
                  <c:v>2017/5/30</c:v>
                </c:pt>
                <c:pt idx="107">
                  <c:v>2017/5/31</c:v>
                </c:pt>
                <c:pt idx="108">
                  <c:v>2017/6/1</c:v>
                </c:pt>
                <c:pt idx="109">
                  <c:v>2017/6/2</c:v>
                </c:pt>
                <c:pt idx="110">
                  <c:v>2017/6/5</c:v>
                </c:pt>
                <c:pt idx="111">
                  <c:v>2017/6/6</c:v>
                </c:pt>
                <c:pt idx="112">
                  <c:v>2017/6/7</c:v>
                </c:pt>
                <c:pt idx="113">
                  <c:v>2017/6/8</c:v>
                </c:pt>
                <c:pt idx="114">
                  <c:v>2017/6/9</c:v>
                </c:pt>
                <c:pt idx="115">
                  <c:v>2017/6/12</c:v>
                </c:pt>
                <c:pt idx="116">
                  <c:v>2017/6/13</c:v>
                </c:pt>
                <c:pt idx="117">
                  <c:v>2017/6/14</c:v>
                </c:pt>
                <c:pt idx="118">
                  <c:v>2017/6/15</c:v>
                </c:pt>
                <c:pt idx="119">
                  <c:v>2017/6/16</c:v>
                </c:pt>
                <c:pt idx="120">
                  <c:v>2017/6/19</c:v>
                </c:pt>
                <c:pt idx="121">
                  <c:v>2017/6/20</c:v>
                </c:pt>
                <c:pt idx="122">
                  <c:v>2017/6/21</c:v>
                </c:pt>
                <c:pt idx="123">
                  <c:v>2017/6/22</c:v>
                </c:pt>
                <c:pt idx="124">
                  <c:v>2017/6/23</c:v>
                </c:pt>
                <c:pt idx="125">
                  <c:v>2017/6/26</c:v>
                </c:pt>
                <c:pt idx="126">
                  <c:v>2017/6/27</c:v>
                </c:pt>
                <c:pt idx="127">
                  <c:v>2017/6/28</c:v>
                </c:pt>
                <c:pt idx="128">
                  <c:v>2017/6/29</c:v>
                </c:pt>
                <c:pt idx="129">
                  <c:v>2017/6/30</c:v>
                </c:pt>
                <c:pt idx="130">
                  <c:v>2017/7/3</c:v>
                </c:pt>
                <c:pt idx="131">
                  <c:v>2017/7/4</c:v>
                </c:pt>
                <c:pt idx="132">
                  <c:v>2017/7/5</c:v>
                </c:pt>
                <c:pt idx="133">
                  <c:v>2017/7/6</c:v>
                </c:pt>
                <c:pt idx="134">
                  <c:v>2017/7/7</c:v>
                </c:pt>
                <c:pt idx="135">
                  <c:v>2017/7/10</c:v>
                </c:pt>
                <c:pt idx="136">
                  <c:v>2017/7/11</c:v>
                </c:pt>
                <c:pt idx="137">
                  <c:v>2017/7/12</c:v>
                </c:pt>
                <c:pt idx="138">
                  <c:v>2017/7/13</c:v>
                </c:pt>
                <c:pt idx="139">
                  <c:v>2017/7/14</c:v>
                </c:pt>
                <c:pt idx="140">
                  <c:v>2017/7/17</c:v>
                </c:pt>
                <c:pt idx="141">
                  <c:v>2017/7/18</c:v>
                </c:pt>
                <c:pt idx="142">
                  <c:v>2017/7/19</c:v>
                </c:pt>
                <c:pt idx="143">
                  <c:v>2017/7/20</c:v>
                </c:pt>
                <c:pt idx="144">
                  <c:v>2017/7/21</c:v>
                </c:pt>
                <c:pt idx="145">
                  <c:v>2017/7/24</c:v>
                </c:pt>
                <c:pt idx="146">
                  <c:v>2017/7/25</c:v>
                </c:pt>
                <c:pt idx="147">
                  <c:v>2017/7/26</c:v>
                </c:pt>
                <c:pt idx="148">
                  <c:v>2017/7/27</c:v>
                </c:pt>
                <c:pt idx="149">
                  <c:v>2017/7/28</c:v>
                </c:pt>
                <c:pt idx="150">
                  <c:v>2017/7/31</c:v>
                </c:pt>
                <c:pt idx="151">
                  <c:v>2017/8/1</c:v>
                </c:pt>
                <c:pt idx="152">
                  <c:v>2017/8/2</c:v>
                </c:pt>
                <c:pt idx="153">
                  <c:v>2017/8/3</c:v>
                </c:pt>
                <c:pt idx="154">
                  <c:v>2017/8/4</c:v>
                </c:pt>
                <c:pt idx="155">
                  <c:v>2017/8/7</c:v>
                </c:pt>
                <c:pt idx="156">
                  <c:v>2017/8/8</c:v>
                </c:pt>
                <c:pt idx="157">
                  <c:v>2017/8/9</c:v>
                </c:pt>
                <c:pt idx="158">
                  <c:v>2017/8/10</c:v>
                </c:pt>
                <c:pt idx="159">
                  <c:v>2017/8/11</c:v>
                </c:pt>
                <c:pt idx="160">
                  <c:v>2017/8/14</c:v>
                </c:pt>
                <c:pt idx="161">
                  <c:v>2017/8/15</c:v>
                </c:pt>
                <c:pt idx="162">
                  <c:v>2017/8/16</c:v>
                </c:pt>
                <c:pt idx="163">
                  <c:v>2017/8/17</c:v>
                </c:pt>
                <c:pt idx="164">
                  <c:v>2017/8/18</c:v>
                </c:pt>
                <c:pt idx="165">
                  <c:v>2017/8/21</c:v>
                </c:pt>
                <c:pt idx="166">
                  <c:v>2017/8/22</c:v>
                </c:pt>
                <c:pt idx="167">
                  <c:v>2017/8/23</c:v>
                </c:pt>
                <c:pt idx="168">
                  <c:v>2017/8/24</c:v>
                </c:pt>
                <c:pt idx="169">
                  <c:v>2017/8/25</c:v>
                </c:pt>
                <c:pt idx="170">
                  <c:v>2017/8/28</c:v>
                </c:pt>
                <c:pt idx="171">
                  <c:v>2017/8/29</c:v>
                </c:pt>
                <c:pt idx="172">
                  <c:v>2017/8/30</c:v>
                </c:pt>
                <c:pt idx="173">
                  <c:v>2017/8/31</c:v>
                </c:pt>
                <c:pt idx="174">
                  <c:v>2017/9/1</c:v>
                </c:pt>
                <c:pt idx="175">
                  <c:v>2017/9/4</c:v>
                </c:pt>
                <c:pt idx="176">
                  <c:v>2017/9/5</c:v>
                </c:pt>
                <c:pt idx="177">
                  <c:v>2017/9/6</c:v>
                </c:pt>
                <c:pt idx="178">
                  <c:v>2017/9/7</c:v>
                </c:pt>
                <c:pt idx="179">
                  <c:v>2017/9/8</c:v>
                </c:pt>
                <c:pt idx="180">
                  <c:v>2017/9/11</c:v>
                </c:pt>
                <c:pt idx="181">
                  <c:v>2017/9/12</c:v>
                </c:pt>
                <c:pt idx="182">
                  <c:v>2017/9/13</c:v>
                </c:pt>
                <c:pt idx="183">
                  <c:v>2017/9/14</c:v>
                </c:pt>
                <c:pt idx="184">
                  <c:v>2017/9/15</c:v>
                </c:pt>
                <c:pt idx="185">
                  <c:v>2017/9/18</c:v>
                </c:pt>
                <c:pt idx="186">
                  <c:v>2017/9/19</c:v>
                </c:pt>
                <c:pt idx="187">
                  <c:v>2017/9/20</c:v>
                </c:pt>
                <c:pt idx="188">
                  <c:v>2017/9/21</c:v>
                </c:pt>
                <c:pt idx="189">
                  <c:v>2017/9/22</c:v>
                </c:pt>
                <c:pt idx="190">
                  <c:v>2017/9/25</c:v>
                </c:pt>
                <c:pt idx="191">
                  <c:v>2017/9/26</c:v>
                </c:pt>
                <c:pt idx="192">
                  <c:v>2017/9/27</c:v>
                </c:pt>
                <c:pt idx="193">
                  <c:v>2017/9/28</c:v>
                </c:pt>
                <c:pt idx="194">
                  <c:v>2017/9/29</c:v>
                </c:pt>
                <c:pt idx="195">
                  <c:v>2017/10/2</c:v>
                </c:pt>
                <c:pt idx="196">
                  <c:v>2017/10/3</c:v>
                </c:pt>
                <c:pt idx="197">
                  <c:v>2017/10/4</c:v>
                </c:pt>
                <c:pt idx="198">
                  <c:v>2017/10/5</c:v>
                </c:pt>
                <c:pt idx="199">
                  <c:v>2017/10/6</c:v>
                </c:pt>
                <c:pt idx="200">
                  <c:v>2017/10/9</c:v>
                </c:pt>
                <c:pt idx="201">
                  <c:v>2017/10/10</c:v>
                </c:pt>
                <c:pt idx="202">
                  <c:v>2017/10/11</c:v>
                </c:pt>
                <c:pt idx="203">
                  <c:v>2017/10/12</c:v>
                </c:pt>
                <c:pt idx="204">
                  <c:v>2017/10/13</c:v>
                </c:pt>
                <c:pt idx="205">
                  <c:v>2017/10/16</c:v>
                </c:pt>
                <c:pt idx="206">
                  <c:v>2017/10/17</c:v>
                </c:pt>
                <c:pt idx="207">
                  <c:v>2017/10/18</c:v>
                </c:pt>
                <c:pt idx="208">
                  <c:v>2017/10/19</c:v>
                </c:pt>
                <c:pt idx="209">
                  <c:v>2017/10/20</c:v>
                </c:pt>
                <c:pt idx="210">
                  <c:v>2017/10/23</c:v>
                </c:pt>
                <c:pt idx="211">
                  <c:v>2017/10/24</c:v>
                </c:pt>
                <c:pt idx="212">
                  <c:v>2017/10/25</c:v>
                </c:pt>
                <c:pt idx="213">
                  <c:v>2017/10/26</c:v>
                </c:pt>
                <c:pt idx="214">
                  <c:v>2017/10/27</c:v>
                </c:pt>
                <c:pt idx="215">
                  <c:v>2017/10/30</c:v>
                </c:pt>
                <c:pt idx="216">
                  <c:v>2017/10/31</c:v>
                </c:pt>
                <c:pt idx="217">
                  <c:v>2017/11/1</c:v>
                </c:pt>
                <c:pt idx="218">
                  <c:v>2017/11/2</c:v>
                </c:pt>
                <c:pt idx="219">
                  <c:v>2017/11/3</c:v>
                </c:pt>
                <c:pt idx="220">
                  <c:v>2017/11/6</c:v>
                </c:pt>
                <c:pt idx="221">
                  <c:v>2017/11/7</c:v>
                </c:pt>
                <c:pt idx="222">
                  <c:v>2017/11/8</c:v>
                </c:pt>
                <c:pt idx="223">
                  <c:v>2017/11/9</c:v>
                </c:pt>
                <c:pt idx="224">
                  <c:v>2017/11/10</c:v>
                </c:pt>
                <c:pt idx="225">
                  <c:v>2017/11/13</c:v>
                </c:pt>
                <c:pt idx="226">
                  <c:v>2017/11/14</c:v>
                </c:pt>
                <c:pt idx="227">
                  <c:v>2017/11/15</c:v>
                </c:pt>
                <c:pt idx="228">
                  <c:v>2017/11/16</c:v>
                </c:pt>
                <c:pt idx="229">
                  <c:v>2017/11/17</c:v>
                </c:pt>
                <c:pt idx="230">
                  <c:v>2017/11/20</c:v>
                </c:pt>
                <c:pt idx="231">
                  <c:v>2017/11/21</c:v>
                </c:pt>
                <c:pt idx="232">
                  <c:v>2017/11/22</c:v>
                </c:pt>
                <c:pt idx="233">
                  <c:v>2017/11/23</c:v>
                </c:pt>
                <c:pt idx="234">
                  <c:v>2017/11/24</c:v>
                </c:pt>
                <c:pt idx="235">
                  <c:v>2017/11/27</c:v>
                </c:pt>
                <c:pt idx="236">
                  <c:v>2017/11/28</c:v>
                </c:pt>
                <c:pt idx="237">
                  <c:v>2017/11/29</c:v>
                </c:pt>
                <c:pt idx="238">
                  <c:v>2017/11/30</c:v>
                </c:pt>
                <c:pt idx="239">
                  <c:v>2017/12/1</c:v>
                </c:pt>
                <c:pt idx="240">
                  <c:v>2017/12/4</c:v>
                </c:pt>
                <c:pt idx="241">
                  <c:v>2017/12/5</c:v>
                </c:pt>
                <c:pt idx="242">
                  <c:v>2017/12/6</c:v>
                </c:pt>
                <c:pt idx="243">
                  <c:v>2017/12/7</c:v>
                </c:pt>
                <c:pt idx="244">
                  <c:v>2017/12/8</c:v>
                </c:pt>
                <c:pt idx="245">
                  <c:v>2017/12/11</c:v>
                </c:pt>
                <c:pt idx="246">
                  <c:v>2017/12/12</c:v>
                </c:pt>
                <c:pt idx="247">
                  <c:v>2017/12/13</c:v>
                </c:pt>
                <c:pt idx="248">
                  <c:v>2017/12/14</c:v>
                </c:pt>
                <c:pt idx="249">
                  <c:v>2017/12/15</c:v>
                </c:pt>
                <c:pt idx="250">
                  <c:v>2017/12/18</c:v>
                </c:pt>
                <c:pt idx="251">
                  <c:v>2017/12/19</c:v>
                </c:pt>
                <c:pt idx="252">
                  <c:v>2017/12/20</c:v>
                </c:pt>
                <c:pt idx="253">
                  <c:v>2017/12/21</c:v>
                </c:pt>
                <c:pt idx="254">
                  <c:v>2017/12/22</c:v>
                </c:pt>
                <c:pt idx="255">
                  <c:v>2017/12/25</c:v>
                </c:pt>
                <c:pt idx="256">
                  <c:v>2017/12/26</c:v>
                </c:pt>
                <c:pt idx="257">
                  <c:v>2017/12/27</c:v>
                </c:pt>
                <c:pt idx="258">
                  <c:v>2017/12/28</c:v>
                </c:pt>
                <c:pt idx="259">
                  <c:v>2017/12/29</c:v>
                </c:pt>
                <c:pt idx="260">
                  <c:v>2018/1/1</c:v>
                </c:pt>
                <c:pt idx="261">
                  <c:v>2018/1/2</c:v>
                </c:pt>
                <c:pt idx="262">
                  <c:v>2018/1/3</c:v>
                </c:pt>
                <c:pt idx="263">
                  <c:v>2018/1/4</c:v>
                </c:pt>
                <c:pt idx="264">
                  <c:v>2018/1/5</c:v>
                </c:pt>
                <c:pt idx="265">
                  <c:v>2018/1/8</c:v>
                </c:pt>
                <c:pt idx="266">
                  <c:v>2018/1/9</c:v>
                </c:pt>
                <c:pt idx="267">
                  <c:v>2018/1/10</c:v>
                </c:pt>
                <c:pt idx="268">
                  <c:v>2018/1/11</c:v>
                </c:pt>
                <c:pt idx="269">
                  <c:v>2018/1/12</c:v>
                </c:pt>
                <c:pt idx="270">
                  <c:v>2018/1/15</c:v>
                </c:pt>
                <c:pt idx="271">
                  <c:v>2018/1/16</c:v>
                </c:pt>
                <c:pt idx="272">
                  <c:v>2018/1/17</c:v>
                </c:pt>
                <c:pt idx="273">
                  <c:v>2018/1/18</c:v>
                </c:pt>
                <c:pt idx="274">
                  <c:v>2018/1/19</c:v>
                </c:pt>
                <c:pt idx="275">
                  <c:v>2018/1/22</c:v>
                </c:pt>
                <c:pt idx="276">
                  <c:v>2018/1/23</c:v>
                </c:pt>
                <c:pt idx="277">
                  <c:v>2018/1/24</c:v>
                </c:pt>
                <c:pt idx="278">
                  <c:v>2018/1/25</c:v>
                </c:pt>
                <c:pt idx="279">
                  <c:v>2018/1/26</c:v>
                </c:pt>
                <c:pt idx="280">
                  <c:v>2018/1/29</c:v>
                </c:pt>
                <c:pt idx="281">
                  <c:v>2018/1/30</c:v>
                </c:pt>
                <c:pt idx="282">
                  <c:v>2018/1/31</c:v>
                </c:pt>
                <c:pt idx="283">
                  <c:v>2018/2/1</c:v>
                </c:pt>
                <c:pt idx="284">
                  <c:v>2018/2/2</c:v>
                </c:pt>
                <c:pt idx="285">
                  <c:v>2018/2/5</c:v>
                </c:pt>
                <c:pt idx="286">
                  <c:v>2018/2/6</c:v>
                </c:pt>
                <c:pt idx="287">
                  <c:v>2018/2/7</c:v>
                </c:pt>
                <c:pt idx="288">
                  <c:v>2018/2/8</c:v>
                </c:pt>
                <c:pt idx="289">
                  <c:v>2018/2/9</c:v>
                </c:pt>
                <c:pt idx="290">
                  <c:v>2018/2/12</c:v>
                </c:pt>
                <c:pt idx="291">
                  <c:v>2018/2/13</c:v>
                </c:pt>
                <c:pt idx="292">
                  <c:v>2018/2/14</c:v>
                </c:pt>
                <c:pt idx="293">
                  <c:v>2018/2/15</c:v>
                </c:pt>
                <c:pt idx="294">
                  <c:v>2018/2/16</c:v>
                </c:pt>
                <c:pt idx="295">
                  <c:v>2018/2/19</c:v>
                </c:pt>
                <c:pt idx="296">
                  <c:v>2018/2/20</c:v>
                </c:pt>
                <c:pt idx="297">
                  <c:v>2018/2/21</c:v>
                </c:pt>
                <c:pt idx="298">
                  <c:v>2018/2/22</c:v>
                </c:pt>
                <c:pt idx="299">
                  <c:v>2018/2/23</c:v>
                </c:pt>
                <c:pt idx="300">
                  <c:v>2018/2/26</c:v>
                </c:pt>
                <c:pt idx="301">
                  <c:v>2018/2/27</c:v>
                </c:pt>
                <c:pt idx="302">
                  <c:v>2018/2/28</c:v>
                </c:pt>
                <c:pt idx="303">
                  <c:v>2018/3/1</c:v>
                </c:pt>
                <c:pt idx="304">
                  <c:v>2018/3/2</c:v>
                </c:pt>
                <c:pt idx="305">
                  <c:v>2018/3/5</c:v>
                </c:pt>
                <c:pt idx="306">
                  <c:v>2018/3/6</c:v>
                </c:pt>
                <c:pt idx="307">
                  <c:v>2018/3/7</c:v>
                </c:pt>
                <c:pt idx="308">
                  <c:v>2018/3/8</c:v>
                </c:pt>
                <c:pt idx="309">
                  <c:v>2018/3/9</c:v>
                </c:pt>
                <c:pt idx="310">
                  <c:v>2018/3/12</c:v>
                </c:pt>
                <c:pt idx="311">
                  <c:v>2018/3/13</c:v>
                </c:pt>
                <c:pt idx="312">
                  <c:v>2018/3/14</c:v>
                </c:pt>
                <c:pt idx="313">
                  <c:v>2018/3/15</c:v>
                </c:pt>
                <c:pt idx="314">
                  <c:v>2018/3/16</c:v>
                </c:pt>
                <c:pt idx="315">
                  <c:v>2018/3/19</c:v>
                </c:pt>
                <c:pt idx="316">
                  <c:v>2018/3/20</c:v>
                </c:pt>
                <c:pt idx="317">
                  <c:v>2018/3/21</c:v>
                </c:pt>
                <c:pt idx="318">
                  <c:v>2018/3/22</c:v>
                </c:pt>
                <c:pt idx="319">
                  <c:v>2018/3/23</c:v>
                </c:pt>
                <c:pt idx="320">
                  <c:v>2018/3/26</c:v>
                </c:pt>
                <c:pt idx="321">
                  <c:v>2018/3/27</c:v>
                </c:pt>
                <c:pt idx="322">
                  <c:v>2018/3/28</c:v>
                </c:pt>
                <c:pt idx="323">
                  <c:v>2018/3/29</c:v>
                </c:pt>
                <c:pt idx="324">
                  <c:v>2018/3/30</c:v>
                </c:pt>
                <c:pt idx="325">
                  <c:v>2018/4/2</c:v>
                </c:pt>
                <c:pt idx="326">
                  <c:v>2018/4/3</c:v>
                </c:pt>
                <c:pt idx="327">
                  <c:v>2018/4/4</c:v>
                </c:pt>
                <c:pt idx="328">
                  <c:v>2018/4/5</c:v>
                </c:pt>
                <c:pt idx="329">
                  <c:v>2018/4/6</c:v>
                </c:pt>
                <c:pt idx="330">
                  <c:v>2018/4/9</c:v>
                </c:pt>
                <c:pt idx="331">
                  <c:v>2018/4/10</c:v>
                </c:pt>
                <c:pt idx="332">
                  <c:v>2018/4/11</c:v>
                </c:pt>
                <c:pt idx="333">
                  <c:v>2018/4/12</c:v>
                </c:pt>
                <c:pt idx="334">
                  <c:v>2018/4/13</c:v>
                </c:pt>
                <c:pt idx="335">
                  <c:v>2018/4/16</c:v>
                </c:pt>
                <c:pt idx="336">
                  <c:v>2018/4/17</c:v>
                </c:pt>
                <c:pt idx="337">
                  <c:v>2018/4/18</c:v>
                </c:pt>
                <c:pt idx="338">
                  <c:v>2018/4/19</c:v>
                </c:pt>
                <c:pt idx="339">
                  <c:v>2018/4/20</c:v>
                </c:pt>
                <c:pt idx="340">
                  <c:v>2018/4/23</c:v>
                </c:pt>
                <c:pt idx="341">
                  <c:v>2018/4/24</c:v>
                </c:pt>
                <c:pt idx="342">
                  <c:v>2018/4/25</c:v>
                </c:pt>
                <c:pt idx="343">
                  <c:v>2018/4/26</c:v>
                </c:pt>
                <c:pt idx="344">
                  <c:v>2018/4/27</c:v>
                </c:pt>
                <c:pt idx="345">
                  <c:v>2018/4/30</c:v>
                </c:pt>
                <c:pt idx="346">
                  <c:v>2018/5/1</c:v>
                </c:pt>
                <c:pt idx="347">
                  <c:v>2018/5/2</c:v>
                </c:pt>
                <c:pt idx="348">
                  <c:v>2018/5/3</c:v>
                </c:pt>
                <c:pt idx="349">
                  <c:v>2018/5/4</c:v>
                </c:pt>
                <c:pt idx="350">
                  <c:v>2018/5/7</c:v>
                </c:pt>
                <c:pt idx="351">
                  <c:v>2018/5/8</c:v>
                </c:pt>
                <c:pt idx="352">
                  <c:v>2018/5/9</c:v>
                </c:pt>
                <c:pt idx="353">
                  <c:v>2018/5/10</c:v>
                </c:pt>
                <c:pt idx="354">
                  <c:v>2018/5/11</c:v>
                </c:pt>
                <c:pt idx="355">
                  <c:v>2018/5/14</c:v>
                </c:pt>
                <c:pt idx="356">
                  <c:v>2018/5/15</c:v>
                </c:pt>
                <c:pt idx="357">
                  <c:v>2018/5/16</c:v>
                </c:pt>
                <c:pt idx="358">
                  <c:v>2018/5/17</c:v>
                </c:pt>
                <c:pt idx="359">
                  <c:v>2018/5/18</c:v>
                </c:pt>
                <c:pt idx="360">
                  <c:v>2018/5/21</c:v>
                </c:pt>
                <c:pt idx="361">
                  <c:v>2018/5/22</c:v>
                </c:pt>
                <c:pt idx="362">
                  <c:v>2018/5/23</c:v>
                </c:pt>
                <c:pt idx="363">
                  <c:v>2018/5/24</c:v>
                </c:pt>
                <c:pt idx="364">
                  <c:v>2018/5/25</c:v>
                </c:pt>
                <c:pt idx="365">
                  <c:v>2018/5/28</c:v>
                </c:pt>
                <c:pt idx="366">
                  <c:v>2018/5/29</c:v>
                </c:pt>
                <c:pt idx="367">
                  <c:v>2018/5/30</c:v>
                </c:pt>
                <c:pt idx="368">
                  <c:v>2018/5/31</c:v>
                </c:pt>
                <c:pt idx="369">
                  <c:v>2018/6/1</c:v>
                </c:pt>
                <c:pt idx="370">
                  <c:v>2018/6/4</c:v>
                </c:pt>
                <c:pt idx="371">
                  <c:v>2018/6/5</c:v>
                </c:pt>
                <c:pt idx="372">
                  <c:v>2018/6/6</c:v>
                </c:pt>
                <c:pt idx="373">
                  <c:v>2018/6/7</c:v>
                </c:pt>
                <c:pt idx="374">
                  <c:v>2018/6/8</c:v>
                </c:pt>
                <c:pt idx="375">
                  <c:v>2018/6/11</c:v>
                </c:pt>
                <c:pt idx="376">
                  <c:v>2018/6/12</c:v>
                </c:pt>
                <c:pt idx="377">
                  <c:v>2018/6/13</c:v>
                </c:pt>
                <c:pt idx="378">
                  <c:v>2018/6/14</c:v>
                </c:pt>
                <c:pt idx="379">
                  <c:v>2018/6/15</c:v>
                </c:pt>
                <c:pt idx="380">
                  <c:v>2018/6/18</c:v>
                </c:pt>
                <c:pt idx="381">
                  <c:v>2018/6/19</c:v>
                </c:pt>
                <c:pt idx="382">
                  <c:v>2018/6/20</c:v>
                </c:pt>
                <c:pt idx="383">
                  <c:v>2018/6/21</c:v>
                </c:pt>
                <c:pt idx="384">
                  <c:v>2018/6/22</c:v>
                </c:pt>
                <c:pt idx="385">
                  <c:v>2018/6/25</c:v>
                </c:pt>
                <c:pt idx="386">
                  <c:v>2018/6/26</c:v>
                </c:pt>
                <c:pt idx="387">
                  <c:v>2018/6/27</c:v>
                </c:pt>
                <c:pt idx="388">
                  <c:v>2018/6/28</c:v>
                </c:pt>
                <c:pt idx="389">
                  <c:v>2018/6/29</c:v>
                </c:pt>
                <c:pt idx="390">
                  <c:v>2018/7/2</c:v>
                </c:pt>
                <c:pt idx="391">
                  <c:v>2018/7/3</c:v>
                </c:pt>
                <c:pt idx="392">
                  <c:v>2018/7/4</c:v>
                </c:pt>
                <c:pt idx="393">
                  <c:v>2018/7/5</c:v>
                </c:pt>
                <c:pt idx="394">
                  <c:v>2018/7/6</c:v>
                </c:pt>
                <c:pt idx="395">
                  <c:v>2018/7/9</c:v>
                </c:pt>
                <c:pt idx="396">
                  <c:v>2018/7/10</c:v>
                </c:pt>
                <c:pt idx="397">
                  <c:v>2018/7/11</c:v>
                </c:pt>
                <c:pt idx="398">
                  <c:v>2018/7/12</c:v>
                </c:pt>
                <c:pt idx="399">
                  <c:v>2018/7/13</c:v>
                </c:pt>
                <c:pt idx="400">
                  <c:v>2018/7/16</c:v>
                </c:pt>
                <c:pt idx="401">
                  <c:v>2018/7/17</c:v>
                </c:pt>
                <c:pt idx="402">
                  <c:v>2018/7/18</c:v>
                </c:pt>
                <c:pt idx="403">
                  <c:v>2018/7/19</c:v>
                </c:pt>
                <c:pt idx="404">
                  <c:v>2018/7/20</c:v>
                </c:pt>
                <c:pt idx="405">
                  <c:v>2018/7/23</c:v>
                </c:pt>
                <c:pt idx="406">
                  <c:v>2018/7/24</c:v>
                </c:pt>
                <c:pt idx="407">
                  <c:v>2018/7/25</c:v>
                </c:pt>
                <c:pt idx="408">
                  <c:v>2018/7/26</c:v>
                </c:pt>
                <c:pt idx="409">
                  <c:v>2018/7/27</c:v>
                </c:pt>
                <c:pt idx="410">
                  <c:v>2018/7/30</c:v>
                </c:pt>
                <c:pt idx="411">
                  <c:v>2018/7/31</c:v>
                </c:pt>
                <c:pt idx="412">
                  <c:v>2018/8/1</c:v>
                </c:pt>
                <c:pt idx="413">
                  <c:v>2018/8/2</c:v>
                </c:pt>
                <c:pt idx="414">
                  <c:v>2018/8/3</c:v>
                </c:pt>
                <c:pt idx="415">
                  <c:v>2018/8/6</c:v>
                </c:pt>
                <c:pt idx="416">
                  <c:v>2018/8/7</c:v>
                </c:pt>
                <c:pt idx="417">
                  <c:v>2018/8/8</c:v>
                </c:pt>
                <c:pt idx="418">
                  <c:v>2018/8/9</c:v>
                </c:pt>
                <c:pt idx="419">
                  <c:v>2018/8/10</c:v>
                </c:pt>
                <c:pt idx="420">
                  <c:v>2018/8/13</c:v>
                </c:pt>
                <c:pt idx="421">
                  <c:v>2018/8/14</c:v>
                </c:pt>
                <c:pt idx="422">
                  <c:v>2018/8/15</c:v>
                </c:pt>
                <c:pt idx="423">
                  <c:v>2018/8/16</c:v>
                </c:pt>
                <c:pt idx="424">
                  <c:v>2018/8/17</c:v>
                </c:pt>
                <c:pt idx="425">
                  <c:v>2018/8/20</c:v>
                </c:pt>
                <c:pt idx="426">
                  <c:v>2018/8/21</c:v>
                </c:pt>
                <c:pt idx="427">
                  <c:v>2018/8/22</c:v>
                </c:pt>
                <c:pt idx="428">
                  <c:v>2018/8/23</c:v>
                </c:pt>
                <c:pt idx="429">
                  <c:v>2018/8/24</c:v>
                </c:pt>
                <c:pt idx="430">
                  <c:v>2018/8/27</c:v>
                </c:pt>
                <c:pt idx="431">
                  <c:v>2018/8/28</c:v>
                </c:pt>
                <c:pt idx="432">
                  <c:v>2018/8/29</c:v>
                </c:pt>
                <c:pt idx="433">
                  <c:v>2018/8/30</c:v>
                </c:pt>
                <c:pt idx="434">
                  <c:v>2018/8/31</c:v>
                </c:pt>
                <c:pt idx="435">
                  <c:v>2018/9/3</c:v>
                </c:pt>
                <c:pt idx="436">
                  <c:v>2018/9/4</c:v>
                </c:pt>
                <c:pt idx="437">
                  <c:v>2018/9/5</c:v>
                </c:pt>
                <c:pt idx="438">
                  <c:v>2018/9/6</c:v>
                </c:pt>
                <c:pt idx="439">
                  <c:v>2018/9/7</c:v>
                </c:pt>
                <c:pt idx="440">
                  <c:v>2018/9/10</c:v>
                </c:pt>
                <c:pt idx="441">
                  <c:v>2018/9/11</c:v>
                </c:pt>
                <c:pt idx="442">
                  <c:v>2018/9/12</c:v>
                </c:pt>
                <c:pt idx="443">
                  <c:v>2018/9/13</c:v>
                </c:pt>
                <c:pt idx="444">
                  <c:v>2018/9/14</c:v>
                </c:pt>
                <c:pt idx="445">
                  <c:v>2018/9/17</c:v>
                </c:pt>
                <c:pt idx="446">
                  <c:v>2018/9/18</c:v>
                </c:pt>
                <c:pt idx="447">
                  <c:v>2018/9/19</c:v>
                </c:pt>
                <c:pt idx="448">
                  <c:v>2018/9/20</c:v>
                </c:pt>
                <c:pt idx="449">
                  <c:v>2018/9/21</c:v>
                </c:pt>
                <c:pt idx="450">
                  <c:v>2018/9/24</c:v>
                </c:pt>
                <c:pt idx="451">
                  <c:v>2018/9/25</c:v>
                </c:pt>
                <c:pt idx="452">
                  <c:v>2018/9/26</c:v>
                </c:pt>
                <c:pt idx="453">
                  <c:v>2018/9/27</c:v>
                </c:pt>
                <c:pt idx="454">
                  <c:v>2018/9/28</c:v>
                </c:pt>
                <c:pt idx="455">
                  <c:v>2018/10/1</c:v>
                </c:pt>
                <c:pt idx="456">
                  <c:v>2018/10/2</c:v>
                </c:pt>
                <c:pt idx="457">
                  <c:v>2018/10/3</c:v>
                </c:pt>
                <c:pt idx="458">
                  <c:v>2018/10/4</c:v>
                </c:pt>
                <c:pt idx="459">
                  <c:v>2018/10/5</c:v>
                </c:pt>
                <c:pt idx="460">
                  <c:v>2018/10/8</c:v>
                </c:pt>
                <c:pt idx="461">
                  <c:v>2018/10/9</c:v>
                </c:pt>
                <c:pt idx="462">
                  <c:v>2018/10/10</c:v>
                </c:pt>
                <c:pt idx="463">
                  <c:v>2018/10/11</c:v>
                </c:pt>
                <c:pt idx="464">
                  <c:v>2018/10/12</c:v>
                </c:pt>
                <c:pt idx="465">
                  <c:v>2018/10/15</c:v>
                </c:pt>
                <c:pt idx="466">
                  <c:v>2018/10/16</c:v>
                </c:pt>
                <c:pt idx="467">
                  <c:v>2018/10/17</c:v>
                </c:pt>
                <c:pt idx="468">
                  <c:v>2018/10/18</c:v>
                </c:pt>
                <c:pt idx="469">
                  <c:v>2018/10/19</c:v>
                </c:pt>
                <c:pt idx="470">
                  <c:v>2018/10/22</c:v>
                </c:pt>
                <c:pt idx="471">
                  <c:v>2018/10/23</c:v>
                </c:pt>
                <c:pt idx="472">
                  <c:v>2018/10/24</c:v>
                </c:pt>
                <c:pt idx="473">
                  <c:v>2018/10/25</c:v>
                </c:pt>
                <c:pt idx="474">
                  <c:v>2018/10/26</c:v>
                </c:pt>
                <c:pt idx="475">
                  <c:v>2018/10/29</c:v>
                </c:pt>
                <c:pt idx="476">
                  <c:v>2018/10/30</c:v>
                </c:pt>
                <c:pt idx="477">
                  <c:v>2018/10/31</c:v>
                </c:pt>
                <c:pt idx="478">
                  <c:v>2018/11/1</c:v>
                </c:pt>
                <c:pt idx="479">
                  <c:v>2018/11/2</c:v>
                </c:pt>
                <c:pt idx="480">
                  <c:v>2018/11/5</c:v>
                </c:pt>
                <c:pt idx="481">
                  <c:v>2018/11/6</c:v>
                </c:pt>
                <c:pt idx="482">
                  <c:v>2018/11/7</c:v>
                </c:pt>
                <c:pt idx="483">
                  <c:v>2018/11/8</c:v>
                </c:pt>
                <c:pt idx="484">
                  <c:v>2018/11/9</c:v>
                </c:pt>
                <c:pt idx="485">
                  <c:v>2018/11/12</c:v>
                </c:pt>
                <c:pt idx="486">
                  <c:v>2018/11/13</c:v>
                </c:pt>
                <c:pt idx="487">
                  <c:v>2018/11/14</c:v>
                </c:pt>
                <c:pt idx="488">
                  <c:v>2018/11/15</c:v>
                </c:pt>
                <c:pt idx="489">
                  <c:v>2018/11/16</c:v>
                </c:pt>
                <c:pt idx="490">
                  <c:v>2018/11/19</c:v>
                </c:pt>
                <c:pt idx="491">
                  <c:v>2018/11/20</c:v>
                </c:pt>
                <c:pt idx="492">
                  <c:v>2018/11/21</c:v>
                </c:pt>
                <c:pt idx="493">
                  <c:v>2018/11/22</c:v>
                </c:pt>
                <c:pt idx="494">
                  <c:v>2018/11/23</c:v>
                </c:pt>
                <c:pt idx="495">
                  <c:v>2018/11/26</c:v>
                </c:pt>
                <c:pt idx="496">
                  <c:v>2018/11/27</c:v>
                </c:pt>
                <c:pt idx="497">
                  <c:v>2018/11/28</c:v>
                </c:pt>
                <c:pt idx="498">
                  <c:v>2018/11/29</c:v>
                </c:pt>
                <c:pt idx="499">
                  <c:v>2018/11/30</c:v>
                </c:pt>
              </c:strCache>
            </c:strRef>
          </c:cat>
          <c:val>
            <c:numRef>
              <c:f>[0]!Net</c:f>
              <c:numCache>
                <c:formatCode>General</c:formatCode>
                <c:ptCount val="500"/>
                <c:pt idx="0">
                  <c:v>-0.16974480000000003</c:v>
                </c:pt>
                <c:pt idx="1">
                  <c:v>5.3959415000000011</c:v>
                </c:pt>
                <c:pt idx="2">
                  <c:v>3.1634457</c:v>
                </c:pt>
                <c:pt idx="3">
                  <c:v>3.1947587000000026</c:v>
                </c:pt>
                <c:pt idx="4">
                  <c:v>2.0618681000000003</c:v>
                </c:pt>
                <c:pt idx="5">
                  <c:v>0.62719760000000047</c:v>
                </c:pt>
                <c:pt idx="6">
                  <c:v>2.2453304000000003</c:v>
                </c:pt>
                <c:pt idx="7">
                  <c:v>-1.8856293999999996</c:v>
                </c:pt>
                <c:pt idx="8">
                  <c:v>3.9668536000000003</c:v>
                </c:pt>
                <c:pt idx="9">
                  <c:v>-0.69344849999999991</c:v>
                </c:pt>
                <c:pt idx="10">
                  <c:v>0.28726380000000001</c:v>
                </c:pt>
                <c:pt idx="11">
                  <c:v>1.7428626</c:v>
                </c:pt>
                <c:pt idx="12">
                  <c:v>2.3545235000000004</c:v>
                </c:pt>
                <c:pt idx="13">
                  <c:v>-0.3163031999999999</c:v>
                </c:pt>
                <c:pt idx="14">
                  <c:v>-4.5438409999999996</c:v>
                </c:pt>
                <c:pt idx="15">
                  <c:v>2.0893998999999992</c:v>
                </c:pt>
                <c:pt idx="16">
                  <c:v>5.3939342999999997</c:v>
                </c:pt>
                <c:pt idx="17">
                  <c:v>8.1207782000000002</c:v>
                </c:pt>
                <c:pt idx="18">
                  <c:v>6.8016877000000013</c:v>
                </c:pt>
                <c:pt idx="19">
                  <c:v>4.0439216000000018</c:v>
                </c:pt>
                <c:pt idx="20">
                  <c:v>1.1124402999999998</c:v>
                </c:pt>
                <c:pt idx="21">
                  <c:v>0.91223299999999996</c:v>
                </c:pt>
                <c:pt idx="22">
                  <c:v>-1.5838791999999995</c:v>
                </c:pt>
                <c:pt idx="23">
                  <c:v>2.0988332999999999</c:v>
                </c:pt>
                <c:pt idx="24">
                  <c:v>3.6195785000000011</c:v>
                </c:pt>
                <c:pt idx="25">
                  <c:v>3.0102983000000005</c:v>
                </c:pt>
                <c:pt idx="26">
                  <c:v>2.8805424000000008</c:v>
                </c:pt>
                <c:pt idx="27">
                  <c:v>1.9890369999999999</c:v>
                </c:pt>
                <c:pt idx="28">
                  <c:v>3.9173296999999994</c:v>
                </c:pt>
                <c:pt idx="29">
                  <c:v>5.493266900000001</c:v>
                </c:pt>
                <c:pt idx="30">
                  <c:v>4.0956715999999984</c:v>
                </c:pt>
                <c:pt idx="31">
                  <c:v>3.5417144999999999</c:v>
                </c:pt>
                <c:pt idx="32">
                  <c:v>0.90310679999999988</c:v>
                </c:pt>
                <c:pt idx="33">
                  <c:v>0.55451389999999989</c:v>
                </c:pt>
                <c:pt idx="34">
                  <c:v>-1.5672743000000002</c:v>
                </c:pt>
                <c:pt idx="35">
                  <c:v>-8.9904100000000001E-2</c:v>
                </c:pt>
                <c:pt idx="36">
                  <c:v>5.9733900999999978</c:v>
                </c:pt>
                <c:pt idx="37">
                  <c:v>2.9854563999999995</c:v>
                </c:pt>
                <c:pt idx="38">
                  <c:v>2.8905718999999999</c:v>
                </c:pt>
                <c:pt idx="39">
                  <c:v>4.0076812999999998</c:v>
                </c:pt>
                <c:pt idx="40">
                  <c:v>1.6146729000000006</c:v>
                </c:pt>
                <c:pt idx="41">
                  <c:v>3.963506999999999</c:v>
                </c:pt>
                <c:pt idx="42">
                  <c:v>10.734946699999998</c:v>
                </c:pt>
                <c:pt idx="43">
                  <c:v>-1.1588918000000001</c:v>
                </c:pt>
                <c:pt idx="44">
                  <c:v>-2.6127177000000006</c:v>
                </c:pt>
                <c:pt idx="45">
                  <c:v>3.9166497999999996</c:v>
                </c:pt>
                <c:pt idx="46">
                  <c:v>1.7327827000000007</c:v>
                </c:pt>
                <c:pt idx="47">
                  <c:v>2.4629379000000005</c:v>
                </c:pt>
                <c:pt idx="48">
                  <c:v>0.63146550000000012</c:v>
                </c:pt>
                <c:pt idx="49">
                  <c:v>-0.13308969999999978</c:v>
                </c:pt>
                <c:pt idx="50">
                  <c:v>3.4845389999999994</c:v>
                </c:pt>
                <c:pt idx="51">
                  <c:v>8.0296591000000017</c:v>
                </c:pt>
                <c:pt idx="52">
                  <c:v>5.763432299999999</c:v>
                </c:pt>
                <c:pt idx="53">
                  <c:v>-1.6092407000000006</c:v>
                </c:pt>
                <c:pt idx="54">
                  <c:v>-4.2608313999999998</c:v>
                </c:pt>
                <c:pt idx="55">
                  <c:v>-1.3866555</c:v>
                </c:pt>
                <c:pt idx="56">
                  <c:v>5.6587158000000022</c:v>
                </c:pt>
                <c:pt idx="57">
                  <c:v>4.310894499999999</c:v>
                </c:pt>
                <c:pt idx="58">
                  <c:v>2.1523026999999999</c:v>
                </c:pt>
                <c:pt idx="59">
                  <c:v>1.6246681000000003</c:v>
                </c:pt>
                <c:pt idx="60">
                  <c:v>2.2336393999999995</c:v>
                </c:pt>
                <c:pt idx="61">
                  <c:v>3.3422948999999997</c:v>
                </c:pt>
                <c:pt idx="62">
                  <c:v>1.3774409999999999</c:v>
                </c:pt>
                <c:pt idx="63">
                  <c:v>1.8927788999999995</c:v>
                </c:pt>
                <c:pt idx="64">
                  <c:v>-1.1330074000000001</c:v>
                </c:pt>
                <c:pt idx="65">
                  <c:v>-2.9751483000000003</c:v>
                </c:pt>
                <c:pt idx="66">
                  <c:v>-8.2750999999999936E-3</c:v>
                </c:pt>
                <c:pt idx="67">
                  <c:v>0.10517680000000004</c:v>
                </c:pt>
                <c:pt idx="68">
                  <c:v>2.1134903999999994</c:v>
                </c:pt>
                <c:pt idx="69">
                  <c:v>0.56339530000000015</c:v>
                </c:pt>
                <c:pt idx="70">
                  <c:v>1.3631977999999998</c:v>
                </c:pt>
                <c:pt idx="71">
                  <c:v>0.60391890000000004</c:v>
                </c:pt>
                <c:pt idx="72">
                  <c:v>2.4180643000000002</c:v>
                </c:pt>
                <c:pt idx="73">
                  <c:v>1.2011030000000003</c:v>
                </c:pt>
                <c:pt idx="74">
                  <c:v>0.71671709999999988</c:v>
                </c:pt>
                <c:pt idx="75">
                  <c:v>-9.6628800000000015E-2</c:v>
                </c:pt>
                <c:pt idx="76">
                  <c:v>-0.27227050000000047</c:v>
                </c:pt>
                <c:pt idx="77">
                  <c:v>1.2629373999999998</c:v>
                </c:pt>
                <c:pt idx="78">
                  <c:v>2.5452086000000005</c:v>
                </c:pt>
                <c:pt idx="79">
                  <c:v>-1.6935401000000012</c:v>
                </c:pt>
                <c:pt idx="80">
                  <c:v>9.9750171000000005</c:v>
                </c:pt>
                <c:pt idx="81">
                  <c:v>8.1509421000000017</c:v>
                </c:pt>
                <c:pt idx="82">
                  <c:v>3.6163551999999979</c:v>
                </c:pt>
                <c:pt idx="83">
                  <c:v>1.3117466</c:v>
                </c:pt>
                <c:pt idx="84">
                  <c:v>0.16300709999999968</c:v>
                </c:pt>
                <c:pt idx="85">
                  <c:v>1.5819945999999996</c:v>
                </c:pt>
                <c:pt idx="86">
                  <c:v>-2.2143770000000007</c:v>
                </c:pt>
                <c:pt idx="87">
                  <c:v>-1.0274108</c:v>
                </c:pt>
                <c:pt idx="88">
                  <c:v>0.6517218999999993</c:v>
                </c:pt>
                <c:pt idx="89">
                  <c:v>1.8738007999999997</c:v>
                </c:pt>
                <c:pt idx="90">
                  <c:v>0.45356879999999983</c:v>
                </c:pt>
                <c:pt idx="91">
                  <c:v>2.7990826000000006</c:v>
                </c:pt>
                <c:pt idx="92">
                  <c:v>-6.6424999999997033E-3</c:v>
                </c:pt>
                <c:pt idx="93">
                  <c:v>2.1848758000000004</c:v>
                </c:pt>
                <c:pt idx="94">
                  <c:v>-0.36895020000000045</c:v>
                </c:pt>
                <c:pt idx="95">
                  <c:v>2.3516224000000001</c:v>
                </c:pt>
                <c:pt idx="96">
                  <c:v>1.7962895000000001</c:v>
                </c:pt>
                <c:pt idx="97">
                  <c:v>-2.1776911000000005</c:v>
                </c:pt>
                <c:pt idx="98">
                  <c:v>1.2350449000000003</c:v>
                </c:pt>
                <c:pt idx="99">
                  <c:v>-4.0033331999999993</c:v>
                </c:pt>
                <c:pt idx="100">
                  <c:v>5.586806600000001</c:v>
                </c:pt>
                <c:pt idx="101">
                  <c:v>0.41986709999999988</c:v>
                </c:pt>
                <c:pt idx="102">
                  <c:v>3.5268157000000007</c:v>
                </c:pt>
                <c:pt idx="103">
                  <c:v>3.8225643000000002</c:v>
                </c:pt>
                <c:pt idx="104">
                  <c:v>4.0133840000000021</c:v>
                </c:pt>
                <c:pt idx="105">
                  <c:v>7.1602200000000005E-2</c:v>
                </c:pt>
                <c:pt idx="106">
                  <c:v>5.3606061000000009</c:v>
                </c:pt>
                <c:pt idx="107">
                  <c:v>-0.61950229999999962</c:v>
                </c:pt>
                <c:pt idx="108">
                  <c:v>1.6132880000000003</c:v>
                </c:pt>
                <c:pt idx="109">
                  <c:v>0.26986499999999969</c:v>
                </c:pt>
                <c:pt idx="110">
                  <c:v>1.4550715000000001</c:v>
                </c:pt>
                <c:pt idx="111">
                  <c:v>2.1682649000000001</c:v>
                </c:pt>
                <c:pt idx="112">
                  <c:v>4.3259801000000007</c:v>
                </c:pt>
                <c:pt idx="113">
                  <c:v>7.2067171999999999</c:v>
                </c:pt>
                <c:pt idx="114">
                  <c:v>3.8123130999999995</c:v>
                </c:pt>
                <c:pt idx="115">
                  <c:v>4.9188850999999998</c:v>
                </c:pt>
                <c:pt idx="116">
                  <c:v>11.5075638</c:v>
                </c:pt>
                <c:pt idx="117">
                  <c:v>1.4598495000000002</c:v>
                </c:pt>
                <c:pt idx="118">
                  <c:v>-0.98790729999999949</c:v>
                </c:pt>
                <c:pt idx="119">
                  <c:v>1.1971705999999991</c:v>
                </c:pt>
                <c:pt idx="120">
                  <c:v>-5.4025699999999999</c:v>
                </c:pt>
                <c:pt idx="121">
                  <c:v>5.4816240000000009</c:v>
                </c:pt>
                <c:pt idx="122">
                  <c:v>0.42270630000000031</c:v>
                </c:pt>
                <c:pt idx="123">
                  <c:v>-0.22115569999999984</c:v>
                </c:pt>
                <c:pt idx="124">
                  <c:v>1.8217298999999998</c:v>
                </c:pt>
                <c:pt idx="125">
                  <c:v>-0.2149798999999995</c:v>
                </c:pt>
                <c:pt idx="126">
                  <c:v>0.83202059999999989</c:v>
                </c:pt>
                <c:pt idx="127">
                  <c:v>-0.61797640000000098</c:v>
                </c:pt>
                <c:pt idx="128">
                  <c:v>0.15058259999999987</c:v>
                </c:pt>
                <c:pt idx="129">
                  <c:v>-1.7254390000000004</c:v>
                </c:pt>
                <c:pt idx="130">
                  <c:v>-0.79944930000000003</c:v>
                </c:pt>
                <c:pt idx="131">
                  <c:v>1.3169817999999998</c:v>
                </c:pt>
                <c:pt idx="132">
                  <c:v>3.2265017000000009</c:v>
                </c:pt>
                <c:pt idx="133">
                  <c:v>9.9680499999999672E-2</c:v>
                </c:pt>
                <c:pt idx="134">
                  <c:v>2.9834019000000009</c:v>
                </c:pt>
                <c:pt idx="135">
                  <c:v>1.0248242999999997</c:v>
                </c:pt>
                <c:pt idx="136">
                  <c:v>1.1350426999999996</c:v>
                </c:pt>
                <c:pt idx="137">
                  <c:v>1.5743940999999999</c:v>
                </c:pt>
                <c:pt idx="138">
                  <c:v>2.8901656999999998</c:v>
                </c:pt>
                <c:pt idx="139">
                  <c:v>2.3132147999999995</c:v>
                </c:pt>
                <c:pt idx="140">
                  <c:v>2.3883612999999997</c:v>
                </c:pt>
                <c:pt idx="141">
                  <c:v>-1.9078377</c:v>
                </c:pt>
                <c:pt idx="142">
                  <c:v>1.7753355000000002</c:v>
                </c:pt>
                <c:pt idx="143">
                  <c:v>0.5716011999999997</c:v>
                </c:pt>
                <c:pt idx="144">
                  <c:v>3.3784913999999993</c:v>
                </c:pt>
                <c:pt idx="145">
                  <c:v>1.4578646000000015</c:v>
                </c:pt>
                <c:pt idx="146">
                  <c:v>-1.7674815999999991</c:v>
                </c:pt>
                <c:pt idx="147">
                  <c:v>1.2505991000000003</c:v>
                </c:pt>
                <c:pt idx="148">
                  <c:v>0.44893450000000035</c:v>
                </c:pt>
                <c:pt idx="149">
                  <c:v>1.4871477999999998</c:v>
                </c:pt>
                <c:pt idx="150">
                  <c:v>2.8644943999999999</c:v>
                </c:pt>
                <c:pt idx="151">
                  <c:v>1.3225784</c:v>
                </c:pt>
                <c:pt idx="152">
                  <c:v>0.63581889999999996</c:v>
                </c:pt>
                <c:pt idx="153">
                  <c:v>3.9773498999999992</c:v>
                </c:pt>
                <c:pt idx="154">
                  <c:v>0.95709970000000011</c:v>
                </c:pt>
                <c:pt idx="155">
                  <c:v>-0.56289519999999993</c:v>
                </c:pt>
                <c:pt idx="156">
                  <c:v>4.2428413999999997</c:v>
                </c:pt>
                <c:pt idx="157">
                  <c:v>-0.48906599999999978</c:v>
                </c:pt>
                <c:pt idx="158">
                  <c:v>-0.8789066000000002</c:v>
                </c:pt>
                <c:pt idx="159">
                  <c:v>-2.8026835000000001</c:v>
                </c:pt>
                <c:pt idx="160">
                  <c:v>2.7442731999999994</c:v>
                </c:pt>
                <c:pt idx="161">
                  <c:v>2.2697624000000021</c:v>
                </c:pt>
                <c:pt idx="162">
                  <c:v>3.9894086000000017</c:v>
                </c:pt>
                <c:pt idx="163">
                  <c:v>-3.4025125999999997</c:v>
                </c:pt>
                <c:pt idx="164">
                  <c:v>-1.1429665</c:v>
                </c:pt>
                <c:pt idx="165">
                  <c:v>0.57001629999999992</c:v>
                </c:pt>
                <c:pt idx="166">
                  <c:v>4.5267644000000002</c:v>
                </c:pt>
                <c:pt idx="167">
                  <c:v>4.3946072000000003</c:v>
                </c:pt>
                <c:pt idx="168">
                  <c:v>1.7894698999999983</c:v>
                </c:pt>
                <c:pt idx="169">
                  <c:v>2.2138883000000003</c:v>
                </c:pt>
                <c:pt idx="170">
                  <c:v>2.0655780000000004</c:v>
                </c:pt>
                <c:pt idx="171">
                  <c:v>1.0967951999999999</c:v>
                </c:pt>
                <c:pt idx="172">
                  <c:v>1.6789049000000005</c:v>
                </c:pt>
                <c:pt idx="173">
                  <c:v>-2.4513761000000032</c:v>
                </c:pt>
                <c:pt idx="174">
                  <c:v>1.8046182999999998</c:v>
                </c:pt>
                <c:pt idx="175">
                  <c:v>-0.15088480000000004</c:v>
                </c:pt>
                <c:pt idx="176">
                  <c:v>4.2373209000000012</c:v>
                </c:pt>
                <c:pt idx="177">
                  <c:v>4.4482841000000004</c:v>
                </c:pt>
                <c:pt idx="178">
                  <c:v>4.1397713000000005</c:v>
                </c:pt>
                <c:pt idx="179">
                  <c:v>-2.0294748</c:v>
                </c:pt>
                <c:pt idx="180">
                  <c:v>4.3011944000000009</c:v>
                </c:pt>
                <c:pt idx="181">
                  <c:v>6.9849211999999987</c:v>
                </c:pt>
                <c:pt idx="182">
                  <c:v>1.0489338000000001</c:v>
                </c:pt>
                <c:pt idx="183">
                  <c:v>8.7058999999999595E-2</c:v>
                </c:pt>
                <c:pt idx="184">
                  <c:v>-8.7825915999999982</c:v>
                </c:pt>
                <c:pt idx="185">
                  <c:v>7.2661707</c:v>
                </c:pt>
                <c:pt idx="186">
                  <c:v>4.9720791000000002</c:v>
                </c:pt>
                <c:pt idx="187">
                  <c:v>1.0449636000000007</c:v>
                </c:pt>
                <c:pt idx="188">
                  <c:v>-8.3476999999999565E-2</c:v>
                </c:pt>
                <c:pt idx="189">
                  <c:v>-0.68356169999999983</c:v>
                </c:pt>
                <c:pt idx="190">
                  <c:v>1.1359900999999992</c:v>
                </c:pt>
                <c:pt idx="191">
                  <c:v>-0.31503350000000008</c:v>
                </c:pt>
                <c:pt idx="192">
                  <c:v>1.3016471000000001</c:v>
                </c:pt>
                <c:pt idx="193">
                  <c:v>-0.47708920000000021</c:v>
                </c:pt>
                <c:pt idx="194">
                  <c:v>2.6543456999999981</c:v>
                </c:pt>
                <c:pt idx="195">
                  <c:v>1.0965771</c:v>
                </c:pt>
                <c:pt idx="196">
                  <c:v>2.9624465999999989</c:v>
                </c:pt>
                <c:pt idx="197">
                  <c:v>0.78633990000000009</c:v>
                </c:pt>
                <c:pt idx="198">
                  <c:v>1.1336059000000005</c:v>
                </c:pt>
                <c:pt idx="199">
                  <c:v>-0.51249690000000014</c:v>
                </c:pt>
                <c:pt idx="200">
                  <c:v>3.2928888000000001</c:v>
                </c:pt>
                <c:pt idx="201">
                  <c:v>2.1677855999999989</c:v>
                </c:pt>
                <c:pt idx="202">
                  <c:v>1.8905259999999993</c:v>
                </c:pt>
                <c:pt idx="203">
                  <c:v>4.859787400000001</c:v>
                </c:pt>
                <c:pt idx="204">
                  <c:v>0.26880370000000003</c:v>
                </c:pt>
                <c:pt idx="205">
                  <c:v>2.7130236000000001</c:v>
                </c:pt>
                <c:pt idx="206">
                  <c:v>2.4894531999999998</c:v>
                </c:pt>
                <c:pt idx="207">
                  <c:v>4.1890699999999975E-2</c:v>
                </c:pt>
                <c:pt idx="208">
                  <c:v>2.5421604000000002</c:v>
                </c:pt>
                <c:pt idx="209">
                  <c:v>4.7311169999999976</c:v>
                </c:pt>
                <c:pt idx="210">
                  <c:v>0.12283000000000027</c:v>
                </c:pt>
                <c:pt idx="211">
                  <c:v>4.6634145000000018</c:v>
                </c:pt>
                <c:pt idx="212">
                  <c:v>-1.7361035999999999</c:v>
                </c:pt>
                <c:pt idx="213">
                  <c:v>2.1257261999999995</c:v>
                </c:pt>
                <c:pt idx="214">
                  <c:v>3.9998792999999999</c:v>
                </c:pt>
                <c:pt idx="215">
                  <c:v>-2.1495433999999993</c:v>
                </c:pt>
                <c:pt idx="216">
                  <c:v>-1.5373413999999994</c:v>
                </c:pt>
                <c:pt idx="217">
                  <c:v>2.4197919000000003</c:v>
                </c:pt>
                <c:pt idx="218">
                  <c:v>1.1818074999999997</c:v>
                </c:pt>
                <c:pt idx="219">
                  <c:v>4.5336290999999997</c:v>
                </c:pt>
                <c:pt idx="220">
                  <c:v>-0.99866940000000048</c:v>
                </c:pt>
                <c:pt idx="221">
                  <c:v>-0.50237469999999984</c:v>
                </c:pt>
                <c:pt idx="222">
                  <c:v>0.98025309999999999</c:v>
                </c:pt>
                <c:pt idx="223">
                  <c:v>1.0210439999999998</c:v>
                </c:pt>
                <c:pt idx="224">
                  <c:v>1.2937179000000005</c:v>
                </c:pt>
                <c:pt idx="225">
                  <c:v>-0.50883329999999993</c:v>
                </c:pt>
                <c:pt idx="226">
                  <c:v>1.3452917999999991</c:v>
                </c:pt>
                <c:pt idx="227">
                  <c:v>0.68791179999999996</c:v>
                </c:pt>
                <c:pt idx="228">
                  <c:v>3.5926571999999983</c:v>
                </c:pt>
                <c:pt idx="229">
                  <c:v>-1.8671710000000001</c:v>
                </c:pt>
                <c:pt idx="230">
                  <c:v>5.7248435000000004</c:v>
                </c:pt>
                <c:pt idx="231">
                  <c:v>4.2823368999999998</c:v>
                </c:pt>
                <c:pt idx="232">
                  <c:v>-9.5467600000000194E-2</c:v>
                </c:pt>
                <c:pt idx="233">
                  <c:v>0.5981247999999999</c:v>
                </c:pt>
                <c:pt idx="234">
                  <c:v>1.8175083999999997</c:v>
                </c:pt>
                <c:pt idx="235">
                  <c:v>0.47156140000000002</c:v>
                </c:pt>
                <c:pt idx="236">
                  <c:v>3.4560411000000002</c:v>
                </c:pt>
                <c:pt idx="237">
                  <c:v>4.7944081000000027</c:v>
                </c:pt>
                <c:pt idx="238">
                  <c:v>1.2117382000000008</c:v>
                </c:pt>
                <c:pt idx="239">
                  <c:v>2.3942844999999999</c:v>
                </c:pt>
                <c:pt idx="240">
                  <c:v>4.5360464</c:v>
                </c:pt>
                <c:pt idx="241">
                  <c:v>1.1563218000000002</c:v>
                </c:pt>
                <c:pt idx="242">
                  <c:v>2.0699554999999998</c:v>
                </c:pt>
                <c:pt idx="243">
                  <c:v>8.6689764999999994</c:v>
                </c:pt>
                <c:pt idx="244">
                  <c:v>2.3828746000000001</c:v>
                </c:pt>
                <c:pt idx="245">
                  <c:v>2.1357893999999997</c:v>
                </c:pt>
                <c:pt idx="246">
                  <c:v>9.2041369</c:v>
                </c:pt>
                <c:pt idx="247">
                  <c:v>4.4315707</c:v>
                </c:pt>
                <c:pt idx="248">
                  <c:v>-5.1960708999999996</c:v>
                </c:pt>
                <c:pt idx="249">
                  <c:v>-0.11274560000000043</c:v>
                </c:pt>
                <c:pt idx="250">
                  <c:v>6.6997713000000001</c:v>
                </c:pt>
                <c:pt idx="251">
                  <c:v>3.851699200000001</c:v>
                </c:pt>
                <c:pt idx="252">
                  <c:v>-5.0869956000000016</c:v>
                </c:pt>
                <c:pt idx="253">
                  <c:v>4.3740145999999989</c:v>
                </c:pt>
                <c:pt idx="254">
                  <c:v>6.1595079000000013</c:v>
                </c:pt>
                <c:pt idx="255">
                  <c:v>-0.72108309999999998</c:v>
                </c:pt>
                <c:pt idx="256">
                  <c:v>-7.1665400000000046E-2</c:v>
                </c:pt>
                <c:pt idx="257">
                  <c:v>-0.22727230000000034</c:v>
                </c:pt>
                <c:pt idx="258">
                  <c:v>0.40829640000000006</c:v>
                </c:pt>
                <c:pt idx="259">
                  <c:v>-9.0940814999999997</c:v>
                </c:pt>
                <c:pt idx="260">
                  <c:v>0</c:v>
                </c:pt>
                <c:pt idx="261">
                  <c:v>2.0835504999999999</c:v>
                </c:pt>
                <c:pt idx="262">
                  <c:v>4.0262576999999995</c:v>
                </c:pt>
                <c:pt idx="263">
                  <c:v>4.7503709000000027</c:v>
                </c:pt>
                <c:pt idx="264">
                  <c:v>2.6140164000000006</c:v>
                </c:pt>
                <c:pt idx="265">
                  <c:v>5.1122305999999993</c:v>
                </c:pt>
                <c:pt idx="266">
                  <c:v>2.3609042999999996</c:v>
                </c:pt>
                <c:pt idx="267">
                  <c:v>2.461081500000001</c:v>
                </c:pt>
                <c:pt idx="268">
                  <c:v>3.2890392999999998</c:v>
                </c:pt>
                <c:pt idx="269">
                  <c:v>-2.3604014000000006</c:v>
                </c:pt>
                <c:pt idx="270">
                  <c:v>0.34242349999999988</c:v>
                </c:pt>
                <c:pt idx="271">
                  <c:v>2.9370301999999993</c:v>
                </c:pt>
                <c:pt idx="272">
                  <c:v>11.147512500000005</c:v>
                </c:pt>
                <c:pt idx="273">
                  <c:v>0.58931319999999987</c:v>
                </c:pt>
                <c:pt idx="274">
                  <c:v>0.94860990000000101</c:v>
                </c:pt>
                <c:pt idx="275">
                  <c:v>4.9970636000000015</c:v>
                </c:pt>
                <c:pt idx="276">
                  <c:v>8.419948999999999</c:v>
                </c:pt>
                <c:pt idx="277">
                  <c:v>6.3092699999999946E-2</c:v>
                </c:pt>
                <c:pt idx="278">
                  <c:v>2.6610714000000009</c:v>
                </c:pt>
                <c:pt idx="279">
                  <c:v>1.8810722</c:v>
                </c:pt>
                <c:pt idx="280">
                  <c:v>8.7864966999999972</c:v>
                </c:pt>
                <c:pt idx="281">
                  <c:v>1.9081838999999998</c:v>
                </c:pt>
                <c:pt idx="282">
                  <c:v>1.7314330999999981</c:v>
                </c:pt>
                <c:pt idx="283">
                  <c:v>-2.1430411999999994</c:v>
                </c:pt>
                <c:pt idx="284">
                  <c:v>-1.3899354000000004</c:v>
                </c:pt>
                <c:pt idx="285">
                  <c:v>-5.0780461999999993</c:v>
                </c:pt>
                <c:pt idx="286">
                  <c:v>-10.011645900000001</c:v>
                </c:pt>
                <c:pt idx="287">
                  <c:v>-0.97058829999999985</c:v>
                </c:pt>
                <c:pt idx="288">
                  <c:v>-6.9641812999999981</c:v>
                </c:pt>
                <c:pt idx="289">
                  <c:v>-3.3328713999999993</c:v>
                </c:pt>
                <c:pt idx="290">
                  <c:v>5.9474140000000011</c:v>
                </c:pt>
                <c:pt idx="291">
                  <c:v>-3.5531329999999994</c:v>
                </c:pt>
                <c:pt idx="292">
                  <c:v>-1.2345426000000006</c:v>
                </c:pt>
                <c:pt idx="293">
                  <c:v>5.0116565000000008</c:v>
                </c:pt>
                <c:pt idx="294">
                  <c:v>-4.6942951000000006</c:v>
                </c:pt>
                <c:pt idx="295">
                  <c:v>0.12555900000000003</c:v>
                </c:pt>
                <c:pt idx="296">
                  <c:v>1.4047624000000001</c:v>
                </c:pt>
                <c:pt idx="297">
                  <c:v>5.0133969000000027</c:v>
                </c:pt>
                <c:pt idx="298">
                  <c:v>-3.8094021999999992</c:v>
                </c:pt>
                <c:pt idx="299">
                  <c:v>1.1562996000000008</c:v>
                </c:pt>
                <c:pt idx="300">
                  <c:v>8.2193244000000014</c:v>
                </c:pt>
                <c:pt idx="301">
                  <c:v>2.8142068999999994</c:v>
                </c:pt>
                <c:pt idx="302">
                  <c:v>-0.87330659999999971</c:v>
                </c:pt>
                <c:pt idx="303">
                  <c:v>-8.5865942000000004</c:v>
                </c:pt>
                <c:pt idx="304">
                  <c:v>-3.2142738999999989</c:v>
                </c:pt>
                <c:pt idx="305">
                  <c:v>6.2860116000000001</c:v>
                </c:pt>
                <c:pt idx="306">
                  <c:v>-1.5401476999999999</c:v>
                </c:pt>
                <c:pt idx="307">
                  <c:v>-0.28108639999999963</c:v>
                </c:pt>
                <c:pt idx="308">
                  <c:v>6.2642388000000038</c:v>
                </c:pt>
                <c:pt idx="309">
                  <c:v>5.182161999999999</c:v>
                </c:pt>
                <c:pt idx="310">
                  <c:v>10.067364800000005</c:v>
                </c:pt>
                <c:pt idx="311">
                  <c:v>12.092810999999999</c:v>
                </c:pt>
                <c:pt idx="312">
                  <c:v>10.237972000000001</c:v>
                </c:pt>
                <c:pt idx="313">
                  <c:v>-1.9065654000000012</c:v>
                </c:pt>
                <c:pt idx="314">
                  <c:v>-11.225854099999999</c:v>
                </c:pt>
                <c:pt idx="315">
                  <c:v>-9.2570885000000018</c:v>
                </c:pt>
                <c:pt idx="316">
                  <c:v>-4.8318078000000009</c:v>
                </c:pt>
                <c:pt idx="317">
                  <c:v>2.2408490999999997</c:v>
                </c:pt>
                <c:pt idx="318">
                  <c:v>-0.87844630000000024</c:v>
                </c:pt>
                <c:pt idx="319">
                  <c:v>-8.8682964000000002</c:v>
                </c:pt>
                <c:pt idx="320">
                  <c:v>4.9175333999999991</c:v>
                </c:pt>
                <c:pt idx="321">
                  <c:v>-0.73155279999999967</c:v>
                </c:pt>
                <c:pt idx="322">
                  <c:v>-2.2952539999999999</c:v>
                </c:pt>
                <c:pt idx="323">
                  <c:v>-1.7394248999999988</c:v>
                </c:pt>
                <c:pt idx="324">
                  <c:v>3.0139300000000105E-2</c:v>
                </c:pt>
                <c:pt idx="325">
                  <c:v>-3.4157810000000004</c:v>
                </c:pt>
                <c:pt idx="326">
                  <c:v>-0.90913160000000048</c:v>
                </c:pt>
                <c:pt idx="327">
                  <c:v>1.0848009000000005</c:v>
                </c:pt>
                <c:pt idx="328">
                  <c:v>4.2151352000000006</c:v>
                </c:pt>
                <c:pt idx="329">
                  <c:v>-2.4719608000000006</c:v>
                </c:pt>
                <c:pt idx="330">
                  <c:v>7.6024890000000003</c:v>
                </c:pt>
                <c:pt idx="331">
                  <c:v>2.5207047999999994</c:v>
                </c:pt>
                <c:pt idx="332">
                  <c:v>3.5627997000000002</c:v>
                </c:pt>
                <c:pt idx="333">
                  <c:v>3.2220597999999994</c:v>
                </c:pt>
                <c:pt idx="334">
                  <c:v>-0.35752519999999999</c:v>
                </c:pt>
                <c:pt idx="335">
                  <c:v>0.48046129999999987</c:v>
                </c:pt>
                <c:pt idx="336">
                  <c:v>2.8260678000000001</c:v>
                </c:pt>
                <c:pt idx="337">
                  <c:v>1.1226876999999997</c:v>
                </c:pt>
                <c:pt idx="338">
                  <c:v>0.49193170000000092</c:v>
                </c:pt>
                <c:pt idx="339">
                  <c:v>-2.1890611</c:v>
                </c:pt>
                <c:pt idx="340">
                  <c:v>1.6517574000000008</c:v>
                </c:pt>
                <c:pt idx="341">
                  <c:v>-3.4452725000000015</c:v>
                </c:pt>
                <c:pt idx="342">
                  <c:v>-0.71401829999999977</c:v>
                </c:pt>
                <c:pt idx="343">
                  <c:v>3.0386025999999999</c:v>
                </c:pt>
                <c:pt idx="344">
                  <c:v>1.9637252000000001</c:v>
                </c:pt>
                <c:pt idx="345">
                  <c:v>-2.3166817999999996</c:v>
                </c:pt>
                <c:pt idx="346">
                  <c:v>-0.46149389999999979</c:v>
                </c:pt>
                <c:pt idx="347">
                  <c:v>-2.0349714000000003</c:v>
                </c:pt>
                <c:pt idx="348">
                  <c:v>0.77037280000000141</c:v>
                </c:pt>
                <c:pt idx="349">
                  <c:v>1.2171994000000008</c:v>
                </c:pt>
                <c:pt idx="350">
                  <c:v>2.2248736999999998</c:v>
                </c:pt>
                <c:pt idx="351">
                  <c:v>3.1368579999999993</c:v>
                </c:pt>
                <c:pt idx="352">
                  <c:v>1.5678661000000003</c:v>
                </c:pt>
                <c:pt idx="353">
                  <c:v>4.7529514000000006</c:v>
                </c:pt>
                <c:pt idx="354">
                  <c:v>5.320597499999999</c:v>
                </c:pt>
                <c:pt idx="355">
                  <c:v>0.3803074999999998</c:v>
                </c:pt>
                <c:pt idx="356">
                  <c:v>2.3092457999999998</c:v>
                </c:pt>
                <c:pt idx="357">
                  <c:v>1.1734486</c:v>
                </c:pt>
                <c:pt idx="358">
                  <c:v>3.7068770000000013</c:v>
                </c:pt>
                <c:pt idx="359">
                  <c:v>-5.5880390000000011</c:v>
                </c:pt>
                <c:pt idx="360">
                  <c:v>2.2811303000000001</c:v>
                </c:pt>
                <c:pt idx="361">
                  <c:v>1.0326838000000003</c:v>
                </c:pt>
                <c:pt idx="362">
                  <c:v>3.8528262000000013</c:v>
                </c:pt>
                <c:pt idx="363">
                  <c:v>1.6853621999999997</c:v>
                </c:pt>
                <c:pt idx="364">
                  <c:v>-1.6021346999999995</c:v>
                </c:pt>
                <c:pt idx="365">
                  <c:v>7.0193900000000059E-2</c:v>
                </c:pt>
                <c:pt idx="366">
                  <c:v>1.4451334999999994</c:v>
                </c:pt>
                <c:pt idx="367">
                  <c:v>0.59613939999999965</c:v>
                </c:pt>
                <c:pt idx="368">
                  <c:v>-1.9925122999999991</c:v>
                </c:pt>
                <c:pt idx="369">
                  <c:v>-4.3575160999999998</c:v>
                </c:pt>
                <c:pt idx="370">
                  <c:v>5.2132191000000008</c:v>
                </c:pt>
                <c:pt idx="371">
                  <c:v>0.3408376999999993</c:v>
                </c:pt>
                <c:pt idx="372">
                  <c:v>0.70649150000000016</c:v>
                </c:pt>
                <c:pt idx="373">
                  <c:v>-0.56395370000000056</c:v>
                </c:pt>
                <c:pt idx="374">
                  <c:v>-2.7011026000000009</c:v>
                </c:pt>
                <c:pt idx="375">
                  <c:v>-2.3001812999999998</c:v>
                </c:pt>
                <c:pt idx="376">
                  <c:v>12.661011200000001</c:v>
                </c:pt>
                <c:pt idx="377">
                  <c:v>3.6651726999999998</c:v>
                </c:pt>
                <c:pt idx="378">
                  <c:v>-4.0708641000000041</c:v>
                </c:pt>
                <c:pt idx="379">
                  <c:v>-1.6700993000000011</c:v>
                </c:pt>
                <c:pt idx="380">
                  <c:v>-4.8869605000000016</c:v>
                </c:pt>
                <c:pt idx="381">
                  <c:v>0.56323260000000031</c:v>
                </c:pt>
                <c:pt idx="382">
                  <c:v>13.8503025</c:v>
                </c:pt>
                <c:pt idx="383">
                  <c:v>-13.337671200000003</c:v>
                </c:pt>
                <c:pt idx="384">
                  <c:v>-0.67373709999999998</c:v>
                </c:pt>
                <c:pt idx="385">
                  <c:v>-2.8909366000000003</c:v>
                </c:pt>
                <c:pt idx="386">
                  <c:v>-2.8019287999999993</c:v>
                </c:pt>
                <c:pt idx="387">
                  <c:v>-1.6294759999999999</c:v>
                </c:pt>
                <c:pt idx="388">
                  <c:v>0.30250959999999932</c:v>
                </c:pt>
                <c:pt idx="389">
                  <c:v>-2.4348490999999997</c:v>
                </c:pt>
                <c:pt idx="390">
                  <c:v>-3.6099458000000006</c:v>
                </c:pt>
                <c:pt idx="391">
                  <c:v>7.2674137000000014</c:v>
                </c:pt>
                <c:pt idx="392">
                  <c:v>2.0447782999999999</c:v>
                </c:pt>
                <c:pt idx="393">
                  <c:v>0.54589589999999966</c:v>
                </c:pt>
                <c:pt idx="394">
                  <c:v>5.3253557000000002</c:v>
                </c:pt>
                <c:pt idx="395">
                  <c:v>1.7375761000000003</c:v>
                </c:pt>
                <c:pt idx="396">
                  <c:v>1.1447133</c:v>
                </c:pt>
                <c:pt idx="397">
                  <c:v>5.9736431999999979</c:v>
                </c:pt>
                <c:pt idx="398">
                  <c:v>1.8265955999999997</c:v>
                </c:pt>
                <c:pt idx="399">
                  <c:v>-0.84353179999999872</c:v>
                </c:pt>
                <c:pt idx="400">
                  <c:v>2.3252242000000001</c:v>
                </c:pt>
                <c:pt idx="401">
                  <c:v>1.1741460000000004</c:v>
                </c:pt>
                <c:pt idx="402">
                  <c:v>0.81661409999999979</c:v>
                </c:pt>
                <c:pt idx="403">
                  <c:v>-2.6553000000000437E-2</c:v>
                </c:pt>
                <c:pt idx="404">
                  <c:v>-2.8019886000000005</c:v>
                </c:pt>
                <c:pt idx="405">
                  <c:v>3.0487317000000003</c:v>
                </c:pt>
                <c:pt idx="406">
                  <c:v>3.5590658000000008</c:v>
                </c:pt>
                <c:pt idx="407">
                  <c:v>2.4923625000000005</c:v>
                </c:pt>
                <c:pt idx="408">
                  <c:v>-0.24939679999999986</c:v>
                </c:pt>
                <c:pt idx="409">
                  <c:v>2.1217311999999993</c:v>
                </c:pt>
                <c:pt idx="410">
                  <c:v>-0.81990259999999993</c:v>
                </c:pt>
                <c:pt idx="411">
                  <c:v>0.62203450000000005</c:v>
                </c:pt>
                <c:pt idx="412">
                  <c:v>-0.16678489999999979</c:v>
                </c:pt>
                <c:pt idx="413">
                  <c:v>-0.84834560000000203</c:v>
                </c:pt>
                <c:pt idx="414">
                  <c:v>-0.29065489999999972</c:v>
                </c:pt>
                <c:pt idx="415">
                  <c:v>0.84572870000000011</c:v>
                </c:pt>
                <c:pt idx="416">
                  <c:v>5.0373232000000003</c:v>
                </c:pt>
                <c:pt idx="417">
                  <c:v>4.8667708000000021</c:v>
                </c:pt>
                <c:pt idx="418">
                  <c:v>2.0652571000000002</c:v>
                </c:pt>
                <c:pt idx="419">
                  <c:v>-5.4897723000000012</c:v>
                </c:pt>
                <c:pt idx="420">
                  <c:v>0.99396949999999984</c:v>
                </c:pt>
                <c:pt idx="421">
                  <c:v>-1.1331367999999997</c:v>
                </c:pt>
                <c:pt idx="422">
                  <c:v>2.4401130000000002</c:v>
                </c:pt>
                <c:pt idx="423">
                  <c:v>3.0455113999999992</c:v>
                </c:pt>
                <c:pt idx="424">
                  <c:v>-1.6916339</c:v>
                </c:pt>
                <c:pt idx="425">
                  <c:v>3.0266728000000009</c:v>
                </c:pt>
                <c:pt idx="426">
                  <c:v>-0.53628570000000031</c:v>
                </c:pt>
                <c:pt idx="427">
                  <c:v>2.3864204000000009</c:v>
                </c:pt>
                <c:pt idx="428">
                  <c:v>0.37030140000000039</c:v>
                </c:pt>
                <c:pt idx="429">
                  <c:v>0.47381370000000012</c:v>
                </c:pt>
                <c:pt idx="430">
                  <c:v>8.2438382000000008</c:v>
                </c:pt>
                <c:pt idx="431">
                  <c:v>-1.8776930999999999</c:v>
                </c:pt>
                <c:pt idx="432">
                  <c:v>2.5441709999999995</c:v>
                </c:pt>
                <c:pt idx="433">
                  <c:v>-0.34358309999999909</c:v>
                </c:pt>
                <c:pt idx="434">
                  <c:v>-1.2679183999999997</c:v>
                </c:pt>
                <c:pt idx="435">
                  <c:v>0.29987239999999998</c:v>
                </c:pt>
                <c:pt idx="436">
                  <c:v>-4.592254200000002</c:v>
                </c:pt>
                <c:pt idx="437">
                  <c:v>9.4340088999999985</c:v>
                </c:pt>
                <c:pt idx="438">
                  <c:v>-3.5093968000000002</c:v>
                </c:pt>
                <c:pt idx="439">
                  <c:v>2.1190208000000004</c:v>
                </c:pt>
                <c:pt idx="440">
                  <c:v>1.1999044999999997</c:v>
                </c:pt>
                <c:pt idx="441">
                  <c:v>0.46570360000000016</c:v>
                </c:pt>
                <c:pt idx="442">
                  <c:v>1.4913222999999998</c:v>
                </c:pt>
                <c:pt idx="443">
                  <c:v>0.88057829999999992</c:v>
                </c:pt>
                <c:pt idx="444">
                  <c:v>-3.9432689000000001</c:v>
                </c:pt>
                <c:pt idx="445">
                  <c:v>4.9397420999999992</c:v>
                </c:pt>
                <c:pt idx="446">
                  <c:v>15.315690500000002</c:v>
                </c:pt>
                <c:pt idx="447">
                  <c:v>17.153957600000002</c:v>
                </c:pt>
                <c:pt idx="448">
                  <c:v>1.0831879000000013</c:v>
                </c:pt>
                <c:pt idx="449">
                  <c:v>-13.052143100000002</c:v>
                </c:pt>
                <c:pt idx="450">
                  <c:v>-2.6086928999999999</c:v>
                </c:pt>
                <c:pt idx="451">
                  <c:v>-0.60540920000000076</c:v>
                </c:pt>
                <c:pt idx="452">
                  <c:v>-2.3739563000000001</c:v>
                </c:pt>
                <c:pt idx="453">
                  <c:v>-0.68171709999999996</c:v>
                </c:pt>
                <c:pt idx="454">
                  <c:v>4.4133603999999993</c:v>
                </c:pt>
                <c:pt idx="455">
                  <c:v>-2.9120416999999996</c:v>
                </c:pt>
                <c:pt idx="456">
                  <c:v>1.5197801999999998</c:v>
                </c:pt>
                <c:pt idx="457">
                  <c:v>-0.99256350000000015</c:v>
                </c:pt>
                <c:pt idx="458">
                  <c:v>4.0713412000000009</c:v>
                </c:pt>
                <c:pt idx="459">
                  <c:v>-4.1709706000000004</c:v>
                </c:pt>
                <c:pt idx="460">
                  <c:v>-0.99384340000000049</c:v>
                </c:pt>
                <c:pt idx="461">
                  <c:v>-5.3802880000000002</c:v>
                </c:pt>
                <c:pt idx="462">
                  <c:v>2.3991644000000001</c:v>
                </c:pt>
                <c:pt idx="463">
                  <c:v>-11.861117700000003</c:v>
                </c:pt>
                <c:pt idx="464">
                  <c:v>-5.6116598999999994</c:v>
                </c:pt>
                <c:pt idx="465">
                  <c:v>-3.8151002000000016</c:v>
                </c:pt>
                <c:pt idx="466">
                  <c:v>2.4293345</c:v>
                </c:pt>
                <c:pt idx="467">
                  <c:v>13.826766900000001</c:v>
                </c:pt>
                <c:pt idx="468">
                  <c:v>-1.0545850000000001</c:v>
                </c:pt>
                <c:pt idx="469">
                  <c:v>4.835569999999997</c:v>
                </c:pt>
                <c:pt idx="470">
                  <c:v>1.323166799999999</c:v>
                </c:pt>
                <c:pt idx="471">
                  <c:v>-2.3271660999999999</c:v>
                </c:pt>
                <c:pt idx="472">
                  <c:v>5.3465272000000006</c:v>
                </c:pt>
                <c:pt idx="473">
                  <c:v>-9.248280499999991</c:v>
                </c:pt>
                <c:pt idx="474">
                  <c:v>-3.6474698000000014</c:v>
                </c:pt>
                <c:pt idx="475">
                  <c:v>9.4206952999999967</c:v>
                </c:pt>
                <c:pt idx="476">
                  <c:v>6.8290568000000036</c:v>
                </c:pt>
                <c:pt idx="477">
                  <c:v>-5.9979400000000016</c:v>
                </c:pt>
                <c:pt idx="478">
                  <c:v>1.4771785000000002</c:v>
                </c:pt>
                <c:pt idx="479">
                  <c:v>2.3079221000000012</c:v>
                </c:pt>
                <c:pt idx="480">
                  <c:v>1.6227740999999993</c:v>
                </c:pt>
                <c:pt idx="481">
                  <c:v>2.3174039999999998</c:v>
                </c:pt>
                <c:pt idx="482">
                  <c:v>7.0503394000000013</c:v>
                </c:pt>
                <c:pt idx="483">
                  <c:v>1.3460687999999994</c:v>
                </c:pt>
                <c:pt idx="484">
                  <c:v>-2.2693468999999999</c:v>
                </c:pt>
                <c:pt idx="485">
                  <c:v>-1.0870189000000001</c:v>
                </c:pt>
                <c:pt idx="486">
                  <c:v>8.5868462000000036</c:v>
                </c:pt>
                <c:pt idx="487">
                  <c:v>-4.4301436999999995</c:v>
                </c:pt>
                <c:pt idx="488">
                  <c:v>5.6112999000000023</c:v>
                </c:pt>
                <c:pt idx="489">
                  <c:v>-0.77766139999999984</c:v>
                </c:pt>
                <c:pt idx="490">
                  <c:v>0.63506859999999998</c:v>
                </c:pt>
                <c:pt idx="491">
                  <c:v>1.5870405999999999</c:v>
                </c:pt>
                <c:pt idx="492">
                  <c:v>0.27489660000000049</c:v>
                </c:pt>
                <c:pt idx="493">
                  <c:v>0.47810680000000005</c:v>
                </c:pt>
                <c:pt idx="494">
                  <c:v>-1.1233853999999996</c:v>
                </c:pt>
                <c:pt idx="495">
                  <c:v>-0.60150689999999996</c:v>
                </c:pt>
                <c:pt idx="496">
                  <c:v>4.1128178000000002</c:v>
                </c:pt>
                <c:pt idx="497">
                  <c:v>10.7164117</c:v>
                </c:pt>
                <c:pt idx="498">
                  <c:v>3.8954726999999996</c:v>
                </c:pt>
                <c:pt idx="499">
                  <c:v>-3.8710885000000004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F4-4FAA-ABEB-D875A097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83320"/>
        <c:axId val="1170283712"/>
      </c:barChart>
      <c:barChart>
        <c:barDir val="col"/>
        <c:grouping val="clustered"/>
        <c:varyColors val="0"/>
        <c:ser>
          <c:idx val="3"/>
          <c:order val="3"/>
          <c:tx>
            <c:v>Dummy</c:v>
          </c:tx>
          <c:spPr>
            <a:noFill/>
          </c:spPr>
          <c:invertIfNegative val="0"/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[0]!Net</c:f>
              <c:numCache>
                <c:formatCode>General</c:formatCode>
                <c:ptCount val="500"/>
                <c:pt idx="0">
                  <c:v>-0.16974480000000003</c:v>
                </c:pt>
                <c:pt idx="1">
                  <c:v>5.3959415000000011</c:v>
                </c:pt>
                <c:pt idx="2">
                  <c:v>3.1634457</c:v>
                </c:pt>
                <c:pt idx="3">
                  <c:v>3.1947587000000026</c:v>
                </c:pt>
                <c:pt idx="4">
                  <c:v>2.0618681000000003</c:v>
                </c:pt>
                <c:pt idx="5">
                  <c:v>0.62719760000000047</c:v>
                </c:pt>
                <c:pt idx="6">
                  <c:v>2.2453304000000003</c:v>
                </c:pt>
                <c:pt idx="7">
                  <c:v>-1.8856293999999996</c:v>
                </c:pt>
                <c:pt idx="8">
                  <c:v>3.9668536000000003</c:v>
                </c:pt>
                <c:pt idx="9">
                  <c:v>-0.69344849999999991</c:v>
                </c:pt>
                <c:pt idx="10">
                  <c:v>0.28726380000000001</c:v>
                </c:pt>
                <c:pt idx="11">
                  <c:v>1.7428626</c:v>
                </c:pt>
                <c:pt idx="12">
                  <c:v>2.3545235000000004</c:v>
                </c:pt>
                <c:pt idx="13">
                  <c:v>-0.3163031999999999</c:v>
                </c:pt>
                <c:pt idx="14">
                  <c:v>-4.5438409999999996</c:v>
                </c:pt>
                <c:pt idx="15">
                  <c:v>2.0893998999999992</c:v>
                </c:pt>
                <c:pt idx="16">
                  <c:v>5.3939342999999997</c:v>
                </c:pt>
                <c:pt idx="17">
                  <c:v>8.1207782000000002</c:v>
                </c:pt>
                <c:pt idx="18">
                  <c:v>6.8016877000000013</c:v>
                </c:pt>
                <c:pt idx="19">
                  <c:v>4.0439216000000018</c:v>
                </c:pt>
                <c:pt idx="20">
                  <c:v>1.1124402999999998</c:v>
                </c:pt>
                <c:pt idx="21">
                  <c:v>0.91223299999999996</c:v>
                </c:pt>
                <c:pt idx="22">
                  <c:v>-1.5838791999999995</c:v>
                </c:pt>
                <c:pt idx="23">
                  <c:v>2.0988332999999999</c:v>
                </c:pt>
                <c:pt idx="24">
                  <c:v>3.6195785000000011</c:v>
                </c:pt>
                <c:pt idx="25">
                  <c:v>3.0102983000000005</c:v>
                </c:pt>
                <c:pt idx="26">
                  <c:v>2.8805424000000008</c:v>
                </c:pt>
                <c:pt idx="27">
                  <c:v>1.9890369999999999</c:v>
                </c:pt>
                <c:pt idx="28">
                  <c:v>3.9173296999999994</c:v>
                </c:pt>
                <c:pt idx="29">
                  <c:v>5.493266900000001</c:v>
                </c:pt>
                <c:pt idx="30">
                  <c:v>4.0956715999999984</c:v>
                </c:pt>
                <c:pt idx="31">
                  <c:v>3.5417144999999999</c:v>
                </c:pt>
                <c:pt idx="32">
                  <c:v>0.90310679999999988</c:v>
                </c:pt>
                <c:pt idx="33">
                  <c:v>0.55451389999999989</c:v>
                </c:pt>
                <c:pt idx="34">
                  <c:v>-1.5672743000000002</c:v>
                </c:pt>
                <c:pt idx="35">
                  <c:v>-8.9904100000000001E-2</c:v>
                </c:pt>
                <c:pt idx="36">
                  <c:v>5.9733900999999978</c:v>
                </c:pt>
                <c:pt idx="37">
                  <c:v>2.9854563999999995</c:v>
                </c:pt>
                <c:pt idx="38">
                  <c:v>2.8905718999999999</c:v>
                </c:pt>
                <c:pt idx="39">
                  <c:v>4.0076812999999998</c:v>
                </c:pt>
                <c:pt idx="40">
                  <c:v>1.6146729000000006</c:v>
                </c:pt>
                <c:pt idx="41">
                  <c:v>3.963506999999999</c:v>
                </c:pt>
                <c:pt idx="42">
                  <c:v>10.734946699999998</c:v>
                </c:pt>
                <c:pt idx="43">
                  <c:v>-1.1588918000000001</c:v>
                </c:pt>
                <c:pt idx="44">
                  <c:v>-2.6127177000000006</c:v>
                </c:pt>
                <c:pt idx="45">
                  <c:v>3.9166497999999996</c:v>
                </c:pt>
                <c:pt idx="46">
                  <c:v>1.7327827000000007</c:v>
                </c:pt>
                <c:pt idx="47">
                  <c:v>2.4629379000000005</c:v>
                </c:pt>
                <c:pt idx="48">
                  <c:v>0.63146550000000012</c:v>
                </c:pt>
                <c:pt idx="49">
                  <c:v>-0.13308969999999978</c:v>
                </c:pt>
                <c:pt idx="50">
                  <c:v>3.4845389999999994</c:v>
                </c:pt>
                <c:pt idx="51">
                  <c:v>8.0296591000000017</c:v>
                </c:pt>
                <c:pt idx="52">
                  <c:v>5.763432299999999</c:v>
                </c:pt>
                <c:pt idx="53">
                  <c:v>-1.6092407000000006</c:v>
                </c:pt>
                <c:pt idx="54">
                  <c:v>-4.2608313999999998</c:v>
                </c:pt>
                <c:pt idx="55">
                  <c:v>-1.3866555</c:v>
                </c:pt>
                <c:pt idx="56">
                  <c:v>5.6587158000000022</c:v>
                </c:pt>
                <c:pt idx="57">
                  <c:v>4.310894499999999</c:v>
                </c:pt>
                <c:pt idx="58">
                  <c:v>2.1523026999999999</c:v>
                </c:pt>
                <c:pt idx="59">
                  <c:v>1.6246681000000003</c:v>
                </c:pt>
                <c:pt idx="60">
                  <c:v>2.2336393999999995</c:v>
                </c:pt>
                <c:pt idx="61">
                  <c:v>3.3422948999999997</c:v>
                </c:pt>
                <c:pt idx="62">
                  <c:v>1.3774409999999999</c:v>
                </c:pt>
                <c:pt idx="63">
                  <c:v>1.8927788999999995</c:v>
                </c:pt>
                <c:pt idx="64">
                  <c:v>-1.1330074000000001</c:v>
                </c:pt>
                <c:pt idx="65">
                  <c:v>-2.9751483000000003</c:v>
                </c:pt>
                <c:pt idx="66">
                  <c:v>-8.2750999999999936E-3</c:v>
                </c:pt>
                <c:pt idx="67">
                  <c:v>0.10517680000000004</c:v>
                </c:pt>
                <c:pt idx="68">
                  <c:v>2.1134903999999994</c:v>
                </c:pt>
                <c:pt idx="69">
                  <c:v>0.56339530000000015</c:v>
                </c:pt>
                <c:pt idx="70">
                  <c:v>1.3631977999999998</c:v>
                </c:pt>
                <c:pt idx="71">
                  <c:v>0.60391890000000004</c:v>
                </c:pt>
                <c:pt idx="72">
                  <c:v>2.4180643000000002</c:v>
                </c:pt>
                <c:pt idx="73">
                  <c:v>1.2011030000000003</c:v>
                </c:pt>
                <c:pt idx="74">
                  <c:v>0.71671709999999988</c:v>
                </c:pt>
                <c:pt idx="75">
                  <c:v>-9.6628800000000015E-2</c:v>
                </c:pt>
                <c:pt idx="76">
                  <c:v>-0.27227050000000047</c:v>
                </c:pt>
                <c:pt idx="77">
                  <c:v>1.2629373999999998</c:v>
                </c:pt>
                <c:pt idx="78">
                  <c:v>2.5452086000000005</c:v>
                </c:pt>
                <c:pt idx="79">
                  <c:v>-1.6935401000000012</c:v>
                </c:pt>
                <c:pt idx="80">
                  <c:v>9.9750171000000005</c:v>
                </c:pt>
                <c:pt idx="81">
                  <c:v>8.1509421000000017</c:v>
                </c:pt>
                <c:pt idx="82">
                  <c:v>3.6163551999999979</c:v>
                </c:pt>
                <c:pt idx="83">
                  <c:v>1.3117466</c:v>
                </c:pt>
                <c:pt idx="84">
                  <c:v>0.16300709999999968</c:v>
                </c:pt>
                <c:pt idx="85">
                  <c:v>1.5819945999999996</c:v>
                </c:pt>
                <c:pt idx="86">
                  <c:v>-2.2143770000000007</c:v>
                </c:pt>
                <c:pt idx="87">
                  <c:v>-1.0274108</c:v>
                </c:pt>
                <c:pt idx="88">
                  <c:v>0.6517218999999993</c:v>
                </c:pt>
                <c:pt idx="89">
                  <c:v>1.8738007999999997</c:v>
                </c:pt>
                <c:pt idx="90">
                  <c:v>0.45356879999999983</c:v>
                </c:pt>
                <c:pt idx="91">
                  <c:v>2.7990826000000006</c:v>
                </c:pt>
                <c:pt idx="92">
                  <c:v>-6.6424999999997033E-3</c:v>
                </c:pt>
                <c:pt idx="93">
                  <c:v>2.1848758000000004</c:v>
                </c:pt>
                <c:pt idx="94">
                  <c:v>-0.36895020000000045</c:v>
                </c:pt>
                <c:pt idx="95">
                  <c:v>2.3516224000000001</c:v>
                </c:pt>
                <c:pt idx="96">
                  <c:v>1.7962895000000001</c:v>
                </c:pt>
                <c:pt idx="97">
                  <c:v>-2.1776911000000005</c:v>
                </c:pt>
                <c:pt idx="98">
                  <c:v>1.2350449000000003</c:v>
                </c:pt>
                <c:pt idx="99">
                  <c:v>-4.0033331999999993</c:v>
                </c:pt>
                <c:pt idx="100">
                  <c:v>5.586806600000001</c:v>
                </c:pt>
                <c:pt idx="101">
                  <c:v>0.41986709999999988</c:v>
                </c:pt>
                <c:pt idx="102">
                  <c:v>3.5268157000000007</c:v>
                </c:pt>
                <c:pt idx="103">
                  <c:v>3.8225643000000002</c:v>
                </c:pt>
                <c:pt idx="104">
                  <c:v>4.0133840000000021</c:v>
                </c:pt>
                <c:pt idx="105">
                  <c:v>7.1602200000000005E-2</c:v>
                </c:pt>
                <c:pt idx="106">
                  <c:v>5.3606061000000009</c:v>
                </c:pt>
                <c:pt idx="107">
                  <c:v>-0.61950229999999962</c:v>
                </c:pt>
                <c:pt idx="108">
                  <c:v>1.6132880000000003</c:v>
                </c:pt>
                <c:pt idx="109">
                  <c:v>0.26986499999999969</c:v>
                </c:pt>
                <c:pt idx="110">
                  <c:v>1.4550715000000001</c:v>
                </c:pt>
                <c:pt idx="111">
                  <c:v>2.1682649000000001</c:v>
                </c:pt>
                <c:pt idx="112">
                  <c:v>4.3259801000000007</c:v>
                </c:pt>
                <c:pt idx="113">
                  <c:v>7.2067171999999999</c:v>
                </c:pt>
                <c:pt idx="114">
                  <c:v>3.8123130999999995</c:v>
                </c:pt>
                <c:pt idx="115">
                  <c:v>4.9188850999999998</c:v>
                </c:pt>
                <c:pt idx="116">
                  <c:v>11.5075638</c:v>
                </c:pt>
                <c:pt idx="117">
                  <c:v>1.4598495000000002</c:v>
                </c:pt>
                <c:pt idx="118">
                  <c:v>-0.98790729999999949</c:v>
                </c:pt>
                <c:pt idx="119">
                  <c:v>1.1971705999999991</c:v>
                </c:pt>
                <c:pt idx="120">
                  <c:v>-5.4025699999999999</c:v>
                </c:pt>
                <c:pt idx="121">
                  <c:v>5.4816240000000009</c:v>
                </c:pt>
                <c:pt idx="122">
                  <c:v>0.42270630000000031</c:v>
                </c:pt>
                <c:pt idx="123">
                  <c:v>-0.22115569999999984</c:v>
                </c:pt>
                <c:pt idx="124">
                  <c:v>1.8217298999999998</c:v>
                </c:pt>
                <c:pt idx="125">
                  <c:v>-0.2149798999999995</c:v>
                </c:pt>
                <c:pt idx="126">
                  <c:v>0.83202059999999989</c:v>
                </c:pt>
                <c:pt idx="127">
                  <c:v>-0.61797640000000098</c:v>
                </c:pt>
                <c:pt idx="128">
                  <c:v>0.15058259999999987</c:v>
                </c:pt>
                <c:pt idx="129">
                  <c:v>-1.7254390000000004</c:v>
                </c:pt>
                <c:pt idx="130">
                  <c:v>-0.79944930000000003</c:v>
                </c:pt>
                <c:pt idx="131">
                  <c:v>1.3169817999999998</c:v>
                </c:pt>
                <c:pt idx="132">
                  <c:v>3.2265017000000009</c:v>
                </c:pt>
                <c:pt idx="133">
                  <c:v>9.9680499999999672E-2</c:v>
                </c:pt>
                <c:pt idx="134">
                  <c:v>2.9834019000000009</c:v>
                </c:pt>
                <c:pt idx="135">
                  <c:v>1.0248242999999997</c:v>
                </c:pt>
                <c:pt idx="136">
                  <c:v>1.1350426999999996</c:v>
                </c:pt>
                <c:pt idx="137">
                  <c:v>1.5743940999999999</c:v>
                </c:pt>
                <c:pt idx="138">
                  <c:v>2.8901656999999998</c:v>
                </c:pt>
                <c:pt idx="139">
                  <c:v>2.3132147999999995</c:v>
                </c:pt>
                <c:pt idx="140">
                  <c:v>2.3883612999999997</c:v>
                </c:pt>
                <c:pt idx="141">
                  <c:v>-1.9078377</c:v>
                </c:pt>
                <c:pt idx="142">
                  <c:v>1.7753355000000002</c:v>
                </c:pt>
                <c:pt idx="143">
                  <c:v>0.5716011999999997</c:v>
                </c:pt>
                <c:pt idx="144">
                  <c:v>3.3784913999999993</c:v>
                </c:pt>
                <c:pt idx="145">
                  <c:v>1.4578646000000015</c:v>
                </c:pt>
                <c:pt idx="146">
                  <c:v>-1.7674815999999991</c:v>
                </c:pt>
                <c:pt idx="147">
                  <c:v>1.2505991000000003</c:v>
                </c:pt>
                <c:pt idx="148">
                  <c:v>0.44893450000000035</c:v>
                </c:pt>
                <c:pt idx="149">
                  <c:v>1.4871477999999998</c:v>
                </c:pt>
                <c:pt idx="150">
                  <c:v>2.8644943999999999</c:v>
                </c:pt>
                <c:pt idx="151">
                  <c:v>1.3225784</c:v>
                </c:pt>
                <c:pt idx="152">
                  <c:v>0.63581889999999996</c:v>
                </c:pt>
                <c:pt idx="153">
                  <c:v>3.9773498999999992</c:v>
                </c:pt>
                <c:pt idx="154">
                  <c:v>0.95709970000000011</c:v>
                </c:pt>
                <c:pt idx="155">
                  <c:v>-0.56289519999999993</c:v>
                </c:pt>
                <c:pt idx="156">
                  <c:v>4.2428413999999997</c:v>
                </c:pt>
                <c:pt idx="157">
                  <c:v>-0.48906599999999978</c:v>
                </c:pt>
                <c:pt idx="158">
                  <c:v>-0.8789066000000002</c:v>
                </c:pt>
                <c:pt idx="159">
                  <c:v>-2.8026835000000001</c:v>
                </c:pt>
                <c:pt idx="160">
                  <c:v>2.7442731999999994</c:v>
                </c:pt>
                <c:pt idx="161">
                  <c:v>2.2697624000000021</c:v>
                </c:pt>
                <c:pt idx="162">
                  <c:v>3.9894086000000017</c:v>
                </c:pt>
                <c:pt idx="163">
                  <c:v>-3.4025125999999997</c:v>
                </c:pt>
                <c:pt idx="164">
                  <c:v>-1.1429665</c:v>
                </c:pt>
                <c:pt idx="165">
                  <c:v>0.57001629999999992</c:v>
                </c:pt>
                <c:pt idx="166">
                  <c:v>4.5267644000000002</c:v>
                </c:pt>
                <c:pt idx="167">
                  <c:v>4.3946072000000003</c:v>
                </c:pt>
                <c:pt idx="168">
                  <c:v>1.7894698999999983</c:v>
                </c:pt>
                <c:pt idx="169">
                  <c:v>2.2138883000000003</c:v>
                </c:pt>
                <c:pt idx="170">
                  <c:v>2.0655780000000004</c:v>
                </c:pt>
                <c:pt idx="171">
                  <c:v>1.0967951999999999</c:v>
                </c:pt>
                <c:pt idx="172">
                  <c:v>1.6789049000000005</c:v>
                </c:pt>
                <c:pt idx="173">
                  <c:v>-2.4513761000000032</c:v>
                </c:pt>
                <c:pt idx="174">
                  <c:v>1.8046182999999998</c:v>
                </c:pt>
                <c:pt idx="175">
                  <c:v>-0.15088480000000004</c:v>
                </c:pt>
                <c:pt idx="176">
                  <c:v>4.2373209000000012</c:v>
                </c:pt>
                <c:pt idx="177">
                  <c:v>4.4482841000000004</c:v>
                </c:pt>
                <c:pt idx="178">
                  <c:v>4.1397713000000005</c:v>
                </c:pt>
                <c:pt idx="179">
                  <c:v>-2.0294748</c:v>
                </c:pt>
                <c:pt idx="180">
                  <c:v>4.3011944000000009</c:v>
                </c:pt>
                <c:pt idx="181">
                  <c:v>6.9849211999999987</c:v>
                </c:pt>
                <c:pt idx="182">
                  <c:v>1.0489338000000001</c:v>
                </c:pt>
                <c:pt idx="183">
                  <c:v>8.7058999999999595E-2</c:v>
                </c:pt>
                <c:pt idx="184">
                  <c:v>-8.7825915999999982</c:v>
                </c:pt>
                <c:pt idx="185">
                  <c:v>7.2661707</c:v>
                </c:pt>
                <c:pt idx="186">
                  <c:v>4.9720791000000002</c:v>
                </c:pt>
                <c:pt idx="187">
                  <c:v>1.0449636000000007</c:v>
                </c:pt>
                <c:pt idx="188">
                  <c:v>-8.3476999999999565E-2</c:v>
                </c:pt>
                <c:pt idx="189">
                  <c:v>-0.68356169999999983</c:v>
                </c:pt>
                <c:pt idx="190">
                  <c:v>1.1359900999999992</c:v>
                </c:pt>
                <c:pt idx="191">
                  <c:v>-0.31503350000000008</c:v>
                </c:pt>
                <c:pt idx="192">
                  <c:v>1.3016471000000001</c:v>
                </c:pt>
                <c:pt idx="193">
                  <c:v>-0.47708920000000021</c:v>
                </c:pt>
                <c:pt idx="194">
                  <c:v>2.6543456999999981</c:v>
                </c:pt>
                <c:pt idx="195">
                  <c:v>1.0965771</c:v>
                </c:pt>
                <c:pt idx="196">
                  <c:v>2.9624465999999989</c:v>
                </c:pt>
                <c:pt idx="197">
                  <c:v>0.78633990000000009</c:v>
                </c:pt>
                <c:pt idx="198">
                  <c:v>1.1336059000000005</c:v>
                </c:pt>
                <c:pt idx="199">
                  <c:v>-0.51249690000000014</c:v>
                </c:pt>
                <c:pt idx="200">
                  <c:v>3.2928888000000001</c:v>
                </c:pt>
                <c:pt idx="201">
                  <c:v>2.1677855999999989</c:v>
                </c:pt>
                <c:pt idx="202">
                  <c:v>1.8905259999999993</c:v>
                </c:pt>
                <c:pt idx="203">
                  <c:v>4.859787400000001</c:v>
                </c:pt>
                <c:pt idx="204">
                  <c:v>0.26880370000000003</c:v>
                </c:pt>
                <c:pt idx="205">
                  <c:v>2.7130236000000001</c:v>
                </c:pt>
                <c:pt idx="206">
                  <c:v>2.4894531999999998</c:v>
                </c:pt>
                <c:pt idx="207">
                  <c:v>4.1890699999999975E-2</c:v>
                </c:pt>
                <c:pt idx="208">
                  <c:v>2.5421604000000002</c:v>
                </c:pt>
                <c:pt idx="209">
                  <c:v>4.7311169999999976</c:v>
                </c:pt>
                <c:pt idx="210">
                  <c:v>0.12283000000000027</c:v>
                </c:pt>
                <c:pt idx="211">
                  <c:v>4.6634145000000018</c:v>
                </c:pt>
                <c:pt idx="212">
                  <c:v>-1.7361035999999999</c:v>
                </c:pt>
                <c:pt idx="213">
                  <c:v>2.1257261999999995</c:v>
                </c:pt>
                <c:pt idx="214">
                  <c:v>3.9998792999999999</c:v>
                </c:pt>
                <c:pt idx="215">
                  <c:v>-2.1495433999999993</c:v>
                </c:pt>
                <c:pt idx="216">
                  <c:v>-1.5373413999999994</c:v>
                </c:pt>
                <c:pt idx="217">
                  <c:v>2.4197919000000003</c:v>
                </c:pt>
                <c:pt idx="218">
                  <c:v>1.1818074999999997</c:v>
                </c:pt>
                <c:pt idx="219">
                  <c:v>4.5336290999999997</c:v>
                </c:pt>
                <c:pt idx="220">
                  <c:v>-0.99866940000000048</c:v>
                </c:pt>
                <c:pt idx="221">
                  <c:v>-0.50237469999999984</c:v>
                </c:pt>
                <c:pt idx="222">
                  <c:v>0.98025309999999999</c:v>
                </c:pt>
                <c:pt idx="223">
                  <c:v>1.0210439999999998</c:v>
                </c:pt>
                <c:pt idx="224">
                  <c:v>1.2937179000000005</c:v>
                </c:pt>
                <c:pt idx="225">
                  <c:v>-0.50883329999999993</c:v>
                </c:pt>
                <c:pt idx="226">
                  <c:v>1.3452917999999991</c:v>
                </c:pt>
                <c:pt idx="227">
                  <c:v>0.68791179999999996</c:v>
                </c:pt>
                <c:pt idx="228">
                  <c:v>3.5926571999999983</c:v>
                </c:pt>
                <c:pt idx="229">
                  <c:v>-1.8671710000000001</c:v>
                </c:pt>
                <c:pt idx="230">
                  <c:v>5.7248435000000004</c:v>
                </c:pt>
                <c:pt idx="231">
                  <c:v>4.2823368999999998</c:v>
                </c:pt>
                <c:pt idx="232">
                  <c:v>-9.5467600000000194E-2</c:v>
                </c:pt>
                <c:pt idx="233">
                  <c:v>0.5981247999999999</c:v>
                </c:pt>
                <c:pt idx="234">
                  <c:v>1.8175083999999997</c:v>
                </c:pt>
                <c:pt idx="235">
                  <c:v>0.47156140000000002</c:v>
                </c:pt>
                <c:pt idx="236">
                  <c:v>3.4560411000000002</c:v>
                </c:pt>
                <c:pt idx="237">
                  <c:v>4.7944081000000027</c:v>
                </c:pt>
                <c:pt idx="238">
                  <c:v>1.2117382000000008</c:v>
                </c:pt>
                <c:pt idx="239">
                  <c:v>2.3942844999999999</c:v>
                </c:pt>
                <c:pt idx="240">
                  <c:v>4.5360464</c:v>
                </c:pt>
                <c:pt idx="241">
                  <c:v>1.1563218000000002</c:v>
                </c:pt>
                <c:pt idx="242">
                  <c:v>2.0699554999999998</c:v>
                </c:pt>
                <c:pt idx="243">
                  <c:v>8.6689764999999994</c:v>
                </c:pt>
                <c:pt idx="244">
                  <c:v>2.3828746000000001</c:v>
                </c:pt>
                <c:pt idx="245">
                  <c:v>2.1357893999999997</c:v>
                </c:pt>
                <c:pt idx="246">
                  <c:v>9.2041369</c:v>
                </c:pt>
                <c:pt idx="247">
                  <c:v>4.4315707</c:v>
                </c:pt>
                <c:pt idx="248">
                  <c:v>-5.1960708999999996</c:v>
                </c:pt>
                <c:pt idx="249">
                  <c:v>-0.11274560000000043</c:v>
                </c:pt>
                <c:pt idx="250">
                  <c:v>6.6997713000000001</c:v>
                </c:pt>
                <c:pt idx="251">
                  <c:v>3.851699200000001</c:v>
                </c:pt>
                <c:pt idx="252">
                  <c:v>-5.0869956000000016</c:v>
                </c:pt>
                <c:pt idx="253">
                  <c:v>4.3740145999999989</c:v>
                </c:pt>
                <c:pt idx="254">
                  <c:v>6.1595079000000013</c:v>
                </c:pt>
                <c:pt idx="255">
                  <c:v>-0.72108309999999998</c:v>
                </c:pt>
                <c:pt idx="256">
                  <c:v>-7.1665400000000046E-2</c:v>
                </c:pt>
                <c:pt idx="257">
                  <c:v>-0.22727230000000034</c:v>
                </c:pt>
                <c:pt idx="258">
                  <c:v>0.40829640000000006</c:v>
                </c:pt>
                <c:pt idx="259">
                  <c:v>-9.0940814999999997</c:v>
                </c:pt>
                <c:pt idx="260">
                  <c:v>0</c:v>
                </c:pt>
                <c:pt idx="261">
                  <c:v>2.0835504999999999</c:v>
                </c:pt>
                <c:pt idx="262">
                  <c:v>4.0262576999999995</c:v>
                </c:pt>
                <c:pt idx="263">
                  <c:v>4.7503709000000027</c:v>
                </c:pt>
                <c:pt idx="264">
                  <c:v>2.6140164000000006</c:v>
                </c:pt>
                <c:pt idx="265">
                  <c:v>5.1122305999999993</c:v>
                </c:pt>
                <c:pt idx="266">
                  <c:v>2.3609042999999996</c:v>
                </c:pt>
                <c:pt idx="267">
                  <c:v>2.461081500000001</c:v>
                </c:pt>
                <c:pt idx="268">
                  <c:v>3.2890392999999998</c:v>
                </c:pt>
                <c:pt idx="269">
                  <c:v>-2.3604014000000006</c:v>
                </c:pt>
                <c:pt idx="270">
                  <c:v>0.34242349999999988</c:v>
                </c:pt>
                <c:pt idx="271">
                  <c:v>2.9370301999999993</c:v>
                </c:pt>
                <c:pt idx="272">
                  <c:v>11.147512500000005</c:v>
                </c:pt>
                <c:pt idx="273">
                  <c:v>0.58931319999999987</c:v>
                </c:pt>
                <c:pt idx="274">
                  <c:v>0.94860990000000101</c:v>
                </c:pt>
                <c:pt idx="275">
                  <c:v>4.9970636000000015</c:v>
                </c:pt>
                <c:pt idx="276">
                  <c:v>8.419948999999999</c:v>
                </c:pt>
                <c:pt idx="277">
                  <c:v>6.3092699999999946E-2</c:v>
                </c:pt>
                <c:pt idx="278">
                  <c:v>2.6610714000000009</c:v>
                </c:pt>
                <c:pt idx="279">
                  <c:v>1.8810722</c:v>
                </c:pt>
                <c:pt idx="280">
                  <c:v>8.7864966999999972</c:v>
                </c:pt>
                <c:pt idx="281">
                  <c:v>1.9081838999999998</c:v>
                </c:pt>
                <c:pt idx="282">
                  <c:v>1.7314330999999981</c:v>
                </c:pt>
                <c:pt idx="283">
                  <c:v>-2.1430411999999994</c:v>
                </c:pt>
                <c:pt idx="284">
                  <c:v>-1.3899354000000004</c:v>
                </c:pt>
                <c:pt idx="285">
                  <c:v>-5.0780461999999993</c:v>
                </c:pt>
                <c:pt idx="286">
                  <c:v>-10.011645900000001</c:v>
                </c:pt>
                <c:pt idx="287">
                  <c:v>-0.97058829999999985</c:v>
                </c:pt>
                <c:pt idx="288">
                  <c:v>-6.9641812999999981</c:v>
                </c:pt>
                <c:pt idx="289">
                  <c:v>-3.3328713999999993</c:v>
                </c:pt>
                <c:pt idx="290">
                  <c:v>5.9474140000000011</c:v>
                </c:pt>
                <c:pt idx="291">
                  <c:v>-3.5531329999999994</c:v>
                </c:pt>
                <c:pt idx="292">
                  <c:v>-1.2345426000000006</c:v>
                </c:pt>
                <c:pt idx="293">
                  <c:v>5.0116565000000008</c:v>
                </c:pt>
                <c:pt idx="294">
                  <c:v>-4.6942951000000006</c:v>
                </c:pt>
                <c:pt idx="295">
                  <c:v>0.12555900000000003</c:v>
                </c:pt>
                <c:pt idx="296">
                  <c:v>1.4047624000000001</c:v>
                </c:pt>
                <c:pt idx="297">
                  <c:v>5.0133969000000027</c:v>
                </c:pt>
                <c:pt idx="298">
                  <c:v>-3.8094021999999992</c:v>
                </c:pt>
                <c:pt idx="299">
                  <c:v>1.1562996000000008</c:v>
                </c:pt>
                <c:pt idx="300">
                  <c:v>8.2193244000000014</c:v>
                </c:pt>
                <c:pt idx="301">
                  <c:v>2.8142068999999994</c:v>
                </c:pt>
                <c:pt idx="302">
                  <c:v>-0.87330659999999971</c:v>
                </c:pt>
                <c:pt idx="303">
                  <c:v>-8.5865942000000004</c:v>
                </c:pt>
                <c:pt idx="304">
                  <c:v>-3.2142738999999989</c:v>
                </c:pt>
                <c:pt idx="305">
                  <c:v>6.2860116000000001</c:v>
                </c:pt>
                <c:pt idx="306">
                  <c:v>-1.5401476999999999</c:v>
                </c:pt>
                <c:pt idx="307">
                  <c:v>-0.28108639999999963</c:v>
                </c:pt>
                <c:pt idx="308">
                  <c:v>6.2642388000000038</c:v>
                </c:pt>
                <c:pt idx="309">
                  <c:v>5.182161999999999</c:v>
                </c:pt>
                <c:pt idx="310">
                  <c:v>10.067364800000005</c:v>
                </c:pt>
                <c:pt idx="311">
                  <c:v>12.092810999999999</c:v>
                </c:pt>
                <c:pt idx="312">
                  <c:v>10.237972000000001</c:v>
                </c:pt>
                <c:pt idx="313">
                  <c:v>-1.9065654000000012</c:v>
                </c:pt>
                <c:pt idx="314">
                  <c:v>-11.225854099999999</c:v>
                </c:pt>
                <c:pt idx="315">
                  <c:v>-9.2570885000000018</c:v>
                </c:pt>
                <c:pt idx="316">
                  <c:v>-4.8318078000000009</c:v>
                </c:pt>
                <c:pt idx="317">
                  <c:v>2.2408490999999997</c:v>
                </c:pt>
                <c:pt idx="318">
                  <c:v>-0.87844630000000024</c:v>
                </c:pt>
                <c:pt idx="319">
                  <c:v>-8.8682964000000002</c:v>
                </c:pt>
                <c:pt idx="320">
                  <c:v>4.9175333999999991</c:v>
                </c:pt>
                <c:pt idx="321">
                  <c:v>-0.73155279999999967</c:v>
                </c:pt>
                <c:pt idx="322">
                  <c:v>-2.2952539999999999</c:v>
                </c:pt>
                <c:pt idx="323">
                  <c:v>-1.7394248999999988</c:v>
                </c:pt>
                <c:pt idx="324">
                  <c:v>3.0139300000000105E-2</c:v>
                </c:pt>
                <c:pt idx="325">
                  <c:v>-3.4157810000000004</c:v>
                </c:pt>
                <c:pt idx="326">
                  <c:v>-0.90913160000000048</c:v>
                </c:pt>
                <c:pt idx="327">
                  <c:v>1.0848009000000005</c:v>
                </c:pt>
                <c:pt idx="328">
                  <c:v>4.2151352000000006</c:v>
                </c:pt>
                <c:pt idx="329">
                  <c:v>-2.4719608000000006</c:v>
                </c:pt>
                <c:pt idx="330">
                  <c:v>7.6024890000000003</c:v>
                </c:pt>
                <c:pt idx="331">
                  <c:v>2.5207047999999994</c:v>
                </c:pt>
                <c:pt idx="332">
                  <c:v>3.5627997000000002</c:v>
                </c:pt>
                <c:pt idx="333">
                  <c:v>3.2220597999999994</c:v>
                </c:pt>
                <c:pt idx="334">
                  <c:v>-0.35752519999999999</c:v>
                </c:pt>
                <c:pt idx="335">
                  <c:v>0.48046129999999987</c:v>
                </c:pt>
                <c:pt idx="336">
                  <c:v>2.8260678000000001</c:v>
                </c:pt>
                <c:pt idx="337">
                  <c:v>1.1226876999999997</c:v>
                </c:pt>
                <c:pt idx="338">
                  <c:v>0.49193170000000092</c:v>
                </c:pt>
                <c:pt idx="339">
                  <c:v>-2.1890611</c:v>
                </c:pt>
                <c:pt idx="340">
                  <c:v>1.6517574000000008</c:v>
                </c:pt>
                <c:pt idx="341">
                  <c:v>-3.4452725000000015</c:v>
                </c:pt>
                <c:pt idx="342">
                  <c:v>-0.71401829999999977</c:v>
                </c:pt>
                <c:pt idx="343">
                  <c:v>3.0386025999999999</c:v>
                </c:pt>
                <c:pt idx="344">
                  <c:v>1.9637252000000001</c:v>
                </c:pt>
                <c:pt idx="345">
                  <c:v>-2.3166817999999996</c:v>
                </c:pt>
                <c:pt idx="346">
                  <c:v>-0.46149389999999979</c:v>
                </c:pt>
                <c:pt idx="347">
                  <c:v>-2.0349714000000003</c:v>
                </c:pt>
                <c:pt idx="348">
                  <c:v>0.77037280000000141</c:v>
                </c:pt>
                <c:pt idx="349">
                  <c:v>1.2171994000000008</c:v>
                </c:pt>
                <c:pt idx="350">
                  <c:v>2.2248736999999998</c:v>
                </c:pt>
                <c:pt idx="351">
                  <c:v>3.1368579999999993</c:v>
                </c:pt>
                <c:pt idx="352">
                  <c:v>1.5678661000000003</c:v>
                </c:pt>
                <c:pt idx="353">
                  <c:v>4.7529514000000006</c:v>
                </c:pt>
                <c:pt idx="354">
                  <c:v>5.320597499999999</c:v>
                </c:pt>
                <c:pt idx="355">
                  <c:v>0.3803074999999998</c:v>
                </c:pt>
                <c:pt idx="356">
                  <c:v>2.3092457999999998</c:v>
                </c:pt>
                <c:pt idx="357">
                  <c:v>1.1734486</c:v>
                </c:pt>
                <c:pt idx="358">
                  <c:v>3.7068770000000013</c:v>
                </c:pt>
                <c:pt idx="359">
                  <c:v>-5.5880390000000011</c:v>
                </c:pt>
                <c:pt idx="360">
                  <c:v>2.2811303000000001</c:v>
                </c:pt>
                <c:pt idx="361">
                  <c:v>1.0326838000000003</c:v>
                </c:pt>
                <c:pt idx="362">
                  <c:v>3.8528262000000013</c:v>
                </c:pt>
                <c:pt idx="363">
                  <c:v>1.6853621999999997</c:v>
                </c:pt>
                <c:pt idx="364">
                  <c:v>-1.6021346999999995</c:v>
                </c:pt>
                <c:pt idx="365">
                  <c:v>7.0193900000000059E-2</c:v>
                </c:pt>
                <c:pt idx="366">
                  <c:v>1.4451334999999994</c:v>
                </c:pt>
                <c:pt idx="367">
                  <c:v>0.59613939999999965</c:v>
                </c:pt>
                <c:pt idx="368">
                  <c:v>-1.9925122999999991</c:v>
                </c:pt>
                <c:pt idx="369">
                  <c:v>-4.3575160999999998</c:v>
                </c:pt>
                <c:pt idx="370">
                  <c:v>5.2132191000000008</c:v>
                </c:pt>
                <c:pt idx="371">
                  <c:v>0.3408376999999993</c:v>
                </c:pt>
                <c:pt idx="372">
                  <c:v>0.70649150000000016</c:v>
                </c:pt>
                <c:pt idx="373">
                  <c:v>-0.56395370000000056</c:v>
                </c:pt>
                <c:pt idx="374">
                  <c:v>-2.7011026000000009</c:v>
                </c:pt>
                <c:pt idx="375">
                  <c:v>-2.3001812999999998</c:v>
                </c:pt>
                <c:pt idx="376">
                  <c:v>12.661011200000001</c:v>
                </c:pt>
                <c:pt idx="377">
                  <c:v>3.6651726999999998</c:v>
                </c:pt>
                <c:pt idx="378">
                  <c:v>-4.0708641000000041</c:v>
                </c:pt>
                <c:pt idx="379">
                  <c:v>-1.6700993000000011</c:v>
                </c:pt>
                <c:pt idx="380">
                  <c:v>-4.8869605000000016</c:v>
                </c:pt>
                <c:pt idx="381">
                  <c:v>0.56323260000000031</c:v>
                </c:pt>
                <c:pt idx="382">
                  <c:v>13.8503025</c:v>
                </c:pt>
                <c:pt idx="383">
                  <c:v>-13.337671200000003</c:v>
                </c:pt>
                <c:pt idx="384">
                  <c:v>-0.67373709999999998</c:v>
                </c:pt>
                <c:pt idx="385">
                  <c:v>-2.8909366000000003</c:v>
                </c:pt>
                <c:pt idx="386">
                  <c:v>-2.8019287999999993</c:v>
                </c:pt>
                <c:pt idx="387">
                  <c:v>-1.6294759999999999</c:v>
                </c:pt>
                <c:pt idx="388">
                  <c:v>0.30250959999999932</c:v>
                </c:pt>
                <c:pt idx="389">
                  <c:v>-2.4348490999999997</c:v>
                </c:pt>
                <c:pt idx="390">
                  <c:v>-3.6099458000000006</c:v>
                </c:pt>
                <c:pt idx="391">
                  <c:v>7.2674137000000014</c:v>
                </c:pt>
                <c:pt idx="392">
                  <c:v>2.0447782999999999</c:v>
                </c:pt>
                <c:pt idx="393">
                  <c:v>0.54589589999999966</c:v>
                </c:pt>
                <c:pt idx="394">
                  <c:v>5.3253557000000002</c:v>
                </c:pt>
                <c:pt idx="395">
                  <c:v>1.7375761000000003</c:v>
                </c:pt>
                <c:pt idx="396">
                  <c:v>1.1447133</c:v>
                </c:pt>
                <c:pt idx="397">
                  <c:v>5.9736431999999979</c:v>
                </c:pt>
                <c:pt idx="398">
                  <c:v>1.8265955999999997</c:v>
                </c:pt>
                <c:pt idx="399">
                  <c:v>-0.84353179999999872</c:v>
                </c:pt>
                <c:pt idx="400">
                  <c:v>2.3252242000000001</c:v>
                </c:pt>
                <c:pt idx="401">
                  <c:v>1.1741460000000004</c:v>
                </c:pt>
                <c:pt idx="402">
                  <c:v>0.81661409999999979</c:v>
                </c:pt>
                <c:pt idx="403">
                  <c:v>-2.6553000000000437E-2</c:v>
                </c:pt>
                <c:pt idx="404">
                  <c:v>-2.8019886000000005</c:v>
                </c:pt>
                <c:pt idx="405">
                  <c:v>3.0487317000000003</c:v>
                </c:pt>
                <c:pt idx="406">
                  <c:v>3.5590658000000008</c:v>
                </c:pt>
                <c:pt idx="407">
                  <c:v>2.4923625000000005</c:v>
                </c:pt>
                <c:pt idx="408">
                  <c:v>-0.24939679999999986</c:v>
                </c:pt>
                <c:pt idx="409">
                  <c:v>2.1217311999999993</c:v>
                </c:pt>
                <c:pt idx="410">
                  <c:v>-0.81990259999999993</c:v>
                </c:pt>
                <c:pt idx="411">
                  <c:v>0.62203450000000005</c:v>
                </c:pt>
                <c:pt idx="412">
                  <c:v>-0.16678489999999979</c:v>
                </c:pt>
                <c:pt idx="413">
                  <c:v>-0.84834560000000203</c:v>
                </c:pt>
                <c:pt idx="414">
                  <c:v>-0.29065489999999972</c:v>
                </c:pt>
                <c:pt idx="415">
                  <c:v>0.84572870000000011</c:v>
                </c:pt>
                <c:pt idx="416">
                  <c:v>5.0373232000000003</c:v>
                </c:pt>
                <c:pt idx="417">
                  <c:v>4.8667708000000021</c:v>
                </c:pt>
                <c:pt idx="418">
                  <c:v>2.0652571000000002</c:v>
                </c:pt>
                <c:pt idx="419">
                  <c:v>-5.4897723000000012</c:v>
                </c:pt>
                <c:pt idx="420">
                  <c:v>0.99396949999999984</c:v>
                </c:pt>
                <c:pt idx="421">
                  <c:v>-1.1331367999999997</c:v>
                </c:pt>
                <c:pt idx="422">
                  <c:v>2.4401130000000002</c:v>
                </c:pt>
                <c:pt idx="423">
                  <c:v>3.0455113999999992</c:v>
                </c:pt>
                <c:pt idx="424">
                  <c:v>-1.6916339</c:v>
                </c:pt>
                <c:pt idx="425">
                  <c:v>3.0266728000000009</c:v>
                </c:pt>
                <c:pt idx="426">
                  <c:v>-0.53628570000000031</c:v>
                </c:pt>
                <c:pt idx="427">
                  <c:v>2.3864204000000009</c:v>
                </c:pt>
                <c:pt idx="428">
                  <c:v>0.37030140000000039</c:v>
                </c:pt>
                <c:pt idx="429">
                  <c:v>0.47381370000000012</c:v>
                </c:pt>
                <c:pt idx="430">
                  <c:v>8.2438382000000008</c:v>
                </c:pt>
                <c:pt idx="431">
                  <c:v>-1.8776930999999999</c:v>
                </c:pt>
                <c:pt idx="432">
                  <c:v>2.5441709999999995</c:v>
                </c:pt>
                <c:pt idx="433">
                  <c:v>-0.34358309999999909</c:v>
                </c:pt>
                <c:pt idx="434">
                  <c:v>-1.2679183999999997</c:v>
                </c:pt>
                <c:pt idx="435">
                  <c:v>0.29987239999999998</c:v>
                </c:pt>
                <c:pt idx="436">
                  <c:v>-4.592254200000002</c:v>
                </c:pt>
                <c:pt idx="437">
                  <c:v>9.4340088999999985</c:v>
                </c:pt>
                <c:pt idx="438">
                  <c:v>-3.5093968000000002</c:v>
                </c:pt>
                <c:pt idx="439">
                  <c:v>2.1190208000000004</c:v>
                </c:pt>
                <c:pt idx="440">
                  <c:v>1.1999044999999997</c:v>
                </c:pt>
                <c:pt idx="441">
                  <c:v>0.46570360000000016</c:v>
                </c:pt>
                <c:pt idx="442">
                  <c:v>1.4913222999999998</c:v>
                </c:pt>
                <c:pt idx="443">
                  <c:v>0.88057829999999992</c:v>
                </c:pt>
                <c:pt idx="444">
                  <c:v>-3.9432689000000001</c:v>
                </c:pt>
                <c:pt idx="445">
                  <c:v>4.9397420999999992</c:v>
                </c:pt>
                <c:pt idx="446">
                  <c:v>15.315690500000002</c:v>
                </c:pt>
                <c:pt idx="447">
                  <c:v>17.153957600000002</c:v>
                </c:pt>
                <c:pt idx="448">
                  <c:v>1.0831879000000013</c:v>
                </c:pt>
                <c:pt idx="449">
                  <c:v>-13.052143100000002</c:v>
                </c:pt>
                <c:pt idx="450">
                  <c:v>-2.6086928999999999</c:v>
                </c:pt>
                <c:pt idx="451">
                  <c:v>-0.60540920000000076</c:v>
                </c:pt>
                <c:pt idx="452">
                  <c:v>-2.3739563000000001</c:v>
                </c:pt>
                <c:pt idx="453">
                  <c:v>-0.68171709999999996</c:v>
                </c:pt>
                <c:pt idx="454">
                  <c:v>4.4133603999999993</c:v>
                </c:pt>
                <c:pt idx="455">
                  <c:v>-2.9120416999999996</c:v>
                </c:pt>
                <c:pt idx="456">
                  <c:v>1.5197801999999998</c:v>
                </c:pt>
                <c:pt idx="457">
                  <c:v>-0.99256350000000015</c:v>
                </c:pt>
                <c:pt idx="458">
                  <c:v>4.0713412000000009</c:v>
                </c:pt>
                <c:pt idx="459">
                  <c:v>-4.1709706000000004</c:v>
                </c:pt>
                <c:pt idx="460">
                  <c:v>-0.99384340000000049</c:v>
                </c:pt>
                <c:pt idx="461">
                  <c:v>-5.3802880000000002</c:v>
                </c:pt>
                <c:pt idx="462">
                  <c:v>2.3991644000000001</c:v>
                </c:pt>
                <c:pt idx="463">
                  <c:v>-11.861117700000003</c:v>
                </c:pt>
                <c:pt idx="464">
                  <c:v>-5.6116598999999994</c:v>
                </c:pt>
                <c:pt idx="465">
                  <c:v>-3.8151002000000016</c:v>
                </c:pt>
                <c:pt idx="466">
                  <c:v>2.4293345</c:v>
                </c:pt>
                <c:pt idx="467">
                  <c:v>13.826766900000001</c:v>
                </c:pt>
                <c:pt idx="468">
                  <c:v>-1.0545850000000001</c:v>
                </c:pt>
                <c:pt idx="469">
                  <c:v>4.835569999999997</c:v>
                </c:pt>
                <c:pt idx="470">
                  <c:v>1.323166799999999</c:v>
                </c:pt>
                <c:pt idx="471">
                  <c:v>-2.3271660999999999</c:v>
                </c:pt>
                <c:pt idx="472">
                  <c:v>5.3465272000000006</c:v>
                </c:pt>
                <c:pt idx="473">
                  <c:v>-9.248280499999991</c:v>
                </c:pt>
                <c:pt idx="474">
                  <c:v>-3.6474698000000014</c:v>
                </c:pt>
                <c:pt idx="475">
                  <c:v>9.4206952999999967</c:v>
                </c:pt>
                <c:pt idx="476">
                  <c:v>6.8290568000000036</c:v>
                </c:pt>
                <c:pt idx="477">
                  <c:v>-5.9979400000000016</c:v>
                </c:pt>
                <c:pt idx="478">
                  <c:v>1.4771785000000002</c:v>
                </c:pt>
                <c:pt idx="479">
                  <c:v>2.3079221000000012</c:v>
                </c:pt>
                <c:pt idx="480">
                  <c:v>1.6227740999999993</c:v>
                </c:pt>
                <c:pt idx="481">
                  <c:v>2.3174039999999998</c:v>
                </c:pt>
                <c:pt idx="482">
                  <c:v>7.0503394000000013</c:v>
                </c:pt>
                <c:pt idx="483">
                  <c:v>1.3460687999999994</c:v>
                </c:pt>
                <c:pt idx="484">
                  <c:v>-2.2693468999999999</c:v>
                </c:pt>
                <c:pt idx="485">
                  <c:v>-1.0870189000000001</c:v>
                </c:pt>
                <c:pt idx="486">
                  <c:v>8.5868462000000036</c:v>
                </c:pt>
                <c:pt idx="487">
                  <c:v>-4.4301436999999995</c:v>
                </c:pt>
                <c:pt idx="488">
                  <c:v>5.6112999000000023</c:v>
                </c:pt>
                <c:pt idx="489">
                  <c:v>-0.77766139999999984</c:v>
                </c:pt>
                <c:pt idx="490">
                  <c:v>0.63506859999999998</c:v>
                </c:pt>
                <c:pt idx="491">
                  <c:v>1.5870405999999999</c:v>
                </c:pt>
                <c:pt idx="492">
                  <c:v>0.27489660000000049</c:v>
                </c:pt>
                <c:pt idx="493">
                  <c:v>0.47810680000000005</c:v>
                </c:pt>
                <c:pt idx="494">
                  <c:v>-1.1233853999999996</c:v>
                </c:pt>
                <c:pt idx="495">
                  <c:v>-0.60150689999999996</c:v>
                </c:pt>
                <c:pt idx="496">
                  <c:v>4.1128178000000002</c:v>
                </c:pt>
                <c:pt idx="497">
                  <c:v>10.7164117</c:v>
                </c:pt>
                <c:pt idx="498">
                  <c:v>3.8954726999999996</c:v>
                </c:pt>
                <c:pt idx="499">
                  <c:v>-3.8710885000000004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F4-4FAA-ABEB-D875A0975BBC}"/>
            </c:ext>
          </c:extLst>
        </c:ser>
        <c:ser>
          <c:idx val="4"/>
          <c:order val="4"/>
          <c:tx>
            <c:v>Dummy</c:v>
          </c:tx>
          <c:spPr>
            <a:noFill/>
          </c:spPr>
          <c:invertIfNegative val="0"/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[0]!Out</c:f>
              <c:numCache>
                <c:formatCode>General</c:formatCode>
                <c:ptCount val="500"/>
                <c:pt idx="0">
                  <c:v>-0.24583010000000002</c:v>
                </c:pt>
                <c:pt idx="1">
                  <c:v>-1.9234450999999999</c:v>
                </c:pt>
                <c:pt idx="2">
                  <c:v>-2.9414005000000003</c:v>
                </c:pt>
                <c:pt idx="3">
                  <c:v>-3.5240322000000002</c:v>
                </c:pt>
                <c:pt idx="4">
                  <c:v>-4.5100286000000009</c:v>
                </c:pt>
                <c:pt idx="5">
                  <c:v>-3.1151375999999997</c:v>
                </c:pt>
                <c:pt idx="6">
                  <c:v>-2.7830187000000004</c:v>
                </c:pt>
                <c:pt idx="7">
                  <c:v>-5.7534029999999996</c:v>
                </c:pt>
                <c:pt idx="8">
                  <c:v>-3.1103752</c:v>
                </c:pt>
                <c:pt idx="9">
                  <c:v>-4.9362997999999996</c:v>
                </c:pt>
                <c:pt idx="10">
                  <c:v>-0.31558120000000001</c:v>
                </c:pt>
                <c:pt idx="11">
                  <c:v>-2.7722471</c:v>
                </c:pt>
                <c:pt idx="12">
                  <c:v>-2.5182929000000001</c:v>
                </c:pt>
                <c:pt idx="13">
                  <c:v>-4.4979984000000002</c:v>
                </c:pt>
                <c:pt idx="14">
                  <c:v>-7.9852770999999976</c:v>
                </c:pt>
                <c:pt idx="15">
                  <c:v>-2.7471926999999998</c:v>
                </c:pt>
                <c:pt idx="16">
                  <c:v>-4.0419545000000001</c:v>
                </c:pt>
                <c:pt idx="17">
                  <c:v>-1.9212135999999997</c:v>
                </c:pt>
                <c:pt idx="18">
                  <c:v>-1.4579114</c:v>
                </c:pt>
                <c:pt idx="19">
                  <c:v>-1.3831185999999998</c:v>
                </c:pt>
                <c:pt idx="20">
                  <c:v>-2.9254569999999998</c:v>
                </c:pt>
                <c:pt idx="21">
                  <c:v>-3.828040699999999</c:v>
                </c:pt>
                <c:pt idx="22">
                  <c:v>-5.0264187999999992</c:v>
                </c:pt>
                <c:pt idx="23">
                  <c:v>-3.8727992000000007</c:v>
                </c:pt>
                <c:pt idx="24">
                  <c:v>-1.8592030000000002</c:v>
                </c:pt>
                <c:pt idx="25">
                  <c:v>-2.5508391000000001</c:v>
                </c:pt>
                <c:pt idx="26">
                  <c:v>-2.5158856000000003</c:v>
                </c:pt>
                <c:pt idx="27">
                  <c:v>-3.3231446999999994</c:v>
                </c:pt>
                <c:pt idx="28">
                  <c:v>-1.8486785000000001</c:v>
                </c:pt>
                <c:pt idx="29">
                  <c:v>-1.1955869999999997</c:v>
                </c:pt>
                <c:pt idx="30">
                  <c:v>-1.6785651000000001</c:v>
                </c:pt>
                <c:pt idx="31">
                  <c:v>-3.663119500000001</c:v>
                </c:pt>
                <c:pt idx="32">
                  <c:v>-3.1295348999999999</c:v>
                </c:pt>
                <c:pt idx="33">
                  <c:v>-3.4832741999999999</c:v>
                </c:pt>
                <c:pt idx="34">
                  <c:v>-4.8455779999999997</c:v>
                </c:pt>
                <c:pt idx="35">
                  <c:v>-0.33036769999999999</c:v>
                </c:pt>
                <c:pt idx="36">
                  <c:v>-1.3552131000000001</c:v>
                </c:pt>
                <c:pt idx="37">
                  <c:v>-3.0465972999999997</c:v>
                </c:pt>
                <c:pt idx="38">
                  <c:v>-2.3441133000000005</c:v>
                </c:pt>
                <c:pt idx="39">
                  <c:v>-1.3441757999999999</c:v>
                </c:pt>
                <c:pt idx="40">
                  <c:v>-1.9825745999999991</c:v>
                </c:pt>
                <c:pt idx="41">
                  <c:v>-2.6522827999999992</c:v>
                </c:pt>
                <c:pt idx="42">
                  <c:v>-2.3625896000000002</c:v>
                </c:pt>
                <c:pt idx="43">
                  <c:v>-5.6760715999999976</c:v>
                </c:pt>
                <c:pt idx="44">
                  <c:v>-6.4881975000000001</c:v>
                </c:pt>
                <c:pt idx="45">
                  <c:v>-2.4476941999999999</c:v>
                </c:pt>
                <c:pt idx="46">
                  <c:v>-3.3225981000000004</c:v>
                </c:pt>
                <c:pt idx="47">
                  <c:v>-3.1544100000000004</c:v>
                </c:pt>
                <c:pt idx="48">
                  <c:v>-2.6815694000000003</c:v>
                </c:pt>
                <c:pt idx="49">
                  <c:v>-3.7341864999999999</c:v>
                </c:pt>
                <c:pt idx="50">
                  <c:v>-2.9416964999999999</c:v>
                </c:pt>
                <c:pt idx="51">
                  <c:v>-3.2929678</c:v>
                </c:pt>
                <c:pt idx="52">
                  <c:v>-2.1678926999999999</c:v>
                </c:pt>
                <c:pt idx="53">
                  <c:v>-8.5137006999999993</c:v>
                </c:pt>
                <c:pt idx="54">
                  <c:v>-9.9969766000000018</c:v>
                </c:pt>
                <c:pt idx="55">
                  <c:v>-6.9711654000000012</c:v>
                </c:pt>
                <c:pt idx="56">
                  <c:v>-3.9944630999999999</c:v>
                </c:pt>
                <c:pt idx="57">
                  <c:v>-3.2495135999999998</c:v>
                </c:pt>
                <c:pt idx="58">
                  <c:v>-2.7186898999999998</c:v>
                </c:pt>
                <c:pt idx="59">
                  <c:v>-2.5599677999999999</c:v>
                </c:pt>
                <c:pt idx="60">
                  <c:v>-3.0091055000000004</c:v>
                </c:pt>
                <c:pt idx="61">
                  <c:v>-3.0342636000000005</c:v>
                </c:pt>
                <c:pt idx="62">
                  <c:v>-3.7365122000000004</c:v>
                </c:pt>
                <c:pt idx="63">
                  <c:v>-2.8358486000000003</c:v>
                </c:pt>
                <c:pt idx="64">
                  <c:v>-3.9653632999999995</c:v>
                </c:pt>
                <c:pt idx="65">
                  <c:v>-7.433907500000001</c:v>
                </c:pt>
                <c:pt idx="66">
                  <c:v>-3.7682369000000011</c:v>
                </c:pt>
                <c:pt idx="67">
                  <c:v>-5.1170819000000005</c:v>
                </c:pt>
                <c:pt idx="68">
                  <c:v>-3.1424619000000011</c:v>
                </c:pt>
                <c:pt idx="69">
                  <c:v>-2.3053446000000002</c:v>
                </c:pt>
                <c:pt idx="70">
                  <c:v>-3.9681907000000001</c:v>
                </c:pt>
                <c:pt idx="71">
                  <c:v>-3.4941705999999999</c:v>
                </c:pt>
                <c:pt idx="72">
                  <c:v>-1.9564891000000002</c:v>
                </c:pt>
                <c:pt idx="73">
                  <c:v>-2.8274851000000005</c:v>
                </c:pt>
                <c:pt idx="74">
                  <c:v>-0.19482089999999999</c:v>
                </c:pt>
                <c:pt idx="75">
                  <c:v>-2.0368544000000002</c:v>
                </c:pt>
                <c:pt idx="76">
                  <c:v>-4.1738996000000004</c:v>
                </c:pt>
                <c:pt idx="77">
                  <c:v>-2.1721152999999993</c:v>
                </c:pt>
                <c:pt idx="78">
                  <c:v>-2.2393840000000003</c:v>
                </c:pt>
                <c:pt idx="79">
                  <c:v>-5.1598674999999981</c:v>
                </c:pt>
                <c:pt idx="80">
                  <c:v>-2.0502893999999996</c:v>
                </c:pt>
                <c:pt idx="81">
                  <c:v>-2.1309495000000003</c:v>
                </c:pt>
                <c:pt idx="82">
                  <c:v>-2.6555542000000001</c:v>
                </c:pt>
                <c:pt idx="83">
                  <c:v>-2.1518998999999996</c:v>
                </c:pt>
                <c:pt idx="84">
                  <c:v>-2.5707093999999993</c:v>
                </c:pt>
                <c:pt idx="85">
                  <c:v>-2.0985921999999997</c:v>
                </c:pt>
                <c:pt idx="86">
                  <c:v>-7.5051780999999984</c:v>
                </c:pt>
                <c:pt idx="87">
                  <c:v>-4.8211385000000018</c:v>
                </c:pt>
                <c:pt idx="88">
                  <c:v>-3.5826992999999998</c:v>
                </c:pt>
                <c:pt idx="89">
                  <c:v>-3.0892381000000002</c:v>
                </c:pt>
                <c:pt idx="90">
                  <c:v>-2.7096568000000003</c:v>
                </c:pt>
                <c:pt idx="91">
                  <c:v>-3.6193398999999995</c:v>
                </c:pt>
                <c:pt idx="92">
                  <c:v>-4.2568979999999996</c:v>
                </c:pt>
                <c:pt idx="93">
                  <c:v>-3.0232186999999997</c:v>
                </c:pt>
                <c:pt idx="94">
                  <c:v>-3.4219658000000006</c:v>
                </c:pt>
                <c:pt idx="95">
                  <c:v>-1.9702049999999998</c:v>
                </c:pt>
                <c:pt idx="96">
                  <c:v>-3.0961517999999995</c:v>
                </c:pt>
                <c:pt idx="97">
                  <c:v>-6.0874153</c:v>
                </c:pt>
                <c:pt idx="98">
                  <c:v>-3.5233046999999997</c:v>
                </c:pt>
                <c:pt idx="99">
                  <c:v>-7.895061199999998</c:v>
                </c:pt>
                <c:pt idx="100">
                  <c:v>-1.8408588999999997</c:v>
                </c:pt>
                <c:pt idx="101">
                  <c:v>-3.4579233999999999</c:v>
                </c:pt>
                <c:pt idx="102">
                  <c:v>-2.7134060999999994</c:v>
                </c:pt>
                <c:pt idx="103">
                  <c:v>-1.6750266</c:v>
                </c:pt>
                <c:pt idx="104">
                  <c:v>-1.5679915</c:v>
                </c:pt>
                <c:pt idx="105">
                  <c:v>-0.16149249999999998</c:v>
                </c:pt>
                <c:pt idx="106">
                  <c:v>-1.1249643000000003</c:v>
                </c:pt>
                <c:pt idx="107">
                  <c:v>-4.7312301999999997</c:v>
                </c:pt>
                <c:pt idx="108">
                  <c:v>-2.6310543999999996</c:v>
                </c:pt>
                <c:pt idx="109">
                  <c:v>-6.3617979000000009</c:v>
                </c:pt>
                <c:pt idx="110">
                  <c:v>-2.8770003000000002</c:v>
                </c:pt>
                <c:pt idx="111">
                  <c:v>-3.1354421000000006</c:v>
                </c:pt>
                <c:pt idx="112">
                  <c:v>-2.8290297999999994</c:v>
                </c:pt>
                <c:pt idx="113">
                  <c:v>-2.0720449000000003</c:v>
                </c:pt>
                <c:pt idx="114">
                  <c:v>-3.2785903000000003</c:v>
                </c:pt>
                <c:pt idx="115">
                  <c:v>-1.9243044000000002</c:v>
                </c:pt>
                <c:pt idx="116">
                  <c:v>-1.0975301999999998</c:v>
                </c:pt>
                <c:pt idx="117">
                  <c:v>-3.1551437999999994</c:v>
                </c:pt>
                <c:pt idx="118">
                  <c:v>-7.7640312999999992</c:v>
                </c:pt>
                <c:pt idx="119">
                  <c:v>-5.6889604000000009</c:v>
                </c:pt>
                <c:pt idx="120">
                  <c:v>-9.2408974999999955</c:v>
                </c:pt>
                <c:pt idx="121">
                  <c:v>-4.7501129000000013</c:v>
                </c:pt>
                <c:pt idx="122">
                  <c:v>-3.4958532999999998</c:v>
                </c:pt>
                <c:pt idx="123">
                  <c:v>-4.8367878000000015</c:v>
                </c:pt>
                <c:pt idx="124">
                  <c:v>-2.8422200000000002</c:v>
                </c:pt>
                <c:pt idx="125">
                  <c:v>-3.5955326000000003</c:v>
                </c:pt>
                <c:pt idx="126">
                  <c:v>-4.5893421000000005</c:v>
                </c:pt>
                <c:pt idx="127">
                  <c:v>-5.6068068000000002</c:v>
                </c:pt>
                <c:pt idx="128">
                  <c:v>-5.9802276000000001</c:v>
                </c:pt>
                <c:pt idx="129">
                  <c:v>-5.6727123000000006</c:v>
                </c:pt>
                <c:pt idx="130">
                  <c:v>-3.8683404000000006</c:v>
                </c:pt>
                <c:pt idx="131">
                  <c:v>-0.34525549999999994</c:v>
                </c:pt>
                <c:pt idx="132">
                  <c:v>-3.397777</c:v>
                </c:pt>
                <c:pt idx="133">
                  <c:v>-3.7237551999999998</c:v>
                </c:pt>
                <c:pt idx="134">
                  <c:v>-2.2811254999999995</c:v>
                </c:pt>
                <c:pt idx="135">
                  <c:v>-2.7241298999999994</c:v>
                </c:pt>
                <c:pt idx="136">
                  <c:v>-2.7530609000000008</c:v>
                </c:pt>
                <c:pt idx="137">
                  <c:v>-2.7749579999999998</c:v>
                </c:pt>
                <c:pt idx="138">
                  <c:v>-1.8438804999999998</c:v>
                </c:pt>
                <c:pt idx="139">
                  <c:v>-2.5897752999999999</c:v>
                </c:pt>
                <c:pt idx="140">
                  <c:v>-1.3428422</c:v>
                </c:pt>
                <c:pt idx="141">
                  <c:v>-6.0027540000000013</c:v>
                </c:pt>
                <c:pt idx="142">
                  <c:v>-2.5749493999999999</c:v>
                </c:pt>
                <c:pt idx="143">
                  <c:v>-2.9172965</c:v>
                </c:pt>
                <c:pt idx="144">
                  <c:v>-3.9844273999999991</c:v>
                </c:pt>
                <c:pt idx="145">
                  <c:v>-4.6150769</c:v>
                </c:pt>
                <c:pt idx="146">
                  <c:v>-5.3947519999999995</c:v>
                </c:pt>
                <c:pt idx="147">
                  <c:v>-3.2819364999999991</c:v>
                </c:pt>
                <c:pt idx="148">
                  <c:v>-3.9077350999999996</c:v>
                </c:pt>
                <c:pt idx="149">
                  <c:v>-2.7815158000000002</c:v>
                </c:pt>
                <c:pt idx="150">
                  <c:v>-2.1876073000000003</c:v>
                </c:pt>
                <c:pt idx="151">
                  <c:v>-4.5270060999999995</c:v>
                </c:pt>
                <c:pt idx="152">
                  <c:v>-3.5243222000000003</c:v>
                </c:pt>
                <c:pt idx="153">
                  <c:v>-2.5256416000000002</c:v>
                </c:pt>
                <c:pt idx="154">
                  <c:v>-2.4276073999999999</c:v>
                </c:pt>
                <c:pt idx="155">
                  <c:v>-2.8969333999999991</c:v>
                </c:pt>
                <c:pt idx="156">
                  <c:v>-1.3869016000000001</c:v>
                </c:pt>
                <c:pt idx="157">
                  <c:v>-3.3464702999999996</c:v>
                </c:pt>
                <c:pt idx="158">
                  <c:v>-3.9971293000000006</c:v>
                </c:pt>
                <c:pt idx="159">
                  <c:v>-4.9972248999999991</c:v>
                </c:pt>
                <c:pt idx="160">
                  <c:v>-2.6490263000000001</c:v>
                </c:pt>
                <c:pt idx="161">
                  <c:v>-2.5678828999999999</c:v>
                </c:pt>
                <c:pt idx="162">
                  <c:v>-1.4049012999999997</c:v>
                </c:pt>
                <c:pt idx="163">
                  <c:v>-6.1913929999999979</c:v>
                </c:pt>
                <c:pt idx="164">
                  <c:v>-4.1654663999999997</c:v>
                </c:pt>
                <c:pt idx="165">
                  <c:v>-4.0744680000000004</c:v>
                </c:pt>
                <c:pt idx="166">
                  <c:v>-2.1478687999999995</c:v>
                </c:pt>
                <c:pt idx="167">
                  <c:v>-2.1341014999999999</c:v>
                </c:pt>
                <c:pt idx="168">
                  <c:v>-2.1824361000000003</c:v>
                </c:pt>
                <c:pt idx="169">
                  <c:v>-1.5378633999999998</c:v>
                </c:pt>
                <c:pt idx="170">
                  <c:v>-1.5325399000000002</c:v>
                </c:pt>
                <c:pt idx="171">
                  <c:v>-2.9674883000000012</c:v>
                </c:pt>
                <c:pt idx="172">
                  <c:v>-3.0114509000000007</c:v>
                </c:pt>
                <c:pt idx="173">
                  <c:v>-6.5406253000000003</c:v>
                </c:pt>
                <c:pt idx="174">
                  <c:v>-1.9866332</c:v>
                </c:pt>
                <c:pt idx="175">
                  <c:v>-0.45801809999999993</c:v>
                </c:pt>
                <c:pt idx="176">
                  <c:v>-3.8804773000000004</c:v>
                </c:pt>
                <c:pt idx="177">
                  <c:v>-1.9141916000000003</c:v>
                </c:pt>
                <c:pt idx="178">
                  <c:v>-2.2090896</c:v>
                </c:pt>
                <c:pt idx="179">
                  <c:v>-5.1081789999999989</c:v>
                </c:pt>
                <c:pt idx="180">
                  <c:v>-2.5464305999999999</c:v>
                </c:pt>
                <c:pt idx="181">
                  <c:v>-1.9109048000000002</c:v>
                </c:pt>
                <c:pt idx="182">
                  <c:v>-5.187609300000001</c:v>
                </c:pt>
                <c:pt idx="183">
                  <c:v>-4.4548980000000009</c:v>
                </c:pt>
                <c:pt idx="184">
                  <c:v>-11.968774999999999</c:v>
                </c:pt>
                <c:pt idx="185">
                  <c:v>-2.0425458999999999</c:v>
                </c:pt>
                <c:pt idx="186">
                  <c:v>-3.3646678999999997</c:v>
                </c:pt>
                <c:pt idx="187">
                  <c:v>-4.7001754000000009</c:v>
                </c:pt>
                <c:pt idx="188">
                  <c:v>-4.2483487000000002</c:v>
                </c:pt>
                <c:pt idx="189">
                  <c:v>-4.5423185000000004</c:v>
                </c:pt>
                <c:pt idx="190">
                  <c:v>-3.9749287</c:v>
                </c:pt>
                <c:pt idx="191">
                  <c:v>-3.5863856000000003</c:v>
                </c:pt>
                <c:pt idx="192">
                  <c:v>-3.6651221</c:v>
                </c:pt>
                <c:pt idx="193">
                  <c:v>-4.4869860000000008</c:v>
                </c:pt>
                <c:pt idx="194">
                  <c:v>-3.0170488000000004</c:v>
                </c:pt>
                <c:pt idx="195">
                  <c:v>-2.6925949000000005</c:v>
                </c:pt>
                <c:pt idx="196">
                  <c:v>-3.0255107999999997</c:v>
                </c:pt>
                <c:pt idx="197">
                  <c:v>-2.5981274999999999</c:v>
                </c:pt>
                <c:pt idx="198">
                  <c:v>-3.5455653999999992</c:v>
                </c:pt>
                <c:pt idx="199">
                  <c:v>-4.962283900000001</c:v>
                </c:pt>
                <c:pt idx="200">
                  <c:v>-0.94399480000000002</c:v>
                </c:pt>
                <c:pt idx="201">
                  <c:v>-2.7472175999999995</c:v>
                </c:pt>
                <c:pt idx="202">
                  <c:v>-2.8714631000000006</c:v>
                </c:pt>
                <c:pt idx="203">
                  <c:v>-2.8098928000000001</c:v>
                </c:pt>
                <c:pt idx="204">
                  <c:v>-4.1382335000000001</c:v>
                </c:pt>
                <c:pt idx="205">
                  <c:v>-3.8221476000000001</c:v>
                </c:pt>
                <c:pt idx="206">
                  <c:v>-1.7946893999999998</c:v>
                </c:pt>
                <c:pt idx="207">
                  <c:v>-3.8238124999999994</c:v>
                </c:pt>
                <c:pt idx="208">
                  <c:v>-2.5836130999999996</c:v>
                </c:pt>
                <c:pt idx="209">
                  <c:v>-3.1220613000000004</c:v>
                </c:pt>
                <c:pt idx="210">
                  <c:v>-2.7489852000000004</c:v>
                </c:pt>
                <c:pt idx="211">
                  <c:v>-2.3172586000000002</c:v>
                </c:pt>
                <c:pt idx="212">
                  <c:v>-5.8006606999999999</c:v>
                </c:pt>
                <c:pt idx="213">
                  <c:v>-2.7002818</c:v>
                </c:pt>
                <c:pt idx="214">
                  <c:v>-2.5559376</c:v>
                </c:pt>
                <c:pt idx="215">
                  <c:v>-4.4473788999999995</c:v>
                </c:pt>
                <c:pt idx="216">
                  <c:v>-3.9188926999999998</c:v>
                </c:pt>
                <c:pt idx="217">
                  <c:v>-2.5654278999999995</c:v>
                </c:pt>
                <c:pt idx="218">
                  <c:v>-3.6349450000000001</c:v>
                </c:pt>
                <c:pt idx="219">
                  <c:v>-2.0518785999999998</c:v>
                </c:pt>
                <c:pt idx="220">
                  <c:v>-4.6892908999999996</c:v>
                </c:pt>
                <c:pt idx="221">
                  <c:v>-4.7653338999999999</c:v>
                </c:pt>
                <c:pt idx="222">
                  <c:v>-3.5272611999999981</c:v>
                </c:pt>
                <c:pt idx="223">
                  <c:v>-3.1290293</c:v>
                </c:pt>
                <c:pt idx="224">
                  <c:v>-3.5680322000000002</c:v>
                </c:pt>
                <c:pt idx="225">
                  <c:v>-3.983516900000001</c:v>
                </c:pt>
                <c:pt idx="226">
                  <c:v>-3.7935376000000001</c:v>
                </c:pt>
                <c:pt idx="227">
                  <c:v>-4.4856459999999991</c:v>
                </c:pt>
                <c:pt idx="228">
                  <c:v>-2.6169434000000003</c:v>
                </c:pt>
                <c:pt idx="229">
                  <c:v>-5.6869461000000001</c:v>
                </c:pt>
                <c:pt idx="230">
                  <c:v>-1.6489643999999999</c:v>
                </c:pt>
                <c:pt idx="231">
                  <c:v>-1.9340820999999999</c:v>
                </c:pt>
                <c:pt idx="232">
                  <c:v>-3.2695600000000007</c:v>
                </c:pt>
                <c:pt idx="233">
                  <c:v>-0.41883989999999993</c:v>
                </c:pt>
                <c:pt idx="234">
                  <c:v>-1.2154393999999999</c:v>
                </c:pt>
                <c:pt idx="235">
                  <c:v>-2.2815395999999999</c:v>
                </c:pt>
                <c:pt idx="236">
                  <c:v>-3.2575928999999997</c:v>
                </c:pt>
                <c:pt idx="237">
                  <c:v>-2.7513299999999998</c:v>
                </c:pt>
                <c:pt idx="238">
                  <c:v>-5.8690822999999988</c:v>
                </c:pt>
                <c:pt idx="239">
                  <c:v>-3.1743752000000001</c:v>
                </c:pt>
                <c:pt idx="240">
                  <c:v>-2.8495385</c:v>
                </c:pt>
                <c:pt idx="241">
                  <c:v>-4.2256466999999995</c:v>
                </c:pt>
                <c:pt idx="242">
                  <c:v>-3.4283311000000003</c:v>
                </c:pt>
                <c:pt idx="243">
                  <c:v>-2.5005835000000003</c:v>
                </c:pt>
                <c:pt idx="244">
                  <c:v>-2.7195021999999995</c:v>
                </c:pt>
                <c:pt idx="245">
                  <c:v>-4.6899683000000003</c:v>
                </c:pt>
                <c:pt idx="246">
                  <c:v>-3.4730239000000003</c:v>
                </c:pt>
                <c:pt idx="247">
                  <c:v>-4.7282110000000008</c:v>
                </c:pt>
                <c:pt idx="248">
                  <c:v>-12.938461700000001</c:v>
                </c:pt>
                <c:pt idx="249">
                  <c:v>-13.127750299999997</c:v>
                </c:pt>
                <c:pt idx="250">
                  <c:v>-5.8897633000000003</c:v>
                </c:pt>
                <c:pt idx="251">
                  <c:v>-3.5598060999999999</c:v>
                </c:pt>
                <c:pt idx="252">
                  <c:v>-7.8676263000000004</c:v>
                </c:pt>
                <c:pt idx="253">
                  <c:v>-3.0746899000000005</c:v>
                </c:pt>
                <c:pt idx="254">
                  <c:v>-1.8542576999999998</c:v>
                </c:pt>
                <c:pt idx="255">
                  <c:v>-0.75336939999999997</c:v>
                </c:pt>
                <c:pt idx="256">
                  <c:v>-3.7120726000000004</c:v>
                </c:pt>
                <c:pt idx="257">
                  <c:v>-4.6225939</c:v>
                </c:pt>
                <c:pt idx="258">
                  <c:v>-3.0530553</c:v>
                </c:pt>
                <c:pt idx="259">
                  <c:v>-11.8292004</c:v>
                </c:pt>
                <c:pt idx="260">
                  <c:v>0</c:v>
                </c:pt>
                <c:pt idx="261">
                  <c:v>-3.6809657000000011</c:v>
                </c:pt>
                <c:pt idx="262">
                  <c:v>-4.3938998999999992</c:v>
                </c:pt>
                <c:pt idx="263">
                  <c:v>-2.7956308000000001</c:v>
                </c:pt>
                <c:pt idx="264">
                  <c:v>-5.0604213000000007</c:v>
                </c:pt>
                <c:pt idx="265">
                  <c:v>-2.9418021000000003</c:v>
                </c:pt>
                <c:pt idx="266">
                  <c:v>-4.3583605000000007</c:v>
                </c:pt>
                <c:pt idx="267">
                  <c:v>-5.9036033000000003</c:v>
                </c:pt>
                <c:pt idx="268">
                  <c:v>-3.8521576999999989</c:v>
                </c:pt>
                <c:pt idx="269">
                  <c:v>-7.7672033000000003</c:v>
                </c:pt>
                <c:pt idx="270">
                  <c:v>-0.48008600000000001</c:v>
                </c:pt>
                <c:pt idx="271">
                  <c:v>-3.8523488000000006</c:v>
                </c:pt>
                <c:pt idx="272">
                  <c:v>-3.0470012999999998</c:v>
                </c:pt>
                <c:pt idx="273">
                  <c:v>-4.3810454999999999</c:v>
                </c:pt>
                <c:pt idx="274">
                  <c:v>-6.3320184999999993</c:v>
                </c:pt>
                <c:pt idx="275">
                  <c:v>-3.1002631000000003</c:v>
                </c:pt>
                <c:pt idx="276">
                  <c:v>-3.5735476000000004</c:v>
                </c:pt>
                <c:pt idx="277">
                  <c:v>-5.5592266000000015</c:v>
                </c:pt>
                <c:pt idx="278">
                  <c:v>-2.3048739999999994</c:v>
                </c:pt>
                <c:pt idx="279">
                  <c:v>-5.4171732000000006</c:v>
                </c:pt>
                <c:pt idx="280">
                  <c:v>-2.9499666999999996</c:v>
                </c:pt>
                <c:pt idx="281">
                  <c:v>-7.5684160999999985</c:v>
                </c:pt>
                <c:pt idx="282">
                  <c:v>-7.3579810000000014</c:v>
                </c:pt>
                <c:pt idx="283">
                  <c:v>-9.2689307000000003</c:v>
                </c:pt>
                <c:pt idx="284">
                  <c:v>-7.5634467999999986</c:v>
                </c:pt>
                <c:pt idx="285">
                  <c:v>-10.895810099999998</c:v>
                </c:pt>
                <c:pt idx="286">
                  <c:v>-16.718360800000003</c:v>
                </c:pt>
                <c:pt idx="287">
                  <c:v>-7.9863994999999992</c:v>
                </c:pt>
                <c:pt idx="288">
                  <c:v>-16.788764400000005</c:v>
                </c:pt>
                <c:pt idx="289">
                  <c:v>-10.285837400000002</c:v>
                </c:pt>
                <c:pt idx="290">
                  <c:v>-5.5177803999999995</c:v>
                </c:pt>
                <c:pt idx="291">
                  <c:v>-8.3945630999999974</c:v>
                </c:pt>
                <c:pt idx="292">
                  <c:v>-7.6025466999999987</c:v>
                </c:pt>
                <c:pt idx="293">
                  <c:v>-2.2674363000000004</c:v>
                </c:pt>
                <c:pt idx="294">
                  <c:v>-8.9526268000000009</c:v>
                </c:pt>
                <c:pt idx="295">
                  <c:v>-0.58619520000000003</c:v>
                </c:pt>
                <c:pt idx="296">
                  <c:v>-3.6409355000000003</c:v>
                </c:pt>
                <c:pt idx="297">
                  <c:v>-3.0767964999999999</c:v>
                </c:pt>
                <c:pt idx="298">
                  <c:v>-6.6998999000000001</c:v>
                </c:pt>
                <c:pt idx="299">
                  <c:v>-5.1591913000000007</c:v>
                </c:pt>
                <c:pt idx="300">
                  <c:v>-2.2090337000000004</c:v>
                </c:pt>
                <c:pt idx="301">
                  <c:v>-3.5431816</c:v>
                </c:pt>
                <c:pt idx="302">
                  <c:v>-3.5305268000000001</c:v>
                </c:pt>
                <c:pt idx="303">
                  <c:v>-11.772743900000002</c:v>
                </c:pt>
                <c:pt idx="304">
                  <c:v>-7.2722827000000025</c:v>
                </c:pt>
                <c:pt idx="305">
                  <c:v>-5.0929016000000003</c:v>
                </c:pt>
                <c:pt idx="306">
                  <c:v>-6.7554472000000017</c:v>
                </c:pt>
                <c:pt idx="307">
                  <c:v>-7.175896400000001</c:v>
                </c:pt>
                <c:pt idx="308">
                  <c:v>-4.0392887999999996</c:v>
                </c:pt>
                <c:pt idx="309">
                  <c:v>-4.903735300000001</c:v>
                </c:pt>
                <c:pt idx="310">
                  <c:v>-1.9408599</c:v>
                </c:pt>
                <c:pt idx="311">
                  <c:v>-2.2140844</c:v>
                </c:pt>
                <c:pt idx="312">
                  <c:v>-3.2164090999999999</c:v>
                </c:pt>
                <c:pt idx="313">
                  <c:v>-8.6694238000000006</c:v>
                </c:pt>
                <c:pt idx="314">
                  <c:v>-19.7096667</c:v>
                </c:pt>
                <c:pt idx="315">
                  <c:v>-11.842219399999999</c:v>
                </c:pt>
                <c:pt idx="316">
                  <c:v>-9.5456820999999987</c:v>
                </c:pt>
                <c:pt idx="317">
                  <c:v>-2.8423086999999998</c:v>
                </c:pt>
                <c:pt idx="318">
                  <c:v>-10.456862999999998</c:v>
                </c:pt>
                <c:pt idx="319">
                  <c:v>-11.984585899999997</c:v>
                </c:pt>
                <c:pt idx="320">
                  <c:v>-3.2575240000000001</c:v>
                </c:pt>
                <c:pt idx="321">
                  <c:v>-8.0930892999999955</c:v>
                </c:pt>
                <c:pt idx="322">
                  <c:v>-6.0385659999999994</c:v>
                </c:pt>
                <c:pt idx="323">
                  <c:v>-7.2413041000000007</c:v>
                </c:pt>
                <c:pt idx="324">
                  <c:v>-0.36586059999999998</c:v>
                </c:pt>
                <c:pt idx="325">
                  <c:v>-6.4029983000000019</c:v>
                </c:pt>
                <c:pt idx="326">
                  <c:v>-5.7701547999999994</c:v>
                </c:pt>
                <c:pt idx="327">
                  <c:v>-5.0451985000000015</c:v>
                </c:pt>
                <c:pt idx="328">
                  <c:v>-2.2329710000000005</c:v>
                </c:pt>
                <c:pt idx="329">
                  <c:v>-6.9434298000000023</c:v>
                </c:pt>
                <c:pt idx="330">
                  <c:v>-2.4791892999999998</c:v>
                </c:pt>
                <c:pt idx="331">
                  <c:v>-3.0838623000000003</c:v>
                </c:pt>
                <c:pt idx="332">
                  <c:v>-1.7222664000000001</c:v>
                </c:pt>
                <c:pt idx="333">
                  <c:v>-2.1478675000000003</c:v>
                </c:pt>
                <c:pt idx="334">
                  <c:v>-4.1879607999999999</c:v>
                </c:pt>
                <c:pt idx="335">
                  <c:v>-2.5024573999999999</c:v>
                </c:pt>
                <c:pt idx="336">
                  <c:v>-2.5802836</c:v>
                </c:pt>
                <c:pt idx="337">
                  <c:v>-4.3105120000000001</c:v>
                </c:pt>
                <c:pt idx="338">
                  <c:v>-4.1270435000000001</c:v>
                </c:pt>
                <c:pt idx="339">
                  <c:v>-6.0791715000000011</c:v>
                </c:pt>
                <c:pt idx="340">
                  <c:v>-5.484726600000001</c:v>
                </c:pt>
                <c:pt idx="341">
                  <c:v>-7.5294904999999996</c:v>
                </c:pt>
                <c:pt idx="342">
                  <c:v>-4.6204754999999995</c:v>
                </c:pt>
                <c:pt idx="343">
                  <c:v>-2.1639223999999997</c:v>
                </c:pt>
                <c:pt idx="344">
                  <c:v>-2.2657382999999993</c:v>
                </c:pt>
                <c:pt idx="345">
                  <c:v>-4.3081262999999996</c:v>
                </c:pt>
                <c:pt idx="346">
                  <c:v>-3.4271627000000007</c:v>
                </c:pt>
                <c:pt idx="347">
                  <c:v>-5.2277231999999989</c:v>
                </c:pt>
                <c:pt idx="348">
                  <c:v>-7.2385890000000011</c:v>
                </c:pt>
                <c:pt idx="349">
                  <c:v>-3.7123720999999996</c:v>
                </c:pt>
                <c:pt idx="350">
                  <c:v>-2.2609629999999994</c:v>
                </c:pt>
                <c:pt idx="351">
                  <c:v>-4.1005886</c:v>
                </c:pt>
                <c:pt idx="352">
                  <c:v>-3.0703571999999992</c:v>
                </c:pt>
                <c:pt idx="353">
                  <c:v>-2.7501049000000002</c:v>
                </c:pt>
                <c:pt idx="354">
                  <c:v>-2.9937000999999999</c:v>
                </c:pt>
                <c:pt idx="355">
                  <c:v>-3.7093487999999999</c:v>
                </c:pt>
                <c:pt idx="356">
                  <c:v>-3.3909820999999996</c:v>
                </c:pt>
                <c:pt idx="357">
                  <c:v>-3.8750736999999988</c:v>
                </c:pt>
                <c:pt idx="358">
                  <c:v>-3.5367257000000007</c:v>
                </c:pt>
                <c:pt idx="359">
                  <c:v>-7.8520183999999995</c:v>
                </c:pt>
                <c:pt idx="360">
                  <c:v>-3.1820586</c:v>
                </c:pt>
                <c:pt idx="361">
                  <c:v>-4.1766332999999998</c:v>
                </c:pt>
                <c:pt idx="362">
                  <c:v>-2.6194955000000006</c:v>
                </c:pt>
                <c:pt idx="363">
                  <c:v>-2.9832414000000003</c:v>
                </c:pt>
                <c:pt idx="364">
                  <c:v>-4.8034338000000005</c:v>
                </c:pt>
                <c:pt idx="365">
                  <c:v>-0.72982539999999974</c:v>
                </c:pt>
                <c:pt idx="366">
                  <c:v>-6.3194120000000007</c:v>
                </c:pt>
                <c:pt idx="367">
                  <c:v>-4.3381214000000003</c:v>
                </c:pt>
                <c:pt idx="368">
                  <c:v>-8.2114806000000016</c:v>
                </c:pt>
                <c:pt idx="369">
                  <c:v>-6.9127836000000009</c:v>
                </c:pt>
                <c:pt idx="370">
                  <c:v>-2.5861429</c:v>
                </c:pt>
                <c:pt idx="371">
                  <c:v>-6.8189656999999997</c:v>
                </c:pt>
                <c:pt idx="372">
                  <c:v>-4.0813866000000001</c:v>
                </c:pt>
                <c:pt idx="373">
                  <c:v>-5.9055711000000013</c:v>
                </c:pt>
                <c:pt idx="374">
                  <c:v>-6.2712750999999995</c:v>
                </c:pt>
                <c:pt idx="375">
                  <c:v>-6.0079029000000013</c:v>
                </c:pt>
                <c:pt idx="376">
                  <c:v>-3.2897083</c:v>
                </c:pt>
                <c:pt idx="377">
                  <c:v>-3.3241984999999996</c:v>
                </c:pt>
                <c:pt idx="378">
                  <c:v>-9.4206755000000033</c:v>
                </c:pt>
                <c:pt idx="379">
                  <c:v>-9.5785827000000019</c:v>
                </c:pt>
                <c:pt idx="380">
                  <c:v>-11.216758200000001</c:v>
                </c:pt>
                <c:pt idx="381">
                  <c:v>-6.205692</c:v>
                </c:pt>
                <c:pt idx="382">
                  <c:v>-6.8379692999999993</c:v>
                </c:pt>
                <c:pt idx="383">
                  <c:v>-18.877712200000001</c:v>
                </c:pt>
                <c:pt idx="384">
                  <c:v>-5.4349635999999997</c:v>
                </c:pt>
                <c:pt idx="385">
                  <c:v>-7.3002189</c:v>
                </c:pt>
                <c:pt idx="386">
                  <c:v>-7.955402799999999</c:v>
                </c:pt>
                <c:pt idx="387">
                  <c:v>-5.5406112999999984</c:v>
                </c:pt>
                <c:pt idx="388">
                  <c:v>-3.9269981000000005</c:v>
                </c:pt>
                <c:pt idx="389">
                  <c:v>-5.7713601000000008</c:v>
                </c:pt>
                <c:pt idx="390">
                  <c:v>-8.2464853999999974</c:v>
                </c:pt>
                <c:pt idx="391">
                  <c:v>-2.1526535999999998</c:v>
                </c:pt>
                <c:pt idx="392">
                  <c:v>-0.50030330000000001</c:v>
                </c:pt>
                <c:pt idx="393">
                  <c:v>-3.4470859999999997</c:v>
                </c:pt>
                <c:pt idx="394">
                  <c:v>-2.4388425000000002</c:v>
                </c:pt>
                <c:pt idx="395">
                  <c:v>-4.6223540999999999</c:v>
                </c:pt>
                <c:pt idx="396">
                  <c:v>-5.7258373000000011</c:v>
                </c:pt>
                <c:pt idx="397">
                  <c:v>-2.1271450999999999</c:v>
                </c:pt>
                <c:pt idx="398">
                  <c:v>-3.5077892999999998</c:v>
                </c:pt>
                <c:pt idx="399">
                  <c:v>-4.3915233000000002</c:v>
                </c:pt>
                <c:pt idx="400">
                  <c:v>-1.5390018999999999</c:v>
                </c:pt>
                <c:pt idx="401">
                  <c:v>-2.2412232999999997</c:v>
                </c:pt>
                <c:pt idx="402">
                  <c:v>-4.5252311000000009</c:v>
                </c:pt>
                <c:pt idx="403">
                  <c:v>-4.176642600000001</c:v>
                </c:pt>
                <c:pt idx="404">
                  <c:v>-6.1053352999999992</c:v>
                </c:pt>
                <c:pt idx="405">
                  <c:v>-2.6399217000000004</c:v>
                </c:pt>
                <c:pt idx="406">
                  <c:v>-2.3195138000000002</c:v>
                </c:pt>
                <c:pt idx="407">
                  <c:v>-3.1037806999999997</c:v>
                </c:pt>
                <c:pt idx="408">
                  <c:v>-4.7516648999999997</c:v>
                </c:pt>
                <c:pt idx="409">
                  <c:v>-4.4705158000000003</c:v>
                </c:pt>
                <c:pt idx="410">
                  <c:v>-4.7069638000000005</c:v>
                </c:pt>
                <c:pt idx="411">
                  <c:v>-5.4333424999999993</c:v>
                </c:pt>
                <c:pt idx="412">
                  <c:v>-5.1455757999999987</c:v>
                </c:pt>
                <c:pt idx="413">
                  <c:v>-6.4639550999999997</c:v>
                </c:pt>
                <c:pt idx="414">
                  <c:v>-3.6858521999999998</c:v>
                </c:pt>
                <c:pt idx="415">
                  <c:v>-2.4824961000000001</c:v>
                </c:pt>
                <c:pt idx="416">
                  <c:v>-1.7156007</c:v>
                </c:pt>
                <c:pt idx="417">
                  <c:v>-3.0736892000000005</c:v>
                </c:pt>
                <c:pt idx="418">
                  <c:v>-3.2951289000000004</c:v>
                </c:pt>
                <c:pt idx="419">
                  <c:v>-8.1245378000000006</c:v>
                </c:pt>
                <c:pt idx="420">
                  <c:v>-5.1304761999999995</c:v>
                </c:pt>
                <c:pt idx="421">
                  <c:v>-4.2817648000000004</c:v>
                </c:pt>
                <c:pt idx="422">
                  <c:v>-2.9351631</c:v>
                </c:pt>
                <c:pt idx="423">
                  <c:v>-2.4489840999999997</c:v>
                </c:pt>
                <c:pt idx="424">
                  <c:v>-4.1420661000000001</c:v>
                </c:pt>
                <c:pt idx="425">
                  <c:v>-2.2523922000000001</c:v>
                </c:pt>
                <c:pt idx="426">
                  <c:v>-4.4472992000000007</c:v>
                </c:pt>
                <c:pt idx="427">
                  <c:v>-3.5834260999999996</c:v>
                </c:pt>
                <c:pt idx="428">
                  <c:v>-2.7093478000000002</c:v>
                </c:pt>
                <c:pt idx="429">
                  <c:v>-2.4066533000000003</c:v>
                </c:pt>
                <c:pt idx="430">
                  <c:v>-1.2677981999999999</c:v>
                </c:pt>
                <c:pt idx="431">
                  <c:v>-5.8079678000000019</c:v>
                </c:pt>
                <c:pt idx="432">
                  <c:v>-2.4947598999999996</c:v>
                </c:pt>
                <c:pt idx="433">
                  <c:v>-8.1529831000000001</c:v>
                </c:pt>
                <c:pt idx="434">
                  <c:v>-4.0012058000000001</c:v>
                </c:pt>
                <c:pt idx="435">
                  <c:v>-0.51186959999999992</c:v>
                </c:pt>
                <c:pt idx="436">
                  <c:v>-7.4422098000000014</c:v>
                </c:pt>
                <c:pt idx="437">
                  <c:v>-2.750505</c:v>
                </c:pt>
                <c:pt idx="438">
                  <c:v>-6.7463213</c:v>
                </c:pt>
                <c:pt idx="439">
                  <c:v>-3.7108304000000003</c:v>
                </c:pt>
                <c:pt idx="440">
                  <c:v>-2.6953053000000007</c:v>
                </c:pt>
                <c:pt idx="441">
                  <c:v>-3.6261830000000002</c:v>
                </c:pt>
                <c:pt idx="442">
                  <c:v>-3.6712121000000004</c:v>
                </c:pt>
                <c:pt idx="443">
                  <c:v>-4.5952209999999996</c:v>
                </c:pt>
                <c:pt idx="444">
                  <c:v>-7.5643921000000001</c:v>
                </c:pt>
                <c:pt idx="445">
                  <c:v>-2.2257172999999995</c:v>
                </c:pt>
                <c:pt idx="446">
                  <c:v>-2.9059505999999997</c:v>
                </c:pt>
                <c:pt idx="447">
                  <c:v>-3.4465796000000006</c:v>
                </c:pt>
                <c:pt idx="448">
                  <c:v>-5.5949127000000001</c:v>
                </c:pt>
                <c:pt idx="449">
                  <c:v>-17.959277900000004</c:v>
                </c:pt>
                <c:pt idx="450">
                  <c:v>-7.7202869000000005</c:v>
                </c:pt>
                <c:pt idx="451">
                  <c:v>-6.9268411999999984</c:v>
                </c:pt>
                <c:pt idx="452">
                  <c:v>-7.9851375000000022</c:v>
                </c:pt>
                <c:pt idx="453">
                  <c:v>-6.7828901999999998</c:v>
                </c:pt>
                <c:pt idx="454">
                  <c:v>-5.3524807000000001</c:v>
                </c:pt>
                <c:pt idx="455">
                  <c:v>-7.2022373999999996</c:v>
                </c:pt>
                <c:pt idx="456">
                  <c:v>-4.2811054999999998</c:v>
                </c:pt>
                <c:pt idx="457">
                  <c:v>-5.3611835999999995</c:v>
                </c:pt>
                <c:pt idx="458">
                  <c:v>-4.2043528999999999</c:v>
                </c:pt>
                <c:pt idx="459">
                  <c:v>-8.6835934000000012</c:v>
                </c:pt>
                <c:pt idx="460">
                  <c:v>-5.0539944999999999</c:v>
                </c:pt>
                <c:pt idx="461">
                  <c:v>-11.271918899999999</c:v>
                </c:pt>
                <c:pt idx="462">
                  <c:v>-5.7013933000000003</c:v>
                </c:pt>
                <c:pt idx="463">
                  <c:v>-18.990070799999998</c:v>
                </c:pt>
                <c:pt idx="464">
                  <c:v>-10.7029263</c:v>
                </c:pt>
                <c:pt idx="465">
                  <c:v>-9.7107907000000022</c:v>
                </c:pt>
                <c:pt idx="466">
                  <c:v>-6.2458249999999991</c:v>
                </c:pt>
                <c:pt idx="467">
                  <c:v>-1.3170497999999997</c:v>
                </c:pt>
                <c:pt idx="468">
                  <c:v>-5.3297972999999992</c:v>
                </c:pt>
                <c:pt idx="469">
                  <c:v>-4.2664794999999991</c:v>
                </c:pt>
                <c:pt idx="470">
                  <c:v>-3.2290993999999995</c:v>
                </c:pt>
                <c:pt idx="471">
                  <c:v>-6.8987067999999994</c:v>
                </c:pt>
                <c:pt idx="472">
                  <c:v>-3.3852036000000005</c:v>
                </c:pt>
                <c:pt idx="473">
                  <c:v>-14.700165900000002</c:v>
                </c:pt>
                <c:pt idx="474">
                  <c:v>-8.2440850000000001</c:v>
                </c:pt>
                <c:pt idx="475">
                  <c:v>-3.0141489999999997</c:v>
                </c:pt>
                <c:pt idx="476">
                  <c:v>-4.2349468000000003</c:v>
                </c:pt>
                <c:pt idx="477">
                  <c:v>-10.835330000000001</c:v>
                </c:pt>
                <c:pt idx="478">
                  <c:v>-7.0575688999999988</c:v>
                </c:pt>
                <c:pt idx="479">
                  <c:v>-5.047830799999999</c:v>
                </c:pt>
                <c:pt idx="480">
                  <c:v>-4.1798706999999995</c:v>
                </c:pt>
                <c:pt idx="481">
                  <c:v>-3.5670903000000003</c:v>
                </c:pt>
                <c:pt idx="482">
                  <c:v>-3.4410495999999999</c:v>
                </c:pt>
                <c:pt idx="483">
                  <c:v>-5.4483522999999998</c:v>
                </c:pt>
                <c:pt idx="484">
                  <c:v>-5.4614236000000007</c:v>
                </c:pt>
                <c:pt idx="485">
                  <c:v>-4.3062455999999996</c:v>
                </c:pt>
                <c:pt idx="486">
                  <c:v>-3.4594387000000006</c:v>
                </c:pt>
                <c:pt idx="487">
                  <c:v>-10.904691300000001</c:v>
                </c:pt>
                <c:pt idx="488">
                  <c:v>-2.6820172999999996</c:v>
                </c:pt>
                <c:pt idx="489">
                  <c:v>-6.409941700000001</c:v>
                </c:pt>
                <c:pt idx="490">
                  <c:v>-4.4428184999999987</c:v>
                </c:pt>
                <c:pt idx="491">
                  <c:v>-4.4306184000000002</c:v>
                </c:pt>
                <c:pt idx="492">
                  <c:v>-3.8772294999999999</c:v>
                </c:pt>
                <c:pt idx="493">
                  <c:v>-0.41050059999999999</c:v>
                </c:pt>
                <c:pt idx="494">
                  <c:v>-3.7109060999999994</c:v>
                </c:pt>
                <c:pt idx="495">
                  <c:v>-4.5247765000000006</c:v>
                </c:pt>
                <c:pt idx="496">
                  <c:v>-2.5859830000000001</c:v>
                </c:pt>
                <c:pt idx="497">
                  <c:v>-3.3426083000000002</c:v>
                </c:pt>
                <c:pt idx="498">
                  <c:v>-3.6087915000000002</c:v>
                </c:pt>
                <c:pt idx="499">
                  <c:v>-7.9082580999999994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F4-4FAA-ABEB-D875A0975BBC}"/>
            </c:ext>
          </c:extLst>
        </c:ser>
        <c:ser>
          <c:idx val="5"/>
          <c:order val="5"/>
          <c:tx>
            <c:v>Dummy</c:v>
          </c:tx>
          <c:spPr>
            <a:noFill/>
          </c:spPr>
          <c:invertIfNegative val="0"/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[0]!Net</c:f>
              <c:numCache>
                <c:formatCode>General</c:formatCode>
                <c:ptCount val="500"/>
                <c:pt idx="0">
                  <c:v>-0.16974480000000003</c:v>
                </c:pt>
                <c:pt idx="1">
                  <c:v>5.3959415000000011</c:v>
                </c:pt>
                <c:pt idx="2">
                  <c:v>3.1634457</c:v>
                </c:pt>
                <c:pt idx="3">
                  <c:v>3.1947587000000026</c:v>
                </c:pt>
                <c:pt idx="4">
                  <c:v>2.0618681000000003</c:v>
                </c:pt>
                <c:pt idx="5">
                  <c:v>0.62719760000000047</c:v>
                </c:pt>
                <c:pt idx="6">
                  <c:v>2.2453304000000003</c:v>
                </c:pt>
                <c:pt idx="7">
                  <c:v>-1.8856293999999996</c:v>
                </c:pt>
                <c:pt idx="8">
                  <c:v>3.9668536000000003</c:v>
                </c:pt>
                <c:pt idx="9">
                  <c:v>-0.69344849999999991</c:v>
                </c:pt>
                <c:pt idx="10">
                  <c:v>0.28726380000000001</c:v>
                </c:pt>
                <c:pt idx="11">
                  <c:v>1.7428626</c:v>
                </c:pt>
                <c:pt idx="12">
                  <c:v>2.3545235000000004</c:v>
                </c:pt>
                <c:pt idx="13">
                  <c:v>-0.3163031999999999</c:v>
                </c:pt>
                <c:pt idx="14">
                  <c:v>-4.5438409999999996</c:v>
                </c:pt>
                <c:pt idx="15">
                  <c:v>2.0893998999999992</c:v>
                </c:pt>
                <c:pt idx="16">
                  <c:v>5.3939342999999997</c:v>
                </c:pt>
                <c:pt idx="17">
                  <c:v>8.1207782000000002</c:v>
                </c:pt>
                <c:pt idx="18">
                  <c:v>6.8016877000000013</c:v>
                </c:pt>
                <c:pt idx="19">
                  <c:v>4.0439216000000018</c:v>
                </c:pt>
                <c:pt idx="20">
                  <c:v>1.1124402999999998</c:v>
                </c:pt>
                <c:pt idx="21">
                  <c:v>0.91223299999999996</c:v>
                </c:pt>
                <c:pt idx="22">
                  <c:v>-1.5838791999999995</c:v>
                </c:pt>
                <c:pt idx="23">
                  <c:v>2.0988332999999999</c:v>
                </c:pt>
                <c:pt idx="24">
                  <c:v>3.6195785000000011</c:v>
                </c:pt>
                <c:pt idx="25">
                  <c:v>3.0102983000000005</c:v>
                </c:pt>
                <c:pt idx="26">
                  <c:v>2.8805424000000008</c:v>
                </c:pt>
                <c:pt idx="27">
                  <c:v>1.9890369999999999</c:v>
                </c:pt>
                <c:pt idx="28">
                  <c:v>3.9173296999999994</c:v>
                </c:pt>
                <c:pt idx="29">
                  <c:v>5.493266900000001</c:v>
                </c:pt>
                <c:pt idx="30">
                  <c:v>4.0956715999999984</c:v>
                </c:pt>
                <c:pt idx="31">
                  <c:v>3.5417144999999999</c:v>
                </c:pt>
                <c:pt idx="32">
                  <c:v>0.90310679999999988</c:v>
                </c:pt>
                <c:pt idx="33">
                  <c:v>0.55451389999999989</c:v>
                </c:pt>
                <c:pt idx="34">
                  <c:v>-1.5672743000000002</c:v>
                </c:pt>
                <c:pt idx="35">
                  <c:v>-8.9904100000000001E-2</c:v>
                </c:pt>
                <c:pt idx="36">
                  <c:v>5.9733900999999978</c:v>
                </c:pt>
                <c:pt idx="37">
                  <c:v>2.9854563999999995</c:v>
                </c:pt>
                <c:pt idx="38">
                  <c:v>2.8905718999999999</c:v>
                </c:pt>
                <c:pt idx="39">
                  <c:v>4.0076812999999998</c:v>
                </c:pt>
                <c:pt idx="40">
                  <c:v>1.6146729000000006</c:v>
                </c:pt>
                <c:pt idx="41">
                  <c:v>3.963506999999999</c:v>
                </c:pt>
                <c:pt idx="42">
                  <c:v>10.734946699999998</c:v>
                </c:pt>
                <c:pt idx="43">
                  <c:v>-1.1588918000000001</c:v>
                </c:pt>
                <c:pt idx="44">
                  <c:v>-2.6127177000000006</c:v>
                </c:pt>
                <c:pt idx="45">
                  <c:v>3.9166497999999996</c:v>
                </c:pt>
                <c:pt idx="46">
                  <c:v>1.7327827000000007</c:v>
                </c:pt>
                <c:pt idx="47">
                  <c:v>2.4629379000000005</c:v>
                </c:pt>
                <c:pt idx="48">
                  <c:v>0.63146550000000012</c:v>
                </c:pt>
                <c:pt idx="49">
                  <c:v>-0.13308969999999978</c:v>
                </c:pt>
                <c:pt idx="50">
                  <c:v>3.4845389999999994</c:v>
                </c:pt>
                <c:pt idx="51">
                  <c:v>8.0296591000000017</c:v>
                </c:pt>
                <c:pt idx="52">
                  <c:v>5.763432299999999</c:v>
                </c:pt>
                <c:pt idx="53">
                  <c:v>-1.6092407000000006</c:v>
                </c:pt>
                <c:pt idx="54">
                  <c:v>-4.2608313999999998</c:v>
                </c:pt>
                <c:pt idx="55">
                  <c:v>-1.3866555</c:v>
                </c:pt>
                <c:pt idx="56">
                  <c:v>5.6587158000000022</c:v>
                </c:pt>
                <c:pt idx="57">
                  <c:v>4.310894499999999</c:v>
                </c:pt>
                <c:pt idx="58">
                  <c:v>2.1523026999999999</c:v>
                </c:pt>
                <c:pt idx="59">
                  <c:v>1.6246681000000003</c:v>
                </c:pt>
                <c:pt idx="60">
                  <c:v>2.2336393999999995</c:v>
                </c:pt>
                <c:pt idx="61">
                  <c:v>3.3422948999999997</c:v>
                </c:pt>
                <c:pt idx="62">
                  <c:v>1.3774409999999999</c:v>
                </c:pt>
                <c:pt idx="63">
                  <c:v>1.8927788999999995</c:v>
                </c:pt>
                <c:pt idx="64">
                  <c:v>-1.1330074000000001</c:v>
                </c:pt>
                <c:pt idx="65">
                  <c:v>-2.9751483000000003</c:v>
                </c:pt>
                <c:pt idx="66">
                  <c:v>-8.2750999999999936E-3</c:v>
                </c:pt>
                <c:pt idx="67">
                  <c:v>0.10517680000000004</c:v>
                </c:pt>
                <c:pt idx="68">
                  <c:v>2.1134903999999994</c:v>
                </c:pt>
                <c:pt idx="69">
                  <c:v>0.56339530000000015</c:v>
                </c:pt>
                <c:pt idx="70">
                  <c:v>1.3631977999999998</c:v>
                </c:pt>
                <c:pt idx="71">
                  <c:v>0.60391890000000004</c:v>
                </c:pt>
                <c:pt idx="72">
                  <c:v>2.4180643000000002</c:v>
                </c:pt>
                <c:pt idx="73">
                  <c:v>1.2011030000000003</c:v>
                </c:pt>
                <c:pt idx="74">
                  <c:v>0.71671709999999988</c:v>
                </c:pt>
                <c:pt idx="75">
                  <c:v>-9.6628800000000015E-2</c:v>
                </c:pt>
                <c:pt idx="76">
                  <c:v>-0.27227050000000047</c:v>
                </c:pt>
                <c:pt idx="77">
                  <c:v>1.2629373999999998</c:v>
                </c:pt>
                <c:pt idx="78">
                  <c:v>2.5452086000000005</c:v>
                </c:pt>
                <c:pt idx="79">
                  <c:v>-1.6935401000000012</c:v>
                </c:pt>
                <c:pt idx="80">
                  <c:v>9.9750171000000005</c:v>
                </c:pt>
                <c:pt idx="81">
                  <c:v>8.1509421000000017</c:v>
                </c:pt>
                <c:pt idx="82">
                  <c:v>3.6163551999999979</c:v>
                </c:pt>
                <c:pt idx="83">
                  <c:v>1.3117466</c:v>
                </c:pt>
                <c:pt idx="84">
                  <c:v>0.16300709999999968</c:v>
                </c:pt>
                <c:pt idx="85">
                  <c:v>1.5819945999999996</c:v>
                </c:pt>
                <c:pt idx="86">
                  <c:v>-2.2143770000000007</c:v>
                </c:pt>
                <c:pt idx="87">
                  <c:v>-1.0274108</c:v>
                </c:pt>
                <c:pt idx="88">
                  <c:v>0.6517218999999993</c:v>
                </c:pt>
                <c:pt idx="89">
                  <c:v>1.8738007999999997</c:v>
                </c:pt>
                <c:pt idx="90">
                  <c:v>0.45356879999999983</c:v>
                </c:pt>
                <c:pt idx="91">
                  <c:v>2.7990826000000006</c:v>
                </c:pt>
                <c:pt idx="92">
                  <c:v>-6.6424999999997033E-3</c:v>
                </c:pt>
                <c:pt idx="93">
                  <c:v>2.1848758000000004</c:v>
                </c:pt>
                <c:pt idx="94">
                  <c:v>-0.36895020000000045</c:v>
                </c:pt>
                <c:pt idx="95">
                  <c:v>2.3516224000000001</c:v>
                </c:pt>
                <c:pt idx="96">
                  <c:v>1.7962895000000001</c:v>
                </c:pt>
                <c:pt idx="97">
                  <c:v>-2.1776911000000005</c:v>
                </c:pt>
                <c:pt idx="98">
                  <c:v>1.2350449000000003</c:v>
                </c:pt>
                <c:pt idx="99">
                  <c:v>-4.0033331999999993</c:v>
                </c:pt>
                <c:pt idx="100">
                  <c:v>5.586806600000001</c:v>
                </c:pt>
                <c:pt idx="101">
                  <c:v>0.41986709999999988</c:v>
                </c:pt>
                <c:pt idx="102">
                  <c:v>3.5268157000000007</c:v>
                </c:pt>
                <c:pt idx="103">
                  <c:v>3.8225643000000002</c:v>
                </c:pt>
                <c:pt idx="104">
                  <c:v>4.0133840000000021</c:v>
                </c:pt>
                <c:pt idx="105">
                  <c:v>7.1602200000000005E-2</c:v>
                </c:pt>
                <c:pt idx="106">
                  <c:v>5.3606061000000009</c:v>
                </c:pt>
                <c:pt idx="107">
                  <c:v>-0.61950229999999962</c:v>
                </c:pt>
                <c:pt idx="108">
                  <c:v>1.6132880000000003</c:v>
                </c:pt>
                <c:pt idx="109">
                  <c:v>0.26986499999999969</c:v>
                </c:pt>
                <c:pt idx="110">
                  <c:v>1.4550715000000001</c:v>
                </c:pt>
                <c:pt idx="111">
                  <c:v>2.1682649000000001</c:v>
                </c:pt>
                <c:pt idx="112">
                  <c:v>4.3259801000000007</c:v>
                </c:pt>
                <c:pt idx="113">
                  <c:v>7.2067171999999999</c:v>
                </c:pt>
                <c:pt idx="114">
                  <c:v>3.8123130999999995</c:v>
                </c:pt>
                <c:pt idx="115">
                  <c:v>4.9188850999999998</c:v>
                </c:pt>
                <c:pt idx="116">
                  <c:v>11.5075638</c:v>
                </c:pt>
                <c:pt idx="117">
                  <c:v>1.4598495000000002</c:v>
                </c:pt>
                <c:pt idx="118">
                  <c:v>-0.98790729999999949</c:v>
                </c:pt>
                <c:pt idx="119">
                  <c:v>1.1971705999999991</c:v>
                </c:pt>
                <c:pt idx="120">
                  <c:v>-5.4025699999999999</c:v>
                </c:pt>
                <c:pt idx="121">
                  <c:v>5.4816240000000009</c:v>
                </c:pt>
                <c:pt idx="122">
                  <c:v>0.42270630000000031</c:v>
                </c:pt>
                <c:pt idx="123">
                  <c:v>-0.22115569999999984</c:v>
                </c:pt>
                <c:pt idx="124">
                  <c:v>1.8217298999999998</c:v>
                </c:pt>
                <c:pt idx="125">
                  <c:v>-0.2149798999999995</c:v>
                </c:pt>
                <c:pt idx="126">
                  <c:v>0.83202059999999989</c:v>
                </c:pt>
                <c:pt idx="127">
                  <c:v>-0.61797640000000098</c:v>
                </c:pt>
                <c:pt idx="128">
                  <c:v>0.15058259999999987</c:v>
                </c:pt>
                <c:pt idx="129">
                  <c:v>-1.7254390000000004</c:v>
                </c:pt>
                <c:pt idx="130">
                  <c:v>-0.79944930000000003</c:v>
                </c:pt>
                <c:pt idx="131">
                  <c:v>1.3169817999999998</c:v>
                </c:pt>
                <c:pt idx="132">
                  <c:v>3.2265017000000009</c:v>
                </c:pt>
                <c:pt idx="133">
                  <c:v>9.9680499999999672E-2</c:v>
                </c:pt>
                <c:pt idx="134">
                  <c:v>2.9834019000000009</c:v>
                </c:pt>
                <c:pt idx="135">
                  <c:v>1.0248242999999997</c:v>
                </c:pt>
                <c:pt idx="136">
                  <c:v>1.1350426999999996</c:v>
                </c:pt>
                <c:pt idx="137">
                  <c:v>1.5743940999999999</c:v>
                </c:pt>
                <c:pt idx="138">
                  <c:v>2.8901656999999998</c:v>
                </c:pt>
                <c:pt idx="139">
                  <c:v>2.3132147999999995</c:v>
                </c:pt>
                <c:pt idx="140">
                  <c:v>2.3883612999999997</c:v>
                </c:pt>
                <c:pt idx="141">
                  <c:v>-1.9078377</c:v>
                </c:pt>
                <c:pt idx="142">
                  <c:v>1.7753355000000002</c:v>
                </c:pt>
                <c:pt idx="143">
                  <c:v>0.5716011999999997</c:v>
                </c:pt>
                <c:pt idx="144">
                  <c:v>3.3784913999999993</c:v>
                </c:pt>
                <c:pt idx="145">
                  <c:v>1.4578646000000015</c:v>
                </c:pt>
                <c:pt idx="146">
                  <c:v>-1.7674815999999991</c:v>
                </c:pt>
                <c:pt idx="147">
                  <c:v>1.2505991000000003</c:v>
                </c:pt>
                <c:pt idx="148">
                  <c:v>0.44893450000000035</c:v>
                </c:pt>
                <c:pt idx="149">
                  <c:v>1.4871477999999998</c:v>
                </c:pt>
                <c:pt idx="150">
                  <c:v>2.8644943999999999</c:v>
                </c:pt>
                <c:pt idx="151">
                  <c:v>1.3225784</c:v>
                </c:pt>
                <c:pt idx="152">
                  <c:v>0.63581889999999996</c:v>
                </c:pt>
                <c:pt idx="153">
                  <c:v>3.9773498999999992</c:v>
                </c:pt>
                <c:pt idx="154">
                  <c:v>0.95709970000000011</c:v>
                </c:pt>
                <c:pt idx="155">
                  <c:v>-0.56289519999999993</c:v>
                </c:pt>
                <c:pt idx="156">
                  <c:v>4.2428413999999997</c:v>
                </c:pt>
                <c:pt idx="157">
                  <c:v>-0.48906599999999978</c:v>
                </c:pt>
                <c:pt idx="158">
                  <c:v>-0.8789066000000002</c:v>
                </c:pt>
                <c:pt idx="159">
                  <c:v>-2.8026835000000001</c:v>
                </c:pt>
                <c:pt idx="160">
                  <c:v>2.7442731999999994</c:v>
                </c:pt>
                <c:pt idx="161">
                  <c:v>2.2697624000000021</c:v>
                </c:pt>
                <c:pt idx="162">
                  <c:v>3.9894086000000017</c:v>
                </c:pt>
                <c:pt idx="163">
                  <c:v>-3.4025125999999997</c:v>
                </c:pt>
                <c:pt idx="164">
                  <c:v>-1.1429665</c:v>
                </c:pt>
                <c:pt idx="165">
                  <c:v>0.57001629999999992</c:v>
                </c:pt>
                <c:pt idx="166">
                  <c:v>4.5267644000000002</c:v>
                </c:pt>
                <c:pt idx="167">
                  <c:v>4.3946072000000003</c:v>
                </c:pt>
                <c:pt idx="168">
                  <c:v>1.7894698999999983</c:v>
                </c:pt>
                <c:pt idx="169">
                  <c:v>2.2138883000000003</c:v>
                </c:pt>
                <c:pt idx="170">
                  <c:v>2.0655780000000004</c:v>
                </c:pt>
                <c:pt idx="171">
                  <c:v>1.0967951999999999</c:v>
                </c:pt>
                <c:pt idx="172">
                  <c:v>1.6789049000000005</c:v>
                </c:pt>
                <c:pt idx="173">
                  <c:v>-2.4513761000000032</c:v>
                </c:pt>
                <c:pt idx="174">
                  <c:v>1.8046182999999998</c:v>
                </c:pt>
                <c:pt idx="175">
                  <c:v>-0.15088480000000004</c:v>
                </c:pt>
                <c:pt idx="176">
                  <c:v>4.2373209000000012</c:v>
                </c:pt>
                <c:pt idx="177">
                  <c:v>4.4482841000000004</c:v>
                </c:pt>
                <c:pt idx="178">
                  <c:v>4.1397713000000005</c:v>
                </c:pt>
                <c:pt idx="179">
                  <c:v>-2.0294748</c:v>
                </c:pt>
                <c:pt idx="180">
                  <c:v>4.3011944000000009</c:v>
                </c:pt>
                <c:pt idx="181">
                  <c:v>6.9849211999999987</c:v>
                </c:pt>
                <c:pt idx="182">
                  <c:v>1.0489338000000001</c:v>
                </c:pt>
                <c:pt idx="183">
                  <c:v>8.7058999999999595E-2</c:v>
                </c:pt>
                <c:pt idx="184">
                  <c:v>-8.7825915999999982</c:v>
                </c:pt>
                <c:pt idx="185">
                  <c:v>7.2661707</c:v>
                </c:pt>
                <c:pt idx="186">
                  <c:v>4.9720791000000002</c:v>
                </c:pt>
                <c:pt idx="187">
                  <c:v>1.0449636000000007</c:v>
                </c:pt>
                <c:pt idx="188">
                  <c:v>-8.3476999999999565E-2</c:v>
                </c:pt>
                <c:pt idx="189">
                  <c:v>-0.68356169999999983</c:v>
                </c:pt>
                <c:pt idx="190">
                  <c:v>1.1359900999999992</c:v>
                </c:pt>
                <c:pt idx="191">
                  <c:v>-0.31503350000000008</c:v>
                </c:pt>
                <c:pt idx="192">
                  <c:v>1.3016471000000001</c:v>
                </c:pt>
                <c:pt idx="193">
                  <c:v>-0.47708920000000021</c:v>
                </c:pt>
                <c:pt idx="194">
                  <c:v>2.6543456999999981</c:v>
                </c:pt>
                <c:pt idx="195">
                  <c:v>1.0965771</c:v>
                </c:pt>
                <c:pt idx="196">
                  <c:v>2.9624465999999989</c:v>
                </c:pt>
                <c:pt idx="197">
                  <c:v>0.78633990000000009</c:v>
                </c:pt>
                <c:pt idx="198">
                  <c:v>1.1336059000000005</c:v>
                </c:pt>
                <c:pt idx="199">
                  <c:v>-0.51249690000000014</c:v>
                </c:pt>
                <c:pt idx="200">
                  <c:v>3.2928888000000001</c:v>
                </c:pt>
                <c:pt idx="201">
                  <c:v>2.1677855999999989</c:v>
                </c:pt>
                <c:pt idx="202">
                  <c:v>1.8905259999999993</c:v>
                </c:pt>
                <c:pt idx="203">
                  <c:v>4.859787400000001</c:v>
                </c:pt>
                <c:pt idx="204">
                  <c:v>0.26880370000000003</c:v>
                </c:pt>
                <c:pt idx="205">
                  <c:v>2.7130236000000001</c:v>
                </c:pt>
                <c:pt idx="206">
                  <c:v>2.4894531999999998</c:v>
                </c:pt>
                <c:pt idx="207">
                  <c:v>4.1890699999999975E-2</c:v>
                </c:pt>
                <c:pt idx="208">
                  <c:v>2.5421604000000002</c:v>
                </c:pt>
                <c:pt idx="209">
                  <c:v>4.7311169999999976</c:v>
                </c:pt>
                <c:pt idx="210">
                  <c:v>0.12283000000000027</c:v>
                </c:pt>
                <c:pt idx="211">
                  <c:v>4.6634145000000018</c:v>
                </c:pt>
                <c:pt idx="212">
                  <c:v>-1.7361035999999999</c:v>
                </c:pt>
                <c:pt idx="213">
                  <c:v>2.1257261999999995</c:v>
                </c:pt>
                <c:pt idx="214">
                  <c:v>3.9998792999999999</c:v>
                </c:pt>
                <c:pt idx="215">
                  <c:v>-2.1495433999999993</c:v>
                </c:pt>
                <c:pt idx="216">
                  <c:v>-1.5373413999999994</c:v>
                </c:pt>
                <c:pt idx="217">
                  <c:v>2.4197919000000003</c:v>
                </c:pt>
                <c:pt idx="218">
                  <c:v>1.1818074999999997</c:v>
                </c:pt>
                <c:pt idx="219">
                  <c:v>4.5336290999999997</c:v>
                </c:pt>
                <c:pt idx="220">
                  <c:v>-0.99866940000000048</c:v>
                </c:pt>
                <c:pt idx="221">
                  <c:v>-0.50237469999999984</c:v>
                </c:pt>
                <c:pt idx="222">
                  <c:v>0.98025309999999999</c:v>
                </c:pt>
                <c:pt idx="223">
                  <c:v>1.0210439999999998</c:v>
                </c:pt>
                <c:pt idx="224">
                  <c:v>1.2937179000000005</c:v>
                </c:pt>
                <c:pt idx="225">
                  <c:v>-0.50883329999999993</c:v>
                </c:pt>
                <c:pt idx="226">
                  <c:v>1.3452917999999991</c:v>
                </c:pt>
                <c:pt idx="227">
                  <c:v>0.68791179999999996</c:v>
                </c:pt>
                <c:pt idx="228">
                  <c:v>3.5926571999999983</c:v>
                </c:pt>
                <c:pt idx="229">
                  <c:v>-1.8671710000000001</c:v>
                </c:pt>
                <c:pt idx="230">
                  <c:v>5.7248435000000004</c:v>
                </c:pt>
                <c:pt idx="231">
                  <c:v>4.2823368999999998</c:v>
                </c:pt>
                <c:pt idx="232">
                  <c:v>-9.5467600000000194E-2</c:v>
                </c:pt>
                <c:pt idx="233">
                  <c:v>0.5981247999999999</c:v>
                </c:pt>
                <c:pt idx="234">
                  <c:v>1.8175083999999997</c:v>
                </c:pt>
                <c:pt idx="235">
                  <c:v>0.47156140000000002</c:v>
                </c:pt>
                <c:pt idx="236">
                  <c:v>3.4560411000000002</c:v>
                </c:pt>
                <c:pt idx="237">
                  <c:v>4.7944081000000027</c:v>
                </c:pt>
                <c:pt idx="238">
                  <c:v>1.2117382000000008</c:v>
                </c:pt>
                <c:pt idx="239">
                  <c:v>2.3942844999999999</c:v>
                </c:pt>
                <c:pt idx="240">
                  <c:v>4.5360464</c:v>
                </c:pt>
                <c:pt idx="241">
                  <c:v>1.1563218000000002</c:v>
                </c:pt>
                <c:pt idx="242">
                  <c:v>2.0699554999999998</c:v>
                </c:pt>
                <c:pt idx="243">
                  <c:v>8.6689764999999994</c:v>
                </c:pt>
                <c:pt idx="244">
                  <c:v>2.3828746000000001</c:v>
                </c:pt>
                <c:pt idx="245">
                  <c:v>2.1357893999999997</c:v>
                </c:pt>
                <c:pt idx="246">
                  <c:v>9.2041369</c:v>
                </c:pt>
                <c:pt idx="247">
                  <c:v>4.4315707</c:v>
                </c:pt>
                <c:pt idx="248">
                  <c:v>-5.1960708999999996</c:v>
                </c:pt>
                <c:pt idx="249">
                  <c:v>-0.11274560000000043</c:v>
                </c:pt>
                <c:pt idx="250">
                  <c:v>6.6997713000000001</c:v>
                </c:pt>
                <c:pt idx="251">
                  <c:v>3.851699200000001</c:v>
                </c:pt>
                <c:pt idx="252">
                  <c:v>-5.0869956000000016</c:v>
                </c:pt>
                <c:pt idx="253">
                  <c:v>4.3740145999999989</c:v>
                </c:pt>
                <c:pt idx="254">
                  <c:v>6.1595079000000013</c:v>
                </c:pt>
                <c:pt idx="255">
                  <c:v>-0.72108309999999998</c:v>
                </c:pt>
                <c:pt idx="256">
                  <c:v>-7.1665400000000046E-2</c:v>
                </c:pt>
                <c:pt idx="257">
                  <c:v>-0.22727230000000034</c:v>
                </c:pt>
                <c:pt idx="258">
                  <c:v>0.40829640000000006</c:v>
                </c:pt>
                <c:pt idx="259">
                  <c:v>-9.0940814999999997</c:v>
                </c:pt>
                <c:pt idx="260">
                  <c:v>0</c:v>
                </c:pt>
                <c:pt idx="261">
                  <c:v>2.0835504999999999</c:v>
                </c:pt>
                <c:pt idx="262">
                  <c:v>4.0262576999999995</c:v>
                </c:pt>
                <c:pt idx="263">
                  <c:v>4.7503709000000027</c:v>
                </c:pt>
                <c:pt idx="264">
                  <c:v>2.6140164000000006</c:v>
                </c:pt>
                <c:pt idx="265">
                  <c:v>5.1122305999999993</c:v>
                </c:pt>
                <c:pt idx="266">
                  <c:v>2.3609042999999996</c:v>
                </c:pt>
                <c:pt idx="267">
                  <c:v>2.461081500000001</c:v>
                </c:pt>
                <c:pt idx="268">
                  <c:v>3.2890392999999998</c:v>
                </c:pt>
                <c:pt idx="269">
                  <c:v>-2.3604014000000006</c:v>
                </c:pt>
                <c:pt idx="270">
                  <c:v>0.34242349999999988</c:v>
                </c:pt>
                <c:pt idx="271">
                  <c:v>2.9370301999999993</c:v>
                </c:pt>
                <c:pt idx="272">
                  <c:v>11.147512500000005</c:v>
                </c:pt>
                <c:pt idx="273">
                  <c:v>0.58931319999999987</c:v>
                </c:pt>
                <c:pt idx="274">
                  <c:v>0.94860990000000101</c:v>
                </c:pt>
                <c:pt idx="275">
                  <c:v>4.9970636000000015</c:v>
                </c:pt>
                <c:pt idx="276">
                  <c:v>8.419948999999999</c:v>
                </c:pt>
                <c:pt idx="277">
                  <c:v>6.3092699999999946E-2</c:v>
                </c:pt>
                <c:pt idx="278">
                  <c:v>2.6610714000000009</c:v>
                </c:pt>
                <c:pt idx="279">
                  <c:v>1.8810722</c:v>
                </c:pt>
                <c:pt idx="280">
                  <c:v>8.7864966999999972</c:v>
                </c:pt>
                <c:pt idx="281">
                  <c:v>1.9081838999999998</c:v>
                </c:pt>
                <c:pt idx="282">
                  <c:v>1.7314330999999981</c:v>
                </c:pt>
                <c:pt idx="283">
                  <c:v>-2.1430411999999994</c:v>
                </c:pt>
                <c:pt idx="284">
                  <c:v>-1.3899354000000004</c:v>
                </c:pt>
                <c:pt idx="285">
                  <c:v>-5.0780461999999993</c:v>
                </c:pt>
                <c:pt idx="286">
                  <c:v>-10.011645900000001</c:v>
                </c:pt>
                <c:pt idx="287">
                  <c:v>-0.97058829999999985</c:v>
                </c:pt>
                <c:pt idx="288">
                  <c:v>-6.9641812999999981</c:v>
                </c:pt>
                <c:pt idx="289">
                  <c:v>-3.3328713999999993</c:v>
                </c:pt>
                <c:pt idx="290">
                  <c:v>5.9474140000000011</c:v>
                </c:pt>
                <c:pt idx="291">
                  <c:v>-3.5531329999999994</c:v>
                </c:pt>
                <c:pt idx="292">
                  <c:v>-1.2345426000000006</c:v>
                </c:pt>
                <c:pt idx="293">
                  <c:v>5.0116565000000008</c:v>
                </c:pt>
                <c:pt idx="294">
                  <c:v>-4.6942951000000006</c:v>
                </c:pt>
                <c:pt idx="295">
                  <c:v>0.12555900000000003</c:v>
                </c:pt>
                <c:pt idx="296">
                  <c:v>1.4047624000000001</c:v>
                </c:pt>
                <c:pt idx="297">
                  <c:v>5.0133969000000027</c:v>
                </c:pt>
                <c:pt idx="298">
                  <c:v>-3.8094021999999992</c:v>
                </c:pt>
                <c:pt idx="299">
                  <c:v>1.1562996000000008</c:v>
                </c:pt>
                <c:pt idx="300">
                  <c:v>8.2193244000000014</c:v>
                </c:pt>
                <c:pt idx="301">
                  <c:v>2.8142068999999994</c:v>
                </c:pt>
                <c:pt idx="302">
                  <c:v>-0.87330659999999971</c:v>
                </c:pt>
                <c:pt idx="303">
                  <c:v>-8.5865942000000004</c:v>
                </c:pt>
                <c:pt idx="304">
                  <c:v>-3.2142738999999989</c:v>
                </c:pt>
                <c:pt idx="305">
                  <c:v>6.2860116000000001</c:v>
                </c:pt>
                <c:pt idx="306">
                  <c:v>-1.5401476999999999</c:v>
                </c:pt>
                <c:pt idx="307">
                  <c:v>-0.28108639999999963</c:v>
                </c:pt>
                <c:pt idx="308">
                  <c:v>6.2642388000000038</c:v>
                </c:pt>
                <c:pt idx="309">
                  <c:v>5.182161999999999</c:v>
                </c:pt>
                <c:pt idx="310">
                  <c:v>10.067364800000005</c:v>
                </c:pt>
                <c:pt idx="311">
                  <c:v>12.092810999999999</c:v>
                </c:pt>
                <c:pt idx="312">
                  <c:v>10.237972000000001</c:v>
                </c:pt>
                <c:pt idx="313">
                  <c:v>-1.9065654000000012</c:v>
                </c:pt>
                <c:pt idx="314">
                  <c:v>-11.225854099999999</c:v>
                </c:pt>
                <c:pt idx="315">
                  <c:v>-9.2570885000000018</c:v>
                </c:pt>
                <c:pt idx="316">
                  <c:v>-4.8318078000000009</c:v>
                </c:pt>
                <c:pt idx="317">
                  <c:v>2.2408490999999997</c:v>
                </c:pt>
                <c:pt idx="318">
                  <c:v>-0.87844630000000024</c:v>
                </c:pt>
                <c:pt idx="319">
                  <c:v>-8.8682964000000002</c:v>
                </c:pt>
                <c:pt idx="320">
                  <c:v>4.9175333999999991</c:v>
                </c:pt>
                <c:pt idx="321">
                  <c:v>-0.73155279999999967</c:v>
                </c:pt>
                <c:pt idx="322">
                  <c:v>-2.2952539999999999</c:v>
                </c:pt>
                <c:pt idx="323">
                  <c:v>-1.7394248999999988</c:v>
                </c:pt>
                <c:pt idx="324">
                  <c:v>3.0139300000000105E-2</c:v>
                </c:pt>
                <c:pt idx="325">
                  <c:v>-3.4157810000000004</c:v>
                </c:pt>
                <c:pt idx="326">
                  <c:v>-0.90913160000000048</c:v>
                </c:pt>
                <c:pt idx="327">
                  <c:v>1.0848009000000005</c:v>
                </c:pt>
                <c:pt idx="328">
                  <c:v>4.2151352000000006</c:v>
                </c:pt>
                <c:pt idx="329">
                  <c:v>-2.4719608000000006</c:v>
                </c:pt>
                <c:pt idx="330">
                  <c:v>7.6024890000000003</c:v>
                </c:pt>
                <c:pt idx="331">
                  <c:v>2.5207047999999994</c:v>
                </c:pt>
                <c:pt idx="332">
                  <c:v>3.5627997000000002</c:v>
                </c:pt>
                <c:pt idx="333">
                  <c:v>3.2220597999999994</c:v>
                </c:pt>
                <c:pt idx="334">
                  <c:v>-0.35752519999999999</c:v>
                </c:pt>
                <c:pt idx="335">
                  <c:v>0.48046129999999987</c:v>
                </c:pt>
                <c:pt idx="336">
                  <c:v>2.8260678000000001</c:v>
                </c:pt>
                <c:pt idx="337">
                  <c:v>1.1226876999999997</c:v>
                </c:pt>
                <c:pt idx="338">
                  <c:v>0.49193170000000092</c:v>
                </c:pt>
                <c:pt idx="339">
                  <c:v>-2.1890611</c:v>
                </c:pt>
                <c:pt idx="340">
                  <c:v>1.6517574000000008</c:v>
                </c:pt>
                <c:pt idx="341">
                  <c:v>-3.4452725000000015</c:v>
                </c:pt>
                <c:pt idx="342">
                  <c:v>-0.71401829999999977</c:v>
                </c:pt>
                <c:pt idx="343">
                  <c:v>3.0386025999999999</c:v>
                </c:pt>
                <c:pt idx="344">
                  <c:v>1.9637252000000001</c:v>
                </c:pt>
                <c:pt idx="345">
                  <c:v>-2.3166817999999996</c:v>
                </c:pt>
                <c:pt idx="346">
                  <c:v>-0.46149389999999979</c:v>
                </c:pt>
                <c:pt idx="347">
                  <c:v>-2.0349714000000003</c:v>
                </c:pt>
                <c:pt idx="348">
                  <c:v>0.77037280000000141</c:v>
                </c:pt>
                <c:pt idx="349">
                  <c:v>1.2171994000000008</c:v>
                </c:pt>
                <c:pt idx="350">
                  <c:v>2.2248736999999998</c:v>
                </c:pt>
                <c:pt idx="351">
                  <c:v>3.1368579999999993</c:v>
                </c:pt>
                <c:pt idx="352">
                  <c:v>1.5678661000000003</c:v>
                </c:pt>
                <c:pt idx="353">
                  <c:v>4.7529514000000006</c:v>
                </c:pt>
                <c:pt idx="354">
                  <c:v>5.320597499999999</c:v>
                </c:pt>
                <c:pt idx="355">
                  <c:v>0.3803074999999998</c:v>
                </c:pt>
                <c:pt idx="356">
                  <c:v>2.3092457999999998</c:v>
                </c:pt>
                <c:pt idx="357">
                  <c:v>1.1734486</c:v>
                </c:pt>
                <c:pt idx="358">
                  <c:v>3.7068770000000013</c:v>
                </c:pt>
                <c:pt idx="359">
                  <c:v>-5.5880390000000011</c:v>
                </c:pt>
                <c:pt idx="360">
                  <c:v>2.2811303000000001</c:v>
                </c:pt>
                <c:pt idx="361">
                  <c:v>1.0326838000000003</c:v>
                </c:pt>
                <c:pt idx="362">
                  <c:v>3.8528262000000013</c:v>
                </c:pt>
                <c:pt idx="363">
                  <c:v>1.6853621999999997</c:v>
                </c:pt>
                <c:pt idx="364">
                  <c:v>-1.6021346999999995</c:v>
                </c:pt>
                <c:pt idx="365">
                  <c:v>7.0193900000000059E-2</c:v>
                </c:pt>
                <c:pt idx="366">
                  <c:v>1.4451334999999994</c:v>
                </c:pt>
                <c:pt idx="367">
                  <c:v>0.59613939999999965</c:v>
                </c:pt>
                <c:pt idx="368">
                  <c:v>-1.9925122999999991</c:v>
                </c:pt>
                <c:pt idx="369">
                  <c:v>-4.3575160999999998</c:v>
                </c:pt>
                <c:pt idx="370">
                  <c:v>5.2132191000000008</c:v>
                </c:pt>
                <c:pt idx="371">
                  <c:v>0.3408376999999993</c:v>
                </c:pt>
                <c:pt idx="372">
                  <c:v>0.70649150000000016</c:v>
                </c:pt>
                <c:pt idx="373">
                  <c:v>-0.56395370000000056</c:v>
                </c:pt>
                <c:pt idx="374">
                  <c:v>-2.7011026000000009</c:v>
                </c:pt>
                <c:pt idx="375">
                  <c:v>-2.3001812999999998</c:v>
                </c:pt>
                <c:pt idx="376">
                  <c:v>12.661011200000001</c:v>
                </c:pt>
                <c:pt idx="377">
                  <c:v>3.6651726999999998</c:v>
                </c:pt>
                <c:pt idx="378">
                  <c:v>-4.0708641000000041</c:v>
                </c:pt>
                <c:pt idx="379">
                  <c:v>-1.6700993000000011</c:v>
                </c:pt>
                <c:pt idx="380">
                  <c:v>-4.8869605000000016</c:v>
                </c:pt>
                <c:pt idx="381">
                  <c:v>0.56323260000000031</c:v>
                </c:pt>
                <c:pt idx="382">
                  <c:v>13.8503025</c:v>
                </c:pt>
                <c:pt idx="383">
                  <c:v>-13.337671200000003</c:v>
                </c:pt>
                <c:pt idx="384">
                  <c:v>-0.67373709999999998</c:v>
                </c:pt>
                <c:pt idx="385">
                  <c:v>-2.8909366000000003</c:v>
                </c:pt>
                <c:pt idx="386">
                  <c:v>-2.8019287999999993</c:v>
                </c:pt>
                <c:pt idx="387">
                  <c:v>-1.6294759999999999</c:v>
                </c:pt>
                <c:pt idx="388">
                  <c:v>0.30250959999999932</c:v>
                </c:pt>
                <c:pt idx="389">
                  <c:v>-2.4348490999999997</c:v>
                </c:pt>
                <c:pt idx="390">
                  <c:v>-3.6099458000000006</c:v>
                </c:pt>
                <c:pt idx="391">
                  <c:v>7.2674137000000014</c:v>
                </c:pt>
                <c:pt idx="392">
                  <c:v>2.0447782999999999</c:v>
                </c:pt>
                <c:pt idx="393">
                  <c:v>0.54589589999999966</c:v>
                </c:pt>
                <c:pt idx="394">
                  <c:v>5.3253557000000002</c:v>
                </c:pt>
                <c:pt idx="395">
                  <c:v>1.7375761000000003</c:v>
                </c:pt>
                <c:pt idx="396">
                  <c:v>1.1447133</c:v>
                </c:pt>
                <c:pt idx="397">
                  <c:v>5.9736431999999979</c:v>
                </c:pt>
                <c:pt idx="398">
                  <c:v>1.8265955999999997</c:v>
                </c:pt>
                <c:pt idx="399">
                  <c:v>-0.84353179999999872</c:v>
                </c:pt>
                <c:pt idx="400">
                  <c:v>2.3252242000000001</c:v>
                </c:pt>
                <c:pt idx="401">
                  <c:v>1.1741460000000004</c:v>
                </c:pt>
                <c:pt idx="402">
                  <c:v>0.81661409999999979</c:v>
                </c:pt>
                <c:pt idx="403">
                  <c:v>-2.6553000000000437E-2</c:v>
                </c:pt>
                <c:pt idx="404">
                  <c:v>-2.8019886000000005</c:v>
                </c:pt>
                <c:pt idx="405">
                  <c:v>3.0487317000000003</c:v>
                </c:pt>
                <c:pt idx="406">
                  <c:v>3.5590658000000008</c:v>
                </c:pt>
                <c:pt idx="407">
                  <c:v>2.4923625000000005</c:v>
                </c:pt>
                <c:pt idx="408">
                  <c:v>-0.24939679999999986</c:v>
                </c:pt>
                <c:pt idx="409">
                  <c:v>2.1217311999999993</c:v>
                </c:pt>
                <c:pt idx="410">
                  <c:v>-0.81990259999999993</c:v>
                </c:pt>
                <c:pt idx="411">
                  <c:v>0.62203450000000005</c:v>
                </c:pt>
                <c:pt idx="412">
                  <c:v>-0.16678489999999979</c:v>
                </c:pt>
                <c:pt idx="413">
                  <c:v>-0.84834560000000203</c:v>
                </c:pt>
                <c:pt idx="414">
                  <c:v>-0.29065489999999972</c:v>
                </c:pt>
                <c:pt idx="415">
                  <c:v>0.84572870000000011</c:v>
                </c:pt>
                <c:pt idx="416">
                  <c:v>5.0373232000000003</c:v>
                </c:pt>
                <c:pt idx="417">
                  <c:v>4.8667708000000021</c:v>
                </c:pt>
                <c:pt idx="418">
                  <c:v>2.0652571000000002</c:v>
                </c:pt>
                <c:pt idx="419">
                  <c:v>-5.4897723000000012</c:v>
                </c:pt>
                <c:pt idx="420">
                  <c:v>0.99396949999999984</c:v>
                </c:pt>
                <c:pt idx="421">
                  <c:v>-1.1331367999999997</c:v>
                </c:pt>
                <c:pt idx="422">
                  <c:v>2.4401130000000002</c:v>
                </c:pt>
                <c:pt idx="423">
                  <c:v>3.0455113999999992</c:v>
                </c:pt>
                <c:pt idx="424">
                  <c:v>-1.6916339</c:v>
                </c:pt>
                <c:pt idx="425">
                  <c:v>3.0266728000000009</c:v>
                </c:pt>
                <c:pt idx="426">
                  <c:v>-0.53628570000000031</c:v>
                </c:pt>
                <c:pt idx="427">
                  <c:v>2.3864204000000009</c:v>
                </c:pt>
                <c:pt idx="428">
                  <c:v>0.37030140000000039</c:v>
                </c:pt>
                <c:pt idx="429">
                  <c:v>0.47381370000000012</c:v>
                </c:pt>
                <c:pt idx="430">
                  <c:v>8.2438382000000008</c:v>
                </c:pt>
                <c:pt idx="431">
                  <c:v>-1.8776930999999999</c:v>
                </c:pt>
                <c:pt idx="432">
                  <c:v>2.5441709999999995</c:v>
                </c:pt>
                <c:pt idx="433">
                  <c:v>-0.34358309999999909</c:v>
                </c:pt>
                <c:pt idx="434">
                  <c:v>-1.2679183999999997</c:v>
                </c:pt>
                <c:pt idx="435">
                  <c:v>0.29987239999999998</c:v>
                </c:pt>
                <c:pt idx="436">
                  <c:v>-4.592254200000002</c:v>
                </c:pt>
                <c:pt idx="437">
                  <c:v>9.4340088999999985</c:v>
                </c:pt>
                <c:pt idx="438">
                  <c:v>-3.5093968000000002</c:v>
                </c:pt>
                <c:pt idx="439">
                  <c:v>2.1190208000000004</c:v>
                </c:pt>
                <c:pt idx="440">
                  <c:v>1.1999044999999997</c:v>
                </c:pt>
                <c:pt idx="441">
                  <c:v>0.46570360000000016</c:v>
                </c:pt>
                <c:pt idx="442">
                  <c:v>1.4913222999999998</c:v>
                </c:pt>
                <c:pt idx="443">
                  <c:v>0.88057829999999992</c:v>
                </c:pt>
                <c:pt idx="444">
                  <c:v>-3.9432689000000001</c:v>
                </c:pt>
                <c:pt idx="445">
                  <c:v>4.9397420999999992</c:v>
                </c:pt>
                <c:pt idx="446">
                  <c:v>15.315690500000002</c:v>
                </c:pt>
                <c:pt idx="447">
                  <c:v>17.153957600000002</c:v>
                </c:pt>
                <c:pt idx="448">
                  <c:v>1.0831879000000013</c:v>
                </c:pt>
                <c:pt idx="449">
                  <c:v>-13.052143100000002</c:v>
                </c:pt>
                <c:pt idx="450">
                  <c:v>-2.6086928999999999</c:v>
                </c:pt>
                <c:pt idx="451">
                  <c:v>-0.60540920000000076</c:v>
                </c:pt>
                <c:pt idx="452">
                  <c:v>-2.3739563000000001</c:v>
                </c:pt>
                <c:pt idx="453">
                  <c:v>-0.68171709999999996</c:v>
                </c:pt>
                <c:pt idx="454">
                  <c:v>4.4133603999999993</c:v>
                </c:pt>
                <c:pt idx="455">
                  <c:v>-2.9120416999999996</c:v>
                </c:pt>
                <c:pt idx="456">
                  <c:v>1.5197801999999998</c:v>
                </c:pt>
                <c:pt idx="457">
                  <c:v>-0.99256350000000015</c:v>
                </c:pt>
                <c:pt idx="458">
                  <c:v>4.0713412000000009</c:v>
                </c:pt>
                <c:pt idx="459">
                  <c:v>-4.1709706000000004</c:v>
                </c:pt>
                <c:pt idx="460">
                  <c:v>-0.99384340000000049</c:v>
                </c:pt>
                <c:pt idx="461">
                  <c:v>-5.3802880000000002</c:v>
                </c:pt>
                <c:pt idx="462">
                  <c:v>2.3991644000000001</c:v>
                </c:pt>
                <c:pt idx="463">
                  <c:v>-11.861117700000003</c:v>
                </c:pt>
                <c:pt idx="464">
                  <c:v>-5.6116598999999994</c:v>
                </c:pt>
                <c:pt idx="465">
                  <c:v>-3.8151002000000016</c:v>
                </c:pt>
                <c:pt idx="466">
                  <c:v>2.4293345</c:v>
                </c:pt>
                <c:pt idx="467">
                  <c:v>13.826766900000001</c:v>
                </c:pt>
                <c:pt idx="468">
                  <c:v>-1.0545850000000001</c:v>
                </c:pt>
                <c:pt idx="469">
                  <c:v>4.835569999999997</c:v>
                </c:pt>
                <c:pt idx="470">
                  <c:v>1.323166799999999</c:v>
                </c:pt>
                <c:pt idx="471">
                  <c:v>-2.3271660999999999</c:v>
                </c:pt>
                <c:pt idx="472">
                  <c:v>5.3465272000000006</c:v>
                </c:pt>
                <c:pt idx="473">
                  <c:v>-9.248280499999991</c:v>
                </c:pt>
                <c:pt idx="474">
                  <c:v>-3.6474698000000014</c:v>
                </c:pt>
                <c:pt idx="475">
                  <c:v>9.4206952999999967</c:v>
                </c:pt>
                <c:pt idx="476">
                  <c:v>6.8290568000000036</c:v>
                </c:pt>
                <c:pt idx="477">
                  <c:v>-5.9979400000000016</c:v>
                </c:pt>
                <c:pt idx="478">
                  <c:v>1.4771785000000002</c:v>
                </c:pt>
                <c:pt idx="479">
                  <c:v>2.3079221000000012</c:v>
                </c:pt>
                <c:pt idx="480">
                  <c:v>1.6227740999999993</c:v>
                </c:pt>
                <c:pt idx="481">
                  <c:v>2.3174039999999998</c:v>
                </c:pt>
                <c:pt idx="482">
                  <c:v>7.0503394000000013</c:v>
                </c:pt>
                <c:pt idx="483">
                  <c:v>1.3460687999999994</c:v>
                </c:pt>
                <c:pt idx="484">
                  <c:v>-2.2693468999999999</c:v>
                </c:pt>
                <c:pt idx="485">
                  <c:v>-1.0870189000000001</c:v>
                </c:pt>
                <c:pt idx="486">
                  <c:v>8.5868462000000036</c:v>
                </c:pt>
                <c:pt idx="487">
                  <c:v>-4.4301436999999995</c:v>
                </c:pt>
                <c:pt idx="488">
                  <c:v>5.6112999000000023</c:v>
                </c:pt>
                <c:pt idx="489">
                  <c:v>-0.77766139999999984</c:v>
                </c:pt>
                <c:pt idx="490">
                  <c:v>0.63506859999999998</c:v>
                </c:pt>
                <c:pt idx="491">
                  <c:v>1.5870405999999999</c:v>
                </c:pt>
                <c:pt idx="492">
                  <c:v>0.27489660000000049</c:v>
                </c:pt>
                <c:pt idx="493">
                  <c:v>0.47810680000000005</c:v>
                </c:pt>
                <c:pt idx="494">
                  <c:v>-1.1233853999999996</c:v>
                </c:pt>
                <c:pt idx="495">
                  <c:v>-0.60150689999999996</c:v>
                </c:pt>
                <c:pt idx="496">
                  <c:v>4.1128178000000002</c:v>
                </c:pt>
                <c:pt idx="497">
                  <c:v>10.7164117</c:v>
                </c:pt>
                <c:pt idx="498">
                  <c:v>3.8954726999999996</c:v>
                </c:pt>
                <c:pt idx="499">
                  <c:v>-3.8710885000000004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F4-4FAA-ABEB-D875A0975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0284496"/>
        <c:axId val="1170284104"/>
      </c:barChart>
      <c:catAx>
        <c:axId val="1170283320"/>
        <c:scaling>
          <c:orientation val="minMax"/>
        </c:scaling>
        <c:delete val="1"/>
        <c:axPos val="b"/>
        <c:numFmt formatCode="[$-409]mmm\-yy;@" sourceLinked="0"/>
        <c:majorTickMark val="out"/>
        <c:minorTickMark val="none"/>
        <c:tickLblPos val="none"/>
        <c:crossAx val="1170283712"/>
        <c:crosses val="autoZero"/>
        <c:auto val="1"/>
        <c:lblAlgn val="ctr"/>
        <c:lblOffset val="100"/>
        <c:noMultiLvlLbl val="1"/>
      </c:catAx>
      <c:valAx>
        <c:axId val="11702837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 b="0"/>
            </a:pPr>
            <a:endParaRPr lang="en-US"/>
          </a:p>
        </c:txPr>
        <c:crossAx val="1170283320"/>
        <c:crosses val="autoZero"/>
        <c:crossBetween val="between"/>
      </c:valAx>
      <c:valAx>
        <c:axId val="1170284104"/>
        <c:scaling>
          <c:orientation val="minMax"/>
          <c:max val="40"/>
          <c:min val="-40"/>
        </c:scaling>
        <c:delete val="0"/>
        <c:axPos val="r"/>
        <c:numFmt formatCode="#,##0" sourceLinked="0"/>
        <c:majorTickMark val="out"/>
        <c:minorTickMark val="none"/>
        <c:tickLblPos val="nextTo"/>
        <c:crossAx val="1170284496"/>
        <c:crosses val="max"/>
        <c:crossBetween val="between"/>
        <c:majorUnit val="20"/>
        <c:minorUnit val="4"/>
      </c:valAx>
      <c:dateAx>
        <c:axId val="117028449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170284104"/>
        <c:crosses val="autoZero"/>
        <c:auto val="1"/>
        <c:lblOffset val="100"/>
        <c:baseTimeUnit val="days"/>
      </c:date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"/>
          <c:y val="0.83955289500484354"/>
          <c:w val="1"/>
          <c:h val="0.16044699142206076"/>
        </c:manualLayout>
      </c:layout>
      <c:overlay val="0"/>
      <c:txPr>
        <a:bodyPr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921323710550092E-2"/>
          <c:y val="0.13076774705487396"/>
          <c:w val="0.76327332779810408"/>
          <c:h val="0.77949826039186965"/>
        </c:manualLayout>
      </c:layout>
      <c:lineChart>
        <c:grouping val="standard"/>
        <c:varyColors val="0"/>
        <c:ser>
          <c:idx val="2"/>
          <c:order val="0"/>
          <c:tx>
            <c:strRef>
              <c:f>ViewData!$Y$10</c:f>
              <c:strCache>
                <c:ptCount val="1"/>
              </c:strCache>
            </c:strRef>
          </c:tx>
          <c:spPr>
            <a:ln w="25400">
              <a:solidFill>
                <a:schemeClr val="tx2"/>
              </a:solidFill>
              <a:prstDash val="solid"/>
            </a:ln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[0]!Comp_1</c:f>
              <c:numCache>
                <c:formatCode>General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AF-460D-BE46-66F96E7DBEC4}"/>
            </c:ext>
          </c:extLst>
        </c:ser>
        <c:ser>
          <c:idx val="0"/>
          <c:order val="1"/>
          <c:tx>
            <c:strRef>
              <c:f>ViewData!$Z$10</c:f>
              <c:strCache>
                <c:ptCount val="1"/>
              </c:strCache>
            </c:strRef>
          </c:tx>
          <c:spPr>
            <a:ln w="25400"/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[0]!Comp_2</c:f>
              <c:numCache>
                <c:formatCode>General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AF-460D-BE46-66F96E7DBEC4}"/>
            </c:ext>
          </c:extLst>
        </c:ser>
        <c:ser>
          <c:idx val="1"/>
          <c:order val="2"/>
          <c:tx>
            <c:strRef>
              <c:f>ViewData!$AA$10</c:f>
              <c:strCache>
                <c:ptCount val="1"/>
              </c:strCache>
            </c:strRef>
          </c:tx>
          <c:spPr>
            <a:ln w="25400"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[0]!Comp_3</c:f>
              <c:numCache>
                <c:formatCode>General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AF-460D-BE46-66F96E7DBEC4}"/>
            </c:ext>
          </c:extLst>
        </c:ser>
        <c:ser>
          <c:idx val="3"/>
          <c:order val="3"/>
          <c:tx>
            <c:strRef>
              <c:f>ViewData!$AB$10</c:f>
              <c:strCache>
                <c:ptCount val="1"/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[0]!Comp_4</c:f>
              <c:numCache>
                <c:formatCode>General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AF-460D-BE46-66F96E7DBEC4}"/>
            </c:ext>
          </c:extLst>
        </c:ser>
        <c:ser>
          <c:idx val="4"/>
          <c:order val="4"/>
          <c:tx>
            <c:strRef>
              <c:f>ViewData!$AC$10</c:f>
              <c:strCache>
                <c:ptCount val="1"/>
              </c:strCache>
            </c:strRef>
          </c:tx>
          <c:spPr>
            <a:ln w="25400"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[0]!Dts</c:f>
              <c:numCache>
                <c:formatCode>m/d/yy</c:formatCode>
                <c:ptCount val="500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42741</c:v>
                </c:pt>
                <c:pt idx="5">
                  <c:v>42744</c:v>
                </c:pt>
                <c:pt idx="6">
                  <c:v>42745</c:v>
                </c:pt>
                <c:pt idx="7">
                  <c:v>42746</c:v>
                </c:pt>
                <c:pt idx="8">
                  <c:v>42747</c:v>
                </c:pt>
                <c:pt idx="9">
                  <c:v>42748</c:v>
                </c:pt>
                <c:pt idx="10">
                  <c:v>42751</c:v>
                </c:pt>
                <c:pt idx="11">
                  <c:v>42752</c:v>
                </c:pt>
                <c:pt idx="12">
                  <c:v>42753</c:v>
                </c:pt>
                <c:pt idx="13">
                  <c:v>42754</c:v>
                </c:pt>
                <c:pt idx="14">
                  <c:v>42755</c:v>
                </c:pt>
                <c:pt idx="15">
                  <c:v>42758</c:v>
                </c:pt>
                <c:pt idx="16">
                  <c:v>42759</c:v>
                </c:pt>
                <c:pt idx="17">
                  <c:v>42760</c:v>
                </c:pt>
                <c:pt idx="18">
                  <c:v>42761</c:v>
                </c:pt>
                <c:pt idx="19">
                  <c:v>42762</c:v>
                </c:pt>
                <c:pt idx="20">
                  <c:v>42765</c:v>
                </c:pt>
                <c:pt idx="21">
                  <c:v>42766</c:v>
                </c:pt>
                <c:pt idx="22">
                  <c:v>42767</c:v>
                </c:pt>
                <c:pt idx="23">
                  <c:v>42768</c:v>
                </c:pt>
                <c:pt idx="24">
                  <c:v>42769</c:v>
                </c:pt>
                <c:pt idx="25">
                  <c:v>42772</c:v>
                </c:pt>
                <c:pt idx="26">
                  <c:v>42773</c:v>
                </c:pt>
                <c:pt idx="27">
                  <c:v>42774</c:v>
                </c:pt>
                <c:pt idx="28">
                  <c:v>42775</c:v>
                </c:pt>
                <c:pt idx="29">
                  <c:v>42776</c:v>
                </c:pt>
                <c:pt idx="30">
                  <c:v>42779</c:v>
                </c:pt>
                <c:pt idx="31">
                  <c:v>42780</c:v>
                </c:pt>
                <c:pt idx="32">
                  <c:v>42781</c:v>
                </c:pt>
                <c:pt idx="33">
                  <c:v>42782</c:v>
                </c:pt>
                <c:pt idx="34">
                  <c:v>42783</c:v>
                </c:pt>
                <c:pt idx="35">
                  <c:v>42786</c:v>
                </c:pt>
                <c:pt idx="36">
                  <c:v>42787</c:v>
                </c:pt>
                <c:pt idx="37">
                  <c:v>42788</c:v>
                </c:pt>
                <c:pt idx="38">
                  <c:v>42789</c:v>
                </c:pt>
                <c:pt idx="39">
                  <c:v>42790</c:v>
                </c:pt>
                <c:pt idx="40">
                  <c:v>42793</c:v>
                </c:pt>
                <c:pt idx="41">
                  <c:v>42794</c:v>
                </c:pt>
                <c:pt idx="42">
                  <c:v>42795</c:v>
                </c:pt>
                <c:pt idx="43">
                  <c:v>42796</c:v>
                </c:pt>
                <c:pt idx="44">
                  <c:v>42797</c:v>
                </c:pt>
                <c:pt idx="45">
                  <c:v>42800</c:v>
                </c:pt>
                <c:pt idx="46">
                  <c:v>42801</c:v>
                </c:pt>
                <c:pt idx="47">
                  <c:v>42802</c:v>
                </c:pt>
                <c:pt idx="48">
                  <c:v>42803</c:v>
                </c:pt>
                <c:pt idx="49">
                  <c:v>42804</c:v>
                </c:pt>
                <c:pt idx="50">
                  <c:v>42807</c:v>
                </c:pt>
                <c:pt idx="51">
                  <c:v>42808</c:v>
                </c:pt>
                <c:pt idx="52">
                  <c:v>42809</c:v>
                </c:pt>
                <c:pt idx="53">
                  <c:v>42810</c:v>
                </c:pt>
                <c:pt idx="54">
                  <c:v>42811</c:v>
                </c:pt>
                <c:pt idx="55">
                  <c:v>42814</c:v>
                </c:pt>
                <c:pt idx="56">
                  <c:v>42815</c:v>
                </c:pt>
                <c:pt idx="57">
                  <c:v>42816</c:v>
                </c:pt>
                <c:pt idx="58">
                  <c:v>42817</c:v>
                </c:pt>
                <c:pt idx="59">
                  <c:v>42818</c:v>
                </c:pt>
                <c:pt idx="60">
                  <c:v>42821</c:v>
                </c:pt>
                <c:pt idx="61">
                  <c:v>42822</c:v>
                </c:pt>
                <c:pt idx="62">
                  <c:v>42823</c:v>
                </c:pt>
                <c:pt idx="63">
                  <c:v>42824</c:v>
                </c:pt>
                <c:pt idx="64">
                  <c:v>42825</c:v>
                </c:pt>
                <c:pt idx="65">
                  <c:v>42828</c:v>
                </c:pt>
                <c:pt idx="66">
                  <c:v>42829</c:v>
                </c:pt>
                <c:pt idx="67">
                  <c:v>42830</c:v>
                </c:pt>
                <c:pt idx="68">
                  <c:v>42831</c:v>
                </c:pt>
                <c:pt idx="69">
                  <c:v>42832</c:v>
                </c:pt>
                <c:pt idx="70">
                  <c:v>42835</c:v>
                </c:pt>
                <c:pt idx="71">
                  <c:v>42836</c:v>
                </c:pt>
                <c:pt idx="72">
                  <c:v>42837</c:v>
                </c:pt>
                <c:pt idx="73">
                  <c:v>42838</c:v>
                </c:pt>
                <c:pt idx="74">
                  <c:v>42839</c:v>
                </c:pt>
                <c:pt idx="75">
                  <c:v>42842</c:v>
                </c:pt>
                <c:pt idx="76">
                  <c:v>42843</c:v>
                </c:pt>
                <c:pt idx="77">
                  <c:v>42844</c:v>
                </c:pt>
                <c:pt idx="78">
                  <c:v>42845</c:v>
                </c:pt>
                <c:pt idx="79">
                  <c:v>42846</c:v>
                </c:pt>
                <c:pt idx="80">
                  <c:v>42849</c:v>
                </c:pt>
                <c:pt idx="81">
                  <c:v>42850</c:v>
                </c:pt>
                <c:pt idx="82">
                  <c:v>42851</c:v>
                </c:pt>
                <c:pt idx="83">
                  <c:v>42852</c:v>
                </c:pt>
                <c:pt idx="84">
                  <c:v>42853</c:v>
                </c:pt>
                <c:pt idx="85">
                  <c:v>42856</c:v>
                </c:pt>
                <c:pt idx="86">
                  <c:v>42857</c:v>
                </c:pt>
                <c:pt idx="87">
                  <c:v>42858</c:v>
                </c:pt>
                <c:pt idx="88">
                  <c:v>42859</c:v>
                </c:pt>
                <c:pt idx="89">
                  <c:v>42860</c:v>
                </c:pt>
                <c:pt idx="90">
                  <c:v>42863</c:v>
                </c:pt>
                <c:pt idx="91">
                  <c:v>42864</c:v>
                </c:pt>
                <c:pt idx="92">
                  <c:v>42865</c:v>
                </c:pt>
                <c:pt idx="93">
                  <c:v>42866</c:v>
                </c:pt>
                <c:pt idx="94">
                  <c:v>42867</c:v>
                </c:pt>
                <c:pt idx="95">
                  <c:v>42870</c:v>
                </c:pt>
                <c:pt idx="96">
                  <c:v>42871</c:v>
                </c:pt>
                <c:pt idx="97">
                  <c:v>42872</c:v>
                </c:pt>
                <c:pt idx="98">
                  <c:v>42873</c:v>
                </c:pt>
                <c:pt idx="99">
                  <c:v>42874</c:v>
                </c:pt>
                <c:pt idx="100">
                  <c:v>42877</c:v>
                </c:pt>
                <c:pt idx="101">
                  <c:v>42878</c:v>
                </c:pt>
                <c:pt idx="102">
                  <c:v>42879</c:v>
                </c:pt>
                <c:pt idx="103">
                  <c:v>42880</c:v>
                </c:pt>
                <c:pt idx="104">
                  <c:v>42881</c:v>
                </c:pt>
                <c:pt idx="105">
                  <c:v>42884</c:v>
                </c:pt>
                <c:pt idx="106">
                  <c:v>42885</c:v>
                </c:pt>
                <c:pt idx="107">
                  <c:v>42886</c:v>
                </c:pt>
                <c:pt idx="108">
                  <c:v>42887</c:v>
                </c:pt>
                <c:pt idx="109">
                  <c:v>42888</c:v>
                </c:pt>
                <c:pt idx="110">
                  <c:v>42891</c:v>
                </c:pt>
                <c:pt idx="111">
                  <c:v>42892</c:v>
                </c:pt>
                <c:pt idx="112">
                  <c:v>42893</c:v>
                </c:pt>
                <c:pt idx="113">
                  <c:v>42894</c:v>
                </c:pt>
                <c:pt idx="114">
                  <c:v>42895</c:v>
                </c:pt>
                <c:pt idx="115">
                  <c:v>42898</c:v>
                </c:pt>
                <c:pt idx="116">
                  <c:v>42899</c:v>
                </c:pt>
                <c:pt idx="117">
                  <c:v>42900</c:v>
                </c:pt>
                <c:pt idx="118">
                  <c:v>42901</c:v>
                </c:pt>
                <c:pt idx="119">
                  <c:v>42902</c:v>
                </c:pt>
                <c:pt idx="120">
                  <c:v>42905</c:v>
                </c:pt>
                <c:pt idx="121">
                  <c:v>42906</c:v>
                </c:pt>
                <c:pt idx="122">
                  <c:v>42907</c:v>
                </c:pt>
                <c:pt idx="123">
                  <c:v>42908</c:v>
                </c:pt>
                <c:pt idx="124">
                  <c:v>42909</c:v>
                </c:pt>
                <c:pt idx="125">
                  <c:v>42912</c:v>
                </c:pt>
                <c:pt idx="126">
                  <c:v>42913</c:v>
                </c:pt>
                <c:pt idx="127">
                  <c:v>42914</c:v>
                </c:pt>
                <c:pt idx="128">
                  <c:v>42915</c:v>
                </c:pt>
                <c:pt idx="129">
                  <c:v>42916</c:v>
                </c:pt>
                <c:pt idx="130">
                  <c:v>42919</c:v>
                </c:pt>
                <c:pt idx="131">
                  <c:v>42920</c:v>
                </c:pt>
                <c:pt idx="132">
                  <c:v>42921</c:v>
                </c:pt>
                <c:pt idx="133">
                  <c:v>42922</c:v>
                </c:pt>
                <c:pt idx="134">
                  <c:v>42923</c:v>
                </c:pt>
                <c:pt idx="135">
                  <c:v>42926</c:v>
                </c:pt>
                <c:pt idx="136">
                  <c:v>42927</c:v>
                </c:pt>
                <c:pt idx="137">
                  <c:v>42928</c:v>
                </c:pt>
                <c:pt idx="138">
                  <c:v>42929</c:v>
                </c:pt>
                <c:pt idx="139">
                  <c:v>42930</c:v>
                </c:pt>
                <c:pt idx="140">
                  <c:v>42933</c:v>
                </c:pt>
                <c:pt idx="141">
                  <c:v>42934</c:v>
                </c:pt>
                <c:pt idx="142">
                  <c:v>42935</c:v>
                </c:pt>
                <c:pt idx="143">
                  <c:v>42936</c:v>
                </c:pt>
                <c:pt idx="144">
                  <c:v>42937</c:v>
                </c:pt>
                <c:pt idx="145">
                  <c:v>42940</c:v>
                </c:pt>
                <c:pt idx="146">
                  <c:v>42941</c:v>
                </c:pt>
                <c:pt idx="147">
                  <c:v>42942</c:v>
                </c:pt>
                <c:pt idx="148">
                  <c:v>42943</c:v>
                </c:pt>
                <c:pt idx="149">
                  <c:v>42944</c:v>
                </c:pt>
                <c:pt idx="150">
                  <c:v>42947</c:v>
                </c:pt>
                <c:pt idx="151">
                  <c:v>42948</c:v>
                </c:pt>
                <c:pt idx="152">
                  <c:v>42949</c:v>
                </c:pt>
                <c:pt idx="153">
                  <c:v>42950</c:v>
                </c:pt>
                <c:pt idx="154">
                  <c:v>42951</c:v>
                </c:pt>
                <c:pt idx="155">
                  <c:v>42954</c:v>
                </c:pt>
                <c:pt idx="156">
                  <c:v>42955</c:v>
                </c:pt>
                <c:pt idx="157">
                  <c:v>42956</c:v>
                </c:pt>
                <c:pt idx="158">
                  <c:v>42957</c:v>
                </c:pt>
                <c:pt idx="159">
                  <c:v>42958</c:v>
                </c:pt>
                <c:pt idx="160">
                  <c:v>42961</c:v>
                </c:pt>
                <c:pt idx="161">
                  <c:v>42962</c:v>
                </c:pt>
                <c:pt idx="162">
                  <c:v>42963</c:v>
                </c:pt>
                <c:pt idx="163">
                  <c:v>42964</c:v>
                </c:pt>
                <c:pt idx="164">
                  <c:v>42965</c:v>
                </c:pt>
                <c:pt idx="165">
                  <c:v>42968</c:v>
                </c:pt>
                <c:pt idx="166">
                  <c:v>42969</c:v>
                </c:pt>
                <c:pt idx="167">
                  <c:v>42970</c:v>
                </c:pt>
                <c:pt idx="168">
                  <c:v>42971</c:v>
                </c:pt>
                <c:pt idx="169">
                  <c:v>42972</c:v>
                </c:pt>
                <c:pt idx="170">
                  <c:v>42975</c:v>
                </c:pt>
                <c:pt idx="171">
                  <c:v>42976</c:v>
                </c:pt>
                <c:pt idx="172">
                  <c:v>42977</c:v>
                </c:pt>
                <c:pt idx="173">
                  <c:v>42978</c:v>
                </c:pt>
                <c:pt idx="174">
                  <c:v>42979</c:v>
                </c:pt>
                <c:pt idx="175">
                  <c:v>42982</c:v>
                </c:pt>
                <c:pt idx="176">
                  <c:v>42983</c:v>
                </c:pt>
                <c:pt idx="177">
                  <c:v>42984</c:v>
                </c:pt>
                <c:pt idx="178">
                  <c:v>42985</c:v>
                </c:pt>
                <c:pt idx="179">
                  <c:v>42986</c:v>
                </c:pt>
                <c:pt idx="180">
                  <c:v>42989</c:v>
                </c:pt>
                <c:pt idx="181">
                  <c:v>42990</c:v>
                </c:pt>
                <c:pt idx="182">
                  <c:v>42991</c:v>
                </c:pt>
                <c:pt idx="183">
                  <c:v>42992</c:v>
                </c:pt>
                <c:pt idx="184">
                  <c:v>42993</c:v>
                </c:pt>
                <c:pt idx="185">
                  <c:v>42996</c:v>
                </c:pt>
                <c:pt idx="186">
                  <c:v>42997</c:v>
                </c:pt>
                <c:pt idx="187">
                  <c:v>42998</c:v>
                </c:pt>
                <c:pt idx="188">
                  <c:v>42999</c:v>
                </c:pt>
                <c:pt idx="189">
                  <c:v>43000</c:v>
                </c:pt>
                <c:pt idx="190">
                  <c:v>43003</c:v>
                </c:pt>
                <c:pt idx="191">
                  <c:v>43004</c:v>
                </c:pt>
                <c:pt idx="192">
                  <c:v>43005</c:v>
                </c:pt>
                <c:pt idx="193">
                  <c:v>43006</c:v>
                </c:pt>
                <c:pt idx="194">
                  <c:v>43007</c:v>
                </c:pt>
                <c:pt idx="195">
                  <c:v>43010</c:v>
                </c:pt>
                <c:pt idx="196">
                  <c:v>43011</c:v>
                </c:pt>
                <c:pt idx="197">
                  <c:v>43012</c:v>
                </c:pt>
                <c:pt idx="198">
                  <c:v>43013</c:v>
                </c:pt>
                <c:pt idx="199">
                  <c:v>43014</c:v>
                </c:pt>
                <c:pt idx="200">
                  <c:v>43017</c:v>
                </c:pt>
                <c:pt idx="201">
                  <c:v>43018</c:v>
                </c:pt>
                <c:pt idx="202">
                  <c:v>43019</c:v>
                </c:pt>
                <c:pt idx="203">
                  <c:v>43020</c:v>
                </c:pt>
                <c:pt idx="204">
                  <c:v>43021</c:v>
                </c:pt>
                <c:pt idx="205">
                  <c:v>43024</c:v>
                </c:pt>
                <c:pt idx="206">
                  <c:v>43025</c:v>
                </c:pt>
                <c:pt idx="207">
                  <c:v>43026</c:v>
                </c:pt>
                <c:pt idx="208">
                  <c:v>43027</c:v>
                </c:pt>
                <c:pt idx="209">
                  <c:v>43028</c:v>
                </c:pt>
                <c:pt idx="210">
                  <c:v>43031</c:v>
                </c:pt>
                <c:pt idx="211">
                  <c:v>43032</c:v>
                </c:pt>
                <c:pt idx="212">
                  <c:v>43033</c:v>
                </c:pt>
                <c:pt idx="213">
                  <c:v>43034</c:v>
                </c:pt>
                <c:pt idx="214">
                  <c:v>43035</c:v>
                </c:pt>
                <c:pt idx="215">
                  <c:v>43038</c:v>
                </c:pt>
                <c:pt idx="216">
                  <c:v>43039</c:v>
                </c:pt>
                <c:pt idx="217">
                  <c:v>43040</c:v>
                </c:pt>
                <c:pt idx="218">
                  <c:v>43041</c:v>
                </c:pt>
                <c:pt idx="219">
                  <c:v>43042</c:v>
                </c:pt>
                <c:pt idx="220">
                  <c:v>43045</c:v>
                </c:pt>
                <c:pt idx="221">
                  <c:v>43046</c:v>
                </c:pt>
                <c:pt idx="222">
                  <c:v>43047</c:v>
                </c:pt>
                <c:pt idx="223">
                  <c:v>43048</c:v>
                </c:pt>
                <c:pt idx="224">
                  <c:v>43049</c:v>
                </c:pt>
                <c:pt idx="225">
                  <c:v>43052</c:v>
                </c:pt>
                <c:pt idx="226">
                  <c:v>43053</c:v>
                </c:pt>
                <c:pt idx="227">
                  <c:v>43054</c:v>
                </c:pt>
                <c:pt idx="228">
                  <c:v>43055</c:v>
                </c:pt>
                <c:pt idx="229">
                  <c:v>43056</c:v>
                </c:pt>
                <c:pt idx="230">
                  <c:v>43059</c:v>
                </c:pt>
                <c:pt idx="231">
                  <c:v>43060</c:v>
                </c:pt>
                <c:pt idx="232">
                  <c:v>43061</c:v>
                </c:pt>
                <c:pt idx="233">
                  <c:v>43062</c:v>
                </c:pt>
                <c:pt idx="234">
                  <c:v>43063</c:v>
                </c:pt>
                <c:pt idx="235">
                  <c:v>43066</c:v>
                </c:pt>
                <c:pt idx="236">
                  <c:v>43067</c:v>
                </c:pt>
                <c:pt idx="237">
                  <c:v>43068</c:v>
                </c:pt>
                <c:pt idx="238">
                  <c:v>43069</c:v>
                </c:pt>
                <c:pt idx="239">
                  <c:v>43070</c:v>
                </c:pt>
                <c:pt idx="240">
                  <c:v>43073</c:v>
                </c:pt>
                <c:pt idx="241">
                  <c:v>43074</c:v>
                </c:pt>
                <c:pt idx="242">
                  <c:v>43075</c:v>
                </c:pt>
                <c:pt idx="243">
                  <c:v>43076</c:v>
                </c:pt>
                <c:pt idx="244">
                  <c:v>43077</c:v>
                </c:pt>
                <c:pt idx="245">
                  <c:v>43080</c:v>
                </c:pt>
                <c:pt idx="246">
                  <c:v>43081</c:v>
                </c:pt>
                <c:pt idx="247">
                  <c:v>43082</c:v>
                </c:pt>
                <c:pt idx="248">
                  <c:v>43083</c:v>
                </c:pt>
                <c:pt idx="249">
                  <c:v>43084</c:v>
                </c:pt>
                <c:pt idx="250">
                  <c:v>43087</c:v>
                </c:pt>
                <c:pt idx="251">
                  <c:v>43088</c:v>
                </c:pt>
                <c:pt idx="252">
                  <c:v>43089</c:v>
                </c:pt>
                <c:pt idx="253">
                  <c:v>43090</c:v>
                </c:pt>
                <c:pt idx="254">
                  <c:v>43091</c:v>
                </c:pt>
                <c:pt idx="255">
                  <c:v>43094</c:v>
                </c:pt>
                <c:pt idx="256">
                  <c:v>43095</c:v>
                </c:pt>
                <c:pt idx="257">
                  <c:v>43096</c:v>
                </c:pt>
                <c:pt idx="258">
                  <c:v>43097</c:v>
                </c:pt>
                <c:pt idx="259">
                  <c:v>43098</c:v>
                </c:pt>
                <c:pt idx="260">
                  <c:v>43101</c:v>
                </c:pt>
                <c:pt idx="261">
                  <c:v>43102</c:v>
                </c:pt>
                <c:pt idx="262">
                  <c:v>43103</c:v>
                </c:pt>
                <c:pt idx="263">
                  <c:v>43104</c:v>
                </c:pt>
                <c:pt idx="264">
                  <c:v>43105</c:v>
                </c:pt>
                <c:pt idx="265">
                  <c:v>43108</c:v>
                </c:pt>
                <c:pt idx="266">
                  <c:v>43109</c:v>
                </c:pt>
                <c:pt idx="267">
                  <c:v>43110</c:v>
                </c:pt>
                <c:pt idx="268">
                  <c:v>43111</c:v>
                </c:pt>
                <c:pt idx="269">
                  <c:v>43112</c:v>
                </c:pt>
                <c:pt idx="270">
                  <c:v>43115</c:v>
                </c:pt>
                <c:pt idx="271">
                  <c:v>43116</c:v>
                </c:pt>
                <c:pt idx="272">
                  <c:v>43117</c:v>
                </c:pt>
                <c:pt idx="273">
                  <c:v>43118</c:v>
                </c:pt>
                <c:pt idx="274">
                  <c:v>43119</c:v>
                </c:pt>
                <c:pt idx="275">
                  <c:v>43122</c:v>
                </c:pt>
                <c:pt idx="276">
                  <c:v>43123</c:v>
                </c:pt>
                <c:pt idx="277">
                  <c:v>43124</c:v>
                </c:pt>
                <c:pt idx="278">
                  <c:v>43125</c:v>
                </c:pt>
                <c:pt idx="279">
                  <c:v>43126</c:v>
                </c:pt>
                <c:pt idx="280">
                  <c:v>43129</c:v>
                </c:pt>
                <c:pt idx="281">
                  <c:v>43130</c:v>
                </c:pt>
                <c:pt idx="282">
                  <c:v>43131</c:v>
                </c:pt>
                <c:pt idx="283">
                  <c:v>43132</c:v>
                </c:pt>
                <c:pt idx="284">
                  <c:v>43133</c:v>
                </c:pt>
                <c:pt idx="285">
                  <c:v>43136</c:v>
                </c:pt>
                <c:pt idx="286">
                  <c:v>43137</c:v>
                </c:pt>
                <c:pt idx="287">
                  <c:v>43138</c:v>
                </c:pt>
                <c:pt idx="288">
                  <c:v>43139</c:v>
                </c:pt>
                <c:pt idx="289">
                  <c:v>43140</c:v>
                </c:pt>
                <c:pt idx="290">
                  <c:v>43143</c:v>
                </c:pt>
                <c:pt idx="291">
                  <c:v>43144</c:v>
                </c:pt>
                <c:pt idx="292">
                  <c:v>43145</c:v>
                </c:pt>
                <c:pt idx="293">
                  <c:v>43146</c:v>
                </c:pt>
                <c:pt idx="294">
                  <c:v>43147</c:v>
                </c:pt>
                <c:pt idx="295">
                  <c:v>43150</c:v>
                </c:pt>
                <c:pt idx="296">
                  <c:v>43151</c:v>
                </c:pt>
                <c:pt idx="297">
                  <c:v>43152</c:v>
                </c:pt>
                <c:pt idx="298">
                  <c:v>43153</c:v>
                </c:pt>
                <c:pt idx="299">
                  <c:v>43154</c:v>
                </c:pt>
                <c:pt idx="300">
                  <c:v>43157</c:v>
                </c:pt>
                <c:pt idx="301">
                  <c:v>43158</c:v>
                </c:pt>
                <c:pt idx="302">
                  <c:v>43159</c:v>
                </c:pt>
                <c:pt idx="303">
                  <c:v>43160</c:v>
                </c:pt>
                <c:pt idx="304">
                  <c:v>43161</c:v>
                </c:pt>
                <c:pt idx="305">
                  <c:v>43164</c:v>
                </c:pt>
                <c:pt idx="306">
                  <c:v>43165</c:v>
                </c:pt>
                <c:pt idx="307">
                  <c:v>43166</c:v>
                </c:pt>
                <c:pt idx="308">
                  <c:v>43167</c:v>
                </c:pt>
                <c:pt idx="309">
                  <c:v>43168</c:v>
                </c:pt>
                <c:pt idx="310">
                  <c:v>43171</c:v>
                </c:pt>
                <c:pt idx="311">
                  <c:v>43172</c:v>
                </c:pt>
                <c:pt idx="312">
                  <c:v>43173</c:v>
                </c:pt>
                <c:pt idx="313">
                  <c:v>43174</c:v>
                </c:pt>
                <c:pt idx="314">
                  <c:v>43175</c:v>
                </c:pt>
                <c:pt idx="315">
                  <c:v>43178</c:v>
                </c:pt>
                <c:pt idx="316">
                  <c:v>43179</c:v>
                </c:pt>
                <c:pt idx="317">
                  <c:v>43180</c:v>
                </c:pt>
                <c:pt idx="318">
                  <c:v>43181</c:v>
                </c:pt>
                <c:pt idx="319">
                  <c:v>43182</c:v>
                </c:pt>
                <c:pt idx="320">
                  <c:v>43185</c:v>
                </c:pt>
                <c:pt idx="321">
                  <c:v>43186</c:v>
                </c:pt>
                <c:pt idx="322">
                  <c:v>43187</c:v>
                </c:pt>
                <c:pt idx="323">
                  <c:v>43188</c:v>
                </c:pt>
                <c:pt idx="324">
                  <c:v>43189</c:v>
                </c:pt>
                <c:pt idx="325">
                  <c:v>43192</c:v>
                </c:pt>
                <c:pt idx="326">
                  <c:v>43193</c:v>
                </c:pt>
                <c:pt idx="327">
                  <c:v>43194</c:v>
                </c:pt>
                <c:pt idx="328">
                  <c:v>43195</c:v>
                </c:pt>
                <c:pt idx="329">
                  <c:v>43196</c:v>
                </c:pt>
                <c:pt idx="330">
                  <c:v>43199</c:v>
                </c:pt>
                <c:pt idx="331">
                  <c:v>43200</c:v>
                </c:pt>
                <c:pt idx="332">
                  <c:v>43201</c:v>
                </c:pt>
                <c:pt idx="333">
                  <c:v>43202</c:v>
                </c:pt>
                <c:pt idx="334">
                  <c:v>43203</c:v>
                </c:pt>
                <c:pt idx="335">
                  <c:v>43206</c:v>
                </c:pt>
                <c:pt idx="336">
                  <c:v>43207</c:v>
                </c:pt>
                <c:pt idx="337">
                  <c:v>43208</c:v>
                </c:pt>
                <c:pt idx="338">
                  <c:v>43209</c:v>
                </c:pt>
                <c:pt idx="339">
                  <c:v>43210</c:v>
                </c:pt>
                <c:pt idx="340">
                  <c:v>43213</c:v>
                </c:pt>
                <c:pt idx="341">
                  <c:v>43214</c:v>
                </c:pt>
                <c:pt idx="342">
                  <c:v>43215</c:v>
                </c:pt>
                <c:pt idx="343">
                  <c:v>43216</c:v>
                </c:pt>
                <c:pt idx="344">
                  <c:v>43217</c:v>
                </c:pt>
                <c:pt idx="345">
                  <c:v>43220</c:v>
                </c:pt>
                <c:pt idx="346">
                  <c:v>43221</c:v>
                </c:pt>
                <c:pt idx="347">
                  <c:v>43222</c:v>
                </c:pt>
                <c:pt idx="348">
                  <c:v>43223</c:v>
                </c:pt>
                <c:pt idx="349">
                  <c:v>43224</c:v>
                </c:pt>
                <c:pt idx="350">
                  <c:v>43227</c:v>
                </c:pt>
                <c:pt idx="351">
                  <c:v>43228</c:v>
                </c:pt>
                <c:pt idx="352">
                  <c:v>43229</c:v>
                </c:pt>
                <c:pt idx="353">
                  <c:v>43230</c:v>
                </c:pt>
                <c:pt idx="354">
                  <c:v>43231</c:v>
                </c:pt>
                <c:pt idx="355">
                  <c:v>43234</c:v>
                </c:pt>
                <c:pt idx="356">
                  <c:v>43235</c:v>
                </c:pt>
                <c:pt idx="357">
                  <c:v>43236</c:v>
                </c:pt>
                <c:pt idx="358">
                  <c:v>43237</c:v>
                </c:pt>
                <c:pt idx="359">
                  <c:v>43238</c:v>
                </c:pt>
                <c:pt idx="360">
                  <c:v>43241</c:v>
                </c:pt>
                <c:pt idx="361">
                  <c:v>43242</c:v>
                </c:pt>
                <c:pt idx="362">
                  <c:v>43243</c:v>
                </c:pt>
                <c:pt idx="363">
                  <c:v>43244</c:v>
                </c:pt>
                <c:pt idx="364">
                  <c:v>43245</c:v>
                </c:pt>
                <c:pt idx="365">
                  <c:v>43248</c:v>
                </c:pt>
                <c:pt idx="366">
                  <c:v>43249</c:v>
                </c:pt>
                <c:pt idx="367">
                  <c:v>43250</c:v>
                </c:pt>
                <c:pt idx="368">
                  <c:v>43251</c:v>
                </c:pt>
                <c:pt idx="369">
                  <c:v>43252</c:v>
                </c:pt>
                <c:pt idx="370">
                  <c:v>43255</c:v>
                </c:pt>
                <c:pt idx="371">
                  <c:v>43256</c:v>
                </c:pt>
                <c:pt idx="372">
                  <c:v>43257</c:v>
                </c:pt>
                <c:pt idx="373">
                  <c:v>43258</c:v>
                </c:pt>
                <c:pt idx="374">
                  <c:v>43259</c:v>
                </c:pt>
                <c:pt idx="375">
                  <c:v>43262</c:v>
                </c:pt>
                <c:pt idx="376">
                  <c:v>43263</c:v>
                </c:pt>
                <c:pt idx="377">
                  <c:v>43264</c:v>
                </c:pt>
                <c:pt idx="378">
                  <c:v>43265</c:v>
                </c:pt>
                <c:pt idx="379">
                  <c:v>43266</c:v>
                </c:pt>
                <c:pt idx="380">
                  <c:v>43269</c:v>
                </c:pt>
                <c:pt idx="381">
                  <c:v>43270</c:v>
                </c:pt>
                <c:pt idx="382">
                  <c:v>43271</c:v>
                </c:pt>
                <c:pt idx="383">
                  <c:v>43272</c:v>
                </c:pt>
                <c:pt idx="384">
                  <c:v>43273</c:v>
                </c:pt>
                <c:pt idx="385">
                  <c:v>43276</c:v>
                </c:pt>
                <c:pt idx="386">
                  <c:v>43277</c:v>
                </c:pt>
                <c:pt idx="387">
                  <c:v>43278</c:v>
                </c:pt>
                <c:pt idx="388">
                  <c:v>43279</c:v>
                </c:pt>
                <c:pt idx="389">
                  <c:v>43280</c:v>
                </c:pt>
                <c:pt idx="390">
                  <c:v>43283</c:v>
                </c:pt>
                <c:pt idx="391">
                  <c:v>43284</c:v>
                </c:pt>
                <c:pt idx="392">
                  <c:v>43285</c:v>
                </c:pt>
                <c:pt idx="393">
                  <c:v>43286</c:v>
                </c:pt>
                <c:pt idx="394">
                  <c:v>43287</c:v>
                </c:pt>
                <c:pt idx="395">
                  <c:v>43290</c:v>
                </c:pt>
                <c:pt idx="396">
                  <c:v>43291</c:v>
                </c:pt>
                <c:pt idx="397">
                  <c:v>43292</c:v>
                </c:pt>
                <c:pt idx="398">
                  <c:v>43293</c:v>
                </c:pt>
                <c:pt idx="399">
                  <c:v>43294</c:v>
                </c:pt>
                <c:pt idx="400">
                  <c:v>43297</c:v>
                </c:pt>
                <c:pt idx="401">
                  <c:v>43298</c:v>
                </c:pt>
                <c:pt idx="402">
                  <c:v>43299</c:v>
                </c:pt>
                <c:pt idx="403">
                  <c:v>43300</c:v>
                </c:pt>
                <c:pt idx="404">
                  <c:v>43301</c:v>
                </c:pt>
                <c:pt idx="405">
                  <c:v>43304</c:v>
                </c:pt>
                <c:pt idx="406">
                  <c:v>43305</c:v>
                </c:pt>
                <c:pt idx="407">
                  <c:v>43306</c:v>
                </c:pt>
                <c:pt idx="408">
                  <c:v>43307</c:v>
                </c:pt>
                <c:pt idx="409">
                  <c:v>43308</c:v>
                </c:pt>
                <c:pt idx="410">
                  <c:v>43311</c:v>
                </c:pt>
                <c:pt idx="411">
                  <c:v>43312</c:v>
                </c:pt>
                <c:pt idx="412">
                  <c:v>43313</c:v>
                </c:pt>
                <c:pt idx="413">
                  <c:v>43314</c:v>
                </c:pt>
                <c:pt idx="414">
                  <c:v>43315</c:v>
                </c:pt>
                <c:pt idx="415">
                  <c:v>43318</c:v>
                </c:pt>
                <c:pt idx="416">
                  <c:v>43319</c:v>
                </c:pt>
                <c:pt idx="417">
                  <c:v>43320</c:v>
                </c:pt>
                <c:pt idx="418">
                  <c:v>43321</c:v>
                </c:pt>
                <c:pt idx="419">
                  <c:v>43322</c:v>
                </c:pt>
                <c:pt idx="420">
                  <c:v>43325</c:v>
                </c:pt>
                <c:pt idx="421">
                  <c:v>43326</c:v>
                </c:pt>
                <c:pt idx="422">
                  <c:v>43327</c:v>
                </c:pt>
                <c:pt idx="423">
                  <c:v>43328</c:v>
                </c:pt>
                <c:pt idx="424">
                  <c:v>43329</c:v>
                </c:pt>
                <c:pt idx="425">
                  <c:v>43332</c:v>
                </c:pt>
                <c:pt idx="426">
                  <c:v>43333</c:v>
                </c:pt>
                <c:pt idx="427">
                  <c:v>43334</c:v>
                </c:pt>
                <c:pt idx="428">
                  <c:v>43335</c:v>
                </c:pt>
                <c:pt idx="429">
                  <c:v>43336</c:v>
                </c:pt>
                <c:pt idx="430">
                  <c:v>43339</c:v>
                </c:pt>
                <c:pt idx="431">
                  <c:v>43340</c:v>
                </c:pt>
                <c:pt idx="432">
                  <c:v>43341</c:v>
                </c:pt>
                <c:pt idx="433">
                  <c:v>43342</c:v>
                </c:pt>
                <c:pt idx="434">
                  <c:v>43343</c:v>
                </c:pt>
                <c:pt idx="435">
                  <c:v>43346</c:v>
                </c:pt>
                <c:pt idx="436">
                  <c:v>43347</c:v>
                </c:pt>
                <c:pt idx="437">
                  <c:v>43348</c:v>
                </c:pt>
                <c:pt idx="438">
                  <c:v>43349</c:v>
                </c:pt>
                <c:pt idx="439">
                  <c:v>43350</c:v>
                </c:pt>
                <c:pt idx="440">
                  <c:v>43353</c:v>
                </c:pt>
                <c:pt idx="441">
                  <c:v>43354</c:v>
                </c:pt>
                <c:pt idx="442">
                  <c:v>43355</c:v>
                </c:pt>
                <c:pt idx="443">
                  <c:v>43356</c:v>
                </c:pt>
                <c:pt idx="444">
                  <c:v>43357</c:v>
                </c:pt>
                <c:pt idx="445">
                  <c:v>43360</c:v>
                </c:pt>
                <c:pt idx="446">
                  <c:v>43361</c:v>
                </c:pt>
                <c:pt idx="447">
                  <c:v>43362</c:v>
                </c:pt>
                <c:pt idx="448">
                  <c:v>43363</c:v>
                </c:pt>
                <c:pt idx="449">
                  <c:v>43364</c:v>
                </c:pt>
                <c:pt idx="450">
                  <c:v>43367</c:v>
                </c:pt>
                <c:pt idx="451">
                  <c:v>43368</c:v>
                </c:pt>
                <c:pt idx="452">
                  <c:v>43369</c:v>
                </c:pt>
                <c:pt idx="453">
                  <c:v>43370</c:v>
                </c:pt>
                <c:pt idx="454">
                  <c:v>43371</c:v>
                </c:pt>
                <c:pt idx="455">
                  <c:v>43374</c:v>
                </c:pt>
                <c:pt idx="456">
                  <c:v>43375</c:v>
                </c:pt>
                <c:pt idx="457">
                  <c:v>43376</c:v>
                </c:pt>
                <c:pt idx="458">
                  <c:v>43377</c:v>
                </c:pt>
                <c:pt idx="459">
                  <c:v>43378</c:v>
                </c:pt>
                <c:pt idx="460">
                  <c:v>43381</c:v>
                </c:pt>
                <c:pt idx="461">
                  <c:v>43382</c:v>
                </c:pt>
                <c:pt idx="462">
                  <c:v>43383</c:v>
                </c:pt>
                <c:pt idx="463">
                  <c:v>43384</c:v>
                </c:pt>
                <c:pt idx="464">
                  <c:v>43385</c:v>
                </c:pt>
                <c:pt idx="465">
                  <c:v>43388</c:v>
                </c:pt>
                <c:pt idx="466">
                  <c:v>43389</c:v>
                </c:pt>
                <c:pt idx="467">
                  <c:v>43390</c:v>
                </c:pt>
                <c:pt idx="468">
                  <c:v>43391</c:v>
                </c:pt>
                <c:pt idx="469">
                  <c:v>43392</c:v>
                </c:pt>
                <c:pt idx="470">
                  <c:v>43395</c:v>
                </c:pt>
                <c:pt idx="471">
                  <c:v>43396</c:v>
                </c:pt>
                <c:pt idx="472">
                  <c:v>43397</c:v>
                </c:pt>
                <c:pt idx="473">
                  <c:v>43398</c:v>
                </c:pt>
                <c:pt idx="474">
                  <c:v>43399</c:v>
                </c:pt>
                <c:pt idx="475">
                  <c:v>43402</c:v>
                </c:pt>
                <c:pt idx="476">
                  <c:v>43403</c:v>
                </c:pt>
                <c:pt idx="477">
                  <c:v>43404</c:v>
                </c:pt>
                <c:pt idx="478">
                  <c:v>43405</c:v>
                </c:pt>
                <c:pt idx="479">
                  <c:v>43406</c:v>
                </c:pt>
                <c:pt idx="480">
                  <c:v>43409</c:v>
                </c:pt>
                <c:pt idx="481">
                  <c:v>43410</c:v>
                </c:pt>
                <c:pt idx="482">
                  <c:v>43411</c:v>
                </c:pt>
                <c:pt idx="483">
                  <c:v>43412</c:v>
                </c:pt>
                <c:pt idx="484">
                  <c:v>43413</c:v>
                </c:pt>
                <c:pt idx="485">
                  <c:v>43416</c:v>
                </c:pt>
                <c:pt idx="486">
                  <c:v>43417</c:v>
                </c:pt>
                <c:pt idx="487">
                  <c:v>43418</c:v>
                </c:pt>
                <c:pt idx="488">
                  <c:v>43419</c:v>
                </c:pt>
                <c:pt idx="489">
                  <c:v>43420</c:v>
                </c:pt>
                <c:pt idx="490">
                  <c:v>43423</c:v>
                </c:pt>
                <c:pt idx="491">
                  <c:v>43424</c:v>
                </c:pt>
                <c:pt idx="492">
                  <c:v>43425</c:v>
                </c:pt>
                <c:pt idx="493">
                  <c:v>43426</c:v>
                </c:pt>
                <c:pt idx="494">
                  <c:v>43427</c:v>
                </c:pt>
                <c:pt idx="495">
                  <c:v>43430</c:v>
                </c:pt>
                <c:pt idx="496">
                  <c:v>43431</c:v>
                </c:pt>
                <c:pt idx="497">
                  <c:v>43432</c:v>
                </c:pt>
                <c:pt idx="498">
                  <c:v>43433</c:v>
                </c:pt>
                <c:pt idx="499">
                  <c:v>43434</c:v>
                </c:pt>
              </c:numCache>
            </c:numRef>
          </c:cat>
          <c:val>
            <c:numRef>
              <c:f>[0]!Comp_5</c:f>
              <c:numCache>
                <c:formatCode>General</c:formatCode>
                <c:ptCount val="5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AF-460D-BE46-66F96E7D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0285280"/>
        <c:axId val="1170285672"/>
      </c:lineChart>
      <c:dateAx>
        <c:axId val="11702852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ln>
            <a:solidFill>
              <a:schemeClr val="bg1">
                <a:lumMod val="65000"/>
              </a:schemeClr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170285672"/>
        <c:crosses val="autoZero"/>
        <c:auto val="1"/>
        <c:lblOffset val="100"/>
        <c:baseTimeUnit val="days"/>
        <c:majorUnit val="1"/>
        <c:majorTimeUnit val="months"/>
      </c:dateAx>
      <c:valAx>
        <c:axId val="11702856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en-US"/>
          </a:p>
        </c:txPr>
        <c:crossAx val="117028528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8303818395817556"/>
          <c:y val="0.10051809802844409"/>
          <c:w val="0.16521893048421091"/>
          <c:h val="0.8095594213514008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12700">
      <a:solidFill>
        <a:schemeClr val="tx1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70136631579774E-3"/>
          <c:y val="2.9591028394177998E-2"/>
          <c:w val="0.96646638915358507"/>
          <c:h val="0.83446241947029343"/>
        </c:manualLayout>
      </c:layout>
      <c:barChart>
        <c:barDir val="col"/>
        <c:grouping val="clustered"/>
        <c:varyColors val="0"/>
        <c:ser>
          <c:idx val="0"/>
          <c:order val="0"/>
          <c:tx>
            <c:v>Net Flow+ (Bln)</c:v>
          </c:tx>
          <c:spPr>
            <a:solidFill>
              <a:srgbClr val="63BE7B"/>
            </a:solidFill>
          </c:spPr>
          <c:invertIfNegative val="0"/>
          <c:cat>
            <c:strRef>
              <c:f>Equity!$BH$14:$BH$18</c:f>
              <c:strCache>
                <c:ptCount val="5"/>
                <c:pt idx="0">
                  <c:v>Large-cap</c:v>
                </c:pt>
                <c:pt idx="1">
                  <c:v>Broad Market</c:v>
                </c:pt>
                <c:pt idx="2">
                  <c:v>Small-cap</c:v>
                </c:pt>
                <c:pt idx="3">
                  <c:v>Mid-cap</c:v>
                </c:pt>
                <c:pt idx="4">
                  <c:v>Other</c:v>
                </c:pt>
              </c:strCache>
            </c:strRef>
          </c:cat>
          <c:val>
            <c:numRef>
              <c:f>Equity!$BJ$14:$BJ$18</c:f>
              <c:numCache>
                <c:formatCode>General</c:formatCode>
                <c:ptCount val="5"/>
                <c:pt idx="0">
                  <c:v>1162.258570500001</c:v>
                </c:pt>
                <c:pt idx="1">
                  <c:v>468.62850379999844</c:v>
                </c:pt>
                <c:pt idx="2">
                  <c:v>89.360178499999876</c:v>
                </c:pt>
                <c:pt idx="3">
                  <c:v>47.534776800000095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4-44E6-9B39-0AA9FC4D5F1E}"/>
            </c:ext>
          </c:extLst>
        </c:ser>
        <c:ser>
          <c:idx val="1"/>
          <c:order val="1"/>
          <c:tx>
            <c:v>Net Flow- (Bln)</c:v>
          </c:tx>
          <c:spPr>
            <a:solidFill>
              <a:srgbClr val="F8696B"/>
            </a:solidFill>
          </c:spPr>
          <c:invertIfNegative val="0"/>
          <c:cat>
            <c:strRef>
              <c:f>Equity!$BD$14:$BD$18</c:f>
              <c:strCache>
                <c:ptCount val="5"/>
                <c:pt idx="0">
                  <c:v>Large-cap</c:v>
                </c:pt>
                <c:pt idx="1">
                  <c:v>Small-cap</c:v>
                </c:pt>
                <c:pt idx="2">
                  <c:v>Broad Market</c:v>
                </c:pt>
                <c:pt idx="3">
                  <c:v>Mid-cap</c:v>
                </c:pt>
                <c:pt idx="4">
                  <c:v>Other</c:v>
                </c:pt>
              </c:strCache>
            </c:strRef>
          </c:cat>
          <c:val>
            <c:numRef>
              <c:f>Equity!$BK$14:$BK$18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-1.0020538999999993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4-44E6-9B39-0AA9FC4D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1170275872"/>
        <c:axId val="1170276264"/>
      </c:barChart>
      <c:catAx>
        <c:axId val="117027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170276264"/>
        <c:crosses val="autoZero"/>
        <c:auto val="1"/>
        <c:lblAlgn val="ctr"/>
        <c:lblOffset val="100"/>
        <c:noMultiLvlLbl val="0"/>
      </c:catAx>
      <c:valAx>
        <c:axId val="1170276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170275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70136631579774E-3"/>
          <c:y val="2.9591028394177998E-2"/>
          <c:w val="0.96646638915358507"/>
          <c:h val="0.83446241947029343"/>
        </c:manualLayout>
      </c:layout>
      <c:barChart>
        <c:barDir val="col"/>
        <c:grouping val="clustered"/>
        <c:varyColors val="0"/>
        <c:ser>
          <c:idx val="0"/>
          <c:order val="0"/>
          <c:tx>
            <c:v>Net Flow+ (Bln)</c:v>
          </c:tx>
          <c:spPr>
            <a:solidFill>
              <a:srgbClr val="63BE7B"/>
            </a:solidFill>
          </c:spPr>
          <c:invertIfNegative val="0"/>
          <c:cat>
            <c:strRef>
              <c:f>FI!$BH$14:$BH$17</c:f>
              <c:strCache>
                <c:ptCount val="4"/>
                <c:pt idx="0">
                  <c:v>Investment Grade BBB or higher</c:v>
                </c:pt>
                <c:pt idx="1">
                  <c:v>Investment Grade A or higher</c:v>
                </c:pt>
                <c:pt idx="2">
                  <c:v>Other</c:v>
                </c:pt>
                <c:pt idx="3">
                  <c:v>High Yield</c:v>
                </c:pt>
              </c:strCache>
            </c:strRef>
          </c:cat>
          <c:val>
            <c:numRef>
              <c:f>FI!$BJ$14:$BJ$17</c:f>
              <c:numCache>
                <c:formatCode>General</c:formatCode>
                <c:ptCount val="4"/>
                <c:pt idx="0">
                  <c:v>376.49731180000049</c:v>
                </c:pt>
                <c:pt idx="1">
                  <c:v>231.13158110000023</c:v>
                </c:pt>
                <c:pt idx="2">
                  <c:v>26.814960000000074</c:v>
                </c:pt>
                <c:pt idx="3">
                  <c:v>3.1722499999999827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5-498E-919F-A08406AA6009}"/>
            </c:ext>
          </c:extLst>
        </c:ser>
        <c:ser>
          <c:idx val="1"/>
          <c:order val="1"/>
          <c:tx>
            <c:v>Net Flow- (Bln)</c:v>
          </c:tx>
          <c:spPr>
            <a:solidFill>
              <a:srgbClr val="F8696B"/>
            </a:solidFill>
          </c:spPr>
          <c:invertIfNegative val="0"/>
          <c:cat>
            <c:strRef>
              <c:f>FI!$BD$14:$BD$18</c:f>
              <c:strCache>
                <c:ptCount val="4"/>
                <c:pt idx="0">
                  <c:v>Investment Grade BBB or higher</c:v>
                </c:pt>
                <c:pt idx="1">
                  <c:v>Other</c:v>
                </c:pt>
                <c:pt idx="2">
                  <c:v>Investment Grade A or higher</c:v>
                </c:pt>
                <c:pt idx="3">
                  <c:v>High Yield</c:v>
                </c:pt>
              </c:strCache>
            </c:strRef>
          </c:cat>
          <c:val>
            <c:numRef>
              <c:f>FI!$BK$14:$BK$17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5-498E-919F-A08406AA6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1170275872"/>
        <c:axId val="1170276264"/>
      </c:barChart>
      <c:catAx>
        <c:axId val="117027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170276264"/>
        <c:crosses val="autoZero"/>
        <c:auto val="1"/>
        <c:lblAlgn val="ctr"/>
        <c:lblOffset val="100"/>
        <c:noMultiLvlLbl val="0"/>
      </c:catAx>
      <c:valAx>
        <c:axId val="1170276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1170275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fmlaLink="ViewData!$K$10" fmlaRange="ViewData!$K$8:$K$9" noThreeD="1" sel="2" val="0"/>
</file>

<file path=xl/ctrlProps/ctrlProp7.xml><?xml version="1.0" encoding="utf-8"?>
<formControlPr xmlns="http://schemas.microsoft.com/office/spreadsheetml/2009/9/main" objectType="Drop" dropStyle="combo" dx="16" fmlaLink="ViewData!$W$5" fmlaRange="ViewData!$W$6:$W$8" noThreeD="1" sel="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7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jpe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1.jpeg"/><Relationship Id="rId1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1468755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1446200</xdr:colOff>
      <xdr:row>1</xdr:row>
      <xdr:rowOff>0</xdr:rowOff>
    </xdr:from>
    <xdr:to>
      <xdr:col>18</xdr:col>
      <xdr:colOff>362255</xdr:colOff>
      <xdr:row>4</xdr:row>
      <xdr:rowOff>0</xdr:rowOff>
    </xdr:to>
    <xdr:pic>
      <xdr:nvPicPr>
        <xdr:cNvPr id="3" name="BannerTitl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2925" y="57150"/>
          <a:ext cx="9098280" cy="57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5</xdr:row>
          <xdr:rowOff>25400</xdr:rowOff>
        </xdr:from>
        <xdr:to>
          <xdr:col>5</xdr:col>
          <xdr:colOff>292100</xdr:colOff>
          <xdr:row>7</xdr:row>
          <xdr:rowOff>63500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FSRC&lt;GO&gt;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38100</xdr:rowOff>
        </xdr:from>
        <xdr:to>
          <xdr:col>2</xdr:col>
          <xdr:colOff>520700</xdr:colOff>
          <xdr:row>7</xdr:row>
          <xdr:rowOff>76200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673100</xdr:colOff>
          <xdr:row>5</xdr:row>
          <xdr:rowOff>38100</xdr:rowOff>
        </xdr:from>
        <xdr:to>
          <xdr:col>3</xdr:col>
          <xdr:colOff>0</xdr:colOff>
          <xdr:row>7</xdr:row>
          <xdr:rowOff>76200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1282700</xdr:colOff>
          <xdr:row>5</xdr:row>
          <xdr:rowOff>25400</xdr:rowOff>
        </xdr:from>
        <xdr:to>
          <xdr:col>4</xdr:col>
          <xdr:colOff>12700</xdr:colOff>
          <xdr:row>6</xdr:row>
          <xdr:rowOff>139700</xdr:rowOff>
        </xdr:to>
        <xdr:sp macro="" textlink="">
          <xdr:nvSpPr>
            <xdr:cNvPr id="5122" name="cmdSav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0</xdr:rowOff>
    </xdr:from>
    <xdr:to>
      <xdr:col>2</xdr:col>
      <xdr:colOff>1535430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1512875</xdr:colOff>
      <xdr:row>1</xdr:row>
      <xdr:rowOff>0</xdr:rowOff>
    </xdr:from>
    <xdr:to>
      <xdr:col>14</xdr:col>
      <xdr:colOff>247955</xdr:colOff>
      <xdr:row>4</xdr:row>
      <xdr:rowOff>0</xdr:rowOff>
    </xdr:to>
    <xdr:pic>
      <xdr:nvPicPr>
        <xdr:cNvPr id="3" name="BannerTit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2925" y="57150"/>
          <a:ext cx="9098280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171451</xdr:colOff>
      <xdr:row>12</xdr:row>
      <xdr:rowOff>123825</xdr:rowOff>
    </xdr:from>
    <xdr:to>
      <xdr:col>18</xdr:col>
      <xdr:colOff>314326</xdr:colOff>
      <xdr:row>23</xdr:row>
      <xdr:rowOff>133350</xdr:rowOff>
    </xdr:to>
    <xdr:graphicFrame macro="">
      <xdr:nvGraphicFramePr>
        <xdr:cNvPr id="5" name="NextLevelCustom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316230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293675</xdr:colOff>
      <xdr:row>1</xdr:row>
      <xdr:rowOff>0</xdr:rowOff>
    </xdr:from>
    <xdr:to>
      <xdr:col>17</xdr:col>
      <xdr:colOff>381305</xdr:colOff>
      <xdr:row>4</xdr:row>
      <xdr:rowOff>0</xdr:rowOff>
    </xdr:to>
    <xdr:pic>
      <xdr:nvPicPr>
        <xdr:cNvPr id="3" name="BannerTit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925" y="57150"/>
          <a:ext cx="9098280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57148</xdr:colOff>
      <xdr:row>9</xdr:row>
      <xdr:rowOff>47625</xdr:rowOff>
    </xdr:from>
    <xdr:to>
      <xdr:col>17</xdr:col>
      <xdr:colOff>142875</xdr:colOff>
      <xdr:row>15</xdr:row>
      <xdr:rowOff>123825</xdr:rowOff>
    </xdr:to>
    <xdr:graphicFrame macro="[0]!dummyFunc">
      <xdr:nvGraphicFramePr>
        <xdr:cNvPr id="2792" name="NextLevelCustom">
          <a:extLst>
            <a:ext uri="{FF2B5EF4-FFF2-40B4-BE49-F238E27FC236}">
              <a16:creationId xmlns:a16="http://schemas.microsoft.com/office/drawing/2014/main" id="{00000000-0008-0000-0300-0000E8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34</xdr:row>
      <xdr:rowOff>25400</xdr:rowOff>
    </xdr:from>
    <xdr:to>
      <xdr:col>18</xdr:col>
      <xdr:colOff>9525</xdr:colOff>
      <xdr:row>47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5969000" y="5867400"/>
          <a:ext cx="7591425" cy="2616200"/>
          <a:chOff x="5248275" y="5835650"/>
          <a:chExt cx="6667500" cy="261620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pSpPr/>
        </xdr:nvGrpSpPr>
        <xdr:grpSpPr>
          <a:xfrm>
            <a:off x="5248275" y="5835650"/>
            <a:ext cx="6667500" cy="2616200"/>
            <a:chOff x="5257800" y="-774031755"/>
            <a:chExt cx="6667500" cy="2811409"/>
          </a:xfrm>
        </xdr:grpSpPr>
        <xdr:sp macro="[0]!expandTopBarSet" textlink="">
          <xdr:nvSpPr>
            <xdr:cNvPr id="17" name="ChartSet2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5257800" y="-774031755"/>
              <a:ext cx="6660000" cy="2811409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aphicFrame macro="[0]!expandTopBarSet">
          <xdr:nvGraphicFramePr>
            <xdr:cNvPr id="13" name="TopTenOut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GraphicFramePr>
              <a:graphicFrameLocks/>
            </xdr:cNvGraphicFramePr>
          </xdr:nvGraphicFramePr>
          <xdr:xfrm>
            <a:off x="8623300" y="-773963517"/>
            <a:ext cx="3302000" cy="263399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[0]!expandTopBarSet">
          <xdr:nvGraphicFramePr>
            <xdr:cNvPr id="12" name="TopTenIn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>
              <a:graphicFrameLocks/>
            </xdr:cNvGraphicFramePr>
          </xdr:nvGraphicFramePr>
          <xdr:xfrm>
            <a:off x="5308600" y="-773963517"/>
            <a:ext cx="3302000" cy="263399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3" name="TickerNameDropDown" hidden="1">
                <a:extLst>
                  <a:ext uri="{63B3BB69-23CF-44E3-9099-C40C66FF867C}">
                    <a14:compatExt spid="_x0000_s2153"/>
                  </a:ext>
                  <a:ext uri="{FF2B5EF4-FFF2-40B4-BE49-F238E27FC236}">
                    <a16:creationId xmlns:a16="http://schemas.microsoft.com/office/drawing/2014/main" id="{00000000-0008-0000-0300-000069080000}"/>
                  </a:ext>
                </a:extLst>
              </xdr:cNvPr>
              <xdr:cNvSpPr/>
            </xdr:nvSpPr>
            <xdr:spPr bwMode="auto">
              <a:xfrm>
                <a:off x="5295900" y="5886450"/>
                <a:ext cx="100965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8</xdr:col>
      <xdr:colOff>0</xdr:colOff>
      <xdr:row>16</xdr:row>
      <xdr:rowOff>63500</xdr:rowOff>
    </xdr:from>
    <xdr:to>
      <xdr:col>18</xdr:col>
      <xdr:colOff>2025</xdr:colOff>
      <xdr:row>33</xdr:row>
      <xdr:rowOff>161926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5969000" y="2476500"/>
          <a:ext cx="7583925" cy="3336926"/>
          <a:chOff x="5257430" y="2176489"/>
          <a:chExt cx="7048649" cy="1085343"/>
        </a:xfrm>
      </xdr:grpSpPr>
      <xdr:sp macro="[0]!expandChartSet1" textlink="">
        <xdr:nvSpPr>
          <xdr:cNvPr id="10" name="ChartSet1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5257430" y="2176489"/>
            <a:ext cx="7048649" cy="1085343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aphicFrame macro="[0]!expandChartSet1">
        <xdr:nvGraphicFramePr>
          <xdr:cNvPr id="15" name="AccFlow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5354878" y="2197143"/>
          <a:ext cx="6854970" cy="6402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[0]!expandChartSet1">
        <xdr:nvGraphicFramePr>
          <xdr:cNvPr id="2793" name="PerFlow">
            <a:extLst>
              <a:ext uri="{FF2B5EF4-FFF2-40B4-BE49-F238E27FC236}">
                <a16:creationId xmlns:a16="http://schemas.microsoft.com/office/drawing/2014/main" id="{00000000-0008-0000-0300-0000E90A0000}"/>
              </a:ext>
            </a:extLst>
          </xdr:cNvPr>
          <xdr:cNvGraphicFramePr>
            <a:graphicFrameLocks/>
          </xdr:cNvGraphicFramePr>
        </xdr:nvGraphicFramePr>
        <xdr:xfrm>
          <a:off x="5354878" y="2820879"/>
          <a:ext cx="6858145" cy="4130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5</xdr:col>
      <xdr:colOff>723899</xdr:colOff>
      <xdr:row>21</xdr:row>
      <xdr:rowOff>123825</xdr:rowOff>
    </xdr:from>
    <xdr:to>
      <xdr:col>13</xdr:col>
      <xdr:colOff>323849</xdr:colOff>
      <xdr:row>28</xdr:row>
      <xdr:rowOff>85725</xdr:rowOff>
    </xdr:to>
    <xdr:sp macro="[0]!HideWarning" textlink="">
      <xdr:nvSpPr>
        <xdr:cNvPr id="9" name="Warning" hidden="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62424" y="3457575"/>
          <a:ext cx="4981575" cy="1295400"/>
        </a:xfrm>
        <a:prstGeom prst="roundRect">
          <a:avLst>
            <a:gd name="adj" fmla="val 7218"/>
          </a:avLst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100000">
              <a:schemeClr val="accent1">
                <a:lumMod val="40000"/>
                <a:lumOff val="60000"/>
              </a:schemeClr>
            </a:gs>
            <a:gs pos="50000">
              <a:schemeClr val="accent1">
                <a:lumMod val="20000"/>
                <a:lumOff val="80000"/>
              </a:schemeClr>
            </a:gs>
          </a:gsLst>
          <a:lin ang="0" scaled="1"/>
          <a:tileRect/>
        </a:gradFill>
        <a:ln w="19050">
          <a:solidFill>
            <a:schemeClr val="tx2"/>
          </a:solidFill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>
              <a:solidFill>
                <a:schemeClr val="tx2"/>
              </a:solidFill>
            </a:rPr>
            <a:t>Default fund</a:t>
          </a:r>
          <a:r>
            <a:rPr lang="en-GB" sz="1200" baseline="0">
              <a:solidFill>
                <a:schemeClr val="tx2"/>
              </a:solidFill>
            </a:rPr>
            <a:t> list is for demo purpose only. Please Click 'Settings' and go to 'Fund List &amp; Attribute Map' to change the fund list for your own analysis.</a:t>
          </a:r>
        </a:p>
        <a:p>
          <a:pPr algn="l"/>
          <a:endParaRPr lang="en-GB" sz="1200" baseline="0">
            <a:solidFill>
              <a:schemeClr val="tx2"/>
            </a:solidFill>
          </a:endParaRPr>
        </a:p>
        <a:p>
          <a:pPr algn="l"/>
          <a:r>
            <a:rPr lang="en-GB" sz="1200" baseline="0">
              <a:solidFill>
                <a:srgbClr val="C00000"/>
              </a:solidFill>
            </a:rPr>
            <a:t>The template supports both ETF and Mutual Fund (most mutual fund have got monthly data).</a:t>
          </a:r>
          <a:endParaRPr lang="en-GB" sz="1200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3</xdr:col>
      <xdr:colOff>169850</xdr:colOff>
      <xdr:row>1</xdr:row>
      <xdr:rowOff>0</xdr:rowOff>
    </xdr:from>
    <xdr:to>
      <xdr:col>16</xdr:col>
      <xdr:colOff>47930</xdr:colOff>
      <xdr:row>4</xdr:row>
      <xdr:rowOff>0</xdr:rowOff>
    </xdr:to>
    <xdr:pic>
      <xdr:nvPicPr>
        <xdr:cNvPr id="19" name="BannerTitl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12925" y="57150"/>
          <a:ext cx="9098280" cy="571500"/>
        </a:xfrm>
        <a:prstGeom prst="rect">
          <a:avLst/>
        </a:prstGeom>
      </xdr:spPr>
    </xdr:pic>
    <xdr:clientData/>
  </xdr:twoCellAnchor>
  <xdr:twoCellAnchor>
    <xdr:from>
      <xdr:col>0</xdr:col>
      <xdr:colOff>114298</xdr:colOff>
      <xdr:row>5</xdr:row>
      <xdr:rowOff>9524</xdr:rowOff>
    </xdr:from>
    <xdr:to>
      <xdr:col>18</xdr:col>
      <xdr:colOff>520048</xdr:colOff>
      <xdr:row>1117</xdr:row>
      <xdr:rowOff>6071</xdr:rowOff>
    </xdr:to>
    <xdr:grpSp>
      <xdr:nvGrpSpPr>
        <xdr:cNvPr id="7" name="CompareDim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14298" y="708024"/>
          <a:ext cx="13956650" cy="211451547"/>
          <a:chOff x="133348" y="503978"/>
          <a:chExt cx="11791952" cy="179886543"/>
        </a:xfrm>
      </xdr:grpSpPr>
      <xdr:sp macro="[0]!dummyFunc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4995734" y="503978"/>
            <a:ext cx="6929566" cy="179886543"/>
          </a:xfrm>
          <a:prstGeom prst="rect">
            <a:avLst/>
          </a:prstGeom>
          <a:solidFill>
            <a:schemeClr val="bg1">
              <a:alpha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dummyFunc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133348" y="809624"/>
            <a:ext cx="4825896" cy="638175"/>
          </a:xfrm>
          <a:prstGeom prst="rect">
            <a:avLst/>
          </a:prstGeom>
          <a:solidFill>
            <a:schemeClr val="bg1">
              <a:alpha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238125</xdr:colOff>
      <xdr:row>17</xdr:row>
      <xdr:rowOff>0</xdr:rowOff>
    </xdr:from>
    <xdr:to>
      <xdr:col>14</xdr:col>
      <xdr:colOff>666750</xdr:colOff>
      <xdr:row>40</xdr:row>
      <xdr:rowOff>63500</xdr:rowOff>
    </xdr:to>
    <xdr:grpSp>
      <xdr:nvGrpSpPr>
        <xdr:cNvPr id="16" name="CompareGroup" hidden="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2219325" y="2603500"/>
          <a:ext cx="9293225" cy="4445000"/>
          <a:chOff x="1981200" y="2571750"/>
          <a:chExt cx="8220075" cy="4445000"/>
        </a:xfrm>
      </xdr:grpSpPr>
      <xdr:graphicFrame macro="[0]!dummyFunc">
        <xdr:nvGraphicFramePr>
          <xdr:cNvPr id="14" name="CompareChart" hidden="1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1981200" y="2932669"/>
          <a:ext cx="8220075" cy="40840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dummyFunc" textlink="">
        <xdr:nvSpPr>
          <xdr:cNvPr id="29" name="DbgShadowBox" hidden="1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/>
        </xdr:nvSpPr>
        <xdr:spPr bwMode="auto">
          <a:xfrm>
            <a:off x="1981200" y="2932669"/>
            <a:ext cx="8218800" cy="287179"/>
          </a:xfrm>
          <a:prstGeom prst="rect">
            <a:avLst/>
          </a:prstGeom>
          <a:gradFill flip="none" rotWithShape="1">
            <a:gsLst>
              <a:gs pos="0">
                <a:schemeClr val="tx2"/>
              </a:gs>
              <a:gs pos="50000">
                <a:schemeClr val="accent1"/>
              </a:gs>
              <a:gs pos="100000">
                <a:schemeClr val="tx2"/>
              </a:gs>
            </a:gsLst>
            <a:lin ang="10800000" scaled="1"/>
            <a:tileRect/>
          </a:gradFill>
          <a:ln w="12700">
            <a:solidFill>
              <a:schemeClr val="tx1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 rtl="0">
              <a:defRPr sz="1000"/>
            </a:pPr>
            <a:r>
              <a:rPr lang="en-GB" sz="1100" b="1" i="0" u="none" strike="noStrike" baseline="0">
                <a:solidFill>
                  <a:schemeClr val="bg1"/>
                </a:solidFill>
                <a:latin typeface="Calibri"/>
                <a:ea typeface="+mn-ea"/>
                <a:cs typeface="+mn-cs"/>
              </a:rPr>
              <a:t>Fund Flow Trend Comparison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46" name="Button 98" hidden="1">
                <a:extLst>
                  <a:ext uri="{63B3BB69-23CF-44E3-9099-C40C66FF867C}">
                    <a14:compatExt spid="_x0000_s2146"/>
                  </a:ext>
                  <a:ext uri="{FF2B5EF4-FFF2-40B4-BE49-F238E27FC236}">
                    <a16:creationId xmlns:a16="http://schemas.microsoft.com/office/drawing/2014/main" id="{00000000-0008-0000-0300-000062080000}"/>
                  </a:ext>
                </a:extLst>
              </xdr:cNvPr>
              <xdr:cNvSpPr/>
            </xdr:nvSpPr>
            <xdr:spPr bwMode="auto">
              <a:xfrm>
                <a:off x="1990725" y="2942167"/>
                <a:ext cx="590550" cy="28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Clear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45" name="Button 97" hidden="1">
                <a:extLst>
                  <a:ext uri="{63B3BB69-23CF-44E3-9099-C40C66FF867C}">
                    <a14:compatExt spid="_x0000_s2145"/>
                  </a:ext>
                  <a:ext uri="{FF2B5EF4-FFF2-40B4-BE49-F238E27FC236}">
                    <a16:creationId xmlns:a16="http://schemas.microsoft.com/office/drawing/2014/main" id="{00000000-0008-0000-0300-000061080000}"/>
                  </a:ext>
                </a:extLst>
              </xdr:cNvPr>
              <xdr:cNvSpPr/>
            </xdr:nvSpPr>
            <xdr:spPr bwMode="auto">
              <a:xfrm>
                <a:off x="9906000" y="2942166"/>
                <a:ext cx="288000" cy="28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X</a:t>
                </a:r>
              </a:p>
            </xdr:txBody>
          </xdr:sp>
        </mc:Choice>
        <mc:Fallback/>
      </mc:AlternateContent>
      <xdr:sp macro="[0]!dummyFunc" textlink="">
        <xdr:nvSpPr>
          <xdr:cNvPr id="22" name="DbgShadowBox" hidden="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 bwMode="auto">
          <a:xfrm>
            <a:off x="1981200" y="2571750"/>
            <a:ext cx="8218800" cy="287179"/>
          </a:xfrm>
          <a:prstGeom prst="rect">
            <a:avLst/>
          </a:prstGeom>
          <a:solidFill>
            <a:schemeClr val="bg1"/>
          </a:solidFill>
          <a:ln w="1270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l" rtl="0">
              <a:defRPr sz="1000"/>
            </a:pPr>
            <a:r>
              <a:rPr lang="en-GB" sz="1050" b="0" i="0" u="none" strike="noStrike" baseline="0">
                <a:solidFill>
                  <a:srgbClr val="1F497D"/>
                </a:solidFill>
                <a:latin typeface="Calibri"/>
                <a:ea typeface="+mn-ea"/>
                <a:cs typeface="+mn-cs"/>
              </a:rPr>
              <a:t>Left Click On the Fund Groups on the left hand side to Add/remove in chart (max 5 selections)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6" name="Drop Down 108" hidden="1">
                <a:extLst>
                  <a:ext uri="{63B3BB69-23CF-44E3-9099-C40C66FF867C}">
                    <a14:compatExt spid="_x0000_s2156"/>
                  </a:ext>
                  <a:ext uri="{FF2B5EF4-FFF2-40B4-BE49-F238E27FC236}">
                    <a16:creationId xmlns:a16="http://schemas.microsoft.com/office/drawing/2014/main" id="{00000000-0008-0000-0300-00006C080000}"/>
                  </a:ext>
                </a:extLst>
              </xdr:cNvPr>
              <xdr:cNvSpPr/>
            </xdr:nvSpPr>
            <xdr:spPr bwMode="auto">
              <a:xfrm>
                <a:off x="2657473" y="2981325"/>
                <a:ext cx="1548000" cy="1904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5</xdr:row>
          <xdr:rowOff>88900</xdr:rowOff>
        </xdr:from>
        <xdr:to>
          <xdr:col>6</xdr:col>
          <xdr:colOff>0</xdr:colOff>
          <xdr:row>6</xdr:row>
          <xdr:rowOff>177800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3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Compare Flows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88900</xdr:rowOff>
        </xdr:from>
        <xdr:to>
          <xdr:col>2</xdr:col>
          <xdr:colOff>279400</xdr:colOff>
          <xdr:row>6</xdr:row>
          <xdr:rowOff>177800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3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5</xdr:row>
          <xdr:rowOff>88900</xdr:rowOff>
        </xdr:from>
        <xdr:to>
          <xdr:col>4</xdr:col>
          <xdr:colOff>12700</xdr:colOff>
          <xdr:row>6</xdr:row>
          <xdr:rowOff>177800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3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171451</xdr:colOff>
      <xdr:row>12</xdr:row>
      <xdr:rowOff>123825</xdr:rowOff>
    </xdr:from>
    <xdr:to>
      <xdr:col>18</xdr:col>
      <xdr:colOff>314326</xdr:colOff>
      <xdr:row>23</xdr:row>
      <xdr:rowOff>133350</xdr:rowOff>
    </xdr:to>
    <xdr:graphicFrame macro="">
      <xdr:nvGraphicFramePr>
        <xdr:cNvPr id="2" name="NextLevelCusto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293675</xdr:colOff>
      <xdr:row>1</xdr:row>
      <xdr:rowOff>0</xdr:rowOff>
    </xdr:from>
    <xdr:to>
      <xdr:col>17</xdr:col>
      <xdr:colOff>381305</xdr:colOff>
      <xdr:row>4</xdr:row>
      <xdr:rowOff>0</xdr:rowOff>
    </xdr:to>
    <xdr:pic>
      <xdr:nvPicPr>
        <xdr:cNvPr id="4" name="BannerTitl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2925" y="57150"/>
          <a:ext cx="9098280" cy="571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171451</xdr:colOff>
      <xdr:row>12</xdr:row>
      <xdr:rowOff>123825</xdr:rowOff>
    </xdr:from>
    <xdr:to>
      <xdr:col>18</xdr:col>
      <xdr:colOff>314326</xdr:colOff>
      <xdr:row>23</xdr:row>
      <xdr:rowOff>133350</xdr:rowOff>
    </xdr:to>
    <xdr:graphicFrame macro="">
      <xdr:nvGraphicFramePr>
        <xdr:cNvPr id="2" name="NextLevelCustom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316230</xdr:colOff>
      <xdr:row>3</xdr:row>
      <xdr:rowOff>182880</xdr:rowOff>
    </xdr:to>
    <xdr:pic>
      <xdr:nvPicPr>
        <xdr:cNvPr id="3" name="Bloomber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293675</xdr:colOff>
      <xdr:row>1</xdr:row>
      <xdr:rowOff>0</xdr:rowOff>
    </xdr:from>
    <xdr:to>
      <xdr:col>17</xdr:col>
      <xdr:colOff>381305</xdr:colOff>
      <xdr:row>4</xdr:row>
      <xdr:rowOff>0</xdr:rowOff>
    </xdr:to>
    <xdr:pic>
      <xdr:nvPicPr>
        <xdr:cNvPr id="4" name="BannerTitl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925" y="57150"/>
          <a:ext cx="909828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undList"/>
  <dimension ref="B1:E3011"/>
  <sheetViews>
    <sheetView showGridLines="0" showRowColHeaders="0" zoomScaleNormal="100" workbookViewId="0">
      <pane ySplit="9" topLeftCell="A10" activePane="bottomLeft" state="frozen"/>
      <selection pane="bottomLeft" activeCell="C10" sqref="C10"/>
    </sheetView>
  </sheetViews>
  <sheetFormatPr baseColWidth="10" defaultColWidth="9.1640625" defaultRowHeight="15" x14ac:dyDescent="0.2"/>
  <cols>
    <col min="1" max="1" width="1.6640625" style="84" customWidth="1"/>
    <col min="2" max="2" width="5.33203125" style="84" customWidth="1"/>
    <col min="3" max="3" width="23" style="85" customWidth="1"/>
    <col min="4" max="4" width="1.6640625" style="84" customWidth="1"/>
    <col min="5" max="16384" width="9.1640625" style="84"/>
  </cols>
  <sheetData>
    <row r="1" spans="2:5" ht="5" customHeight="1" x14ac:dyDescent="0.2"/>
    <row r="2" spans="2:5" x14ac:dyDescent="0.2">
      <c r="C2" t="s">
        <v>7395</v>
      </c>
    </row>
    <row r="5" spans="2:5" ht="5" customHeight="1" x14ac:dyDescent="0.2"/>
    <row r="6" spans="2:5" ht="5" customHeight="1" x14ac:dyDescent="0.2">
      <c r="C6" s="84"/>
    </row>
    <row r="9" spans="2:5" x14ac:dyDescent="0.2">
      <c r="B9" s="156"/>
      <c r="C9" s="144" t="s">
        <v>10</v>
      </c>
      <c r="E9" s="165" t="s">
        <v>7466</v>
      </c>
    </row>
    <row r="10" spans="2:5" x14ac:dyDescent="0.2">
      <c r="B10" s="142">
        <v>1</v>
      </c>
      <c r="C10" s="143" t="s">
        <v>7508</v>
      </c>
    </row>
    <row r="11" spans="2:5" x14ac:dyDescent="0.2">
      <c r="B11" s="157">
        <v>2</v>
      </c>
      <c r="C11" s="158" t="s">
        <v>7509</v>
      </c>
    </row>
    <row r="12" spans="2:5" x14ac:dyDescent="0.2">
      <c r="B12" s="155">
        <v>3</v>
      </c>
      <c r="C12" s="143" t="s">
        <v>7510</v>
      </c>
    </row>
    <row r="13" spans="2:5" x14ac:dyDescent="0.2">
      <c r="B13" s="142">
        <v>4</v>
      </c>
      <c r="C13" s="143" t="s">
        <v>7511</v>
      </c>
    </row>
    <row r="14" spans="2:5" x14ac:dyDescent="0.2">
      <c r="B14" s="142">
        <v>5</v>
      </c>
      <c r="C14" s="143" t="s">
        <v>7512</v>
      </c>
    </row>
    <row r="15" spans="2:5" x14ac:dyDescent="0.2">
      <c r="B15" s="142">
        <v>6</v>
      </c>
      <c r="C15" s="143" t="s">
        <v>7516</v>
      </c>
    </row>
    <row r="16" spans="2:5" x14ac:dyDescent="0.2">
      <c r="B16" s="142">
        <v>7</v>
      </c>
      <c r="C16" s="143" t="s">
        <v>7515</v>
      </c>
    </row>
    <row r="17" spans="2:3" x14ac:dyDescent="0.2">
      <c r="B17" s="142">
        <v>8</v>
      </c>
      <c r="C17" s="143" t="s">
        <v>7513</v>
      </c>
    </row>
    <row r="18" spans="2:3" x14ac:dyDescent="0.2">
      <c r="B18" s="142">
        <v>9</v>
      </c>
      <c r="C18" s="143" t="s">
        <v>7518</v>
      </c>
    </row>
    <row r="19" spans="2:3" x14ac:dyDescent="0.2">
      <c r="B19" s="142">
        <v>10</v>
      </c>
      <c r="C19" s="143" t="s">
        <v>7525</v>
      </c>
    </row>
    <row r="20" spans="2:3" x14ac:dyDescent="0.2">
      <c r="B20" s="142">
        <v>11</v>
      </c>
      <c r="C20" s="143" t="s">
        <v>7522</v>
      </c>
    </row>
    <row r="21" spans="2:3" x14ac:dyDescent="0.2">
      <c r="B21" s="142">
        <v>12</v>
      </c>
      <c r="C21" s="143" t="s">
        <v>7526</v>
      </c>
    </row>
    <row r="22" spans="2:3" x14ac:dyDescent="0.2">
      <c r="B22" s="142">
        <v>13</v>
      </c>
      <c r="C22" s="143" t="s">
        <v>7524</v>
      </c>
    </row>
    <row r="23" spans="2:3" x14ac:dyDescent="0.2">
      <c r="B23" s="142">
        <v>14</v>
      </c>
      <c r="C23" s="143" t="s">
        <v>7523</v>
      </c>
    </row>
    <row r="24" spans="2:3" x14ac:dyDescent="0.2">
      <c r="B24" s="142">
        <v>15</v>
      </c>
      <c r="C24" s="143" t="s">
        <v>7517</v>
      </c>
    </row>
    <row r="25" spans="2:3" x14ac:dyDescent="0.2">
      <c r="B25" s="142">
        <v>16</v>
      </c>
      <c r="C25" s="143" t="s">
        <v>7520</v>
      </c>
    </row>
    <row r="26" spans="2:3" x14ac:dyDescent="0.2">
      <c r="B26" s="142">
        <v>17</v>
      </c>
      <c r="C26" s="143" t="s">
        <v>7519</v>
      </c>
    </row>
    <row r="27" spans="2:3" x14ac:dyDescent="0.2">
      <c r="B27" s="142">
        <v>18</v>
      </c>
      <c r="C27" s="143" t="s">
        <v>7514</v>
      </c>
    </row>
    <row r="28" spans="2:3" x14ac:dyDescent="0.2">
      <c r="B28" s="142">
        <v>19</v>
      </c>
      <c r="C28" s="143" t="s">
        <v>7533</v>
      </c>
    </row>
    <row r="29" spans="2:3" x14ac:dyDescent="0.2">
      <c r="B29" s="142">
        <v>20</v>
      </c>
      <c r="C29" s="143" t="s">
        <v>7521</v>
      </c>
    </row>
    <row r="30" spans="2:3" x14ac:dyDescent="0.2">
      <c r="B30" s="142">
        <v>21</v>
      </c>
      <c r="C30" s="143" t="s">
        <v>7528</v>
      </c>
    </row>
    <row r="31" spans="2:3" x14ac:dyDescent="0.2">
      <c r="B31" s="142">
        <v>22</v>
      </c>
      <c r="C31" s="143" t="s">
        <v>7527</v>
      </c>
    </row>
    <row r="32" spans="2:3" x14ac:dyDescent="0.2">
      <c r="B32" s="142">
        <v>23</v>
      </c>
      <c r="C32" s="143" t="s">
        <v>7530</v>
      </c>
    </row>
    <row r="33" spans="2:3" x14ac:dyDescent="0.2">
      <c r="B33" s="142">
        <v>24</v>
      </c>
      <c r="C33" s="143" t="s">
        <v>7537</v>
      </c>
    </row>
    <row r="34" spans="2:3" x14ac:dyDescent="0.2">
      <c r="B34" s="142">
        <v>25</v>
      </c>
      <c r="C34" s="143" t="s">
        <v>7529</v>
      </c>
    </row>
    <row r="35" spans="2:3" x14ac:dyDescent="0.2">
      <c r="B35" s="142">
        <v>26</v>
      </c>
      <c r="C35" s="143" t="s">
        <v>7534</v>
      </c>
    </row>
    <row r="36" spans="2:3" x14ac:dyDescent="0.2">
      <c r="B36" s="142">
        <v>27</v>
      </c>
      <c r="C36" s="143" t="s">
        <v>7860</v>
      </c>
    </row>
    <row r="37" spans="2:3" x14ac:dyDescent="0.2">
      <c r="B37" s="142">
        <v>28</v>
      </c>
      <c r="C37" s="143" t="s">
        <v>7924</v>
      </c>
    </row>
    <row r="38" spans="2:3" x14ac:dyDescent="0.2">
      <c r="B38" s="142">
        <v>29</v>
      </c>
      <c r="C38" s="143" t="s">
        <v>7535</v>
      </c>
    </row>
    <row r="39" spans="2:3" x14ac:dyDescent="0.2">
      <c r="B39" s="142">
        <v>30</v>
      </c>
      <c r="C39" s="143" t="s">
        <v>7532</v>
      </c>
    </row>
    <row r="40" spans="2:3" x14ac:dyDescent="0.2">
      <c r="B40" s="142">
        <v>31</v>
      </c>
      <c r="C40" s="143" t="s">
        <v>7550</v>
      </c>
    </row>
    <row r="41" spans="2:3" x14ac:dyDescent="0.2">
      <c r="B41" s="142">
        <v>32</v>
      </c>
      <c r="C41" s="143" t="s">
        <v>7542</v>
      </c>
    </row>
    <row r="42" spans="2:3" x14ac:dyDescent="0.2">
      <c r="B42" s="142">
        <v>33</v>
      </c>
      <c r="C42" s="143" t="s">
        <v>7562</v>
      </c>
    </row>
    <row r="43" spans="2:3" x14ac:dyDescent="0.2">
      <c r="B43" s="142">
        <v>34</v>
      </c>
      <c r="C43" s="143" t="s">
        <v>7544</v>
      </c>
    </row>
    <row r="44" spans="2:3" x14ac:dyDescent="0.2">
      <c r="B44" s="142">
        <v>35</v>
      </c>
      <c r="C44" s="143" t="s">
        <v>7543</v>
      </c>
    </row>
    <row r="45" spans="2:3" x14ac:dyDescent="0.2">
      <c r="B45" s="142">
        <v>36</v>
      </c>
      <c r="C45" s="143" t="s">
        <v>7551</v>
      </c>
    </row>
    <row r="46" spans="2:3" x14ac:dyDescent="0.2">
      <c r="B46" s="142">
        <v>37</v>
      </c>
      <c r="C46" s="143" t="s">
        <v>7548</v>
      </c>
    </row>
    <row r="47" spans="2:3" x14ac:dyDescent="0.2">
      <c r="B47" s="142">
        <v>38</v>
      </c>
      <c r="C47" s="143" t="s">
        <v>7560</v>
      </c>
    </row>
    <row r="48" spans="2:3" x14ac:dyDescent="0.2">
      <c r="B48" s="142">
        <v>39</v>
      </c>
      <c r="C48" s="143" t="s">
        <v>7539</v>
      </c>
    </row>
    <row r="49" spans="2:3" x14ac:dyDescent="0.2">
      <c r="B49" s="142">
        <v>40</v>
      </c>
      <c r="C49" s="143" t="s">
        <v>7538</v>
      </c>
    </row>
    <row r="50" spans="2:3" x14ac:dyDescent="0.2">
      <c r="B50" s="142">
        <v>41</v>
      </c>
      <c r="C50" s="143" t="s">
        <v>7536</v>
      </c>
    </row>
    <row r="51" spans="2:3" x14ac:dyDescent="0.2">
      <c r="B51" s="142">
        <v>42</v>
      </c>
      <c r="C51" s="143" t="s">
        <v>7558</v>
      </c>
    </row>
    <row r="52" spans="2:3" x14ac:dyDescent="0.2">
      <c r="B52" s="142">
        <v>43</v>
      </c>
      <c r="C52" s="143" t="s">
        <v>7540</v>
      </c>
    </row>
    <row r="53" spans="2:3" x14ac:dyDescent="0.2">
      <c r="B53" s="142">
        <v>44</v>
      </c>
      <c r="C53" s="143" t="s">
        <v>7541</v>
      </c>
    </row>
    <row r="54" spans="2:3" x14ac:dyDescent="0.2">
      <c r="B54" s="142">
        <v>45</v>
      </c>
      <c r="C54" s="143" t="s">
        <v>7561</v>
      </c>
    </row>
    <row r="55" spans="2:3" x14ac:dyDescent="0.2">
      <c r="B55" s="142">
        <v>46</v>
      </c>
      <c r="C55" s="143" t="s">
        <v>7549</v>
      </c>
    </row>
    <row r="56" spans="2:3" x14ac:dyDescent="0.2">
      <c r="B56" s="142">
        <v>47</v>
      </c>
      <c r="C56" s="143" t="s">
        <v>7555</v>
      </c>
    </row>
    <row r="57" spans="2:3" x14ac:dyDescent="0.2">
      <c r="B57" s="142">
        <v>48</v>
      </c>
      <c r="C57" s="143" t="s">
        <v>7859</v>
      </c>
    </row>
    <row r="58" spans="2:3" x14ac:dyDescent="0.2">
      <c r="B58" s="142">
        <v>49</v>
      </c>
      <c r="C58" s="143" t="s">
        <v>7547</v>
      </c>
    </row>
    <row r="59" spans="2:3" x14ac:dyDescent="0.2">
      <c r="B59" s="142">
        <v>50</v>
      </c>
      <c r="C59" s="143" t="s">
        <v>7546</v>
      </c>
    </row>
    <row r="60" spans="2:3" x14ac:dyDescent="0.2">
      <c r="B60" s="142">
        <v>51</v>
      </c>
      <c r="C60" s="143" t="s">
        <v>7556</v>
      </c>
    </row>
    <row r="61" spans="2:3" x14ac:dyDescent="0.2">
      <c r="B61" s="142">
        <v>52</v>
      </c>
      <c r="C61" s="143" t="s">
        <v>7553</v>
      </c>
    </row>
    <row r="62" spans="2:3" x14ac:dyDescent="0.2">
      <c r="B62" s="142">
        <v>53</v>
      </c>
      <c r="C62" s="143" t="s">
        <v>7552</v>
      </c>
    </row>
    <row r="63" spans="2:3" x14ac:dyDescent="0.2">
      <c r="B63" s="142">
        <v>54</v>
      </c>
      <c r="C63" s="143" t="s">
        <v>7565</v>
      </c>
    </row>
    <row r="64" spans="2:3" x14ac:dyDescent="0.2">
      <c r="B64" s="142">
        <v>55</v>
      </c>
      <c r="C64" s="143" t="s">
        <v>7574</v>
      </c>
    </row>
    <row r="65" spans="2:3" x14ac:dyDescent="0.2">
      <c r="B65" s="142">
        <v>56</v>
      </c>
      <c r="C65" s="143" t="s">
        <v>7545</v>
      </c>
    </row>
    <row r="66" spans="2:3" x14ac:dyDescent="0.2">
      <c r="B66" s="142">
        <v>57</v>
      </c>
      <c r="C66" s="143" t="s">
        <v>7557</v>
      </c>
    </row>
    <row r="67" spans="2:3" x14ac:dyDescent="0.2">
      <c r="B67" s="142">
        <v>58</v>
      </c>
      <c r="C67" s="143" t="s">
        <v>7568</v>
      </c>
    </row>
    <row r="68" spans="2:3" x14ac:dyDescent="0.2">
      <c r="B68" s="142">
        <v>59</v>
      </c>
      <c r="C68" s="143" t="s">
        <v>7570</v>
      </c>
    </row>
    <row r="69" spans="2:3" x14ac:dyDescent="0.2">
      <c r="B69" s="142">
        <v>60</v>
      </c>
      <c r="C69" s="143" t="s">
        <v>7563</v>
      </c>
    </row>
    <row r="70" spans="2:3" x14ac:dyDescent="0.2">
      <c r="B70" s="142">
        <v>61</v>
      </c>
      <c r="C70" s="143" t="s">
        <v>7567</v>
      </c>
    </row>
    <row r="71" spans="2:3" x14ac:dyDescent="0.2">
      <c r="B71" s="142">
        <v>62</v>
      </c>
      <c r="C71" s="143" t="s">
        <v>7531</v>
      </c>
    </row>
    <row r="72" spans="2:3" x14ac:dyDescent="0.2">
      <c r="B72" s="142">
        <v>63</v>
      </c>
      <c r="C72" s="143" t="s">
        <v>7577</v>
      </c>
    </row>
    <row r="73" spans="2:3" x14ac:dyDescent="0.2">
      <c r="B73" s="142">
        <v>64</v>
      </c>
      <c r="C73" s="143" t="s">
        <v>7554</v>
      </c>
    </row>
    <row r="74" spans="2:3" x14ac:dyDescent="0.2">
      <c r="B74" s="142">
        <v>65</v>
      </c>
      <c r="C74" s="143" t="s">
        <v>7596</v>
      </c>
    </row>
    <row r="75" spans="2:3" x14ac:dyDescent="0.2">
      <c r="B75" s="142">
        <v>66</v>
      </c>
      <c r="C75" s="143" t="s">
        <v>7575</v>
      </c>
    </row>
    <row r="76" spans="2:3" x14ac:dyDescent="0.2">
      <c r="B76" s="142">
        <v>67</v>
      </c>
      <c r="C76" s="143" t="s">
        <v>7582</v>
      </c>
    </row>
    <row r="77" spans="2:3" x14ac:dyDescent="0.2">
      <c r="B77" s="142">
        <v>68</v>
      </c>
      <c r="C77" s="143" t="s">
        <v>7579</v>
      </c>
    </row>
    <row r="78" spans="2:3" x14ac:dyDescent="0.2">
      <c r="B78" s="142">
        <v>69</v>
      </c>
      <c r="C78" s="143" t="s">
        <v>7861</v>
      </c>
    </row>
    <row r="79" spans="2:3" x14ac:dyDescent="0.2">
      <c r="B79" s="142">
        <v>70</v>
      </c>
      <c r="C79" s="143" t="s">
        <v>7588</v>
      </c>
    </row>
    <row r="80" spans="2:3" x14ac:dyDescent="0.2">
      <c r="B80" s="142">
        <v>71</v>
      </c>
      <c r="C80" s="143" t="s">
        <v>7578</v>
      </c>
    </row>
    <row r="81" spans="2:3" x14ac:dyDescent="0.2">
      <c r="B81" s="142">
        <v>72</v>
      </c>
      <c r="C81" s="143" t="s">
        <v>7569</v>
      </c>
    </row>
    <row r="82" spans="2:3" x14ac:dyDescent="0.2">
      <c r="B82" s="142">
        <v>73</v>
      </c>
      <c r="C82" s="143" t="s">
        <v>7589</v>
      </c>
    </row>
    <row r="83" spans="2:3" x14ac:dyDescent="0.2">
      <c r="B83" s="142">
        <v>74</v>
      </c>
      <c r="C83" s="143" t="s">
        <v>7610</v>
      </c>
    </row>
    <row r="84" spans="2:3" x14ac:dyDescent="0.2">
      <c r="B84" s="142">
        <v>75</v>
      </c>
      <c r="C84" s="143" t="s">
        <v>7559</v>
      </c>
    </row>
    <row r="85" spans="2:3" x14ac:dyDescent="0.2">
      <c r="B85" s="142">
        <v>76</v>
      </c>
      <c r="C85" s="143" t="s">
        <v>7593</v>
      </c>
    </row>
    <row r="86" spans="2:3" x14ac:dyDescent="0.2">
      <c r="B86" s="142">
        <v>77</v>
      </c>
      <c r="C86" s="143" t="s">
        <v>7599</v>
      </c>
    </row>
    <row r="87" spans="2:3" x14ac:dyDescent="0.2">
      <c r="B87" s="142">
        <v>78</v>
      </c>
      <c r="C87" s="143" t="s">
        <v>7580</v>
      </c>
    </row>
    <row r="88" spans="2:3" x14ac:dyDescent="0.2">
      <c r="B88" s="142">
        <v>79</v>
      </c>
      <c r="C88" s="143" t="s">
        <v>7594</v>
      </c>
    </row>
    <row r="89" spans="2:3" x14ac:dyDescent="0.2">
      <c r="B89" s="142">
        <v>80</v>
      </c>
      <c r="C89" s="143" t="s">
        <v>7633</v>
      </c>
    </row>
    <row r="90" spans="2:3" x14ac:dyDescent="0.2">
      <c r="B90" s="142">
        <v>81</v>
      </c>
      <c r="C90" s="143" t="s">
        <v>7587</v>
      </c>
    </row>
    <row r="91" spans="2:3" x14ac:dyDescent="0.2">
      <c r="B91" s="142">
        <v>82</v>
      </c>
      <c r="C91" s="143" t="s">
        <v>7585</v>
      </c>
    </row>
    <row r="92" spans="2:3" x14ac:dyDescent="0.2">
      <c r="B92" s="142">
        <v>83</v>
      </c>
      <c r="C92" s="143" t="s">
        <v>7571</v>
      </c>
    </row>
    <row r="93" spans="2:3" x14ac:dyDescent="0.2">
      <c r="B93" s="142">
        <v>84</v>
      </c>
      <c r="C93" s="143" t="s">
        <v>7564</v>
      </c>
    </row>
    <row r="94" spans="2:3" x14ac:dyDescent="0.2">
      <c r="B94" s="142">
        <v>85</v>
      </c>
      <c r="C94" s="143" t="s">
        <v>7592</v>
      </c>
    </row>
    <row r="95" spans="2:3" x14ac:dyDescent="0.2">
      <c r="B95" s="142">
        <v>86</v>
      </c>
      <c r="C95" s="143" t="s">
        <v>7595</v>
      </c>
    </row>
    <row r="96" spans="2:3" x14ac:dyDescent="0.2">
      <c r="B96" s="142">
        <v>87</v>
      </c>
      <c r="C96" s="143" t="s">
        <v>7581</v>
      </c>
    </row>
    <row r="97" spans="2:3" x14ac:dyDescent="0.2">
      <c r="B97" s="142">
        <v>88</v>
      </c>
      <c r="C97" s="143" t="s">
        <v>7601</v>
      </c>
    </row>
    <row r="98" spans="2:3" x14ac:dyDescent="0.2">
      <c r="B98" s="142">
        <v>89</v>
      </c>
      <c r="C98" s="143" t="s">
        <v>7600</v>
      </c>
    </row>
    <row r="99" spans="2:3" x14ac:dyDescent="0.2">
      <c r="B99" s="142">
        <v>90</v>
      </c>
      <c r="C99" s="143" t="s">
        <v>7598</v>
      </c>
    </row>
    <row r="100" spans="2:3" x14ac:dyDescent="0.2">
      <c r="B100" s="142">
        <v>91</v>
      </c>
      <c r="C100" s="143" t="s">
        <v>7586</v>
      </c>
    </row>
    <row r="101" spans="2:3" x14ac:dyDescent="0.2">
      <c r="B101" s="142">
        <v>92</v>
      </c>
      <c r="C101" s="143" t="s">
        <v>7863</v>
      </c>
    </row>
    <row r="102" spans="2:3" x14ac:dyDescent="0.2">
      <c r="B102" s="142">
        <v>93</v>
      </c>
      <c r="C102" s="143" t="s">
        <v>7864</v>
      </c>
    </row>
    <row r="103" spans="2:3" x14ac:dyDescent="0.2">
      <c r="B103" s="142">
        <v>94</v>
      </c>
      <c r="C103" s="143" t="s">
        <v>7566</v>
      </c>
    </row>
    <row r="104" spans="2:3" x14ac:dyDescent="0.2">
      <c r="B104" s="142">
        <v>95</v>
      </c>
      <c r="C104" s="143" t="s">
        <v>7862</v>
      </c>
    </row>
    <row r="105" spans="2:3" x14ac:dyDescent="0.2">
      <c r="B105" s="142">
        <v>96</v>
      </c>
      <c r="C105" s="143" t="s">
        <v>7583</v>
      </c>
    </row>
    <row r="106" spans="2:3" x14ac:dyDescent="0.2">
      <c r="B106" s="142">
        <v>97</v>
      </c>
      <c r="C106" s="143" t="s">
        <v>7869</v>
      </c>
    </row>
    <row r="107" spans="2:3" x14ac:dyDescent="0.2">
      <c r="B107" s="142">
        <v>98</v>
      </c>
      <c r="C107" s="143" t="s">
        <v>7603</v>
      </c>
    </row>
    <row r="108" spans="2:3" x14ac:dyDescent="0.2">
      <c r="B108" s="142">
        <v>99</v>
      </c>
      <c r="C108" s="143" t="s">
        <v>7871</v>
      </c>
    </row>
    <row r="109" spans="2:3" x14ac:dyDescent="0.2">
      <c r="B109" s="142">
        <v>100</v>
      </c>
      <c r="C109" s="143" t="s">
        <v>7572</v>
      </c>
    </row>
    <row r="110" spans="2:3" x14ac:dyDescent="0.2">
      <c r="B110" s="142">
        <v>101</v>
      </c>
      <c r="C110" s="143" t="s">
        <v>7605</v>
      </c>
    </row>
    <row r="111" spans="2:3" x14ac:dyDescent="0.2">
      <c r="B111" s="142">
        <v>102</v>
      </c>
      <c r="C111" s="143" t="s">
        <v>7604</v>
      </c>
    </row>
    <row r="112" spans="2:3" x14ac:dyDescent="0.2">
      <c r="B112" s="142">
        <v>103</v>
      </c>
      <c r="C112" s="143" t="s">
        <v>7639</v>
      </c>
    </row>
    <row r="113" spans="2:3" x14ac:dyDescent="0.2">
      <c r="B113" s="142">
        <v>104</v>
      </c>
      <c r="C113" s="143" t="s">
        <v>7597</v>
      </c>
    </row>
    <row r="114" spans="2:3" x14ac:dyDescent="0.2">
      <c r="B114" s="142">
        <v>105</v>
      </c>
      <c r="C114" s="143" t="s">
        <v>7865</v>
      </c>
    </row>
    <row r="115" spans="2:3" x14ac:dyDescent="0.2">
      <c r="B115" s="142">
        <v>106</v>
      </c>
      <c r="C115" s="143" t="s">
        <v>7613</v>
      </c>
    </row>
    <row r="116" spans="2:3" x14ac:dyDescent="0.2">
      <c r="B116" s="142">
        <v>107</v>
      </c>
      <c r="C116" s="143" t="s">
        <v>7618</v>
      </c>
    </row>
    <row r="117" spans="2:3" x14ac:dyDescent="0.2">
      <c r="B117" s="142">
        <v>108</v>
      </c>
      <c r="C117" s="143" t="s">
        <v>7614</v>
      </c>
    </row>
    <row r="118" spans="2:3" x14ac:dyDescent="0.2">
      <c r="B118" s="142">
        <v>109</v>
      </c>
      <c r="C118" s="143" t="s">
        <v>7612</v>
      </c>
    </row>
    <row r="119" spans="2:3" x14ac:dyDescent="0.2">
      <c r="B119" s="142">
        <v>110</v>
      </c>
      <c r="C119" s="143" t="s">
        <v>7625</v>
      </c>
    </row>
    <row r="120" spans="2:3" x14ac:dyDescent="0.2">
      <c r="B120" s="142">
        <v>111</v>
      </c>
      <c r="C120" s="143" t="s">
        <v>7606</v>
      </c>
    </row>
    <row r="121" spans="2:3" x14ac:dyDescent="0.2">
      <c r="B121" s="142">
        <v>112</v>
      </c>
      <c r="C121" s="143" t="s">
        <v>7584</v>
      </c>
    </row>
    <row r="122" spans="2:3" x14ac:dyDescent="0.2">
      <c r="B122" s="142">
        <v>113</v>
      </c>
      <c r="C122" s="143" t="s">
        <v>7620</v>
      </c>
    </row>
    <row r="123" spans="2:3" x14ac:dyDescent="0.2">
      <c r="B123" s="142">
        <v>114</v>
      </c>
      <c r="C123" s="143" t="s">
        <v>7590</v>
      </c>
    </row>
    <row r="124" spans="2:3" x14ac:dyDescent="0.2">
      <c r="B124" s="142">
        <v>115</v>
      </c>
      <c r="C124" s="143" t="s">
        <v>7626</v>
      </c>
    </row>
    <row r="125" spans="2:3" x14ac:dyDescent="0.2">
      <c r="B125" s="142">
        <v>116</v>
      </c>
      <c r="C125" s="143" t="s">
        <v>7621</v>
      </c>
    </row>
    <row r="126" spans="2:3" x14ac:dyDescent="0.2">
      <c r="B126" s="142">
        <v>117</v>
      </c>
      <c r="C126" s="143" t="s">
        <v>7631</v>
      </c>
    </row>
    <row r="127" spans="2:3" x14ac:dyDescent="0.2">
      <c r="B127" s="142">
        <v>118</v>
      </c>
      <c r="C127" s="143" t="s">
        <v>7611</v>
      </c>
    </row>
    <row r="128" spans="2:3" x14ac:dyDescent="0.2">
      <c r="B128" s="142">
        <v>119</v>
      </c>
      <c r="C128" s="143" t="s">
        <v>7607</v>
      </c>
    </row>
    <row r="129" spans="2:3" x14ac:dyDescent="0.2">
      <c r="B129" s="142">
        <v>120</v>
      </c>
      <c r="C129" s="143" t="s">
        <v>7617</v>
      </c>
    </row>
    <row r="130" spans="2:3" x14ac:dyDescent="0.2">
      <c r="B130" s="142">
        <v>121</v>
      </c>
      <c r="C130" s="143" t="s">
        <v>7628</v>
      </c>
    </row>
    <row r="131" spans="2:3" x14ac:dyDescent="0.2">
      <c r="B131" s="142">
        <v>122</v>
      </c>
      <c r="C131" s="143" t="s">
        <v>7615</v>
      </c>
    </row>
    <row r="132" spans="2:3" x14ac:dyDescent="0.2">
      <c r="B132" s="142">
        <v>123</v>
      </c>
      <c r="C132" s="143" t="s">
        <v>7591</v>
      </c>
    </row>
    <row r="133" spans="2:3" x14ac:dyDescent="0.2">
      <c r="B133" s="142">
        <v>124</v>
      </c>
      <c r="C133" s="143" t="s">
        <v>7623</v>
      </c>
    </row>
    <row r="134" spans="2:3" x14ac:dyDescent="0.2">
      <c r="B134" s="142">
        <v>125</v>
      </c>
      <c r="C134" s="143" t="s">
        <v>7616</v>
      </c>
    </row>
    <row r="135" spans="2:3" x14ac:dyDescent="0.2">
      <c r="B135" s="142">
        <v>126</v>
      </c>
      <c r="C135" s="143" t="s">
        <v>7608</v>
      </c>
    </row>
    <row r="136" spans="2:3" x14ac:dyDescent="0.2">
      <c r="B136" s="142">
        <v>127</v>
      </c>
      <c r="C136" s="143" t="s">
        <v>7624</v>
      </c>
    </row>
    <row r="137" spans="2:3" x14ac:dyDescent="0.2">
      <c r="B137" s="142">
        <v>128</v>
      </c>
      <c r="C137" s="143" t="s">
        <v>7634</v>
      </c>
    </row>
    <row r="138" spans="2:3" x14ac:dyDescent="0.2">
      <c r="B138" s="142">
        <v>129</v>
      </c>
      <c r="C138" s="143" t="s">
        <v>7573</v>
      </c>
    </row>
    <row r="139" spans="2:3" x14ac:dyDescent="0.2">
      <c r="B139" s="142">
        <v>130</v>
      </c>
      <c r="C139" s="143" t="s">
        <v>7702</v>
      </c>
    </row>
    <row r="140" spans="2:3" x14ac:dyDescent="0.2">
      <c r="B140" s="142">
        <v>131</v>
      </c>
      <c r="C140" s="143" t="s">
        <v>7609</v>
      </c>
    </row>
    <row r="141" spans="2:3" x14ac:dyDescent="0.2">
      <c r="B141" s="142">
        <v>132</v>
      </c>
      <c r="C141" s="143" t="s">
        <v>7835</v>
      </c>
    </row>
    <row r="142" spans="2:3" x14ac:dyDescent="0.2">
      <c r="B142" s="142">
        <v>133</v>
      </c>
      <c r="C142" s="143" t="s">
        <v>7627</v>
      </c>
    </row>
    <row r="143" spans="2:3" x14ac:dyDescent="0.2">
      <c r="B143" s="142">
        <v>134</v>
      </c>
      <c r="C143" s="143" t="s">
        <v>7814</v>
      </c>
    </row>
    <row r="144" spans="2:3" x14ac:dyDescent="0.2">
      <c r="B144" s="142">
        <v>135</v>
      </c>
      <c r="C144" s="143" t="s">
        <v>7868</v>
      </c>
    </row>
    <row r="145" spans="2:3" x14ac:dyDescent="0.2">
      <c r="B145" s="142">
        <v>136</v>
      </c>
      <c r="C145" s="143" t="s">
        <v>7843</v>
      </c>
    </row>
    <row r="146" spans="2:3" x14ac:dyDescent="0.2">
      <c r="B146" s="142">
        <v>137</v>
      </c>
      <c r="C146" s="143" t="s">
        <v>7866</v>
      </c>
    </row>
    <row r="147" spans="2:3" x14ac:dyDescent="0.2">
      <c r="B147" s="142">
        <v>138</v>
      </c>
      <c r="C147" s="143" t="s">
        <v>7867</v>
      </c>
    </row>
    <row r="148" spans="2:3" x14ac:dyDescent="0.2">
      <c r="B148" s="142">
        <v>139</v>
      </c>
      <c r="C148" s="143" t="s">
        <v>7619</v>
      </c>
    </row>
    <row r="149" spans="2:3" x14ac:dyDescent="0.2">
      <c r="B149" s="142">
        <v>140</v>
      </c>
      <c r="C149" s="143" t="s">
        <v>7622</v>
      </c>
    </row>
    <row r="150" spans="2:3" x14ac:dyDescent="0.2">
      <c r="B150" s="142">
        <v>141</v>
      </c>
      <c r="C150" s="143" t="s">
        <v>7632</v>
      </c>
    </row>
    <row r="151" spans="2:3" x14ac:dyDescent="0.2">
      <c r="B151" s="142">
        <v>142</v>
      </c>
      <c r="C151" s="143" t="s">
        <v>7872</v>
      </c>
    </row>
    <row r="152" spans="2:3" x14ac:dyDescent="0.2">
      <c r="B152" s="142">
        <v>143</v>
      </c>
      <c r="C152" s="143" t="s">
        <v>7576</v>
      </c>
    </row>
    <row r="153" spans="2:3" x14ac:dyDescent="0.2">
      <c r="B153" s="142">
        <v>144</v>
      </c>
      <c r="C153" s="143" t="s">
        <v>7714</v>
      </c>
    </row>
    <row r="154" spans="2:3" x14ac:dyDescent="0.2">
      <c r="B154" s="142">
        <v>145</v>
      </c>
      <c r="C154" s="143" t="s">
        <v>7602</v>
      </c>
    </row>
    <row r="155" spans="2:3" x14ac:dyDescent="0.2">
      <c r="B155" s="142">
        <v>146</v>
      </c>
      <c r="C155" s="143" t="s">
        <v>7649</v>
      </c>
    </row>
    <row r="156" spans="2:3" x14ac:dyDescent="0.2">
      <c r="B156" s="142">
        <v>147</v>
      </c>
      <c r="C156" s="143" t="s">
        <v>7689</v>
      </c>
    </row>
    <row r="157" spans="2:3" x14ac:dyDescent="0.2">
      <c r="B157" s="142">
        <v>148</v>
      </c>
      <c r="C157" s="143" t="s">
        <v>7651</v>
      </c>
    </row>
    <row r="158" spans="2:3" x14ac:dyDescent="0.2">
      <c r="B158" s="142">
        <v>149</v>
      </c>
      <c r="C158" s="143" t="s">
        <v>7656</v>
      </c>
    </row>
    <row r="159" spans="2:3" x14ac:dyDescent="0.2">
      <c r="B159" s="142">
        <v>150</v>
      </c>
      <c r="C159" s="143" t="s">
        <v>7662</v>
      </c>
    </row>
    <row r="160" spans="2:3" x14ac:dyDescent="0.2">
      <c r="B160" s="142">
        <v>151</v>
      </c>
      <c r="C160" s="143" t="s">
        <v>7873</v>
      </c>
    </row>
    <row r="161" spans="2:3" x14ac:dyDescent="0.2">
      <c r="B161" s="142">
        <v>152</v>
      </c>
      <c r="C161" s="143" t="s">
        <v>7677</v>
      </c>
    </row>
    <row r="162" spans="2:3" x14ac:dyDescent="0.2">
      <c r="B162" s="142">
        <v>153</v>
      </c>
      <c r="C162" s="143" t="s">
        <v>7638</v>
      </c>
    </row>
    <row r="163" spans="2:3" x14ac:dyDescent="0.2">
      <c r="B163" s="142">
        <v>154</v>
      </c>
      <c r="C163" s="143" t="s">
        <v>7646</v>
      </c>
    </row>
    <row r="164" spans="2:3" x14ac:dyDescent="0.2">
      <c r="B164" s="142">
        <v>155</v>
      </c>
      <c r="C164" s="143" t="s">
        <v>7635</v>
      </c>
    </row>
    <row r="165" spans="2:3" x14ac:dyDescent="0.2">
      <c r="B165" s="142">
        <v>156</v>
      </c>
      <c r="C165" s="143" t="s">
        <v>7672</v>
      </c>
    </row>
    <row r="166" spans="2:3" x14ac:dyDescent="0.2">
      <c r="B166" s="142">
        <v>157</v>
      </c>
      <c r="C166" s="143" t="s">
        <v>7647</v>
      </c>
    </row>
    <row r="167" spans="2:3" x14ac:dyDescent="0.2">
      <c r="B167" s="142">
        <v>158</v>
      </c>
      <c r="C167" s="143" t="s">
        <v>7648</v>
      </c>
    </row>
    <row r="168" spans="2:3" x14ac:dyDescent="0.2">
      <c r="B168" s="142">
        <v>159</v>
      </c>
      <c r="C168" s="143" t="s">
        <v>7682</v>
      </c>
    </row>
    <row r="169" spans="2:3" x14ac:dyDescent="0.2">
      <c r="B169" s="142">
        <v>160</v>
      </c>
      <c r="C169" s="143" t="s">
        <v>7681</v>
      </c>
    </row>
    <row r="170" spans="2:3" x14ac:dyDescent="0.2">
      <c r="B170" s="142">
        <v>161</v>
      </c>
      <c r="C170" s="143" t="s">
        <v>7637</v>
      </c>
    </row>
    <row r="171" spans="2:3" x14ac:dyDescent="0.2">
      <c r="B171" s="142">
        <v>162</v>
      </c>
      <c r="C171" s="143" t="s">
        <v>7636</v>
      </c>
    </row>
    <row r="172" spans="2:3" x14ac:dyDescent="0.2">
      <c r="B172" s="142">
        <v>163</v>
      </c>
      <c r="C172" s="143" t="s">
        <v>7708</v>
      </c>
    </row>
    <row r="173" spans="2:3" x14ac:dyDescent="0.2">
      <c r="B173" s="142">
        <v>164</v>
      </c>
      <c r="C173" s="143" t="s">
        <v>7641</v>
      </c>
    </row>
    <row r="174" spans="2:3" x14ac:dyDescent="0.2">
      <c r="B174" s="142">
        <v>165</v>
      </c>
      <c r="C174" s="143" t="s">
        <v>7673</v>
      </c>
    </row>
    <row r="175" spans="2:3" x14ac:dyDescent="0.2">
      <c r="B175" s="142">
        <v>166</v>
      </c>
      <c r="C175" s="143" t="s">
        <v>7652</v>
      </c>
    </row>
    <row r="176" spans="2:3" x14ac:dyDescent="0.2">
      <c r="B176" s="142">
        <v>167</v>
      </c>
      <c r="C176" s="143" t="s">
        <v>7629</v>
      </c>
    </row>
    <row r="177" spans="2:3" x14ac:dyDescent="0.2">
      <c r="B177" s="142">
        <v>168</v>
      </c>
      <c r="C177" s="143" t="s">
        <v>7663</v>
      </c>
    </row>
    <row r="178" spans="2:3" x14ac:dyDescent="0.2">
      <c r="B178" s="142">
        <v>169</v>
      </c>
      <c r="C178" s="143" t="s">
        <v>7642</v>
      </c>
    </row>
    <row r="179" spans="2:3" x14ac:dyDescent="0.2">
      <c r="B179" s="142">
        <v>170</v>
      </c>
      <c r="C179" s="143" t="s">
        <v>7678</v>
      </c>
    </row>
    <row r="180" spans="2:3" x14ac:dyDescent="0.2">
      <c r="B180" s="142">
        <v>171</v>
      </c>
      <c r="C180" s="143" t="s">
        <v>7645</v>
      </c>
    </row>
    <row r="181" spans="2:3" x14ac:dyDescent="0.2">
      <c r="B181" s="142">
        <v>172</v>
      </c>
      <c r="C181" s="143" t="s">
        <v>7660</v>
      </c>
    </row>
    <row r="182" spans="2:3" x14ac:dyDescent="0.2">
      <c r="B182" s="142">
        <v>173</v>
      </c>
      <c r="C182" s="143" t="s">
        <v>7653</v>
      </c>
    </row>
    <row r="183" spans="2:3" x14ac:dyDescent="0.2">
      <c r="B183" s="142">
        <v>174</v>
      </c>
      <c r="C183" s="143" t="s">
        <v>7888</v>
      </c>
    </row>
    <row r="184" spans="2:3" x14ac:dyDescent="0.2">
      <c r="B184" s="142">
        <v>175</v>
      </c>
      <c r="C184" s="143" t="s">
        <v>7655</v>
      </c>
    </row>
    <row r="185" spans="2:3" x14ac:dyDescent="0.2">
      <c r="B185" s="142">
        <v>176</v>
      </c>
      <c r="C185" s="143" t="s">
        <v>7741</v>
      </c>
    </row>
    <row r="186" spans="2:3" x14ac:dyDescent="0.2">
      <c r="B186" s="142">
        <v>177</v>
      </c>
      <c r="C186" s="143" t="s">
        <v>7676</v>
      </c>
    </row>
    <row r="187" spans="2:3" x14ac:dyDescent="0.2">
      <c r="B187" s="142">
        <v>178</v>
      </c>
      <c r="C187" s="143" t="s">
        <v>7701</v>
      </c>
    </row>
    <row r="188" spans="2:3" x14ac:dyDescent="0.2">
      <c r="B188" s="142">
        <v>179</v>
      </c>
      <c r="C188" s="143" t="s">
        <v>7674</v>
      </c>
    </row>
    <row r="189" spans="2:3" x14ac:dyDescent="0.2">
      <c r="B189" s="142">
        <v>180</v>
      </c>
      <c r="C189" s="143" t="s">
        <v>7669</v>
      </c>
    </row>
    <row r="190" spans="2:3" x14ac:dyDescent="0.2">
      <c r="B190" s="142">
        <v>181</v>
      </c>
      <c r="C190" s="143" t="s">
        <v>7691</v>
      </c>
    </row>
    <row r="191" spans="2:3" x14ac:dyDescent="0.2">
      <c r="B191" s="142">
        <v>182</v>
      </c>
      <c r="C191" s="143" t="s">
        <v>7659</v>
      </c>
    </row>
    <row r="192" spans="2:3" x14ac:dyDescent="0.2">
      <c r="B192" s="142">
        <v>183</v>
      </c>
      <c r="C192" s="143" t="s">
        <v>7690</v>
      </c>
    </row>
    <row r="193" spans="2:3" x14ac:dyDescent="0.2">
      <c r="B193" s="142">
        <v>184</v>
      </c>
      <c r="C193" s="143" t="s">
        <v>7657</v>
      </c>
    </row>
    <row r="194" spans="2:3" x14ac:dyDescent="0.2">
      <c r="B194" s="142">
        <v>185</v>
      </c>
      <c r="C194" s="143" t="s">
        <v>7654</v>
      </c>
    </row>
    <row r="195" spans="2:3" x14ac:dyDescent="0.2">
      <c r="B195" s="142">
        <v>186</v>
      </c>
      <c r="C195" s="143" t="s">
        <v>7775</v>
      </c>
    </row>
    <row r="196" spans="2:3" x14ac:dyDescent="0.2">
      <c r="B196" s="142">
        <v>187</v>
      </c>
      <c r="C196" s="143" t="s">
        <v>7640</v>
      </c>
    </row>
    <row r="197" spans="2:3" x14ac:dyDescent="0.2">
      <c r="B197" s="142">
        <v>188</v>
      </c>
      <c r="C197" s="143" t="s">
        <v>7630</v>
      </c>
    </row>
    <row r="198" spans="2:3" x14ac:dyDescent="0.2">
      <c r="B198" s="142">
        <v>189</v>
      </c>
      <c r="C198" s="143" t="s">
        <v>7743</v>
      </c>
    </row>
    <row r="199" spans="2:3" x14ac:dyDescent="0.2">
      <c r="B199" s="142">
        <v>190</v>
      </c>
      <c r="C199" s="143" t="s">
        <v>7700</v>
      </c>
    </row>
    <row r="200" spans="2:3" x14ac:dyDescent="0.2">
      <c r="B200" s="142">
        <v>191</v>
      </c>
      <c r="C200" s="143" t="s">
        <v>7664</v>
      </c>
    </row>
    <row r="201" spans="2:3" x14ac:dyDescent="0.2">
      <c r="B201" s="142">
        <v>192</v>
      </c>
      <c r="C201" s="143" t="s">
        <v>7693</v>
      </c>
    </row>
    <row r="202" spans="2:3" x14ac:dyDescent="0.2">
      <c r="B202" s="142">
        <v>193</v>
      </c>
      <c r="C202" s="143" t="s">
        <v>7658</v>
      </c>
    </row>
    <row r="203" spans="2:3" x14ac:dyDescent="0.2">
      <c r="B203" s="142">
        <v>194</v>
      </c>
      <c r="C203" s="143" t="s">
        <v>7725</v>
      </c>
    </row>
    <row r="204" spans="2:3" x14ac:dyDescent="0.2">
      <c r="B204" s="142">
        <v>195</v>
      </c>
      <c r="C204" s="143" t="s">
        <v>7667</v>
      </c>
    </row>
    <row r="205" spans="2:3" x14ac:dyDescent="0.2">
      <c r="B205" s="142">
        <v>196</v>
      </c>
      <c r="C205" s="143" t="s">
        <v>7684</v>
      </c>
    </row>
    <row r="206" spans="2:3" x14ac:dyDescent="0.2">
      <c r="B206" s="142">
        <v>197</v>
      </c>
      <c r="C206" s="143" t="s">
        <v>7644</v>
      </c>
    </row>
    <row r="207" spans="2:3" x14ac:dyDescent="0.2">
      <c r="B207" s="142">
        <v>198</v>
      </c>
      <c r="C207" s="143" t="s">
        <v>7679</v>
      </c>
    </row>
    <row r="208" spans="2:3" x14ac:dyDescent="0.2">
      <c r="B208" s="142">
        <v>199</v>
      </c>
      <c r="C208" s="143" t="s">
        <v>7749</v>
      </c>
    </row>
    <row r="209" spans="2:3" x14ac:dyDescent="0.2">
      <c r="B209" s="142">
        <v>200</v>
      </c>
      <c r="C209" s="143" t="s">
        <v>7686</v>
      </c>
    </row>
    <row r="210" spans="2:3" x14ac:dyDescent="0.2">
      <c r="B210" s="142">
        <v>201</v>
      </c>
      <c r="C210" s="143" t="s">
        <v>7715</v>
      </c>
    </row>
    <row r="211" spans="2:3" x14ac:dyDescent="0.2">
      <c r="B211" s="142">
        <v>202</v>
      </c>
      <c r="C211" s="143" t="s">
        <v>7668</v>
      </c>
    </row>
    <row r="212" spans="2:3" x14ac:dyDescent="0.2">
      <c r="B212" s="142">
        <v>203</v>
      </c>
      <c r="C212" s="143" t="s">
        <v>7870</v>
      </c>
    </row>
    <row r="213" spans="2:3" x14ac:dyDescent="0.2">
      <c r="B213" s="142">
        <v>204</v>
      </c>
      <c r="C213" s="143" t="s">
        <v>7695</v>
      </c>
    </row>
    <row r="214" spans="2:3" x14ac:dyDescent="0.2">
      <c r="B214" s="142">
        <v>205</v>
      </c>
      <c r="C214" s="143" t="s">
        <v>7650</v>
      </c>
    </row>
    <row r="215" spans="2:3" x14ac:dyDescent="0.2">
      <c r="B215" s="142">
        <v>206</v>
      </c>
      <c r="C215" s="143" t="s">
        <v>7875</v>
      </c>
    </row>
    <row r="216" spans="2:3" x14ac:dyDescent="0.2">
      <c r="B216" s="142">
        <v>207</v>
      </c>
      <c r="C216" s="143" t="s">
        <v>7719</v>
      </c>
    </row>
    <row r="217" spans="2:3" x14ac:dyDescent="0.2">
      <c r="B217" s="142">
        <v>208</v>
      </c>
      <c r="C217" s="143" t="s">
        <v>7661</v>
      </c>
    </row>
    <row r="218" spans="2:3" x14ac:dyDescent="0.2">
      <c r="B218" s="142">
        <v>209</v>
      </c>
      <c r="C218" s="143" t="s">
        <v>7685</v>
      </c>
    </row>
    <row r="219" spans="2:3" x14ac:dyDescent="0.2">
      <c r="B219" s="142">
        <v>210</v>
      </c>
      <c r="C219" s="143" t="s">
        <v>7698</v>
      </c>
    </row>
    <row r="220" spans="2:3" x14ac:dyDescent="0.2">
      <c r="B220" s="142">
        <v>211</v>
      </c>
      <c r="C220" s="143" t="s">
        <v>7688</v>
      </c>
    </row>
    <row r="221" spans="2:3" x14ac:dyDescent="0.2">
      <c r="B221" s="142">
        <v>212</v>
      </c>
      <c r="C221" s="143" t="s">
        <v>7728</v>
      </c>
    </row>
    <row r="222" spans="2:3" x14ac:dyDescent="0.2">
      <c r="B222" s="142">
        <v>213</v>
      </c>
      <c r="C222" s="143" t="s">
        <v>7750</v>
      </c>
    </row>
    <row r="223" spans="2:3" x14ac:dyDescent="0.2">
      <c r="B223" s="142">
        <v>214</v>
      </c>
      <c r="C223" s="143" t="s">
        <v>7884</v>
      </c>
    </row>
    <row r="224" spans="2:3" x14ac:dyDescent="0.2">
      <c r="B224" s="142">
        <v>215</v>
      </c>
      <c r="C224" s="143" t="s">
        <v>7786</v>
      </c>
    </row>
    <row r="225" spans="2:3" x14ac:dyDescent="0.2">
      <c r="B225" s="142">
        <v>216</v>
      </c>
      <c r="C225" s="143" t="s">
        <v>7885</v>
      </c>
    </row>
    <row r="226" spans="2:3" x14ac:dyDescent="0.2">
      <c r="B226" s="142">
        <v>217</v>
      </c>
      <c r="C226" s="143" t="s">
        <v>7886</v>
      </c>
    </row>
    <row r="227" spans="2:3" x14ac:dyDescent="0.2">
      <c r="B227" s="142">
        <v>218</v>
      </c>
      <c r="C227" s="143" t="s">
        <v>7887</v>
      </c>
    </row>
    <row r="228" spans="2:3" x14ac:dyDescent="0.2">
      <c r="B228" s="142">
        <v>219</v>
      </c>
      <c r="C228" s="143" t="s">
        <v>7675</v>
      </c>
    </row>
    <row r="229" spans="2:3" x14ac:dyDescent="0.2">
      <c r="B229" s="142">
        <v>220</v>
      </c>
      <c r="C229" s="143" t="s">
        <v>7643</v>
      </c>
    </row>
    <row r="230" spans="2:3" x14ac:dyDescent="0.2">
      <c r="B230" s="142">
        <v>221</v>
      </c>
      <c r="C230" s="143" t="s">
        <v>7756</v>
      </c>
    </row>
    <row r="231" spans="2:3" x14ac:dyDescent="0.2">
      <c r="B231" s="142">
        <v>222</v>
      </c>
      <c r="C231" s="143" t="s">
        <v>7705</v>
      </c>
    </row>
    <row r="232" spans="2:3" x14ac:dyDescent="0.2">
      <c r="B232" s="142">
        <v>223</v>
      </c>
      <c r="C232" s="143" t="s">
        <v>7665</v>
      </c>
    </row>
    <row r="233" spans="2:3" x14ac:dyDescent="0.2">
      <c r="B233" s="142">
        <v>224</v>
      </c>
      <c r="C233" s="143" t="s">
        <v>7729</v>
      </c>
    </row>
    <row r="234" spans="2:3" x14ac:dyDescent="0.2">
      <c r="B234" s="142">
        <v>225</v>
      </c>
      <c r="C234" s="143" t="s">
        <v>7732</v>
      </c>
    </row>
    <row r="235" spans="2:3" x14ac:dyDescent="0.2">
      <c r="B235" s="142">
        <v>226</v>
      </c>
      <c r="C235" s="143" t="s">
        <v>7697</v>
      </c>
    </row>
    <row r="236" spans="2:3" x14ac:dyDescent="0.2">
      <c r="B236" s="142">
        <v>227</v>
      </c>
      <c r="C236" s="143" t="s">
        <v>7710</v>
      </c>
    </row>
    <row r="237" spans="2:3" x14ac:dyDescent="0.2">
      <c r="B237" s="142">
        <v>228</v>
      </c>
      <c r="C237" s="143" t="s">
        <v>7721</v>
      </c>
    </row>
    <row r="238" spans="2:3" x14ac:dyDescent="0.2">
      <c r="B238" s="142">
        <v>229</v>
      </c>
      <c r="C238" s="143" t="s">
        <v>7761</v>
      </c>
    </row>
    <row r="239" spans="2:3" x14ac:dyDescent="0.2">
      <c r="B239" s="142">
        <v>230</v>
      </c>
      <c r="C239" s="143" t="s">
        <v>7670</v>
      </c>
    </row>
    <row r="240" spans="2:3" x14ac:dyDescent="0.2">
      <c r="B240" s="142">
        <v>231</v>
      </c>
      <c r="C240" s="143" t="s">
        <v>7881</v>
      </c>
    </row>
    <row r="241" spans="2:3" x14ac:dyDescent="0.2">
      <c r="B241" s="142">
        <v>232</v>
      </c>
      <c r="C241" s="143" t="s">
        <v>7747</v>
      </c>
    </row>
    <row r="242" spans="2:3" x14ac:dyDescent="0.2">
      <c r="B242" s="142">
        <v>233</v>
      </c>
      <c r="C242" s="143" t="s">
        <v>7883</v>
      </c>
    </row>
    <row r="243" spans="2:3" x14ac:dyDescent="0.2">
      <c r="B243" s="142">
        <v>234</v>
      </c>
      <c r="C243" s="143" t="s">
        <v>7787</v>
      </c>
    </row>
    <row r="244" spans="2:3" x14ac:dyDescent="0.2">
      <c r="B244" s="142">
        <v>235</v>
      </c>
      <c r="C244" s="143" t="s">
        <v>7722</v>
      </c>
    </row>
    <row r="245" spans="2:3" x14ac:dyDescent="0.2">
      <c r="B245" s="142">
        <v>236</v>
      </c>
      <c r="C245" s="143" t="s">
        <v>7731</v>
      </c>
    </row>
    <row r="246" spans="2:3" x14ac:dyDescent="0.2">
      <c r="B246" s="142">
        <v>237</v>
      </c>
      <c r="C246" s="143" t="s">
        <v>7687</v>
      </c>
    </row>
    <row r="247" spans="2:3" x14ac:dyDescent="0.2">
      <c r="B247" s="142">
        <v>238</v>
      </c>
      <c r="C247" s="143" t="s">
        <v>7877</v>
      </c>
    </row>
    <row r="248" spans="2:3" x14ac:dyDescent="0.2">
      <c r="B248" s="142">
        <v>239</v>
      </c>
      <c r="C248" s="143" t="s">
        <v>7737</v>
      </c>
    </row>
    <row r="249" spans="2:3" x14ac:dyDescent="0.2">
      <c r="B249" s="142">
        <v>240</v>
      </c>
      <c r="C249" s="143" t="s">
        <v>7880</v>
      </c>
    </row>
    <row r="250" spans="2:3" x14ac:dyDescent="0.2">
      <c r="B250" s="142">
        <v>241</v>
      </c>
      <c r="C250" s="143" t="s">
        <v>7879</v>
      </c>
    </row>
    <row r="251" spans="2:3" x14ac:dyDescent="0.2">
      <c r="B251" s="142">
        <v>242</v>
      </c>
      <c r="C251" s="143" t="s">
        <v>7707</v>
      </c>
    </row>
    <row r="252" spans="2:3" x14ac:dyDescent="0.2">
      <c r="B252" s="142">
        <v>243</v>
      </c>
      <c r="C252" s="143" t="s">
        <v>7753</v>
      </c>
    </row>
    <row r="253" spans="2:3" x14ac:dyDescent="0.2">
      <c r="B253" s="142">
        <v>244</v>
      </c>
      <c r="C253" s="143" t="s">
        <v>7800</v>
      </c>
    </row>
    <row r="254" spans="2:3" x14ac:dyDescent="0.2">
      <c r="B254" s="142">
        <v>245</v>
      </c>
      <c r="C254" s="143" t="s">
        <v>7671</v>
      </c>
    </row>
    <row r="255" spans="2:3" x14ac:dyDescent="0.2">
      <c r="B255" s="142">
        <v>246</v>
      </c>
      <c r="C255" s="143" t="s">
        <v>7913</v>
      </c>
    </row>
    <row r="256" spans="2:3" x14ac:dyDescent="0.2">
      <c r="B256" s="142">
        <v>247</v>
      </c>
      <c r="C256" s="143" t="s">
        <v>7666</v>
      </c>
    </row>
    <row r="257" spans="2:3" x14ac:dyDescent="0.2">
      <c r="B257" s="142">
        <v>248</v>
      </c>
      <c r="C257" s="143" t="s">
        <v>7740</v>
      </c>
    </row>
    <row r="258" spans="2:3" x14ac:dyDescent="0.2">
      <c r="B258" s="142">
        <v>249</v>
      </c>
      <c r="C258" s="143" t="s">
        <v>7755</v>
      </c>
    </row>
    <row r="259" spans="2:3" x14ac:dyDescent="0.2">
      <c r="B259" s="142">
        <v>250</v>
      </c>
      <c r="C259" s="143" t="s">
        <v>7713</v>
      </c>
    </row>
    <row r="260" spans="2:3" x14ac:dyDescent="0.2">
      <c r="B260" s="142">
        <v>251</v>
      </c>
      <c r="C260" s="143" t="s">
        <v>7774</v>
      </c>
    </row>
    <row r="261" spans="2:3" x14ac:dyDescent="0.2">
      <c r="B261" s="142">
        <v>252</v>
      </c>
      <c r="C261" s="143" t="s">
        <v>7739</v>
      </c>
    </row>
    <row r="262" spans="2:3" x14ac:dyDescent="0.2">
      <c r="B262" s="142">
        <v>253</v>
      </c>
      <c r="C262" s="143" t="s">
        <v>7751</v>
      </c>
    </row>
    <row r="263" spans="2:3" x14ac:dyDescent="0.2">
      <c r="B263" s="142">
        <v>254</v>
      </c>
      <c r="C263" s="143" t="s">
        <v>7899</v>
      </c>
    </row>
    <row r="264" spans="2:3" x14ac:dyDescent="0.2">
      <c r="B264" s="142">
        <v>255</v>
      </c>
      <c r="C264" s="143" t="s">
        <v>7706</v>
      </c>
    </row>
    <row r="265" spans="2:3" x14ac:dyDescent="0.2">
      <c r="B265" s="142">
        <v>256</v>
      </c>
      <c r="C265" s="143" t="s">
        <v>7699</v>
      </c>
    </row>
    <row r="266" spans="2:3" x14ac:dyDescent="0.2">
      <c r="B266" s="142">
        <v>257</v>
      </c>
      <c r="C266" s="143" t="s">
        <v>7723</v>
      </c>
    </row>
    <row r="267" spans="2:3" x14ac:dyDescent="0.2">
      <c r="B267" s="142">
        <v>258</v>
      </c>
      <c r="C267" s="143" t="s">
        <v>7744</v>
      </c>
    </row>
    <row r="268" spans="2:3" x14ac:dyDescent="0.2">
      <c r="B268" s="142">
        <v>259</v>
      </c>
      <c r="C268" s="143" t="s">
        <v>7712</v>
      </c>
    </row>
    <row r="269" spans="2:3" x14ac:dyDescent="0.2">
      <c r="B269" s="142">
        <v>260</v>
      </c>
      <c r="C269" s="143" t="s">
        <v>7808</v>
      </c>
    </row>
    <row r="270" spans="2:3" x14ac:dyDescent="0.2">
      <c r="B270" s="142">
        <v>261</v>
      </c>
      <c r="C270" s="143" t="s">
        <v>7754</v>
      </c>
    </row>
    <row r="271" spans="2:3" x14ac:dyDescent="0.2">
      <c r="B271" s="142">
        <v>262</v>
      </c>
      <c r="C271" s="143" t="s">
        <v>7833</v>
      </c>
    </row>
    <row r="272" spans="2:3" x14ac:dyDescent="0.2">
      <c r="B272" s="142">
        <v>263</v>
      </c>
      <c r="C272" s="143" t="s">
        <v>7874</v>
      </c>
    </row>
    <row r="273" spans="2:3" x14ac:dyDescent="0.2">
      <c r="B273" s="142">
        <v>264</v>
      </c>
      <c r="C273" s="143" t="s">
        <v>7895</v>
      </c>
    </row>
    <row r="274" spans="2:3" x14ac:dyDescent="0.2">
      <c r="B274" s="142">
        <v>265</v>
      </c>
      <c r="C274" s="143" t="s">
        <v>7730</v>
      </c>
    </row>
    <row r="275" spans="2:3" x14ac:dyDescent="0.2">
      <c r="B275" s="142">
        <v>266</v>
      </c>
      <c r="C275" s="143" t="s">
        <v>7694</v>
      </c>
    </row>
    <row r="276" spans="2:3" x14ac:dyDescent="0.2">
      <c r="B276" s="142">
        <v>267</v>
      </c>
      <c r="C276" s="143" t="s">
        <v>7783</v>
      </c>
    </row>
    <row r="277" spans="2:3" x14ac:dyDescent="0.2">
      <c r="B277" s="142">
        <v>268</v>
      </c>
      <c r="C277" s="143" t="s">
        <v>7696</v>
      </c>
    </row>
    <row r="278" spans="2:3" x14ac:dyDescent="0.2">
      <c r="B278" s="142">
        <v>269</v>
      </c>
      <c r="C278" s="143" t="s">
        <v>7876</v>
      </c>
    </row>
    <row r="279" spans="2:3" x14ac:dyDescent="0.2">
      <c r="B279" s="142">
        <v>270</v>
      </c>
      <c r="C279" s="143" t="s">
        <v>7752</v>
      </c>
    </row>
    <row r="280" spans="2:3" x14ac:dyDescent="0.2">
      <c r="B280" s="142">
        <v>271</v>
      </c>
      <c r="C280" s="143" t="s">
        <v>7805</v>
      </c>
    </row>
    <row r="281" spans="2:3" x14ac:dyDescent="0.2">
      <c r="B281" s="142">
        <v>272</v>
      </c>
      <c r="C281" s="143" t="s">
        <v>7889</v>
      </c>
    </row>
    <row r="282" spans="2:3" x14ac:dyDescent="0.2">
      <c r="B282" s="142">
        <v>273</v>
      </c>
      <c r="C282" s="143" t="s">
        <v>7758</v>
      </c>
    </row>
    <row r="283" spans="2:3" x14ac:dyDescent="0.2">
      <c r="B283" s="142">
        <v>274</v>
      </c>
      <c r="C283" s="143" t="s">
        <v>7812</v>
      </c>
    </row>
    <row r="284" spans="2:3" x14ac:dyDescent="0.2">
      <c r="B284" s="142">
        <v>275</v>
      </c>
      <c r="C284" s="143" t="s">
        <v>7683</v>
      </c>
    </row>
    <row r="285" spans="2:3" x14ac:dyDescent="0.2">
      <c r="B285" s="142">
        <v>276</v>
      </c>
      <c r="C285" s="143" t="s">
        <v>7903</v>
      </c>
    </row>
    <row r="286" spans="2:3" x14ac:dyDescent="0.2">
      <c r="B286" s="142">
        <v>277</v>
      </c>
      <c r="C286" s="143" t="s">
        <v>7718</v>
      </c>
    </row>
    <row r="287" spans="2:3" x14ac:dyDescent="0.2">
      <c r="B287" s="142">
        <v>278</v>
      </c>
      <c r="C287" s="143" t="s">
        <v>7692</v>
      </c>
    </row>
    <row r="288" spans="2:3" x14ac:dyDescent="0.2">
      <c r="B288" s="142">
        <v>279</v>
      </c>
      <c r="C288" s="143" t="s">
        <v>7742</v>
      </c>
    </row>
    <row r="289" spans="2:3" x14ac:dyDescent="0.2">
      <c r="B289" s="142">
        <v>280</v>
      </c>
      <c r="C289" s="143" t="s">
        <v>7839</v>
      </c>
    </row>
    <row r="290" spans="2:3" x14ac:dyDescent="0.2">
      <c r="B290" s="142">
        <v>281</v>
      </c>
      <c r="C290" s="143" t="s">
        <v>7716</v>
      </c>
    </row>
    <row r="291" spans="2:3" x14ac:dyDescent="0.2">
      <c r="B291" s="142">
        <v>282</v>
      </c>
      <c r="C291" s="143" t="s">
        <v>7727</v>
      </c>
    </row>
    <row r="292" spans="2:3" x14ac:dyDescent="0.2">
      <c r="B292" s="142">
        <v>283</v>
      </c>
      <c r="C292" s="143" t="s">
        <v>7882</v>
      </c>
    </row>
    <row r="293" spans="2:3" x14ac:dyDescent="0.2">
      <c r="B293" s="142">
        <v>284</v>
      </c>
      <c r="C293" s="143" t="s">
        <v>7709</v>
      </c>
    </row>
    <row r="294" spans="2:3" x14ac:dyDescent="0.2">
      <c r="B294" s="142">
        <v>285</v>
      </c>
      <c r="C294" s="143" t="s">
        <v>7914</v>
      </c>
    </row>
    <row r="295" spans="2:3" x14ac:dyDescent="0.2">
      <c r="B295" s="142">
        <v>286</v>
      </c>
      <c r="C295" s="143" t="s">
        <v>7771</v>
      </c>
    </row>
    <row r="296" spans="2:3" x14ac:dyDescent="0.2">
      <c r="B296" s="142">
        <v>287</v>
      </c>
      <c r="C296" s="143" t="s">
        <v>7735</v>
      </c>
    </row>
    <row r="297" spans="2:3" x14ac:dyDescent="0.2">
      <c r="B297" s="142">
        <v>288</v>
      </c>
      <c r="C297" s="143" t="s">
        <v>7781</v>
      </c>
    </row>
    <row r="298" spans="2:3" x14ac:dyDescent="0.2">
      <c r="B298" s="142">
        <v>289</v>
      </c>
      <c r="C298" s="143" t="s">
        <v>7745</v>
      </c>
    </row>
    <row r="299" spans="2:3" x14ac:dyDescent="0.2">
      <c r="B299" s="142">
        <v>290</v>
      </c>
      <c r="C299" s="143" t="s">
        <v>7764</v>
      </c>
    </row>
    <row r="300" spans="2:3" x14ac:dyDescent="0.2">
      <c r="B300" s="142">
        <v>291</v>
      </c>
      <c r="C300" s="143" t="s">
        <v>7746</v>
      </c>
    </row>
    <row r="301" spans="2:3" x14ac:dyDescent="0.2">
      <c r="B301" s="142">
        <v>292</v>
      </c>
      <c r="C301" s="143" t="s">
        <v>7834</v>
      </c>
    </row>
    <row r="302" spans="2:3" x14ac:dyDescent="0.2">
      <c r="B302" s="142">
        <v>293</v>
      </c>
      <c r="C302" s="143" t="s">
        <v>7777</v>
      </c>
    </row>
    <row r="303" spans="2:3" x14ac:dyDescent="0.2">
      <c r="B303" s="142">
        <v>294</v>
      </c>
      <c r="C303" s="143" t="s">
        <v>7915</v>
      </c>
    </row>
    <row r="304" spans="2:3" x14ac:dyDescent="0.2">
      <c r="B304" s="142">
        <v>295</v>
      </c>
      <c r="C304" s="143" t="s">
        <v>7765</v>
      </c>
    </row>
    <row r="305" spans="2:3" x14ac:dyDescent="0.2">
      <c r="B305" s="142">
        <v>296</v>
      </c>
      <c r="C305" s="143" t="s">
        <v>7760</v>
      </c>
    </row>
    <row r="306" spans="2:3" x14ac:dyDescent="0.2">
      <c r="B306" s="142">
        <v>297</v>
      </c>
      <c r="C306" s="143" t="s">
        <v>7797</v>
      </c>
    </row>
    <row r="307" spans="2:3" x14ac:dyDescent="0.2">
      <c r="B307" s="142">
        <v>298</v>
      </c>
      <c r="C307" s="143" t="s">
        <v>7759</v>
      </c>
    </row>
    <row r="308" spans="2:3" x14ac:dyDescent="0.2">
      <c r="B308" s="142">
        <v>299</v>
      </c>
      <c r="C308" s="143" t="s">
        <v>7840</v>
      </c>
    </row>
    <row r="309" spans="2:3" x14ac:dyDescent="0.2">
      <c r="B309" s="142">
        <v>300</v>
      </c>
      <c r="C309" s="143" t="s">
        <v>7878</v>
      </c>
    </row>
    <row r="310" spans="2:3" x14ac:dyDescent="0.2">
      <c r="B310" s="142">
        <v>301</v>
      </c>
      <c r="C310" s="143" t="s">
        <v>7766</v>
      </c>
    </row>
    <row r="311" spans="2:3" x14ac:dyDescent="0.2">
      <c r="B311" s="142">
        <v>302</v>
      </c>
      <c r="C311" s="143" t="s">
        <v>7762</v>
      </c>
    </row>
    <row r="312" spans="2:3" x14ac:dyDescent="0.2">
      <c r="B312" s="142">
        <v>303</v>
      </c>
      <c r="C312" s="143" t="s">
        <v>7841</v>
      </c>
    </row>
    <row r="313" spans="2:3" x14ac:dyDescent="0.2">
      <c r="B313" s="142">
        <v>304</v>
      </c>
      <c r="C313" s="143" t="s">
        <v>7767</v>
      </c>
    </row>
    <row r="314" spans="2:3" x14ac:dyDescent="0.2">
      <c r="B314" s="142">
        <v>305</v>
      </c>
      <c r="C314" s="143" t="s">
        <v>7772</v>
      </c>
    </row>
    <row r="315" spans="2:3" x14ac:dyDescent="0.2">
      <c r="B315" s="142">
        <v>306</v>
      </c>
      <c r="C315" s="143" t="s">
        <v>7799</v>
      </c>
    </row>
    <row r="316" spans="2:3" x14ac:dyDescent="0.2">
      <c r="B316" s="142">
        <v>307</v>
      </c>
      <c r="C316" s="143" t="s">
        <v>7734</v>
      </c>
    </row>
    <row r="317" spans="2:3" x14ac:dyDescent="0.2">
      <c r="B317" s="142">
        <v>308</v>
      </c>
      <c r="C317" s="143" t="s">
        <v>7807</v>
      </c>
    </row>
    <row r="318" spans="2:3" x14ac:dyDescent="0.2">
      <c r="B318" s="142">
        <v>309</v>
      </c>
      <c r="C318" s="143" t="s">
        <v>7703</v>
      </c>
    </row>
    <row r="319" spans="2:3" x14ac:dyDescent="0.2">
      <c r="B319" s="142">
        <v>310</v>
      </c>
      <c r="C319" s="143" t="s">
        <v>7821</v>
      </c>
    </row>
    <row r="320" spans="2:3" x14ac:dyDescent="0.2">
      <c r="B320" s="142">
        <v>311</v>
      </c>
      <c r="C320" s="143" t="s">
        <v>7773</v>
      </c>
    </row>
    <row r="321" spans="2:3" x14ac:dyDescent="0.2">
      <c r="B321" s="142">
        <v>312</v>
      </c>
      <c r="C321" s="143" t="s">
        <v>7776</v>
      </c>
    </row>
    <row r="322" spans="2:3" x14ac:dyDescent="0.2">
      <c r="B322" s="142">
        <v>313</v>
      </c>
      <c r="C322" s="143" t="s">
        <v>7823</v>
      </c>
    </row>
    <row r="323" spans="2:3" x14ac:dyDescent="0.2">
      <c r="B323" s="142">
        <v>314</v>
      </c>
      <c r="C323" s="143" t="s">
        <v>7726</v>
      </c>
    </row>
    <row r="324" spans="2:3" x14ac:dyDescent="0.2">
      <c r="B324" s="142">
        <v>315</v>
      </c>
      <c r="C324" s="143" t="s">
        <v>7806</v>
      </c>
    </row>
    <row r="325" spans="2:3" x14ac:dyDescent="0.2">
      <c r="B325" s="142">
        <v>316</v>
      </c>
      <c r="C325" s="143" t="s">
        <v>7788</v>
      </c>
    </row>
    <row r="326" spans="2:3" x14ac:dyDescent="0.2">
      <c r="B326" s="142">
        <v>317</v>
      </c>
      <c r="C326" s="143" t="s">
        <v>7770</v>
      </c>
    </row>
    <row r="327" spans="2:3" x14ac:dyDescent="0.2">
      <c r="B327" s="142">
        <v>318</v>
      </c>
      <c r="C327" s="143" t="s">
        <v>7779</v>
      </c>
    </row>
    <row r="328" spans="2:3" x14ac:dyDescent="0.2">
      <c r="B328" s="142">
        <v>319</v>
      </c>
      <c r="C328" s="143" t="s">
        <v>7780</v>
      </c>
    </row>
    <row r="329" spans="2:3" x14ac:dyDescent="0.2">
      <c r="B329" s="142">
        <v>320</v>
      </c>
      <c r="C329" s="143" t="s">
        <v>7717</v>
      </c>
    </row>
    <row r="330" spans="2:3" x14ac:dyDescent="0.2">
      <c r="B330" s="142">
        <v>321</v>
      </c>
      <c r="C330" s="143" t="s">
        <v>7909</v>
      </c>
    </row>
    <row r="331" spans="2:3" x14ac:dyDescent="0.2">
      <c r="B331" s="142">
        <v>322</v>
      </c>
      <c r="C331" s="143" t="s">
        <v>7790</v>
      </c>
    </row>
    <row r="332" spans="2:3" x14ac:dyDescent="0.2">
      <c r="B332" s="142">
        <v>323</v>
      </c>
      <c r="C332" s="143" t="s">
        <v>7769</v>
      </c>
    </row>
    <row r="333" spans="2:3" x14ac:dyDescent="0.2">
      <c r="B333" s="142">
        <v>324</v>
      </c>
      <c r="C333" s="143" t="s">
        <v>7820</v>
      </c>
    </row>
    <row r="334" spans="2:3" x14ac:dyDescent="0.2">
      <c r="B334" s="142">
        <v>325</v>
      </c>
      <c r="C334" s="143" t="s">
        <v>7810</v>
      </c>
    </row>
    <row r="335" spans="2:3" x14ac:dyDescent="0.2">
      <c r="B335" s="142">
        <v>326</v>
      </c>
      <c r="C335" s="143" t="s">
        <v>7836</v>
      </c>
    </row>
    <row r="336" spans="2:3" x14ac:dyDescent="0.2">
      <c r="B336" s="142">
        <v>327</v>
      </c>
      <c r="C336" s="143" t="s">
        <v>7831</v>
      </c>
    </row>
    <row r="337" spans="2:3" x14ac:dyDescent="0.2">
      <c r="B337" s="142">
        <v>328</v>
      </c>
      <c r="C337" s="143" t="s">
        <v>7757</v>
      </c>
    </row>
    <row r="338" spans="2:3" x14ac:dyDescent="0.2">
      <c r="B338" s="142">
        <v>329</v>
      </c>
      <c r="C338" s="143" t="s">
        <v>7811</v>
      </c>
    </row>
    <row r="339" spans="2:3" x14ac:dyDescent="0.2">
      <c r="B339" s="142">
        <v>330</v>
      </c>
      <c r="C339" s="143" t="s">
        <v>7892</v>
      </c>
    </row>
    <row r="340" spans="2:3" x14ac:dyDescent="0.2">
      <c r="B340" s="142">
        <v>331</v>
      </c>
      <c r="C340" s="143" t="s">
        <v>7893</v>
      </c>
    </row>
    <row r="341" spans="2:3" x14ac:dyDescent="0.2">
      <c r="B341" s="142">
        <v>332</v>
      </c>
      <c r="C341" s="143" t="s">
        <v>7891</v>
      </c>
    </row>
    <row r="342" spans="2:3" x14ac:dyDescent="0.2">
      <c r="B342" s="142">
        <v>333</v>
      </c>
      <c r="C342" s="143" t="s">
        <v>7736</v>
      </c>
    </row>
    <row r="343" spans="2:3" x14ac:dyDescent="0.2">
      <c r="B343" s="142">
        <v>334</v>
      </c>
      <c r="C343" s="143" t="s">
        <v>7733</v>
      </c>
    </row>
    <row r="344" spans="2:3" x14ac:dyDescent="0.2">
      <c r="B344" s="142">
        <v>335</v>
      </c>
      <c r="C344" s="143" t="s">
        <v>7828</v>
      </c>
    </row>
    <row r="345" spans="2:3" x14ac:dyDescent="0.2">
      <c r="B345" s="142">
        <v>336</v>
      </c>
      <c r="C345" s="143" t="s">
        <v>7832</v>
      </c>
    </row>
    <row r="346" spans="2:3" x14ac:dyDescent="0.2">
      <c r="B346" s="142">
        <v>337</v>
      </c>
      <c r="C346" s="143" t="s">
        <v>7809</v>
      </c>
    </row>
    <row r="347" spans="2:3" x14ac:dyDescent="0.2">
      <c r="B347" s="142">
        <v>338</v>
      </c>
      <c r="C347" s="143" t="s">
        <v>7825</v>
      </c>
    </row>
    <row r="348" spans="2:3" x14ac:dyDescent="0.2">
      <c r="B348" s="142">
        <v>339</v>
      </c>
      <c r="C348" s="143" t="s">
        <v>7902</v>
      </c>
    </row>
    <row r="349" spans="2:3" x14ac:dyDescent="0.2">
      <c r="B349" s="142">
        <v>340</v>
      </c>
      <c r="C349" s="143" t="s">
        <v>7782</v>
      </c>
    </row>
    <row r="350" spans="2:3" x14ac:dyDescent="0.2">
      <c r="B350" s="142">
        <v>341</v>
      </c>
      <c r="C350" s="143" t="s">
        <v>7890</v>
      </c>
    </row>
    <row r="351" spans="2:3" x14ac:dyDescent="0.2">
      <c r="B351" s="142">
        <v>342</v>
      </c>
      <c r="C351" s="143" t="s">
        <v>7844</v>
      </c>
    </row>
    <row r="352" spans="2:3" x14ac:dyDescent="0.2">
      <c r="B352" s="142">
        <v>343</v>
      </c>
      <c r="C352" s="143" t="s">
        <v>7842</v>
      </c>
    </row>
    <row r="353" spans="2:3" x14ac:dyDescent="0.2">
      <c r="B353" s="142">
        <v>344</v>
      </c>
      <c r="C353" s="143" t="s">
        <v>7904</v>
      </c>
    </row>
    <row r="354" spans="2:3" x14ac:dyDescent="0.2">
      <c r="B354" s="142">
        <v>345</v>
      </c>
      <c r="C354" s="143" t="s">
        <v>7905</v>
      </c>
    </row>
    <row r="355" spans="2:3" x14ac:dyDescent="0.2">
      <c r="B355" s="142">
        <v>346</v>
      </c>
      <c r="C355" s="143" t="s">
        <v>7826</v>
      </c>
    </row>
    <row r="356" spans="2:3" x14ac:dyDescent="0.2">
      <c r="B356" s="142">
        <v>347</v>
      </c>
      <c r="C356" s="143" t="s">
        <v>7738</v>
      </c>
    </row>
    <row r="357" spans="2:3" x14ac:dyDescent="0.2">
      <c r="B357" s="142">
        <v>348</v>
      </c>
      <c r="C357" s="143" t="s">
        <v>7917</v>
      </c>
    </row>
    <row r="358" spans="2:3" x14ac:dyDescent="0.2">
      <c r="B358" s="142">
        <v>349</v>
      </c>
      <c r="C358" s="143" t="s">
        <v>7918</v>
      </c>
    </row>
    <row r="359" spans="2:3" x14ac:dyDescent="0.2">
      <c r="B359" s="142">
        <v>350</v>
      </c>
      <c r="C359" s="143" t="s">
        <v>7680</v>
      </c>
    </row>
    <row r="360" spans="2:3" x14ac:dyDescent="0.2">
      <c r="B360" s="142">
        <v>351</v>
      </c>
      <c r="C360" s="143" t="s">
        <v>7748</v>
      </c>
    </row>
    <row r="361" spans="2:3" x14ac:dyDescent="0.2">
      <c r="B361" s="142">
        <v>352</v>
      </c>
      <c r="C361" s="143" t="s">
        <v>7907</v>
      </c>
    </row>
    <row r="362" spans="2:3" x14ac:dyDescent="0.2">
      <c r="B362" s="142">
        <v>353</v>
      </c>
      <c r="C362" s="143" t="s">
        <v>7900</v>
      </c>
    </row>
    <row r="363" spans="2:3" x14ac:dyDescent="0.2">
      <c r="B363" s="142">
        <v>354</v>
      </c>
      <c r="C363" s="143" t="s">
        <v>7803</v>
      </c>
    </row>
    <row r="364" spans="2:3" x14ac:dyDescent="0.2">
      <c r="B364" s="142">
        <v>355</v>
      </c>
      <c r="C364" s="143" t="s">
        <v>7784</v>
      </c>
    </row>
    <row r="365" spans="2:3" x14ac:dyDescent="0.2">
      <c r="B365" s="142">
        <v>356</v>
      </c>
      <c r="C365" s="143" t="s">
        <v>7711</v>
      </c>
    </row>
    <row r="366" spans="2:3" x14ac:dyDescent="0.2">
      <c r="B366" s="142">
        <v>357</v>
      </c>
      <c r="C366" s="143" t="s">
        <v>7830</v>
      </c>
    </row>
    <row r="367" spans="2:3" x14ac:dyDescent="0.2">
      <c r="B367" s="142">
        <v>358</v>
      </c>
      <c r="C367" s="143" t="s">
        <v>7916</v>
      </c>
    </row>
    <row r="368" spans="2:3" x14ac:dyDescent="0.2">
      <c r="B368" s="142">
        <v>359</v>
      </c>
      <c r="C368" s="143" t="s">
        <v>7778</v>
      </c>
    </row>
    <row r="369" spans="2:3" x14ac:dyDescent="0.2">
      <c r="B369" s="142">
        <v>360</v>
      </c>
      <c r="C369" s="143" t="s">
        <v>7901</v>
      </c>
    </row>
    <row r="370" spans="2:3" x14ac:dyDescent="0.2">
      <c r="B370" s="142">
        <v>361</v>
      </c>
      <c r="C370" s="143" t="s">
        <v>7802</v>
      </c>
    </row>
    <row r="371" spans="2:3" x14ac:dyDescent="0.2">
      <c r="B371" s="142">
        <v>362</v>
      </c>
      <c r="C371" s="143" t="s">
        <v>7768</v>
      </c>
    </row>
    <row r="372" spans="2:3" x14ac:dyDescent="0.2">
      <c r="B372" s="142">
        <v>363</v>
      </c>
      <c r="C372" s="143" t="s">
        <v>7763</v>
      </c>
    </row>
    <row r="373" spans="2:3" x14ac:dyDescent="0.2">
      <c r="B373" s="142">
        <v>364</v>
      </c>
      <c r="C373" s="143" t="s">
        <v>7817</v>
      </c>
    </row>
    <row r="374" spans="2:3" x14ac:dyDescent="0.2">
      <c r="B374" s="142">
        <v>365</v>
      </c>
      <c r="C374" s="143" t="s">
        <v>7724</v>
      </c>
    </row>
    <row r="375" spans="2:3" x14ac:dyDescent="0.2">
      <c r="B375" s="142">
        <v>366</v>
      </c>
      <c r="C375" s="143" t="s">
        <v>7818</v>
      </c>
    </row>
    <row r="376" spans="2:3" x14ac:dyDescent="0.2">
      <c r="B376" s="142">
        <v>367</v>
      </c>
      <c r="C376" s="143" t="s">
        <v>7785</v>
      </c>
    </row>
    <row r="377" spans="2:3" x14ac:dyDescent="0.2">
      <c r="B377" s="142">
        <v>368</v>
      </c>
      <c r="C377" s="143" t="s">
        <v>7845</v>
      </c>
    </row>
    <row r="378" spans="2:3" x14ac:dyDescent="0.2">
      <c r="B378" s="142">
        <v>369</v>
      </c>
      <c r="C378" s="143" t="s">
        <v>7720</v>
      </c>
    </row>
    <row r="379" spans="2:3" x14ac:dyDescent="0.2">
      <c r="B379" s="142">
        <v>370</v>
      </c>
      <c r="C379" s="143" t="s">
        <v>7908</v>
      </c>
    </row>
    <row r="380" spans="2:3" x14ac:dyDescent="0.2">
      <c r="B380" s="142">
        <v>371</v>
      </c>
      <c r="C380" s="143" t="s">
        <v>7813</v>
      </c>
    </row>
    <row r="381" spans="2:3" x14ac:dyDescent="0.2">
      <c r="B381" s="142">
        <v>372</v>
      </c>
      <c r="C381" s="143" t="s">
        <v>7804</v>
      </c>
    </row>
    <row r="382" spans="2:3" x14ac:dyDescent="0.2">
      <c r="B382" s="142">
        <v>373</v>
      </c>
      <c r="C382" s="143" t="s">
        <v>7894</v>
      </c>
    </row>
    <row r="383" spans="2:3" x14ac:dyDescent="0.2">
      <c r="B383" s="142">
        <v>374</v>
      </c>
      <c r="C383" s="143" t="s">
        <v>7791</v>
      </c>
    </row>
    <row r="384" spans="2:3" x14ac:dyDescent="0.2">
      <c r="B384" s="142">
        <v>375</v>
      </c>
      <c r="C384" s="143" t="s">
        <v>7704</v>
      </c>
    </row>
    <row r="385" spans="2:3" x14ac:dyDescent="0.2">
      <c r="B385" s="142">
        <v>376</v>
      </c>
      <c r="C385" s="143" t="s">
        <v>7824</v>
      </c>
    </row>
    <row r="386" spans="2:3" x14ac:dyDescent="0.2">
      <c r="B386" s="142">
        <v>377</v>
      </c>
      <c r="C386" s="143" t="s">
        <v>7897</v>
      </c>
    </row>
    <row r="387" spans="2:3" x14ac:dyDescent="0.2">
      <c r="B387" s="142">
        <v>378</v>
      </c>
      <c r="C387" s="143" t="s">
        <v>7896</v>
      </c>
    </row>
    <row r="388" spans="2:3" x14ac:dyDescent="0.2">
      <c r="B388" s="142">
        <v>379</v>
      </c>
      <c r="C388" s="143" t="s">
        <v>7829</v>
      </c>
    </row>
    <row r="389" spans="2:3" x14ac:dyDescent="0.2">
      <c r="B389" s="142">
        <v>380</v>
      </c>
      <c r="C389" s="143" t="s">
        <v>7816</v>
      </c>
    </row>
    <row r="390" spans="2:3" x14ac:dyDescent="0.2">
      <c r="B390" s="142">
        <v>381</v>
      </c>
      <c r="C390" s="143" t="s">
        <v>7801</v>
      </c>
    </row>
    <row r="391" spans="2:3" x14ac:dyDescent="0.2">
      <c r="B391" s="142">
        <v>382</v>
      </c>
      <c r="C391" s="143" t="s">
        <v>7838</v>
      </c>
    </row>
    <row r="392" spans="2:3" x14ac:dyDescent="0.2">
      <c r="B392" s="142">
        <v>383</v>
      </c>
      <c r="C392" s="143" t="s">
        <v>7898</v>
      </c>
    </row>
    <row r="393" spans="2:3" x14ac:dyDescent="0.2">
      <c r="B393" s="142">
        <v>384</v>
      </c>
      <c r="C393" s="143" t="s">
        <v>7815</v>
      </c>
    </row>
    <row r="394" spans="2:3" x14ac:dyDescent="0.2">
      <c r="B394" s="142">
        <v>385</v>
      </c>
      <c r="C394" s="143" t="s">
        <v>7794</v>
      </c>
    </row>
    <row r="395" spans="2:3" x14ac:dyDescent="0.2">
      <c r="B395" s="142">
        <v>386</v>
      </c>
      <c r="C395" s="143" t="s">
        <v>7792</v>
      </c>
    </row>
    <row r="396" spans="2:3" x14ac:dyDescent="0.2">
      <c r="B396" s="142">
        <v>387</v>
      </c>
      <c r="C396" s="143" t="s">
        <v>7822</v>
      </c>
    </row>
    <row r="397" spans="2:3" x14ac:dyDescent="0.2">
      <c r="B397" s="142">
        <v>388</v>
      </c>
      <c r="C397" s="143" t="s">
        <v>7793</v>
      </c>
    </row>
    <row r="398" spans="2:3" x14ac:dyDescent="0.2">
      <c r="B398" s="142">
        <v>389</v>
      </c>
      <c r="C398" s="143" t="s">
        <v>7795</v>
      </c>
    </row>
    <row r="399" spans="2:3" x14ac:dyDescent="0.2">
      <c r="B399" s="142">
        <v>390</v>
      </c>
      <c r="C399" s="143" t="s">
        <v>7827</v>
      </c>
    </row>
    <row r="400" spans="2:3" x14ac:dyDescent="0.2">
      <c r="B400" s="142">
        <v>391</v>
      </c>
      <c r="C400" s="143" t="s">
        <v>7798</v>
      </c>
    </row>
    <row r="401" spans="2:3" x14ac:dyDescent="0.2">
      <c r="B401" s="142">
        <v>392</v>
      </c>
      <c r="C401" s="143" t="s">
        <v>7920</v>
      </c>
    </row>
    <row r="402" spans="2:3" x14ac:dyDescent="0.2">
      <c r="B402" s="142">
        <v>393</v>
      </c>
      <c r="C402" s="143" t="s">
        <v>7796</v>
      </c>
    </row>
    <row r="403" spans="2:3" x14ac:dyDescent="0.2">
      <c r="B403" s="142">
        <v>394</v>
      </c>
      <c r="C403" s="143" t="s">
        <v>7819</v>
      </c>
    </row>
    <row r="404" spans="2:3" x14ac:dyDescent="0.2">
      <c r="B404" s="142">
        <v>395</v>
      </c>
      <c r="C404" s="143" t="s">
        <v>7919</v>
      </c>
    </row>
    <row r="405" spans="2:3" x14ac:dyDescent="0.2">
      <c r="B405" s="142">
        <v>396</v>
      </c>
      <c r="C405" s="143" t="s">
        <v>7837</v>
      </c>
    </row>
    <row r="406" spans="2:3" x14ac:dyDescent="0.2">
      <c r="B406" s="142">
        <v>397</v>
      </c>
      <c r="C406" s="143" t="s">
        <v>7906</v>
      </c>
    </row>
    <row r="407" spans="2:3" x14ac:dyDescent="0.2">
      <c r="B407" s="142">
        <v>398</v>
      </c>
      <c r="C407" s="143" t="s">
        <v>7922</v>
      </c>
    </row>
    <row r="408" spans="2:3" x14ac:dyDescent="0.2">
      <c r="B408" s="142">
        <v>399</v>
      </c>
      <c r="C408" s="143" t="s">
        <v>7921</v>
      </c>
    </row>
    <row r="409" spans="2:3" x14ac:dyDescent="0.2">
      <c r="B409" s="142">
        <v>400</v>
      </c>
      <c r="C409" s="143" t="s">
        <v>7789</v>
      </c>
    </row>
    <row r="410" spans="2:3" x14ac:dyDescent="0.2">
      <c r="B410" s="142">
        <v>401</v>
      </c>
      <c r="C410" s="143"/>
    </row>
    <row r="411" spans="2:3" x14ac:dyDescent="0.2">
      <c r="B411" s="142">
        <v>402</v>
      </c>
      <c r="C411" s="143"/>
    </row>
    <row r="412" spans="2:3" x14ac:dyDescent="0.2">
      <c r="B412" s="142">
        <v>403</v>
      </c>
      <c r="C412" s="143"/>
    </row>
    <row r="413" spans="2:3" x14ac:dyDescent="0.2">
      <c r="B413" s="142">
        <v>404</v>
      </c>
      <c r="C413" s="143"/>
    </row>
    <row r="414" spans="2:3" x14ac:dyDescent="0.2">
      <c r="B414" s="142">
        <v>405</v>
      </c>
      <c r="C414" s="143"/>
    </row>
    <row r="415" spans="2:3" x14ac:dyDescent="0.2">
      <c r="B415" s="142">
        <v>406</v>
      </c>
      <c r="C415" s="143"/>
    </row>
    <row r="416" spans="2:3" x14ac:dyDescent="0.2">
      <c r="B416" s="142">
        <v>407</v>
      </c>
      <c r="C416" s="143"/>
    </row>
    <row r="417" spans="2:3" x14ac:dyDescent="0.2">
      <c r="B417" s="142">
        <v>408</v>
      </c>
      <c r="C417" s="143"/>
    </row>
    <row r="418" spans="2:3" x14ac:dyDescent="0.2">
      <c r="B418" s="142">
        <v>409</v>
      </c>
      <c r="C418" s="143"/>
    </row>
    <row r="419" spans="2:3" x14ac:dyDescent="0.2">
      <c r="B419" s="142">
        <v>410</v>
      </c>
      <c r="C419" s="143"/>
    </row>
    <row r="420" spans="2:3" x14ac:dyDescent="0.2">
      <c r="B420" s="142">
        <v>411</v>
      </c>
      <c r="C420" s="143"/>
    </row>
    <row r="421" spans="2:3" x14ac:dyDescent="0.2">
      <c r="B421" s="142">
        <v>412</v>
      </c>
      <c r="C421" s="143"/>
    </row>
    <row r="422" spans="2:3" x14ac:dyDescent="0.2">
      <c r="B422" s="142">
        <v>413</v>
      </c>
      <c r="C422" s="143"/>
    </row>
    <row r="423" spans="2:3" x14ac:dyDescent="0.2">
      <c r="B423" s="142">
        <v>414</v>
      </c>
      <c r="C423" s="143"/>
    </row>
    <row r="424" spans="2:3" x14ac:dyDescent="0.2">
      <c r="B424" s="142">
        <v>415</v>
      </c>
      <c r="C424" s="143"/>
    </row>
    <row r="425" spans="2:3" x14ac:dyDescent="0.2">
      <c r="B425" s="142">
        <v>416</v>
      </c>
      <c r="C425" s="143"/>
    </row>
    <row r="426" spans="2:3" x14ac:dyDescent="0.2">
      <c r="B426" s="142">
        <v>417</v>
      </c>
      <c r="C426" s="143"/>
    </row>
    <row r="427" spans="2:3" x14ac:dyDescent="0.2">
      <c r="B427" s="142">
        <v>418</v>
      </c>
      <c r="C427" s="143"/>
    </row>
    <row r="428" spans="2:3" x14ac:dyDescent="0.2">
      <c r="B428" s="142">
        <v>419</v>
      </c>
      <c r="C428" s="143"/>
    </row>
    <row r="429" spans="2:3" x14ac:dyDescent="0.2">
      <c r="B429" s="142">
        <v>420</v>
      </c>
      <c r="C429" s="143"/>
    </row>
    <row r="430" spans="2:3" x14ac:dyDescent="0.2">
      <c r="B430" s="142">
        <v>421</v>
      </c>
      <c r="C430" s="143"/>
    </row>
    <row r="431" spans="2:3" x14ac:dyDescent="0.2">
      <c r="B431" s="142">
        <v>422</v>
      </c>
      <c r="C431" s="143"/>
    </row>
    <row r="432" spans="2:3" x14ac:dyDescent="0.2">
      <c r="B432" s="142">
        <v>423</v>
      </c>
      <c r="C432" s="143"/>
    </row>
    <row r="433" spans="2:3" x14ac:dyDescent="0.2">
      <c r="B433" s="142">
        <v>424</v>
      </c>
      <c r="C433" s="143"/>
    </row>
    <row r="434" spans="2:3" x14ac:dyDescent="0.2">
      <c r="B434" s="142">
        <v>425</v>
      </c>
      <c r="C434" s="143"/>
    </row>
    <row r="435" spans="2:3" x14ac:dyDescent="0.2">
      <c r="B435" s="142">
        <v>426</v>
      </c>
      <c r="C435" s="143"/>
    </row>
    <row r="436" spans="2:3" x14ac:dyDescent="0.2">
      <c r="B436" s="142">
        <v>427</v>
      </c>
      <c r="C436" s="143"/>
    </row>
    <row r="437" spans="2:3" x14ac:dyDescent="0.2">
      <c r="B437" s="142">
        <v>428</v>
      </c>
      <c r="C437" s="143"/>
    </row>
    <row r="438" spans="2:3" x14ac:dyDescent="0.2">
      <c r="B438" s="142">
        <v>429</v>
      </c>
      <c r="C438" s="143"/>
    </row>
    <row r="439" spans="2:3" x14ac:dyDescent="0.2">
      <c r="B439" s="142">
        <v>430</v>
      </c>
      <c r="C439" s="143"/>
    </row>
    <row r="440" spans="2:3" x14ac:dyDescent="0.2">
      <c r="B440" s="142">
        <v>431</v>
      </c>
      <c r="C440" s="143"/>
    </row>
    <row r="441" spans="2:3" x14ac:dyDescent="0.2">
      <c r="B441" s="142">
        <v>432</v>
      </c>
      <c r="C441" s="143"/>
    </row>
    <row r="442" spans="2:3" x14ac:dyDescent="0.2">
      <c r="B442" s="142">
        <v>433</v>
      </c>
      <c r="C442" s="143"/>
    </row>
    <row r="443" spans="2:3" x14ac:dyDescent="0.2">
      <c r="B443" s="142">
        <v>434</v>
      </c>
      <c r="C443" s="143"/>
    </row>
    <row r="444" spans="2:3" x14ac:dyDescent="0.2">
      <c r="B444" s="142">
        <v>435</v>
      </c>
      <c r="C444" s="143"/>
    </row>
    <row r="445" spans="2:3" x14ac:dyDescent="0.2">
      <c r="B445" s="142">
        <v>436</v>
      </c>
      <c r="C445" s="143"/>
    </row>
    <row r="446" spans="2:3" x14ac:dyDescent="0.2">
      <c r="B446" s="142">
        <v>437</v>
      </c>
      <c r="C446" s="143"/>
    </row>
    <row r="447" spans="2:3" x14ac:dyDescent="0.2">
      <c r="B447" s="142">
        <v>438</v>
      </c>
      <c r="C447" s="143"/>
    </row>
    <row r="448" spans="2:3" x14ac:dyDescent="0.2">
      <c r="B448" s="142">
        <v>439</v>
      </c>
      <c r="C448" s="143"/>
    </row>
    <row r="449" spans="2:3" x14ac:dyDescent="0.2">
      <c r="B449" s="142">
        <v>440</v>
      </c>
      <c r="C449" s="143"/>
    </row>
    <row r="450" spans="2:3" x14ac:dyDescent="0.2">
      <c r="B450" s="142">
        <v>441</v>
      </c>
      <c r="C450" s="143"/>
    </row>
    <row r="451" spans="2:3" x14ac:dyDescent="0.2">
      <c r="B451" s="142">
        <v>442</v>
      </c>
      <c r="C451" s="143"/>
    </row>
    <row r="452" spans="2:3" x14ac:dyDescent="0.2">
      <c r="B452" s="142">
        <v>443</v>
      </c>
      <c r="C452" s="143"/>
    </row>
    <row r="453" spans="2:3" x14ac:dyDescent="0.2">
      <c r="B453" s="142">
        <v>444</v>
      </c>
      <c r="C453" s="143"/>
    </row>
    <row r="454" spans="2:3" x14ac:dyDescent="0.2">
      <c r="B454" s="142">
        <v>445</v>
      </c>
      <c r="C454" s="143"/>
    </row>
    <row r="455" spans="2:3" x14ac:dyDescent="0.2">
      <c r="B455" s="142">
        <v>446</v>
      </c>
      <c r="C455" s="143"/>
    </row>
    <row r="456" spans="2:3" x14ac:dyDescent="0.2">
      <c r="B456" s="142">
        <v>447</v>
      </c>
      <c r="C456" s="143"/>
    </row>
    <row r="457" spans="2:3" x14ac:dyDescent="0.2">
      <c r="B457" s="142">
        <v>448</v>
      </c>
      <c r="C457" s="143"/>
    </row>
    <row r="458" spans="2:3" x14ac:dyDescent="0.2">
      <c r="B458" s="142">
        <v>449</v>
      </c>
      <c r="C458" s="143"/>
    </row>
    <row r="459" spans="2:3" x14ac:dyDescent="0.2">
      <c r="B459" s="142">
        <v>450</v>
      </c>
      <c r="C459" s="143"/>
    </row>
    <row r="460" spans="2:3" x14ac:dyDescent="0.2">
      <c r="B460" s="142">
        <v>451</v>
      </c>
      <c r="C460" s="143"/>
    </row>
    <row r="461" spans="2:3" x14ac:dyDescent="0.2">
      <c r="B461" s="142">
        <v>452</v>
      </c>
      <c r="C461" s="143"/>
    </row>
    <row r="462" spans="2:3" x14ac:dyDescent="0.2">
      <c r="B462" s="142">
        <v>453</v>
      </c>
      <c r="C462" s="143"/>
    </row>
    <row r="463" spans="2:3" x14ac:dyDescent="0.2">
      <c r="B463" s="142">
        <v>454</v>
      </c>
      <c r="C463" s="143"/>
    </row>
    <row r="464" spans="2:3" x14ac:dyDescent="0.2">
      <c r="B464" s="142">
        <v>455</v>
      </c>
      <c r="C464" s="143"/>
    </row>
    <row r="465" spans="2:3" x14ac:dyDescent="0.2">
      <c r="B465" s="142">
        <v>456</v>
      </c>
      <c r="C465" s="143"/>
    </row>
    <row r="466" spans="2:3" x14ac:dyDescent="0.2">
      <c r="B466" s="142">
        <v>457</v>
      </c>
      <c r="C466" s="143"/>
    </row>
    <row r="467" spans="2:3" x14ac:dyDescent="0.2">
      <c r="B467" s="142">
        <v>458</v>
      </c>
      <c r="C467" s="143"/>
    </row>
    <row r="468" spans="2:3" x14ac:dyDescent="0.2">
      <c r="B468" s="142">
        <v>459</v>
      </c>
      <c r="C468" s="143"/>
    </row>
    <row r="469" spans="2:3" x14ac:dyDescent="0.2">
      <c r="B469" s="142">
        <v>460</v>
      </c>
      <c r="C469" s="143"/>
    </row>
    <row r="470" spans="2:3" x14ac:dyDescent="0.2">
      <c r="B470" s="142">
        <v>461</v>
      </c>
      <c r="C470" s="143"/>
    </row>
    <row r="471" spans="2:3" x14ac:dyDescent="0.2">
      <c r="B471" s="142">
        <v>462</v>
      </c>
      <c r="C471" s="143"/>
    </row>
    <row r="472" spans="2:3" x14ac:dyDescent="0.2">
      <c r="B472" s="142">
        <v>463</v>
      </c>
      <c r="C472" s="143"/>
    </row>
    <row r="473" spans="2:3" x14ac:dyDescent="0.2">
      <c r="B473" s="142">
        <v>464</v>
      </c>
      <c r="C473" s="143"/>
    </row>
    <row r="474" spans="2:3" x14ac:dyDescent="0.2">
      <c r="B474" s="142">
        <v>465</v>
      </c>
      <c r="C474" s="143"/>
    </row>
    <row r="475" spans="2:3" x14ac:dyDescent="0.2">
      <c r="B475" s="142">
        <v>466</v>
      </c>
      <c r="C475" s="143"/>
    </row>
    <row r="476" spans="2:3" x14ac:dyDescent="0.2">
      <c r="B476" s="142">
        <v>467</v>
      </c>
      <c r="C476" s="143"/>
    </row>
    <row r="477" spans="2:3" x14ac:dyDescent="0.2">
      <c r="B477" s="142">
        <v>468</v>
      </c>
      <c r="C477" s="143"/>
    </row>
    <row r="478" spans="2:3" x14ac:dyDescent="0.2">
      <c r="B478" s="142">
        <v>469</v>
      </c>
      <c r="C478" s="143"/>
    </row>
    <row r="479" spans="2:3" x14ac:dyDescent="0.2">
      <c r="B479" s="142">
        <v>470</v>
      </c>
      <c r="C479" s="143"/>
    </row>
    <row r="480" spans="2:3" x14ac:dyDescent="0.2">
      <c r="B480" s="142">
        <v>471</v>
      </c>
      <c r="C480" s="143"/>
    </row>
    <row r="481" spans="2:3" x14ac:dyDescent="0.2">
      <c r="B481" s="142">
        <v>472</v>
      </c>
      <c r="C481" s="143"/>
    </row>
    <row r="482" spans="2:3" x14ac:dyDescent="0.2">
      <c r="B482" s="142">
        <v>473</v>
      </c>
      <c r="C482" s="143"/>
    </row>
    <row r="483" spans="2:3" x14ac:dyDescent="0.2">
      <c r="B483" s="142">
        <v>474</v>
      </c>
      <c r="C483" s="143"/>
    </row>
    <row r="484" spans="2:3" x14ac:dyDescent="0.2">
      <c r="B484" s="142">
        <v>475</v>
      </c>
      <c r="C484" s="143"/>
    </row>
    <row r="485" spans="2:3" x14ac:dyDescent="0.2">
      <c r="B485" s="142">
        <v>476</v>
      </c>
      <c r="C485" s="143"/>
    </row>
    <row r="486" spans="2:3" x14ac:dyDescent="0.2">
      <c r="B486" s="142">
        <v>477</v>
      </c>
      <c r="C486" s="143"/>
    </row>
    <row r="487" spans="2:3" x14ac:dyDescent="0.2">
      <c r="B487" s="142">
        <v>478</v>
      </c>
      <c r="C487" s="143"/>
    </row>
    <row r="488" spans="2:3" x14ac:dyDescent="0.2">
      <c r="B488" s="142">
        <v>479</v>
      </c>
      <c r="C488" s="143"/>
    </row>
    <row r="489" spans="2:3" x14ac:dyDescent="0.2">
      <c r="B489" s="142">
        <v>480</v>
      </c>
      <c r="C489" s="143"/>
    </row>
    <row r="490" spans="2:3" x14ac:dyDescent="0.2">
      <c r="B490" s="142">
        <v>481</v>
      </c>
      <c r="C490" s="143"/>
    </row>
    <row r="491" spans="2:3" x14ac:dyDescent="0.2">
      <c r="B491" s="142">
        <v>482</v>
      </c>
      <c r="C491" s="143"/>
    </row>
    <row r="492" spans="2:3" x14ac:dyDescent="0.2">
      <c r="B492" s="142">
        <v>483</v>
      </c>
      <c r="C492" s="143"/>
    </row>
    <row r="493" spans="2:3" x14ac:dyDescent="0.2">
      <c r="B493" s="142">
        <v>484</v>
      </c>
      <c r="C493" s="143"/>
    </row>
    <row r="494" spans="2:3" x14ac:dyDescent="0.2">
      <c r="B494" s="142">
        <v>485</v>
      </c>
      <c r="C494" s="143"/>
    </row>
    <row r="495" spans="2:3" x14ac:dyDescent="0.2">
      <c r="B495" s="142">
        <v>486</v>
      </c>
      <c r="C495" s="143"/>
    </row>
    <row r="496" spans="2:3" x14ac:dyDescent="0.2">
      <c r="B496" s="142">
        <v>487</v>
      </c>
      <c r="C496" s="143"/>
    </row>
    <row r="497" spans="2:3" x14ac:dyDescent="0.2">
      <c r="B497" s="142">
        <v>488</v>
      </c>
      <c r="C497" s="143"/>
    </row>
    <row r="498" spans="2:3" x14ac:dyDescent="0.2">
      <c r="B498" s="142">
        <v>489</v>
      </c>
      <c r="C498" s="143"/>
    </row>
    <row r="499" spans="2:3" x14ac:dyDescent="0.2">
      <c r="B499" s="142">
        <v>490</v>
      </c>
      <c r="C499" s="143"/>
    </row>
    <row r="500" spans="2:3" x14ac:dyDescent="0.2">
      <c r="B500" s="142">
        <v>491</v>
      </c>
      <c r="C500" s="143"/>
    </row>
    <row r="501" spans="2:3" x14ac:dyDescent="0.2">
      <c r="B501" s="142">
        <v>492</v>
      </c>
      <c r="C501" s="143"/>
    </row>
    <row r="502" spans="2:3" x14ac:dyDescent="0.2">
      <c r="B502" s="142">
        <v>493</v>
      </c>
      <c r="C502" s="143"/>
    </row>
    <row r="503" spans="2:3" x14ac:dyDescent="0.2">
      <c r="B503" s="142">
        <v>494</v>
      </c>
      <c r="C503" s="143"/>
    </row>
    <row r="504" spans="2:3" x14ac:dyDescent="0.2">
      <c r="B504" s="142">
        <v>495</v>
      </c>
      <c r="C504" s="143"/>
    </row>
    <row r="505" spans="2:3" x14ac:dyDescent="0.2">
      <c r="B505" s="142">
        <v>496</v>
      </c>
      <c r="C505" s="143"/>
    </row>
    <row r="506" spans="2:3" x14ac:dyDescent="0.2">
      <c r="B506" s="142">
        <v>497</v>
      </c>
      <c r="C506" s="143"/>
    </row>
    <row r="507" spans="2:3" x14ac:dyDescent="0.2">
      <c r="B507" s="142">
        <v>498</v>
      </c>
      <c r="C507" s="143"/>
    </row>
    <row r="508" spans="2:3" x14ac:dyDescent="0.2">
      <c r="B508" s="142">
        <v>499</v>
      </c>
      <c r="C508" s="143"/>
    </row>
    <row r="509" spans="2:3" x14ac:dyDescent="0.2">
      <c r="B509" s="142">
        <v>500</v>
      </c>
      <c r="C509" s="143"/>
    </row>
    <row r="510" spans="2:3" x14ac:dyDescent="0.2">
      <c r="B510" s="142">
        <v>501</v>
      </c>
      <c r="C510" s="143"/>
    </row>
    <row r="511" spans="2:3" x14ac:dyDescent="0.2">
      <c r="B511" s="142">
        <v>502</v>
      </c>
      <c r="C511" s="143"/>
    </row>
    <row r="512" spans="2:3" x14ac:dyDescent="0.2">
      <c r="B512" s="142">
        <v>503</v>
      </c>
      <c r="C512" s="143"/>
    </row>
    <row r="513" spans="2:3" x14ac:dyDescent="0.2">
      <c r="B513" s="142">
        <v>504</v>
      </c>
      <c r="C513" s="143"/>
    </row>
    <row r="514" spans="2:3" x14ac:dyDescent="0.2">
      <c r="B514" s="142">
        <v>505</v>
      </c>
      <c r="C514" s="143"/>
    </row>
    <row r="515" spans="2:3" x14ac:dyDescent="0.2">
      <c r="B515" s="142">
        <v>506</v>
      </c>
      <c r="C515" s="143"/>
    </row>
    <row r="516" spans="2:3" x14ac:dyDescent="0.2">
      <c r="B516" s="142">
        <v>507</v>
      </c>
      <c r="C516" s="143"/>
    </row>
    <row r="517" spans="2:3" x14ac:dyDescent="0.2">
      <c r="B517" s="142">
        <v>508</v>
      </c>
      <c r="C517" s="143"/>
    </row>
    <row r="518" spans="2:3" x14ac:dyDescent="0.2">
      <c r="B518" s="142">
        <v>509</v>
      </c>
      <c r="C518" s="143"/>
    </row>
    <row r="519" spans="2:3" x14ac:dyDescent="0.2">
      <c r="B519" s="142">
        <v>510</v>
      </c>
      <c r="C519" s="143"/>
    </row>
    <row r="520" spans="2:3" x14ac:dyDescent="0.2">
      <c r="B520" s="142">
        <v>511</v>
      </c>
      <c r="C520" s="143"/>
    </row>
    <row r="521" spans="2:3" x14ac:dyDescent="0.2">
      <c r="B521" s="142">
        <v>512</v>
      </c>
      <c r="C521" s="143"/>
    </row>
    <row r="522" spans="2:3" x14ac:dyDescent="0.2">
      <c r="B522" s="142">
        <v>513</v>
      </c>
      <c r="C522" s="143"/>
    </row>
    <row r="523" spans="2:3" x14ac:dyDescent="0.2">
      <c r="B523" s="142">
        <v>514</v>
      </c>
      <c r="C523" s="143"/>
    </row>
    <row r="524" spans="2:3" x14ac:dyDescent="0.2">
      <c r="B524" s="142">
        <v>515</v>
      </c>
      <c r="C524" s="143"/>
    </row>
    <row r="525" spans="2:3" x14ac:dyDescent="0.2">
      <c r="B525" s="142">
        <v>516</v>
      </c>
      <c r="C525" s="143"/>
    </row>
    <row r="526" spans="2:3" x14ac:dyDescent="0.2">
      <c r="B526" s="142">
        <v>517</v>
      </c>
      <c r="C526" s="143"/>
    </row>
    <row r="527" spans="2:3" x14ac:dyDescent="0.2">
      <c r="B527" s="142">
        <v>518</v>
      </c>
      <c r="C527" s="143"/>
    </row>
    <row r="528" spans="2:3" x14ac:dyDescent="0.2">
      <c r="B528" s="142">
        <v>519</v>
      </c>
      <c r="C528" s="143"/>
    </row>
    <row r="529" spans="2:3" x14ac:dyDescent="0.2">
      <c r="B529" s="142">
        <v>520</v>
      </c>
      <c r="C529" s="143"/>
    </row>
    <row r="530" spans="2:3" x14ac:dyDescent="0.2">
      <c r="B530" s="142">
        <v>521</v>
      </c>
      <c r="C530" s="143"/>
    </row>
    <row r="531" spans="2:3" x14ac:dyDescent="0.2">
      <c r="B531" s="142">
        <v>522</v>
      </c>
      <c r="C531" s="143"/>
    </row>
    <row r="532" spans="2:3" x14ac:dyDescent="0.2">
      <c r="B532" s="142">
        <v>523</v>
      </c>
      <c r="C532" s="143"/>
    </row>
    <row r="533" spans="2:3" x14ac:dyDescent="0.2">
      <c r="B533" s="142">
        <v>524</v>
      </c>
      <c r="C533" s="143"/>
    </row>
    <row r="534" spans="2:3" x14ac:dyDescent="0.2">
      <c r="B534" s="142">
        <v>525</v>
      </c>
      <c r="C534" s="143"/>
    </row>
    <row r="535" spans="2:3" x14ac:dyDescent="0.2">
      <c r="B535" s="142">
        <v>526</v>
      </c>
      <c r="C535" s="143"/>
    </row>
    <row r="536" spans="2:3" x14ac:dyDescent="0.2">
      <c r="B536" s="142">
        <v>527</v>
      </c>
      <c r="C536" s="143"/>
    </row>
    <row r="537" spans="2:3" x14ac:dyDescent="0.2">
      <c r="B537" s="142">
        <v>528</v>
      </c>
      <c r="C537" s="143"/>
    </row>
    <row r="538" spans="2:3" x14ac:dyDescent="0.2">
      <c r="B538" s="142">
        <v>529</v>
      </c>
      <c r="C538" s="143"/>
    </row>
    <row r="539" spans="2:3" x14ac:dyDescent="0.2">
      <c r="B539" s="142">
        <v>530</v>
      </c>
      <c r="C539" s="143"/>
    </row>
    <row r="540" spans="2:3" x14ac:dyDescent="0.2">
      <c r="B540" s="142">
        <v>531</v>
      </c>
      <c r="C540" s="143"/>
    </row>
    <row r="541" spans="2:3" x14ac:dyDescent="0.2">
      <c r="B541" s="142">
        <v>532</v>
      </c>
      <c r="C541" s="143"/>
    </row>
    <row r="542" spans="2:3" x14ac:dyDescent="0.2">
      <c r="B542" s="142">
        <v>533</v>
      </c>
      <c r="C542" s="143"/>
    </row>
    <row r="543" spans="2:3" x14ac:dyDescent="0.2">
      <c r="B543" s="142">
        <v>534</v>
      </c>
      <c r="C543" s="143"/>
    </row>
    <row r="544" spans="2:3" x14ac:dyDescent="0.2">
      <c r="B544" s="142">
        <v>535</v>
      </c>
      <c r="C544" s="143"/>
    </row>
    <row r="545" spans="2:3" x14ac:dyDescent="0.2">
      <c r="B545" s="142">
        <v>536</v>
      </c>
      <c r="C545" s="143"/>
    </row>
    <row r="546" spans="2:3" x14ac:dyDescent="0.2">
      <c r="B546" s="142">
        <v>537</v>
      </c>
      <c r="C546" s="143"/>
    </row>
    <row r="547" spans="2:3" x14ac:dyDescent="0.2">
      <c r="B547" s="142">
        <v>538</v>
      </c>
      <c r="C547" s="143"/>
    </row>
    <row r="548" spans="2:3" x14ac:dyDescent="0.2">
      <c r="B548" s="142">
        <v>539</v>
      </c>
      <c r="C548" s="143"/>
    </row>
    <row r="549" spans="2:3" x14ac:dyDescent="0.2">
      <c r="B549" s="142">
        <v>540</v>
      </c>
      <c r="C549" s="143"/>
    </row>
    <row r="550" spans="2:3" x14ac:dyDescent="0.2">
      <c r="B550" s="142">
        <v>541</v>
      </c>
      <c r="C550" s="143"/>
    </row>
    <row r="551" spans="2:3" x14ac:dyDescent="0.2">
      <c r="B551" s="142">
        <v>542</v>
      </c>
      <c r="C551" s="143"/>
    </row>
    <row r="552" spans="2:3" x14ac:dyDescent="0.2">
      <c r="B552" s="142">
        <v>543</v>
      </c>
      <c r="C552" s="143"/>
    </row>
    <row r="553" spans="2:3" x14ac:dyDescent="0.2">
      <c r="B553" s="142">
        <v>544</v>
      </c>
      <c r="C553" s="143"/>
    </row>
    <row r="554" spans="2:3" x14ac:dyDescent="0.2">
      <c r="B554" s="142">
        <v>545</v>
      </c>
      <c r="C554" s="143"/>
    </row>
    <row r="555" spans="2:3" x14ac:dyDescent="0.2">
      <c r="B555" s="142">
        <v>546</v>
      </c>
      <c r="C555" s="143"/>
    </row>
    <row r="556" spans="2:3" x14ac:dyDescent="0.2">
      <c r="B556" s="142">
        <v>547</v>
      </c>
      <c r="C556" s="143"/>
    </row>
    <row r="557" spans="2:3" x14ac:dyDescent="0.2">
      <c r="B557" s="142">
        <v>548</v>
      </c>
      <c r="C557" s="143"/>
    </row>
    <row r="558" spans="2:3" x14ac:dyDescent="0.2">
      <c r="B558" s="142">
        <v>549</v>
      </c>
      <c r="C558" s="143"/>
    </row>
    <row r="559" spans="2:3" x14ac:dyDescent="0.2">
      <c r="B559" s="142">
        <v>550</v>
      </c>
      <c r="C559" s="143"/>
    </row>
    <row r="560" spans="2:3" x14ac:dyDescent="0.2">
      <c r="B560" s="142">
        <v>551</v>
      </c>
      <c r="C560" s="143"/>
    </row>
    <row r="561" spans="2:3" x14ac:dyDescent="0.2">
      <c r="B561" s="142">
        <v>552</v>
      </c>
      <c r="C561" s="143"/>
    </row>
    <row r="562" spans="2:3" x14ac:dyDescent="0.2">
      <c r="B562" s="142">
        <v>553</v>
      </c>
      <c r="C562" s="143"/>
    </row>
    <row r="563" spans="2:3" x14ac:dyDescent="0.2">
      <c r="B563" s="142">
        <v>554</v>
      </c>
      <c r="C563" s="143"/>
    </row>
    <row r="564" spans="2:3" x14ac:dyDescent="0.2">
      <c r="B564" s="142">
        <v>555</v>
      </c>
      <c r="C564" s="143"/>
    </row>
    <row r="565" spans="2:3" x14ac:dyDescent="0.2">
      <c r="B565" s="142">
        <v>556</v>
      </c>
      <c r="C565" s="143"/>
    </row>
    <row r="566" spans="2:3" x14ac:dyDescent="0.2">
      <c r="B566" s="142">
        <v>557</v>
      </c>
      <c r="C566" s="143"/>
    </row>
    <row r="567" spans="2:3" x14ac:dyDescent="0.2">
      <c r="B567" s="142">
        <v>558</v>
      </c>
      <c r="C567" s="143"/>
    </row>
    <row r="568" spans="2:3" x14ac:dyDescent="0.2">
      <c r="B568" s="142">
        <v>559</v>
      </c>
      <c r="C568" s="143"/>
    </row>
    <row r="569" spans="2:3" x14ac:dyDescent="0.2">
      <c r="B569" s="142">
        <v>560</v>
      </c>
      <c r="C569" s="143"/>
    </row>
    <row r="570" spans="2:3" x14ac:dyDescent="0.2">
      <c r="B570" s="142">
        <v>561</v>
      </c>
      <c r="C570" s="143"/>
    </row>
    <row r="571" spans="2:3" x14ac:dyDescent="0.2">
      <c r="B571" s="142">
        <v>562</v>
      </c>
      <c r="C571" s="143"/>
    </row>
    <row r="572" spans="2:3" x14ac:dyDescent="0.2">
      <c r="B572" s="142">
        <v>563</v>
      </c>
      <c r="C572" s="143"/>
    </row>
    <row r="573" spans="2:3" x14ac:dyDescent="0.2">
      <c r="B573" s="142">
        <v>564</v>
      </c>
      <c r="C573" s="143"/>
    </row>
    <row r="574" spans="2:3" x14ac:dyDescent="0.2">
      <c r="B574" s="142">
        <v>565</v>
      </c>
      <c r="C574" s="143"/>
    </row>
    <row r="575" spans="2:3" x14ac:dyDescent="0.2">
      <c r="B575" s="142">
        <v>566</v>
      </c>
      <c r="C575" s="143"/>
    </row>
    <row r="576" spans="2:3" x14ac:dyDescent="0.2">
      <c r="B576" s="142">
        <v>567</v>
      </c>
      <c r="C576" s="143"/>
    </row>
    <row r="577" spans="2:3" x14ac:dyDescent="0.2">
      <c r="B577" s="142">
        <v>568</v>
      </c>
      <c r="C577" s="143"/>
    </row>
    <row r="578" spans="2:3" x14ac:dyDescent="0.2">
      <c r="B578" s="142">
        <v>569</v>
      </c>
      <c r="C578" s="143"/>
    </row>
    <row r="579" spans="2:3" x14ac:dyDescent="0.2">
      <c r="B579" s="142">
        <v>570</v>
      </c>
      <c r="C579" s="143"/>
    </row>
    <row r="580" spans="2:3" x14ac:dyDescent="0.2">
      <c r="B580" s="142">
        <v>571</v>
      </c>
      <c r="C580" s="143"/>
    </row>
    <row r="581" spans="2:3" x14ac:dyDescent="0.2">
      <c r="B581" s="142">
        <v>572</v>
      </c>
      <c r="C581" s="143"/>
    </row>
    <row r="582" spans="2:3" x14ac:dyDescent="0.2">
      <c r="B582" s="142">
        <v>573</v>
      </c>
      <c r="C582" s="143"/>
    </row>
    <row r="583" spans="2:3" x14ac:dyDescent="0.2">
      <c r="B583" s="142">
        <v>574</v>
      </c>
      <c r="C583" s="143"/>
    </row>
    <row r="584" spans="2:3" x14ac:dyDescent="0.2">
      <c r="B584" s="142">
        <v>575</v>
      </c>
      <c r="C584" s="143"/>
    </row>
    <row r="585" spans="2:3" x14ac:dyDescent="0.2">
      <c r="B585" s="142">
        <v>576</v>
      </c>
      <c r="C585" s="143"/>
    </row>
    <row r="586" spans="2:3" x14ac:dyDescent="0.2">
      <c r="B586" s="142">
        <v>577</v>
      </c>
      <c r="C586" s="143"/>
    </row>
    <row r="587" spans="2:3" x14ac:dyDescent="0.2">
      <c r="B587" s="142">
        <v>578</v>
      </c>
      <c r="C587" s="143"/>
    </row>
    <row r="588" spans="2:3" x14ac:dyDescent="0.2">
      <c r="B588" s="142">
        <v>579</v>
      </c>
      <c r="C588" s="143"/>
    </row>
    <row r="589" spans="2:3" x14ac:dyDescent="0.2">
      <c r="B589" s="142">
        <v>580</v>
      </c>
      <c r="C589" s="143"/>
    </row>
    <row r="590" spans="2:3" x14ac:dyDescent="0.2">
      <c r="B590" s="142">
        <v>581</v>
      </c>
      <c r="C590" s="143"/>
    </row>
    <row r="591" spans="2:3" x14ac:dyDescent="0.2">
      <c r="B591" s="142">
        <v>582</v>
      </c>
      <c r="C591" s="143"/>
    </row>
    <row r="592" spans="2:3" x14ac:dyDescent="0.2">
      <c r="B592" s="142">
        <v>583</v>
      </c>
      <c r="C592" s="143"/>
    </row>
    <row r="593" spans="2:3" x14ac:dyDescent="0.2">
      <c r="B593" s="142">
        <v>584</v>
      </c>
      <c r="C593" s="143"/>
    </row>
    <row r="594" spans="2:3" x14ac:dyDescent="0.2">
      <c r="B594" s="142">
        <v>585</v>
      </c>
      <c r="C594" s="143"/>
    </row>
    <row r="595" spans="2:3" x14ac:dyDescent="0.2">
      <c r="B595" s="142">
        <v>586</v>
      </c>
      <c r="C595" s="143"/>
    </row>
    <row r="596" spans="2:3" x14ac:dyDescent="0.2">
      <c r="B596" s="142">
        <v>587</v>
      </c>
      <c r="C596" s="143"/>
    </row>
    <row r="597" spans="2:3" x14ac:dyDescent="0.2">
      <c r="B597" s="142">
        <v>588</v>
      </c>
      <c r="C597" s="143"/>
    </row>
    <row r="598" spans="2:3" x14ac:dyDescent="0.2">
      <c r="B598" s="142">
        <v>589</v>
      </c>
      <c r="C598" s="143"/>
    </row>
    <row r="599" spans="2:3" x14ac:dyDescent="0.2">
      <c r="B599" s="142">
        <v>590</v>
      </c>
      <c r="C599" s="143"/>
    </row>
    <row r="600" spans="2:3" x14ac:dyDescent="0.2">
      <c r="B600" s="142">
        <v>591</v>
      </c>
      <c r="C600" s="143"/>
    </row>
    <row r="601" spans="2:3" x14ac:dyDescent="0.2">
      <c r="B601" s="142">
        <v>592</v>
      </c>
      <c r="C601" s="143"/>
    </row>
    <row r="602" spans="2:3" x14ac:dyDescent="0.2">
      <c r="B602" s="142">
        <v>593</v>
      </c>
      <c r="C602" s="143"/>
    </row>
    <row r="603" spans="2:3" x14ac:dyDescent="0.2">
      <c r="B603" s="142">
        <v>594</v>
      </c>
      <c r="C603" s="143"/>
    </row>
    <row r="604" spans="2:3" x14ac:dyDescent="0.2">
      <c r="B604" s="142">
        <v>595</v>
      </c>
      <c r="C604" s="143"/>
    </row>
    <row r="605" spans="2:3" x14ac:dyDescent="0.2">
      <c r="B605" s="142">
        <v>596</v>
      </c>
      <c r="C605" s="143"/>
    </row>
    <row r="606" spans="2:3" x14ac:dyDescent="0.2">
      <c r="B606" s="142">
        <v>597</v>
      </c>
      <c r="C606" s="143"/>
    </row>
    <row r="607" spans="2:3" x14ac:dyDescent="0.2">
      <c r="B607" s="142">
        <v>598</v>
      </c>
      <c r="C607" s="143"/>
    </row>
    <row r="608" spans="2:3" x14ac:dyDescent="0.2">
      <c r="B608" s="142">
        <v>599</v>
      </c>
      <c r="C608" s="143"/>
    </row>
    <row r="609" spans="2:3" x14ac:dyDescent="0.2">
      <c r="B609" s="142">
        <v>600</v>
      </c>
      <c r="C609" s="143"/>
    </row>
    <row r="610" spans="2:3" x14ac:dyDescent="0.2">
      <c r="B610" s="142">
        <v>601</v>
      </c>
      <c r="C610" s="143"/>
    </row>
    <row r="611" spans="2:3" x14ac:dyDescent="0.2">
      <c r="B611" s="142">
        <v>602</v>
      </c>
      <c r="C611" s="143"/>
    </row>
    <row r="612" spans="2:3" x14ac:dyDescent="0.2">
      <c r="B612" s="142">
        <v>603</v>
      </c>
      <c r="C612" s="143"/>
    </row>
    <row r="613" spans="2:3" x14ac:dyDescent="0.2">
      <c r="B613" s="142">
        <v>604</v>
      </c>
      <c r="C613" s="143"/>
    </row>
    <row r="614" spans="2:3" x14ac:dyDescent="0.2">
      <c r="B614" s="142">
        <v>605</v>
      </c>
      <c r="C614" s="143"/>
    </row>
    <row r="615" spans="2:3" x14ac:dyDescent="0.2">
      <c r="B615" s="142">
        <v>606</v>
      </c>
      <c r="C615" s="143"/>
    </row>
    <row r="616" spans="2:3" x14ac:dyDescent="0.2">
      <c r="B616" s="142">
        <v>607</v>
      </c>
      <c r="C616" s="143"/>
    </row>
    <row r="617" spans="2:3" x14ac:dyDescent="0.2">
      <c r="B617" s="142">
        <v>608</v>
      </c>
      <c r="C617" s="143"/>
    </row>
    <row r="618" spans="2:3" x14ac:dyDescent="0.2">
      <c r="B618" s="142">
        <v>609</v>
      </c>
      <c r="C618" s="143"/>
    </row>
    <row r="619" spans="2:3" x14ac:dyDescent="0.2">
      <c r="B619" s="142">
        <v>610</v>
      </c>
      <c r="C619" s="143"/>
    </row>
    <row r="620" spans="2:3" x14ac:dyDescent="0.2">
      <c r="B620" s="142">
        <v>611</v>
      </c>
      <c r="C620" s="143"/>
    </row>
    <row r="621" spans="2:3" x14ac:dyDescent="0.2">
      <c r="B621" s="142">
        <v>612</v>
      </c>
      <c r="C621" s="143"/>
    </row>
    <row r="622" spans="2:3" x14ac:dyDescent="0.2">
      <c r="B622" s="142">
        <v>613</v>
      </c>
      <c r="C622" s="143"/>
    </row>
    <row r="623" spans="2:3" x14ac:dyDescent="0.2">
      <c r="B623" s="142">
        <v>614</v>
      </c>
      <c r="C623" s="143"/>
    </row>
    <row r="624" spans="2:3" x14ac:dyDescent="0.2">
      <c r="B624" s="142">
        <v>615</v>
      </c>
      <c r="C624" s="143"/>
    </row>
    <row r="625" spans="2:3" x14ac:dyDescent="0.2">
      <c r="B625" s="142">
        <v>616</v>
      </c>
      <c r="C625" s="143"/>
    </row>
    <row r="626" spans="2:3" x14ac:dyDescent="0.2">
      <c r="B626" s="142">
        <v>617</v>
      </c>
      <c r="C626" s="143"/>
    </row>
    <row r="627" spans="2:3" x14ac:dyDescent="0.2">
      <c r="B627" s="142">
        <v>618</v>
      </c>
      <c r="C627" s="143"/>
    </row>
    <row r="628" spans="2:3" x14ac:dyDescent="0.2">
      <c r="B628" s="142">
        <v>619</v>
      </c>
      <c r="C628" s="143"/>
    </row>
    <row r="629" spans="2:3" x14ac:dyDescent="0.2">
      <c r="B629" s="142">
        <v>620</v>
      </c>
      <c r="C629" s="143"/>
    </row>
    <row r="630" spans="2:3" x14ac:dyDescent="0.2">
      <c r="B630" s="142">
        <v>621</v>
      </c>
      <c r="C630" s="143"/>
    </row>
    <row r="631" spans="2:3" x14ac:dyDescent="0.2">
      <c r="B631" s="142">
        <v>622</v>
      </c>
      <c r="C631" s="143"/>
    </row>
    <row r="632" spans="2:3" x14ac:dyDescent="0.2">
      <c r="B632" s="142">
        <v>623</v>
      </c>
      <c r="C632" s="143"/>
    </row>
    <row r="633" spans="2:3" x14ac:dyDescent="0.2">
      <c r="B633" s="142">
        <v>624</v>
      </c>
      <c r="C633" s="143"/>
    </row>
    <row r="634" spans="2:3" x14ac:dyDescent="0.2">
      <c r="B634" s="142">
        <v>625</v>
      </c>
      <c r="C634" s="143"/>
    </row>
    <row r="635" spans="2:3" x14ac:dyDescent="0.2">
      <c r="B635" s="142">
        <v>626</v>
      </c>
      <c r="C635" s="143"/>
    </row>
    <row r="636" spans="2:3" x14ac:dyDescent="0.2">
      <c r="B636" s="142">
        <v>627</v>
      </c>
      <c r="C636" s="143"/>
    </row>
    <row r="637" spans="2:3" x14ac:dyDescent="0.2">
      <c r="B637" s="142">
        <v>628</v>
      </c>
      <c r="C637" s="143"/>
    </row>
    <row r="638" spans="2:3" x14ac:dyDescent="0.2">
      <c r="B638" s="142">
        <v>629</v>
      </c>
      <c r="C638" s="143"/>
    </row>
    <row r="639" spans="2:3" x14ac:dyDescent="0.2">
      <c r="B639" s="142">
        <v>630</v>
      </c>
      <c r="C639" s="143"/>
    </row>
    <row r="640" spans="2:3" x14ac:dyDescent="0.2">
      <c r="B640" s="142">
        <v>631</v>
      </c>
      <c r="C640" s="143"/>
    </row>
    <row r="641" spans="2:3" x14ac:dyDescent="0.2">
      <c r="B641" s="142">
        <v>632</v>
      </c>
      <c r="C641" s="143"/>
    </row>
    <row r="642" spans="2:3" x14ac:dyDescent="0.2">
      <c r="B642" s="142">
        <v>633</v>
      </c>
      <c r="C642" s="143"/>
    </row>
    <row r="643" spans="2:3" x14ac:dyDescent="0.2">
      <c r="B643" s="142">
        <v>634</v>
      </c>
      <c r="C643" s="143"/>
    </row>
    <row r="644" spans="2:3" x14ac:dyDescent="0.2">
      <c r="B644" s="142">
        <v>635</v>
      </c>
      <c r="C644" s="143"/>
    </row>
    <row r="645" spans="2:3" x14ac:dyDescent="0.2">
      <c r="B645" s="142">
        <v>636</v>
      </c>
      <c r="C645" s="143"/>
    </row>
    <row r="646" spans="2:3" x14ac:dyDescent="0.2">
      <c r="B646" s="142">
        <v>637</v>
      </c>
      <c r="C646" s="143"/>
    </row>
    <row r="647" spans="2:3" x14ac:dyDescent="0.2">
      <c r="B647" s="142">
        <v>638</v>
      </c>
      <c r="C647" s="143"/>
    </row>
    <row r="648" spans="2:3" x14ac:dyDescent="0.2">
      <c r="B648" s="142">
        <v>639</v>
      </c>
      <c r="C648" s="143"/>
    </row>
    <row r="649" spans="2:3" x14ac:dyDescent="0.2">
      <c r="B649" s="142">
        <v>640</v>
      </c>
      <c r="C649" s="143"/>
    </row>
    <row r="650" spans="2:3" x14ac:dyDescent="0.2">
      <c r="B650" s="142">
        <v>641</v>
      </c>
      <c r="C650" s="143"/>
    </row>
    <row r="651" spans="2:3" x14ac:dyDescent="0.2">
      <c r="B651" s="142">
        <v>642</v>
      </c>
      <c r="C651" s="143"/>
    </row>
    <row r="652" spans="2:3" x14ac:dyDescent="0.2">
      <c r="B652" s="142">
        <v>643</v>
      </c>
      <c r="C652" s="143"/>
    </row>
    <row r="653" spans="2:3" x14ac:dyDescent="0.2">
      <c r="B653" s="142">
        <v>644</v>
      </c>
      <c r="C653" s="143"/>
    </row>
    <row r="654" spans="2:3" x14ac:dyDescent="0.2">
      <c r="B654" s="142">
        <v>645</v>
      </c>
      <c r="C654" s="143"/>
    </row>
    <row r="655" spans="2:3" x14ac:dyDescent="0.2">
      <c r="B655" s="142">
        <v>646</v>
      </c>
      <c r="C655" s="143"/>
    </row>
    <row r="656" spans="2:3" x14ac:dyDescent="0.2">
      <c r="B656" s="142">
        <v>647</v>
      </c>
      <c r="C656" s="143"/>
    </row>
    <row r="657" spans="2:3" x14ac:dyDescent="0.2">
      <c r="B657" s="142">
        <v>648</v>
      </c>
      <c r="C657" s="143"/>
    </row>
    <row r="658" spans="2:3" x14ac:dyDescent="0.2">
      <c r="B658" s="142">
        <v>649</v>
      </c>
      <c r="C658" s="143"/>
    </row>
    <row r="659" spans="2:3" x14ac:dyDescent="0.2">
      <c r="B659" s="142">
        <v>650</v>
      </c>
      <c r="C659" s="143"/>
    </row>
    <row r="660" spans="2:3" x14ac:dyDescent="0.2">
      <c r="B660" s="142">
        <v>651</v>
      </c>
      <c r="C660" s="143"/>
    </row>
    <row r="661" spans="2:3" x14ac:dyDescent="0.2">
      <c r="B661" s="142">
        <v>652</v>
      </c>
      <c r="C661" s="143"/>
    </row>
    <row r="662" spans="2:3" x14ac:dyDescent="0.2">
      <c r="B662" s="142">
        <v>653</v>
      </c>
      <c r="C662" s="143"/>
    </row>
    <row r="663" spans="2:3" x14ac:dyDescent="0.2">
      <c r="B663" s="142">
        <v>654</v>
      </c>
      <c r="C663" s="143"/>
    </row>
    <row r="664" spans="2:3" x14ac:dyDescent="0.2">
      <c r="B664" s="142">
        <v>655</v>
      </c>
      <c r="C664" s="143"/>
    </row>
    <row r="665" spans="2:3" x14ac:dyDescent="0.2">
      <c r="B665" s="142">
        <v>656</v>
      </c>
      <c r="C665" s="143"/>
    </row>
    <row r="666" spans="2:3" x14ac:dyDescent="0.2">
      <c r="B666" s="142">
        <v>657</v>
      </c>
      <c r="C666" s="143"/>
    </row>
    <row r="667" spans="2:3" x14ac:dyDescent="0.2">
      <c r="B667" s="142">
        <v>658</v>
      </c>
      <c r="C667" s="143"/>
    </row>
    <row r="668" spans="2:3" x14ac:dyDescent="0.2">
      <c r="B668" s="142">
        <v>659</v>
      </c>
      <c r="C668" s="143"/>
    </row>
    <row r="669" spans="2:3" x14ac:dyDescent="0.2">
      <c r="B669" s="142">
        <v>660</v>
      </c>
      <c r="C669" s="143"/>
    </row>
    <row r="670" spans="2:3" x14ac:dyDescent="0.2">
      <c r="B670" s="142">
        <v>661</v>
      </c>
      <c r="C670" s="143"/>
    </row>
    <row r="671" spans="2:3" x14ac:dyDescent="0.2">
      <c r="B671" s="142">
        <v>662</v>
      </c>
      <c r="C671" s="143"/>
    </row>
    <row r="672" spans="2:3" x14ac:dyDescent="0.2">
      <c r="B672" s="142">
        <v>663</v>
      </c>
      <c r="C672" s="143"/>
    </row>
    <row r="673" spans="2:3" x14ac:dyDescent="0.2">
      <c r="B673" s="142">
        <v>664</v>
      </c>
      <c r="C673" s="143"/>
    </row>
    <row r="674" spans="2:3" x14ac:dyDescent="0.2">
      <c r="B674" s="142">
        <v>665</v>
      </c>
      <c r="C674" s="143"/>
    </row>
    <row r="675" spans="2:3" x14ac:dyDescent="0.2">
      <c r="B675" s="142">
        <v>666</v>
      </c>
      <c r="C675" s="143"/>
    </row>
    <row r="676" spans="2:3" x14ac:dyDescent="0.2">
      <c r="B676" s="142">
        <v>667</v>
      </c>
      <c r="C676" s="143"/>
    </row>
    <row r="677" spans="2:3" x14ac:dyDescent="0.2">
      <c r="B677" s="142">
        <v>668</v>
      </c>
      <c r="C677" s="143"/>
    </row>
    <row r="678" spans="2:3" x14ac:dyDescent="0.2">
      <c r="B678" s="142">
        <v>669</v>
      </c>
      <c r="C678" s="143"/>
    </row>
    <row r="679" spans="2:3" x14ac:dyDescent="0.2">
      <c r="B679" s="142">
        <v>670</v>
      </c>
      <c r="C679" s="143"/>
    </row>
    <row r="680" spans="2:3" x14ac:dyDescent="0.2">
      <c r="B680" s="142">
        <v>671</v>
      </c>
      <c r="C680" s="143"/>
    </row>
    <row r="681" spans="2:3" x14ac:dyDescent="0.2">
      <c r="B681" s="142">
        <v>672</v>
      </c>
      <c r="C681" s="143"/>
    </row>
    <row r="682" spans="2:3" x14ac:dyDescent="0.2">
      <c r="B682" s="142">
        <v>673</v>
      </c>
      <c r="C682" s="143"/>
    </row>
    <row r="683" spans="2:3" x14ac:dyDescent="0.2">
      <c r="B683" s="142">
        <v>674</v>
      </c>
      <c r="C683" s="143"/>
    </row>
    <row r="684" spans="2:3" x14ac:dyDescent="0.2">
      <c r="B684" s="142">
        <v>675</v>
      </c>
      <c r="C684" s="143"/>
    </row>
    <row r="685" spans="2:3" x14ac:dyDescent="0.2">
      <c r="B685" s="142">
        <v>676</v>
      </c>
      <c r="C685" s="143"/>
    </row>
    <row r="686" spans="2:3" x14ac:dyDescent="0.2">
      <c r="B686" s="142">
        <v>677</v>
      </c>
      <c r="C686" s="143"/>
    </row>
    <row r="687" spans="2:3" x14ac:dyDescent="0.2">
      <c r="B687" s="142">
        <v>678</v>
      </c>
      <c r="C687" s="143"/>
    </row>
    <row r="688" spans="2:3" x14ac:dyDescent="0.2">
      <c r="B688" s="142">
        <v>679</v>
      </c>
      <c r="C688" s="143"/>
    </row>
    <row r="689" spans="2:3" x14ac:dyDescent="0.2">
      <c r="B689" s="142">
        <v>680</v>
      </c>
      <c r="C689" s="143"/>
    </row>
    <row r="690" spans="2:3" x14ac:dyDescent="0.2">
      <c r="B690" s="142">
        <v>681</v>
      </c>
      <c r="C690" s="143"/>
    </row>
    <row r="691" spans="2:3" x14ac:dyDescent="0.2">
      <c r="B691" s="142">
        <v>682</v>
      </c>
      <c r="C691" s="143"/>
    </row>
    <row r="692" spans="2:3" x14ac:dyDescent="0.2">
      <c r="B692" s="142">
        <v>683</v>
      </c>
      <c r="C692" s="143"/>
    </row>
    <row r="693" spans="2:3" x14ac:dyDescent="0.2">
      <c r="B693" s="142">
        <v>684</v>
      </c>
      <c r="C693" s="143"/>
    </row>
    <row r="694" spans="2:3" x14ac:dyDescent="0.2">
      <c r="B694" s="142">
        <v>685</v>
      </c>
      <c r="C694" s="143"/>
    </row>
    <row r="695" spans="2:3" x14ac:dyDescent="0.2">
      <c r="B695" s="142">
        <v>686</v>
      </c>
      <c r="C695" s="143"/>
    </row>
    <row r="696" spans="2:3" x14ac:dyDescent="0.2">
      <c r="B696" s="142">
        <v>687</v>
      </c>
      <c r="C696" s="143"/>
    </row>
    <row r="697" spans="2:3" x14ac:dyDescent="0.2">
      <c r="B697" s="142">
        <v>688</v>
      </c>
      <c r="C697" s="143"/>
    </row>
    <row r="698" spans="2:3" x14ac:dyDescent="0.2">
      <c r="B698" s="142">
        <v>689</v>
      </c>
      <c r="C698" s="143"/>
    </row>
    <row r="699" spans="2:3" x14ac:dyDescent="0.2">
      <c r="B699" s="142">
        <v>690</v>
      </c>
      <c r="C699" s="143"/>
    </row>
    <row r="700" spans="2:3" x14ac:dyDescent="0.2">
      <c r="B700" s="142">
        <v>691</v>
      </c>
      <c r="C700" s="143"/>
    </row>
    <row r="701" spans="2:3" x14ac:dyDescent="0.2">
      <c r="B701" s="142">
        <v>692</v>
      </c>
      <c r="C701" s="143"/>
    </row>
    <row r="702" spans="2:3" x14ac:dyDescent="0.2">
      <c r="B702" s="142">
        <v>693</v>
      </c>
      <c r="C702" s="143"/>
    </row>
    <row r="703" spans="2:3" x14ac:dyDescent="0.2">
      <c r="B703" s="142">
        <v>694</v>
      </c>
      <c r="C703" s="143"/>
    </row>
    <row r="704" spans="2:3" x14ac:dyDescent="0.2">
      <c r="B704" s="142">
        <v>695</v>
      </c>
      <c r="C704" s="143"/>
    </row>
    <row r="705" spans="2:3" x14ac:dyDescent="0.2">
      <c r="B705" s="142">
        <v>696</v>
      </c>
      <c r="C705" s="143"/>
    </row>
    <row r="706" spans="2:3" x14ac:dyDescent="0.2">
      <c r="B706" s="142">
        <v>697</v>
      </c>
      <c r="C706" s="143"/>
    </row>
    <row r="707" spans="2:3" x14ac:dyDescent="0.2">
      <c r="B707" s="142">
        <v>698</v>
      </c>
      <c r="C707" s="143"/>
    </row>
    <row r="708" spans="2:3" x14ac:dyDescent="0.2">
      <c r="B708" s="142">
        <v>699</v>
      </c>
      <c r="C708" s="143"/>
    </row>
    <row r="709" spans="2:3" x14ac:dyDescent="0.2">
      <c r="B709" s="142">
        <v>700</v>
      </c>
      <c r="C709" s="143"/>
    </row>
    <row r="710" spans="2:3" x14ac:dyDescent="0.2">
      <c r="B710" s="142">
        <v>701</v>
      </c>
      <c r="C710" s="143"/>
    </row>
    <row r="711" spans="2:3" x14ac:dyDescent="0.2">
      <c r="B711" s="142">
        <v>702</v>
      </c>
      <c r="C711" s="143"/>
    </row>
    <row r="712" spans="2:3" x14ac:dyDescent="0.2">
      <c r="B712" s="142">
        <v>703</v>
      </c>
      <c r="C712" s="143"/>
    </row>
    <row r="713" spans="2:3" x14ac:dyDescent="0.2">
      <c r="B713" s="142">
        <v>704</v>
      </c>
      <c r="C713" s="143"/>
    </row>
    <row r="714" spans="2:3" x14ac:dyDescent="0.2">
      <c r="B714" s="142">
        <v>705</v>
      </c>
      <c r="C714" s="143"/>
    </row>
    <row r="715" spans="2:3" x14ac:dyDescent="0.2">
      <c r="B715" s="142">
        <v>706</v>
      </c>
      <c r="C715" s="143"/>
    </row>
    <row r="716" spans="2:3" x14ac:dyDescent="0.2">
      <c r="B716" s="142">
        <v>707</v>
      </c>
      <c r="C716" s="143"/>
    </row>
    <row r="717" spans="2:3" x14ac:dyDescent="0.2">
      <c r="B717" s="142">
        <v>708</v>
      </c>
      <c r="C717" s="143"/>
    </row>
    <row r="718" spans="2:3" x14ac:dyDescent="0.2">
      <c r="B718" s="142">
        <v>709</v>
      </c>
      <c r="C718" s="143"/>
    </row>
    <row r="719" spans="2:3" x14ac:dyDescent="0.2">
      <c r="B719" s="142">
        <v>710</v>
      </c>
      <c r="C719" s="143"/>
    </row>
    <row r="720" spans="2:3" x14ac:dyDescent="0.2">
      <c r="B720" s="142">
        <v>711</v>
      </c>
      <c r="C720" s="143"/>
    </row>
    <row r="721" spans="2:3" x14ac:dyDescent="0.2">
      <c r="B721" s="142">
        <v>712</v>
      </c>
      <c r="C721" s="143"/>
    </row>
    <row r="722" spans="2:3" x14ac:dyDescent="0.2">
      <c r="B722" s="142">
        <v>713</v>
      </c>
      <c r="C722" s="143"/>
    </row>
    <row r="723" spans="2:3" x14ac:dyDescent="0.2">
      <c r="B723" s="142">
        <v>714</v>
      </c>
      <c r="C723" s="143"/>
    </row>
    <row r="724" spans="2:3" x14ac:dyDescent="0.2">
      <c r="B724" s="142">
        <v>715</v>
      </c>
      <c r="C724" s="143"/>
    </row>
    <row r="725" spans="2:3" x14ac:dyDescent="0.2">
      <c r="B725" s="142">
        <v>716</v>
      </c>
      <c r="C725" s="143"/>
    </row>
    <row r="726" spans="2:3" x14ac:dyDescent="0.2">
      <c r="B726" s="142">
        <v>717</v>
      </c>
      <c r="C726" s="143"/>
    </row>
    <row r="727" spans="2:3" x14ac:dyDescent="0.2">
      <c r="B727" s="142">
        <v>718</v>
      </c>
      <c r="C727" s="143"/>
    </row>
    <row r="728" spans="2:3" x14ac:dyDescent="0.2">
      <c r="B728" s="142">
        <v>719</v>
      </c>
      <c r="C728" s="143"/>
    </row>
    <row r="729" spans="2:3" x14ac:dyDescent="0.2">
      <c r="B729" s="142">
        <v>720</v>
      </c>
      <c r="C729" s="143"/>
    </row>
    <row r="730" spans="2:3" x14ac:dyDescent="0.2">
      <c r="B730" s="142">
        <v>721</v>
      </c>
      <c r="C730" s="143"/>
    </row>
    <row r="731" spans="2:3" x14ac:dyDescent="0.2">
      <c r="B731" s="142">
        <v>722</v>
      </c>
      <c r="C731" s="143"/>
    </row>
    <row r="732" spans="2:3" x14ac:dyDescent="0.2">
      <c r="B732" s="142">
        <v>723</v>
      </c>
      <c r="C732" s="143"/>
    </row>
    <row r="733" spans="2:3" x14ac:dyDescent="0.2">
      <c r="B733" s="142">
        <v>724</v>
      </c>
      <c r="C733" s="143"/>
    </row>
    <row r="734" spans="2:3" x14ac:dyDescent="0.2">
      <c r="B734" s="142">
        <v>725</v>
      </c>
      <c r="C734" s="143"/>
    </row>
    <row r="735" spans="2:3" x14ac:dyDescent="0.2">
      <c r="B735" s="142">
        <v>726</v>
      </c>
      <c r="C735" s="143"/>
    </row>
    <row r="736" spans="2:3" x14ac:dyDescent="0.2">
      <c r="B736" s="142">
        <v>727</v>
      </c>
      <c r="C736" s="143"/>
    </row>
    <row r="737" spans="2:3" x14ac:dyDescent="0.2">
      <c r="B737" s="142">
        <v>728</v>
      </c>
      <c r="C737" s="143"/>
    </row>
    <row r="738" spans="2:3" x14ac:dyDescent="0.2">
      <c r="B738" s="142">
        <v>729</v>
      </c>
      <c r="C738" s="143"/>
    </row>
    <row r="739" spans="2:3" x14ac:dyDescent="0.2">
      <c r="B739" s="142">
        <v>730</v>
      </c>
      <c r="C739" s="143"/>
    </row>
    <row r="740" spans="2:3" x14ac:dyDescent="0.2">
      <c r="B740" s="142">
        <v>731</v>
      </c>
      <c r="C740" s="143"/>
    </row>
    <row r="741" spans="2:3" x14ac:dyDescent="0.2">
      <c r="B741" s="142">
        <v>732</v>
      </c>
      <c r="C741" s="143"/>
    </row>
    <row r="742" spans="2:3" x14ac:dyDescent="0.2">
      <c r="B742" s="142">
        <v>733</v>
      </c>
      <c r="C742" s="143"/>
    </row>
    <row r="743" spans="2:3" x14ac:dyDescent="0.2">
      <c r="B743" s="142">
        <v>734</v>
      </c>
      <c r="C743" s="143"/>
    </row>
    <row r="744" spans="2:3" x14ac:dyDescent="0.2">
      <c r="B744" s="142">
        <v>735</v>
      </c>
      <c r="C744" s="143"/>
    </row>
    <row r="745" spans="2:3" x14ac:dyDescent="0.2">
      <c r="B745" s="142">
        <v>736</v>
      </c>
      <c r="C745" s="143"/>
    </row>
    <row r="746" spans="2:3" x14ac:dyDescent="0.2">
      <c r="B746" s="142">
        <v>737</v>
      </c>
      <c r="C746" s="143"/>
    </row>
    <row r="747" spans="2:3" x14ac:dyDescent="0.2">
      <c r="B747" s="142">
        <v>738</v>
      </c>
      <c r="C747" s="143"/>
    </row>
    <row r="748" spans="2:3" x14ac:dyDescent="0.2">
      <c r="B748" s="142">
        <v>739</v>
      </c>
      <c r="C748" s="143"/>
    </row>
    <row r="749" spans="2:3" x14ac:dyDescent="0.2">
      <c r="B749" s="142">
        <v>740</v>
      </c>
      <c r="C749" s="143"/>
    </row>
    <row r="750" spans="2:3" x14ac:dyDescent="0.2">
      <c r="B750" s="142">
        <v>741</v>
      </c>
      <c r="C750" s="143"/>
    </row>
    <row r="751" spans="2:3" x14ac:dyDescent="0.2">
      <c r="B751" s="142">
        <v>742</v>
      </c>
      <c r="C751" s="143"/>
    </row>
    <row r="752" spans="2:3" x14ac:dyDescent="0.2">
      <c r="B752" s="142">
        <v>743</v>
      </c>
      <c r="C752" s="143"/>
    </row>
    <row r="753" spans="2:3" x14ac:dyDescent="0.2">
      <c r="B753" s="142">
        <v>744</v>
      </c>
      <c r="C753" s="143"/>
    </row>
    <row r="754" spans="2:3" x14ac:dyDescent="0.2">
      <c r="B754" s="142">
        <v>745</v>
      </c>
      <c r="C754" s="143"/>
    </row>
    <row r="755" spans="2:3" x14ac:dyDescent="0.2">
      <c r="B755" s="142">
        <v>746</v>
      </c>
      <c r="C755" s="143"/>
    </row>
    <row r="756" spans="2:3" x14ac:dyDescent="0.2">
      <c r="B756" s="142">
        <v>747</v>
      </c>
      <c r="C756" s="143"/>
    </row>
    <row r="757" spans="2:3" x14ac:dyDescent="0.2">
      <c r="B757" s="142">
        <v>748</v>
      </c>
      <c r="C757" s="143"/>
    </row>
    <row r="758" spans="2:3" x14ac:dyDescent="0.2">
      <c r="B758" s="142">
        <v>749</v>
      </c>
      <c r="C758" s="143"/>
    </row>
    <row r="759" spans="2:3" x14ac:dyDescent="0.2">
      <c r="B759" s="142">
        <v>750</v>
      </c>
      <c r="C759" s="143"/>
    </row>
    <row r="760" spans="2:3" x14ac:dyDescent="0.2">
      <c r="B760" s="142">
        <v>751</v>
      </c>
      <c r="C760" s="143"/>
    </row>
    <row r="761" spans="2:3" x14ac:dyDescent="0.2">
      <c r="B761" s="142">
        <v>752</v>
      </c>
      <c r="C761" s="143"/>
    </row>
    <row r="762" spans="2:3" x14ac:dyDescent="0.2">
      <c r="B762" s="142">
        <v>753</v>
      </c>
      <c r="C762" s="143"/>
    </row>
    <row r="763" spans="2:3" x14ac:dyDescent="0.2">
      <c r="B763" s="142">
        <v>754</v>
      </c>
      <c r="C763" s="143"/>
    </row>
    <row r="764" spans="2:3" x14ac:dyDescent="0.2">
      <c r="B764" s="142">
        <v>755</v>
      </c>
      <c r="C764" s="143"/>
    </row>
    <row r="765" spans="2:3" x14ac:dyDescent="0.2">
      <c r="B765" s="142">
        <v>756</v>
      </c>
      <c r="C765" s="143"/>
    </row>
    <row r="766" spans="2:3" x14ac:dyDescent="0.2">
      <c r="B766" s="142">
        <v>757</v>
      </c>
      <c r="C766" s="143"/>
    </row>
    <row r="767" spans="2:3" x14ac:dyDescent="0.2">
      <c r="B767" s="142">
        <v>758</v>
      </c>
      <c r="C767" s="143"/>
    </row>
    <row r="768" spans="2:3" x14ac:dyDescent="0.2">
      <c r="B768" s="142">
        <v>759</v>
      </c>
      <c r="C768" s="143"/>
    </row>
    <row r="769" spans="2:3" x14ac:dyDescent="0.2">
      <c r="B769" s="142">
        <v>760</v>
      </c>
      <c r="C769" s="143"/>
    </row>
    <row r="770" spans="2:3" x14ac:dyDescent="0.2">
      <c r="B770" s="142">
        <v>761</v>
      </c>
      <c r="C770" s="143"/>
    </row>
    <row r="771" spans="2:3" x14ac:dyDescent="0.2">
      <c r="B771" s="142">
        <v>762</v>
      </c>
      <c r="C771" s="143"/>
    </row>
    <row r="772" spans="2:3" x14ac:dyDescent="0.2">
      <c r="B772" s="142">
        <v>763</v>
      </c>
      <c r="C772" s="143"/>
    </row>
    <row r="773" spans="2:3" x14ac:dyDescent="0.2">
      <c r="B773" s="142">
        <v>764</v>
      </c>
      <c r="C773" s="143"/>
    </row>
    <row r="774" spans="2:3" x14ac:dyDescent="0.2">
      <c r="B774" s="142">
        <v>765</v>
      </c>
      <c r="C774" s="143"/>
    </row>
    <row r="775" spans="2:3" x14ac:dyDescent="0.2">
      <c r="B775" s="142">
        <v>766</v>
      </c>
      <c r="C775" s="143"/>
    </row>
    <row r="776" spans="2:3" x14ac:dyDescent="0.2">
      <c r="B776" s="142">
        <v>767</v>
      </c>
      <c r="C776" s="143"/>
    </row>
    <row r="777" spans="2:3" x14ac:dyDescent="0.2">
      <c r="B777" s="142">
        <v>768</v>
      </c>
      <c r="C777" s="143"/>
    </row>
    <row r="778" spans="2:3" x14ac:dyDescent="0.2">
      <c r="B778" s="142">
        <v>769</v>
      </c>
      <c r="C778" s="143"/>
    </row>
    <row r="779" spans="2:3" x14ac:dyDescent="0.2">
      <c r="B779" s="142">
        <v>770</v>
      </c>
      <c r="C779" s="143"/>
    </row>
    <row r="780" spans="2:3" x14ac:dyDescent="0.2">
      <c r="B780" s="142">
        <v>771</v>
      </c>
      <c r="C780" s="143"/>
    </row>
    <row r="781" spans="2:3" x14ac:dyDescent="0.2">
      <c r="B781" s="142">
        <v>772</v>
      </c>
      <c r="C781" s="143"/>
    </row>
    <row r="782" spans="2:3" x14ac:dyDescent="0.2">
      <c r="B782" s="142">
        <v>773</v>
      </c>
      <c r="C782" s="143"/>
    </row>
    <row r="783" spans="2:3" x14ac:dyDescent="0.2">
      <c r="B783" s="142">
        <v>774</v>
      </c>
      <c r="C783" s="143"/>
    </row>
    <row r="784" spans="2:3" x14ac:dyDescent="0.2">
      <c r="B784" s="142">
        <v>775</v>
      </c>
      <c r="C784" s="143"/>
    </row>
    <row r="785" spans="2:3" x14ac:dyDescent="0.2">
      <c r="B785" s="142">
        <v>776</v>
      </c>
      <c r="C785" s="143"/>
    </row>
    <row r="786" spans="2:3" x14ac:dyDescent="0.2">
      <c r="B786" s="142">
        <v>777</v>
      </c>
      <c r="C786" s="143"/>
    </row>
    <row r="787" spans="2:3" x14ac:dyDescent="0.2">
      <c r="B787" s="142">
        <v>778</v>
      </c>
      <c r="C787" s="143"/>
    </row>
    <row r="788" spans="2:3" x14ac:dyDescent="0.2">
      <c r="B788" s="142">
        <v>779</v>
      </c>
      <c r="C788" s="143"/>
    </row>
    <row r="789" spans="2:3" x14ac:dyDescent="0.2">
      <c r="B789" s="142">
        <v>780</v>
      </c>
      <c r="C789" s="143"/>
    </row>
    <row r="790" spans="2:3" x14ac:dyDescent="0.2">
      <c r="B790" s="142">
        <v>781</v>
      </c>
      <c r="C790" s="143"/>
    </row>
    <row r="791" spans="2:3" x14ac:dyDescent="0.2">
      <c r="B791" s="142">
        <v>782</v>
      </c>
      <c r="C791" s="143"/>
    </row>
    <row r="792" spans="2:3" x14ac:dyDescent="0.2">
      <c r="B792" s="142">
        <v>783</v>
      </c>
      <c r="C792" s="143"/>
    </row>
    <row r="793" spans="2:3" x14ac:dyDescent="0.2">
      <c r="B793" s="142">
        <v>784</v>
      </c>
      <c r="C793" s="143"/>
    </row>
    <row r="794" spans="2:3" x14ac:dyDescent="0.2">
      <c r="B794" s="142">
        <v>785</v>
      </c>
      <c r="C794" s="143"/>
    </row>
    <row r="795" spans="2:3" x14ac:dyDescent="0.2">
      <c r="B795" s="142">
        <v>786</v>
      </c>
      <c r="C795" s="143"/>
    </row>
    <row r="796" spans="2:3" x14ac:dyDescent="0.2">
      <c r="B796" s="142">
        <v>787</v>
      </c>
      <c r="C796" s="143"/>
    </row>
    <row r="797" spans="2:3" x14ac:dyDescent="0.2">
      <c r="B797" s="142">
        <v>788</v>
      </c>
      <c r="C797" s="143"/>
    </row>
    <row r="798" spans="2:3" x14ac:dyDescent="0.2">
      <c r="B798" s="142">
        <v>789</v>
      </c>
      <c r="C798" s="143"/>
    </row>
    <row r="799" spans="2:3" x14ac:dyDescent="0.2">
      <c r="B799" s="142">
        <v>790</v>
      </c>
      <c r="C799" s="143"/>
    </row>
    <row r="800" spans="2:3" x14ac:dyDescent="0.2">
      <c r="B800" s="142">
        <v>791</v>
      </c>
      <c r="C800" s="143"/>
    </row>
    <row r="801" spans="2:3" x14ac:dyDescent="0.2">
      <c r="B801" s="142">
        <v>792</v>
      </c>
      <c r="C801" s="143"/>
    </row>
    <row r="802" spans="2:3" x14ac:dyDescent="0.2">
      <c r="B802" s="142">
        <v>793</v>
      </c>
      <c r="C802" s="143"/>
    </row>
    <row r="803" spans="2:3" x14ac:dyDescent="0.2">
      <c r="B803" s="142">
        <v>794</v>
      </c>
      <c r="C803" s="143"/>
    </row>
    <row r="804" spans="2:3" x14ac:dyDescent="0.2">
      <c r="B804" s="142">
        <v>795</v>
      </c>
      <c r="C804" s="143"/>
    </row>
    <row r="805" spans="2:3" x14ac:dyDescent="0.2">
      <c r="B805" s="142">
        <v>796</v>
      </c>
      <c r="C805" s="143"/>
    </row>
    <row r="806" spans="2:3" x14ac:dyDescent="0.2">
      <c r="B806" s="142">
        <v>797</v>
      </c>
      <c r="C806" s="143"/>
    </row>
    <row r="807" spans="2:3" x14ac:dyDescent="0.2">
      <c r="B807" s="142">
        <v>798</v>
      </c>
      <c r="C807" s="143"/>
    </row>
    <row r="808" spans="2:3" x14ac:dyDescent="0.2">
      <c r="B808" s="142">
        <v>799</v>
      </c>
      <c r="C808" s="143"/>
    </row>
    <row r="809" spans="2:3" x14ac:dyDescent="0.2">
      <c r="B809" s="142">
        <v>800</v>
      </c>
      <c r="C809" s="143"/>
    </row>
    <row r="810" spans="2:3" x14ac:dyDescent="0.2">
      <c r="B810" s="142">
        <v>801</v>
      </c>
      <c r="C810" s="143"/>
    </row>
    <row r="811" spans="2:3" x14ac:dyDescent="0.2">
      <c r="B811" s="142">
        <v>802</v>
      </c>
      <c r="C811" s="143"/>
    </row>
    <row r="812" spans="2:3" x14ac:dyDescent="0.2">
      <c r="B812" s="142">
        <v>803</v>
      </c>
      <c r="C812" s="143"/>
    </row>
    <row r="813" spans="2:3" x14ac:dyDescent="0.2">
      <c r="B813" s="142">
        <v>804</v>
      </c>
      <c r="C813" s="143"/>
    </row>
    <row r="814" spans="2:3" x14ac:dyDescent="0.2">
      <c r="B814" s="142">
        <v>805</v>
      </c>
      <c r="C814" s="143"/>
    </row>
    <row r="815" spans="2:3" x14ac:dyDescent="0.2">
      <c r="B815" s="142">
        <v>806</v>
      </c>
      <c r="C815" s="143"/>
    </row>
    <row r="816" spans="2:3" x14ac:dyDescent="0.2">
      <c r="B816" s="142">
        <v>807</v>
      </c>
      <c r="C816" s="143"/>
    </row>
    <row r="817" spans="2:3" x14ac:dyDescent="0.2">
      <c r="B817" s="142">
        <v>808</v>
      </c>
      <c r="C817" s="143"/>
    </row>
    <row r="818" spans="2:3" x14ac:dyDescent="0.2">
      <c r="B818" s="142">
        <v>809</v>
      </c>
      <c r="C818" s="143"/>
    </row>
    <row r="819" spans="2:3" x14ac:dyDescent="0.2">
      <c r="B819" s="142">
        <v>810</v>
      </c>
      <c r="C819" s="143"/>
    </row>
    <row r="820" spans="2:3" x14ac:dyDescent="0.2">
      <c r="B820" s="142">
        <v>811</v>
      </c>
      <c r="C820" s="143"/>
    </row>
    <row r="821" spans="2:3" x14ac:dyDescent="0.2">
      <c r="B821" s="142">
        <v>812</v>
      </c>
      <c r="C821" s="143"/>
    </row>
    <row r="822" spans="2:3" x14ac:dyDescent="0.2">
      <c r="B822" s="142">
        <v>813</v>
      </c>
      <c r="C822" s="143"/>
    </row>
    <row r="823" spans="2:3" x14ac:dyDescent="0.2">
      <c r="B823" s="142">
        <v>814</v>
      </c>
      <c r="C823" s="143"/>
    </row>
    <row r="824" spans="2:3" x14ac:dyDescent="0.2">
      <c r="B824" s="142">
        <v>815</v>
      </c>
      <c r="C824" s="143"/>
    </row>
    <row r="825" spans="2:3" x14ac:dyDescent="0.2">
      <c r="B825" s="142">
        <v>816</v>
      </c>
      <c r="C825" s="143"/>
    </row>
    <row r="826" spans="2:3" x14ac:dyDescent="0.2">
      <c r="B826" s="142">
        <v>817</v>
      </c>
      <c r="C826" s="143"/>
    </row>
    <row r="827" spans="2:3" x14ac:dyDescent="0.2">
      <c r="B827" s="142">
        <v>818</v>
      </c>
      <c r="C827" s="143"/>
    </row>
    <row r="828" spans="2:3" x14ac:dyDescent="0.2">
      <c r="B828" s="142">
        <v>819</v>
      </c>
      <c r="C828" s="143"/>
    </row>
    <row r="829" spans="2:3" x14ac:dyDescent="0.2">
      <c r="B829" s="142">
        <v>820</v>
      </c>
      <c r="C829" s="143"/>
    </row>
    <row r="830" spans="2:3" x14ac:dyDescent="0.2">
      <c r="B830" s="142">
        <v>821</v>
      </c>
      <c r="C830" s="143"/>
    </row>
    <row r="831" spans="2:3" x14ac:dyDescent="0.2">
      <c r="B831" s="142">
        <v>822</v>
      </c>
      <c r="C831" s="143"/>
    </row>
    <row r="832" spans="2:3" x14ac:dyDescent="0.2">
      <c r="B832" s="142">
        <v>823</v>
      </c>
      <c r="C832" s="143"/>
    </row>
    <row r="833" spans="2:3" x14ac:dyDescent="0.2">
      <c r="B833" s="142">
        <v>824</v>
      </c>
      <c r="C833" s="143"/>
    </row>
    <row r="834" spans="2:3" x14ac:dyDescent="0.2">
      <c r="B834" s="142">
        <v>825</v>
      </c>
      <c r="C834" s="143"/>
    </row>
    <row r="835" spans="2:3" x14ac:dyDescent="0.2">
      <c r="B835" s="142">
        <v>826</v>
      </c>
      <c r="C835" s="143"/>
    </row>
    <row r="836" spans="2:3" x14ac:dyDescent="0.2">
      <c r="B836" s="142">
        <v>827</v>
      </c>
      <c r="C836" s="143"/>
    </row>
    <row r="837" spans="2:3" x14ac:dyDescent="0.2">
      <c r="B837" s="142">
        <v>828</v>
      </c>
      <c r="C837" s="143"/>
    </row>
    <row r="838" spans="2:3" x14ac:dyDescent="0.2">
      <c r="B838" s="142">
        <v>829</v>
      </c>
      <c r="C838" s="143"/>
    </row>
    <row r="839" spans="2:3" x14ac:dyDescent="0.2">
      <c r="B839" s="142">
        <v>830</v>
      </c>
      <c r="C839" s="143"/>
    </row>
    <row r="840" spans="2:3" x14ac:dyDescent="0.2">
      <c r="B840" s="142">
        <v>831</v>
      </c>
      <c r="C840" s="143"/>
    </row>
    <row r="841" spans="2:3" x14ac:dyDescent="0.2">
      <c r="B841" s="142">
        <v>832</v>
      </c>
      <c r="C841" s="143"/>
    </row>
    <row r="842" spans="2:3" x14ac:dyDescent="0.2">
      <c r="B842" s="142">
        <v>833</v>
      </c>
      <c r="C842" s="143"/>
    </row>
    <row r="843" spans="2:3" x14ac:dyDescent="0.2">
      <c r="B843" s="142">
        <v>834</v>
      </c>
      <c r="C843" s="143"/>
    </row>
    <row r="844" spans="2:3" x14ac:dyDescent="0.2">
      <c r="B844" s="142">
        <v>835</v>
      </c>
      <c r="C844" s="143"/>
    </row>
    <row r="845" spans="2:3" x14ac:dyDescent="0.2">
      <c r="B845" s="142">
        <v>836</v>
      </c>
      <c r="C845" s="143"/>
    </row>
    <row r="846" spans="2:3" x14ac:dyDescent="0.2">
      <c r="B846" s="142">
        <v>837</v>
      </c>
      <c r="C846" s="143"/>
    </row>
    <row r="847" spans="2:3" x14ac:dyDescent="0.2">
      <c r="B847" s="142">
        <v>838</v>
      </c>
      <c r="C847" s="143"/>
    </row>
    <row r="848" spans="2:3" x14ac:dyDescent="0.2">
      <c r="B848" s="142">
        <v>839</v>
      </c>
      <c r="C848" s="143"/>
    </row>
    <row r="849" spans="2:3" x14ac:dyDescent="0.2">
      <c r="B849" s="142">
        <v>840</v>
      </c>
      <c r="C849" s="143"/>
    </row>
    <row r="850" spans="2:3" x14ac:dyDescent="0.2">
      <c r="B850" s="142">
        <v>841</v>
      </c>
      <c r="C850" s="143"/>
    </row>
    <row r="851" spans="2:3" x14ac:dyDescent="0.2">
      <c r="B851" s="142">
        <v>842</v>
      </c>
      <c r="C851" s="143"/>
    </row>
    <row r="852" spans="2:3" x14ac:dyDescent="0.2">
      <c r="B852" s="142">
        <v>843</v>
      </c>
      <c r="C852" s="143"/>
    </row>
    <row r="853" spans="2:3" x14ac:dyDescent="0.2">
      <c r="B853" s="142">
        <v>844</v>
      </c>
      <c r="C853" s="143"/>
    </row>
    <row r="854" spans="2:3" x14ac:dyDescent="0.2">
      <c r="B854" s="142">
        <v>845</v>
      </c>
      <c r="C854" s="143"/>
    </row>
    <row r="855" spans="2:3" x14ac:dyDescent="0.2">
      <c r="B855" s="142">
        <v>846</v>
      </c>
      <c r="C855" s="143"/>
    </row>
    <row r="856" spans="2:3" x14ac:dyDescent="0.2">
      <c r="B856" s="142">
        <v>847</v>
      </c>
      <c r="C856" s="143"/>
    </row>
    <row r="857" spans="2:3" x14ac:dyDescent="0.2">
      <c r="B857" s="142">
        <v>848</v>
      </c>
      <c r="C857" s="143"/>
    </row>
    <row r="858" spans="2:3" x14ac:dyDescent="0.2">
      <c r="B858" s="142">
        <v>849</v>
      </c>
      <c r="C858" s="143"/>
    </row>
    <row r="859" spans="2:3" x14ac:dyDescent="0.2">
      <c r="B859" s="142">
        <v>850</v>
      </c>
      <c r="C859" s="143"/>
    </row>
    <row r="860" spans="2:3" x14ac:dyDescent="0.2">
      <c r="B860" s="142">
        <v>851</v>
      </c>
      <c r="C860" s="143"/>
    </row>
    <row r="861" spans="2:3" x14ac:dyDescent="0.2">
      <c r="B861" s="142">
        <v>852</v>
      </c>
      <c r="C861" s="143"/>
    </row>
    <row r="862" spans="2:3" x14ac:dyDescent="0.2">
      <c r="B862" s="142">
        <v>853</v>
      </c>
      <c r="C862" s="143"/>
    </row>
    <row r="863" spans="2:3" x14ac:dyDescent="0.2">
      <c r="B863" s="142">
        <v>854</v>
      </c>
      <c r="C863" s="143"/>
    </row>
    <row r="864" spans="2:3" x14ac:dyDescent="0.2">
      <c r="B864" s="142">
        <v>855</v>
      </c>
      <c r="C864" s="143"/>
    </row>
    <row r="865" spans="2:3" x14ac:dyDescent="0.2">
      <c r="B865" s="142">
        <v>856</v>
      </c>
      <c r="C865" s="143"/>
    </row>
    <row r="866" spans="2:3" x14ac:dyDescent="0.2">
      <c r="B866" s="142">
        <v>857</v>
      </c>
      <c r="C866" s="143"/>
    </row>
    <row r="867" spans="2:3" x14ac:dyDescent="0.2">
      <c r="B867" s="142">
        <v>858</v>
      </c>
      <c r="C867" s="143"/>
    </row>
    <row r="868" spans="2:3" x14ac:dyDescent="0.2">
      <c r="B868" s="142">
        <v>859</v>
      </c>
      <c r="C868" s="143"/>
    </row>
    <row r="869" spans="2:3" x14ac:dyDescent="0.2">
      <c r="B869" s="142">
        <v>860</v>
      </c>
      <c r="C869" s="143"/>
    </row>
    <row r="870" spans="2:3" x14ac:dyDescent="0.2">
      <c r="B870" s="142">
        <v>861</v>
      </c>
      <c r="C870" s="143"/>
    </row>
    <row r="871" spans="2:3" x14ac:dyDescent="0.2">
      <c r="B871" s="142">
        <v>862</v>
      </c>
      <c r="C871" s="143"/>
    </row>
    <row r="872" spans="2:3" x14ac:dyDescent="0.2">
      <c r="B872" s="142">
        <v>863</v>
      </c>
      <c r="C872" s="143"/>
    </row>
    <row r="873" spans="2:3" x14ac:dyDescent="0.2">
      <c r="B873" s="142">
        <v>864</v>
      </c>
      <c r="C873" s="143"/>
    </row>
    <row r="874" spans="2:3" x14ac:dyDescent="0.2">
      <c r="B874" s="142">
        <v>865</v>
      </c>
      <c r="C874" s="143"/>
    </row>
    <row r="875" spans="2:3" x14ac:dyDescent="0.2">
      <c r="B875" s="142">
        <v>866</v>
      </c>
      <c r="C875" s="143"/>
    </row>
    <row r="876" spans="2:3" x14ac:dyDescent="0.2">
      <c r="B876" s="142">
        <v>867</v>
      </c>
      <c r="C876" s="143"/>
    </row>
    <row r="877" spans="2:3" x14ac:dyDescent="0.2">
      <c r="B877" s="142">
        <v>868</v>
      </c>
      <c r="C877" s="143"/>
    </row>
    <row r="878" spans="2:3" x14ac:dyDescent="0.2">
      <c r="B878" s="142">
        <v>869</v>
      </c>
      <c r="C878" s="143"/>
    </row>
    <row r="879" spans="2:3" x14ac:dyDescent="0.2">
      <c r="B879" s="142">
        <v>870</v>
      </c>
      <c r="C879" s="143"/>
    </row>
    <row r="880" spans="2:3" x14ac:dyDescent="0.2">
      <c r="B880" s="142">
        <v>871</v>
      </c>
      <c r="C880" s="143"/>
    </row>
    <row r="881" spans="2:3" x14ac:dyDescent="0.2">
      <c r="B881" s="142">
        <v>872</v>
      </c>
      <c r="C881" s="143"/>
    </row>
    <row r="882" spans="2:3" x14ac:dyDescent="0.2">
      <c r="B882" s="142">
        <v>873</v>
      </c>
      <c r="C882" s="143"/>
    </row>
    <row r="883" spans="2:3" x14ac:dyDescent="0.2">
      <c r="B883" s="142">
        <v>874</v>
      </c>
      <c r="C883" s="143"/>
    </row>
    <row r="884" spans="2:3" x14ac:dyDescent="0.2">
      <c r="B884" s="142">
        <v>875</v>
      </c>
      <c r="C884" s="143"/>
    </row>
    <row r="885" spans="2:3" x14ac:dyDescent="0.2">
      <c r="B885" s="142">
        <v>876</v>
      </c>
      <c r="C885" s="143"/>
    </row>
    <row r="886" spans="2:3" x14ac:dyDescent="0.2">
      <c r="B886" s="142">
        <v>877</v>
      </c>
      <c r="C886" s="143"/>
    </row>
    <row r="887" spans="2:3" x14ac:dyDescent="0.2">
      <c r="B887" s="142">
        <v>878</v>
      </c>
      <c r="C887" s="143"/>
    </row>
    <row r="888" spans="2:3" x14ac:dyDescent="0.2">
      <c r="B888" s="142">
        <v>879</v>
      </c>
      <c r="C888" s="143"/>
    </row>
    <row r="889" spans="2:3" x14ac:dyDescent="0.2">
      <c r="B889" s="142">
        <v>880</v>
      </c>
      <c r="C889" s="143"/>
    </row>
    <row r="890" spans="2:3" x14ac:dyDescent="0.2">
      <c r="B890" s="142">
        <v>881</v>
      </c>
      <c r="C890" s="143"/>
    </row>
    <row r="891" spans="2:3" x14ac:dyDescent="0.2">
      <c r="B891" s="142">
        <v>882</v>
      </c>
      <c r="C891" s="143"/>
    </row>
    <row r="892" spans="2:3" x14ac:dyDescent="0.2">
      <c r="B892" s="142">
        <v>883</v>
      </c>
      <c r="C892" s="143"/>
    </row>
    <row r="893" spans="2:3" x14ac:dyDescent="0.2">
      <c r="B893" s="142">
        <v>884</v>
      </c>
      <c r="C893" s="143"/>
    </row>
    <row r="894" spans="2:3" x14ac:dyDescent="0.2">
      <c r="B894" s="142">
        <v>885</v>
      </c>
      <c r="C894" s="143"/>
    </row>
    <row r="895" spans="2:3" x14ac:dyDescent="0.2">
      <c r="B895" s="142">
        <v>886</v>
      </c>
      <c r="C895" s="143"/>
    </row>
    <row r="896" spans="2:3" x14ac:dyDescent="0.2">
      <c r="B896" s="142">
        <v>887</v>
      </c>
      <c r="C896" s="143"/>
    </row>
    <row r="897" spans="2:3" x14ac:dyDescent="0.2">
      <c r="B897" s="142">
        <v>888</v>
      </c>
      <c r="C897" s="143"/>
    </row>
    <row r="898" spans="2:3" x14ac:dyDescent="0.2">
      <c r="B898" s="142">
        <v>889</v>
      </c>
      <c r="C898" s="143"/>
    </row>
    <row r="899" spans="2:3" x14ac:dyDescent="0.2">
      <c r="B899" s="142">
        <v>890</v>
      </c>
      <c r="C899" s="143"/>
    </row>
    <row r="900" spans="2:3" x14ac:dyDescent="0.2">
      <c r="B900" s="142">
        <v>891</v>
      </c>
      <c r="C900" s="143"/>
    </row>
    <row r="901" spans="2:3" x14ac:dyDescent="0.2">
      <c r="B901" s="142">
        <v>892</v>
      </c>
      <c r="C901" s="143"/>
    </row>
    <row r="902" spans="2:3" x14ac:dyDescent="0.2">
      <c r="B902" s="142">
        <v>893</v>
      </c>
      <c r="C902" s="143"/>
    </row>
    <row r="903" spans="2:3" x14ac:dyDescent="0.2">
      <c r="B903" s="142">
        <v>894</v>
      </c>
      <c r="C903" s="143"/>
    </row>
    <row r="904" spans="2:3" x14ac:dyDescent="0.2">
      <c r="B904" s="142">
        <v>895</v>
      </c>
      <c r="C904" s="143"/>
    </row>
    <row r="905" spans="2:3" x14ac:dyDescent="0.2">
      <c r="B905" s="142">
        <v>896</v>
      </c>
      <c r="C905" s="143"/>
    </row>
    <row r="906" spans="2:3" x14ac:dyDescent="0.2">
      <c r="B906" s="142">
        <v>897</v>
      </c>
      <c r="C906" s="143"/>
    </row>
    <row r="907" spans="2:3" x14ac:dyDescent="0.2">
      <c r="B907" s="142">
        <v>898</v>
      </c>
      <c r="C907" s="143"/>
    </row>
    <row r="908" spans="2:3" x14ac:dyDescent="0.2">
      <c r="B908" s="142">
        <v>899</v>
      </c>
      <c r="C908" s="143"/>
    </row>
    <row r="909" spans="2:3" x14ac:dyDescent="0.2">
      <c r="B909" s="142">
        <v>900</v>
      </c>
      <c r="C909" s="143"/>
    </row>
    <row r="910" spans="2:3" x14ac:dyDescent="0.2">
      <c r="B910" s="142">
        <v>901</v>
      </c>
      <c r="C910" s="143"/>
    </row>
    <row r="911" spans="2:3" x14ac:dyDescent="0.2">
      <c r="B911" s="142">
        <v>902</v>
      </c>
      <c r="C911" s="143"/>
    </row>
    <row r="912" spans="2:3" x14ac:dyDescent="0.2">
      <c r="B912" s="142">
        <v>903</v>
      </c>
      <c r="C912" s="143"/>
    </row>
    <row r="913" spans="2:3" x14ac:dyDescent="0.2">
      <c r="B913" s="142">
        <v>904</v>
      </c>
      <c r="C913" s="143"/>
    </row>
    <row r="914" spans="2:3" x14ac:dyDescent="0.2">
      <c r="B914" s="142">
        <v>905</v>
      </c>
      <c r="C914" s="143"/>
    </row>
    <row r="915" spans="2:3" x14ac:dyDescent="0.2">
      <c r="B915" s="142">
        <v>906</v>
      </c>
      <c r="C915" s="143"/>
    </row>
    <row r="916" spans="2:3" x14ac:dyDescent="0.2">
      <c r="B916" s="142">
        <v>907</v>
      </c>
      <c r="C916" s="143"/>
    </row>
    <row r="917" spans="2:3" x14ac:dyDescent="0.2">
      <c r="B917" s="142">
        <v>908</v>
      </c>
      <c r="C917" s="143"/>
    </row>
    <row r="918" spans="2:3" x14ac:dyDescent="0.2">
      <c r="B918" s="142">
        <v>909</v>
      </c>
      <c r="C918" s="143"/>
    </row>
    <row r="919" spans="2:3" x14ac:dyDescent="0.2">
      <c r="B919" s="142">
        <v>910</v>
      </c>
      <c r="C919" s="143"/>
    </row>
    <row r="920" spans="2:3" x14ac:dyDescent="0.2">
      <c r="B920" s="142">
        <v>911</v>
      </c>
      <c r="C920" s="143"/>
    </row>
    <row r="921" spans="2:3" x14ac:dyDescent="0.2">
      <c r="B921" s="142">
        <v>912</v>
      </c>
      <c r="C921" s="143"/>
    </row>
    <row r="922" spans="2:3" x14ac:dyDescent="0.2">
      <c r="B922" s="142">
        <v>913</v>
      </c>
      <c r="C922" s="143"/>
    </row>
    <row r="923" spans="2:3" x14ac:dyDescent="0.2">
      <c r="B923" s="142">
        <v>914</v>
      </c>
      <c r="C923" s="143"/>
    </row>
    <row r="924" spans="2:3" x14ac:dyDescent="0.2">
      <c r="B924" s="142">
        <v>915</v>
      </c>
      <c r="C924" s="143"/>
    </row>
    <row r="925" spans="2:3" x14ac:dyDescent="0.2">
      <c r="B925" s="142">
        <v>916</v>
      </c>
      <c r="C925" s="143"/>
    </row>
    <row r="926" spans="2:3" x14ac:dyDescent="0.2">
      <c r="B926" s="142">
        <v>917</v>
      </c>
      <c r="C926" s="143"/>
    </row>
    <row r="927" spans="2:3" x14ac:dyDescent="0.2">
      <c r="B927" s="142">
        <v>918</v>
      </c>
      <c r="C927" s="143"/>
    </row>
    <row r="928" spans="2:3" x14ac:dyDescent="0.2">
      <c r="B928" s="142">
        <v>919</v>
      </c>
      <c r="C928" s="143"/>
    </row>
    <row r="929" spans="2:3" x14ac:dyDescent="0.2">
      <c r="B929" s="142">
        <v>920</v>
      </c>
      <c r="C929" s="143"/>
    </row>
    <row r="930" spans="2:3" x14ac:dyDescent="0.2">
      <c r="B930" s="142">
        <v>921</v>
      </c>
      <c r="C930" s="143"/>
    </row>
    <row r="931" spans="2:3" x14ac:dyDescent="0.2">
      <c r="B931" s="142">
        <v>922</v>
      </c>
      <c r="C931" s="143"/>
    </row>
    <row r="932" spans="2:3" x14ac:dyDescent="0.2">
      <c r="B932" s="142">
        <v>923</v>
      </c>
      <c r="C932" s="143"/>
    </row>
    <row r="933" spans="2:3" x14ac:dyDescent="0.2">
      <c r="B933" s="142">
        <v>924</v>
      </c>
      <c r="C933" s="143"/>
    </row>
    <row r="934" spans="2:3" x14ac:dyDescent="0.2">
      <c r="B934" s="142">
        <v>925</v>
      </c>
      <c r="C934" s="143"/>
    </row>
    <row r="935" spans="2:3" x14ac:dyDescent="0.2">
      <c r="B935" s="142">
        <v>926</v>
      </c>
      <c r="C935" s="143"/>
    </row>
    <row r="936" spans="2:3" x14ac:dyDescent="0.2">
      <c r="B936" s="142">
        <v>927</v>
      </c>
      <c r="C936" s="143"/>
    </row>
    <row r="937" spans="2:3" x14ac:dyDescent="0.2">
      <c r="B937" s="142">
        <v>928</v>
      </c>
      <c r="C937" s="143"/>
    </row>
    <row r="938" spans="2:3" x14ac:dyDescent="0.2">
      <c r="B938" s="142">
        <v>929</v>
      </c>
      <c r="C938" s="143"/>
    </row>
    <row r="939" spans="2:3" x14ac:dyDescent="0.2">
      <c r="B939" s="142">
        <v>930</v>
      </c>
      <c r="C939" s="143"/>
    </row>
    <row r="940" spans="2:3" x14ac:dyDescent="0.2">
      <c r="B940" s="142">
        <v>931</v>
      </c>
      <c r="C940" s="143"/>
    </row>
    <row r="941" spans="2:3" x14ac:dyDescent="0.2">
      <c r="B941" s="142">
        <v>932</v>
      </c>
      <c r="C941" s="143"/>
    </row>
    <row r="942" spans="2:3" x14ac:dyDescent="0.2">
      <c r="B942" s="142">
        <v>933</v>
      </c>
      <c r="C942" s="143"/>
    </row>
    <row r="943" spans="2:3" x14ac:dyDescent="0.2">
      <c r="B943" s="142">
        <v>934</v>
      </c>
      <c r="C943" s="143"/>
    </row>
    <row r="944" spans="2:3" x14ac:dyDescent="0.2">
      <c r="B944" s="142">
        <v>935</v>
      </c>
      <c r="C944" s="143"/>
    </row>
    <row r="945" spans="2:3" x14ac:dyDescent="0.2">
      <c r="B945" s="142">
        <v>936</v>
      </c>
      <c r="C945" s="143"/>
    </row>
    <row r="946" spans="2:3" x14ac:dyDescent="0.2">
      <c r="B946" s="142">
        <v>937</v>
      </c>
      <c r="C946" s="143"/>
    </row>
    <row r="947" spans="2:3" x14ac:dyDescent="0.2">
      <c r="B947" s="142">
        <v>938</v>
      </c>
      <c r="C947" s="143"/>
    </row>
    <row r="948" spans="2:3" x14ac:dyDescent="0.2">
      <c r="B948" s="142">
        <v>939</v>
      </c>
      <c r="C948" s="143"/>
    </row>
    <row r="949" spans="2:3" x14ac:dyDescent="0.2">
      <c r="B949" s="142">
        <v>940</v>
      </c>
      <c r="C949" s="143"/>
    </row>
    <row r="950" spans="2:3" x14ac:dyDescent="0.2">
      <c r="B950" s="142">
        <v>941</v>
      </c>
      <c r="C950" s="143"/>
    </row>
    <row r="951" spans="2:3" x14ac:dyDescent="0.2">
      <c r="B951" s="142">
        <v>942</v>
      </c>
      <c r="C951" s="143"/>
    </row>
    <row r="952" spans="2:3" x14ac:dyDescent="0.2">
      <c r="B952" s="142">
        <v>943</v>
      </c>
      <c r="C952" s="143"/>
    </row>
    <row r="953" spans="2:3" x14ac:dyDescent="0.2">
      <c r="B953" s="142">
        <v>944</v>
      </c>
      <c r="C953" s="143"/>
    </row>
    <row r="954" spans="2:3" x14ac:dyDescent="0.2">
      <c r="B954" s="142">
        <v>945</v>
      </c>
      <c r="C954" s="143"/>
    </row>
    <row r="955" spans="2:3" x14ac:dyDescent="0.2">
      <c r="B955" s="142">
        <v>946</v>
      </c>
      <c r="C955" s="143"/>
    </row>
    <row r="956" spans="2:3" x14ac:dyDescent="0.2">
      <c r="B956" s="142">
        <v>947</v>
      </c>
      <c r="C956" s="143"/>
    </row>
    <row r="957" spans="2:3" x14ac:dyDescent="0.2">
      <c r="B957" s="142">
        <v>948</v>
      </c>
      <c r="C957" s="143"/>
    </row>
    <row r="958" spans="2:3" x14ac:dyDescent="0.2">
      <c r="B958" s="142">
        <v>949</v>
      </c>
      <c r="C958" s="143"/>
    </row>
    <row r="959" spans="2:3" x14ac:dyDescent="0.2">
      <c r="B959" s="142">
        <v>950</v>
      </c>
      <c r="C959" s="143"/>
    </row>
    <row r="960" spans="2:3" x14ac:dyDescent="0.2">
      <c r="B960" s="142">
        <v>951</v>
      </c>
      <c r="C960" s="143"/>
    </row>
    <row r="961" spans="2:3" x14ac:dyDescent="0.2">
      <c r="B961" s="142">
        <v>952</v>
      </c>
      <c r="C961" s="143"/>
    </row>
    <row r="962" spans="2:3" x14ac:dyDescent="0.2">
      <c r="B962" s="142">
        <v>953</v>
      </c>
      <c r="C962" s="143"/>
    </row>
    <row r="963" spans="2:3" x14ac:dyDescent="0.2">
      <c r="B963" s="142">
        <v>954</v>
      </c>
      <c r="C963" s="143"/>
    </row>
    <row r="964" spans="2:3" x14ac:dyDescent="0.2">
      <c r="B964" s="142">
        <v>955</v>
      </c>
      <c r="C964" s="143"/>
    </row>
    <row r="965" spans="2:3" x14ac:dyDescent="0.2">
      <c r="B965" s="142">
        <v>956</v>
      </c>
      <c r="C965" s="143"/>
    </row>
    <row r="966" spans="2:3" x14ac:dyDescent="0.2">
      <c r="B966" s="142">
        <v>957</v>
      </c>
      <c r="C966" s="143"/>
    </row>
    <row r="967" spans="2:3" x14ac:dyDescent="0.2">
      <c r="B967" s="142">
        <v>958</v>
      </c>
      <c r="C967" s="143"/>
    </row>
    <row r="968" spans="2:3" x14ac:dyDescent="0.2">
      <c r="B968" s="142">
        <v>959</v>
      </c>
      <c r="C968" s="143"/>
    </row>
    <row r="969" spans="2:3" x14ac:dyDescent="0.2">
      <c r="B969" s="142">
        <v>960</v>
      </c>
      <c r="C969" s="143"/>
    </row>
    <row r="970" spans="2:3" x14ac:dyDescent="0.2">
      <c r="B970" s="142">
        <v>961</v>
      </c>
      <c r="C970" s="143"/>
    </row>
    <row r="971" spans="2:3" x14ac:dyDescent="0.2">
      <c r="B971" s="142">
        <v>962</v>
      </c>
      <c r="C971" s="143"/>
    </row>
    <row r="972" spans="2:3" x14ac:dyDescent="0.2">
      <c r="B972" s="142">
        <v>963</v>
      </c>
      <c r="C972" s="143"/>
    </row>
    <row r="973" spans="2:3" x14ac:dyDescent="0.2">
      <c r="B973" s="142">
        <v>964</v>
      </c>
      <c r="C973" s="143"/>
    </row>
    <row r="974" spans="2:3" x14ac:dyDescent="0.2">
      <c r="B974" s="142">
        <v>965</v>
      </c>
      <c r="C974" s="143"/>
    </row>
    <row r="975" spans="2:3" x14ac:dyDescent="0.2">
      <c r="B975" s="142">
        <v>966</v>
      </c>
      <c r="C975" s="143"/>
    </row>
    <row r="976" spans="2:3" x14ac:dyDescent="0.2">
      <c r="B976" s="142">
        <v>967</v>
      </c>
      <c r="C976" s="143"/>
    </row>
    <row r="977" spans="2:3" x14ac:dyDescent="0.2">
      <c r="B977" s="142">
        <v>968</v>
      </c>
      <c r="C977" s="143"/>
    </row>
    <row r="978" spans="2:3" x14ac:dyDescent="0.2">
      <c r="B978" s="142">
        <v>969</v>
      </c>
      <c r="C978" s="143"/>
    </row>
    <row r="979" spans="2:3" x14ac:dyDescent="0.2">
      <c r="B979" s="142">
        <v>970</v>
      </c>
      <c r="C979" s="143"/>
    </row>
    <row r="980" spans="2:3" x14ac:dyDescent="0.2">
      <c r="B980" s="142">
        <v>971</v>
      </c>
      <c r="C980" s="143"/>
    </row>
    <row r="981" spans="2:3" x14ac:dyDescent="0.2">
      <c r="B981" s="142">
        <v>972</v>
      </c>
      <c r="C981" s="143"/>
    </row>
    <row r="982" spans="2:3" x14ac:dyDescent="0.2">
      <c r="B982" s="142">
        <v>973</v>
      </c>
      <c r="C982" s="143"/>
    </row>
    <row r="983" spans="2:3" x14ac:dyDescent="0.2">
      <c r="B983" s="142">
        <v>974</v>
      </c>
      <c r="C983" s="143"/>
    </row>
    <row r="984" spans="2:3" x14ac:dyDescent="0.2">
      <c r="B984" s="142">
        <v>975</v>
      </c>
      <c r="C984" s="143"/>
    </row>
    <row r="985" spans="2:3" x14ac:dyDescent="0.2">
      <c r="B985" s="142">
        <v>976</v>
      </c>
      <c r="C985" s="143"/>
    </row>
    <row r="986" spans="2:3" x14ac:dyDescent="0.2">
      <c r="B986" s="142">
        <v>977</v>
      </c>
      <c r="C986" s="143"/>
    </row>
    <row r="987" spans="2:3" x14ac:dyDescent="0.2">
      <c r="B987" s="142">
        <v>978</v>
      </c>
      <c r="C987" s="143"/>
    </row>
    <row r="988" spans="2:3" x14ac:dyDescent="0.2">
      <c r="B988" s="142">
        <v>979</v>
      </c>
      <c r="C988" s="143"/>
    </row>
    <row r="989" spans="2:3" x14ac:dyDescent="0.2">
      <c r="B989" s="142">
        <v>980</v>
      </c>
      <c r="C989" s="143"/>
    </row>
    <row r="990" spans="2:3" x14ac:dyDescent="0.2">
      <c r="B990" s="142">
        <v>981</v>
      </c>
      <c r="C990" s="143"/>
    </row>
    <row r="991" spans="2:3" x14ac:dyDescent="0.2">
      <c r="B991" s="142">
        <v>982</v>
      </c>
      <c r="C991" s="143"/>
    </row>
    <row r="992" spans="2:3" x14ac:dyDescent="0.2">
      <c r="B992" s="142">
        <v>983</v>
      </c>
      <c r="C992" s="143"/>
    </row>
    <row r="993" spans="2:3" x14ac:dyDescent="0.2">
      <c r="B993" s="142">
        <v>984</v>
      </c>
      <c r="C993" s="143"/>
    </row>
    <row r="994" spans="2:3" x14ac:dyDescent="0.2">
      <c r="B994" s="142">
        <v>985</v>
      </c>
      <c r="C994" s="143"/>
    </row>
    <row r="995" spans="2:3" x14ac:dyDescent="0.2">
      <c r="B995" s="142">
        <v>986</v>
      </c>
      <c r="C995" s="143"/>
    </row>
    <row r="996" spans="2:3" x14ac:dyDescent="0.2">
      <c r="B996" s="142">
        <v>987</v>
      </c>
      <c r="C996" s="143"/>
    </row>
    <row r="997" spans="2:3" x14ac:dyDescent="0.2">
      <c r="B997" s="142">
        <v>988</v>
      </c>
      <c r="C997" s="143"/>
    </row>
    <row r="998" spans="2:3" x14ac:dyDescent="0.2">
      <c r="B998" s="142">
        <v>989</v>
      </c>
      <c r="C998" s="143"/>
    </row>
    <row r="999" spans="2:3" x14ac:dyDescent="0.2">
      <c r="B999" s="142">
        <v>990</v>
      </c>
      <c r="C999" s="143"/>
    </row>
    <row r="1000" spans="2:3" x14ac:dyDescent="0.2">
      <c r="B1000" s="142">
        <v>991</v>
      </c>
      <c r="C1000" s="143"/>
    </row>
    <row r="1001" spans="2:3" x14ac:dyDescent="0.2">
      <c r="B1001" s="142">
        <v>992</v>
      </c>
      <c r="C1001" s="143"/>
    </row>
    <row r="1002" spans="2:3" x14ac:dyDescent="0.2">
      <c r="B1002" s="142">
        <v>993</v>
      </c>
      <c r="C1002" s="143"/>
    </row>
    <row r="1003" spans="2:3" x14ac:dyDescent="0.2">
      <c r="B1003" s="142">
        <v>994</v>
      </c>
      <c r="C1003" s="143"/>
    </row>
    <row r="1004" spans="2:3" x14ac:dyDescent="0.2">
      <c r="B1004" s="142">
        <v>995</v>
      </c>
      <c r="C1004" s="143"/>
    </row>
    <row r="1005" spans="2:3" x14ac:dyDescent="0.2">
      <c r="B1005" s="142">
        <v>996</v>
      </c>
      <c r="C1005" s="143"/>
    </row>
    <row r="1006" spans="2:3" x14ac:dyDescent="0.2">
      <c r="B1006" s="142">
        <v>997</v>
      </c>
      <c r="C1006" s="143"/>
    </row>
    <row r="1007" spans="2:3" x14ac:dyDescent="0.2">
      <c r="B1007" s="142">
        <v>998</v>
      </c>
      <c r="C1007" s="143"/>
    </row>
    <row r="1008" spans="2:3" x14ac:dyDescent="0.2">
      <c r="B1008" s="142">
        <v>999</v>
      </c>
      <c r="C1008" s="143"/>
    </row>
    <row r="1009" spans="2:3" x14ac:dyDescent="0.2">
      <c r="B1009" s="142">
        <v>1000</v>
      </c>
      <c r="C1009" s="143"/>
    </row>
    <row r="1010" spans="2:3" x14ac:dyDescent="0.2">
      <c r="B1010" s="142">
        <v>1001</v>
      </c>
      <c r="C1010" s="143"/>
    </row>
    <row r="1011" spans="2:3" x14ac:dyDescent="0.2">
      <c r="B1011" s="142">
        <v>1002</v>
      </c>
      <c r="C1011" s="143"/>
    </row>
    <row r="1012" spans="2:3" x14ac:dyDescent="0.2">
      <c r="B1012" s="142">
        <v>1003</v>
      </c>
      <c r="C1012" s="143"/>
    </row>
    <row r="1013" spans="2:3" x14ac:dyDescent="0.2">
      <c r="B1013" s="142">
        <v>1004</v>
      </c>
      <c r="C1013" s="143"/>
    </row>
    <row r="1014" spans="2:3" x14ac:dyDescent="0.2">
      <c r="B1014" s="142">
        <v>1005</v>
      </c>
      <c r="C1014" s="143"/>
    </row>
    <row r="1015" spans="2:3" x14ac:dyDescent="0.2">
      <c r="B1015" s="142">
        <v>1006</v>
      </c>
      <c r="C1015" s="143"/>
    </row>
    <row r="1016" spans="2:3" x14ac:dyDescent="0.2">
      <c r="B1016" s="142">
        <v>1007</v>
      </c>
      <c r="C1016" s="143"/>
    </row>
    <row r="1017" spans="2:3" x14ac:dyDescent="0.2">
      <c r="B1017" s="142">
        <v>1008</v>
      </c>
      <c r="C1017" s="143"/>
    </row>
    <row r="1018" spans="2:3" x14ac:dyDescent="0.2">
      <c r="B1018" s="142">
        <v>1009</v>
      </c>
      <c r="C1018" s="143"/>
    </row>
    <row r="1019" spans="2:3" x14ac:dyDescent="0.2">
      <c r="B1019" s="142">
        <v>1010</v>
      </c>
      <c r="C1019" s="143"/>
    </row>
    <row r="1020" spans="2:3" x14ac:dyDescent="0.2">
      <c r="B1020" s="142">
        <v>1011</v>
      </c>
      <c r="C1020" s="143"/>
    </row>
    <row r="1021" spans="2:3" x14ac:dyDescent="0.2">
      <c r="B1021" s="142">
        <v>1012</v>
      </c>
      <c r="C1021" s="143"/>
    </row>
    <row r="1022" spans="2:3" x14ac:dyDescent="0.2">
      <c r="B1022" s="142">
        <v>1013</v>
      </c>
      <c r="C1022" s="143"/>
    </row>
    <row r="1023" spans="2:3" x14ac:dyDescent="0.2">
      <c r="B1023" s="142">
        <v>1014</v>
      </c>
      <c r="C1023" s="143"/>
    </row>
    <row r="1024" spans="2:3" x14ac:dyDescent="0.2">
      <c r="B1024" s="142">
        <v>1015</v>
      </c>
      <c r="C1024" s="143"/>
    </row>
    <row r="1025" spans="2:3" x14ac:dyDescent="0.2">
      <c r="B1025" s="142">
        <v>1016</v>
      </c>
      <c r="C1025" s="143"/>
    </row>
    <row r="1026" spans="2:3" x14ac:dyDescent="0.2">
      <c r="B1026" s="142">
        <v>1017</v>
      </c>
      <c r="C1026" s="143"/>
    </row>
    <row r="1027" spans="2:3" x14ac:dyDescent="0.2">
      <c r="B1027" s="142">
        <v>1018</v>
      </c>
      <c r="C1027" s="143"/>
    </row>
    <row r="1028" spans="2:3" x14ac:dyDescent="0.2">
      <c r="B1028" s="142">
        <v>1019</v>
      </c>
      <c r="C1028" s="143"/>
    </row>
    <row r="1029" spans="2:3" x14ac:dyDescent="0.2">
      <c r="B1029" s="142">
        <v>1020</v>
      </c>
      <c r="C1029" s="143"/>
    </row>
    <row r="1030" spans="2:3" x14ac:dyDescent="0.2">
      <c r="B1030" s="142">
        <v>1021</v>
      </c>
      <c r="C1030" s="143"/>
    </row>
    <row r="1031" spans="2:3" x14ac:dyDescent="0.2">
      <c r="B1031" s="142">
        <v>1022</v>
      </c>
      <c r="C1031" s="143"/>
    </row>
    <row r="1032" spans="2:3" x14ac:dyDescent="0.2">
      <c r="B1032" s="142">
        <v>1023</v>
      </c>
      <c r="C1032" s="143"/>
    </row>
    <row r="1033" spans="2:3" x14ac:dyDescent="0.2">
      <c r="B1033" s="142">
        <v>1024</v>
      </c>
      <c r="C1033" s="143"/>
    </row>
    <row r="1034" spans="2:3" x14ac:dyDescent="0.2">
      <c r="B1034" s="142">
        <v>1025</v>
      </c>
      <c r="C1034" s="143"/>
    </row>
    <row r="1035" spans="2:3" x14ac:dyDescent="0.2">
      <c r="B1035" s="142">
        <v>1026</v>
      </c>
      <c r="C1035" s="143"/>
    </row>
    <row r="1036" spans="2:3" x14ac:dyDescent="0.2">
      <c r="B1036" s="142">
        <v>1027</v>
      </c>
      <c r="C1036" s="143"/>
    </row>
    <row r="1037" spans="2:3" x14ac:dyDescent="0.2">
      <c r="B1037" s="142">
        <v>1028</v>
      </c>
      <c r="C1037" s="143"/>
    </row>
    <row r="1038" spans="2:3" x14ac:dyDescent="0.2">
      <c r="B1038" s="142">
        <v>1029</v>
      </c>
      <c r="C1038" s="143"/>
    </row>
    <row r="1039" spans="2:3" x14ac:dyDescent="0.2">
      <c r="B1039" s="142">
        <v>1030</v>
      </c>
      <c r="C1039" s="143"/>
    </row>
    <row r="1040" spans="2:3" x14ac:dyDescent="0.2">
      <c r="B1040" s="142">
        <v>1031</v>
      </c>
      <c r="C1040" s="143"/>
    </row>
    <row r="1041" spans="2:3" x14ac:dyDescent="0.2">
      <c r="B1041" s="142">
        <v>1032</v>
      </c>
      <c r="C1041" s="143"/>
    </row>
    <row r="1042" spans="2:3" x14ac:dyDescent="0.2">
      <c r="B1042" s="142">
        <v>1033</v>
      </c>
      <c r="C1042" s="143"/>
    </row>
    <row r="1043" spans="2:3" x14ac:dyDescent="0.2">
      <c r="B1043" s="142">
        <v>1034</v>
      </c>
      <c r="C1043" s="143"/>
    </row>
    <row r="1044" spans="2:3" x14ac:dyDescent="0.2">
      <c r="B1044" s="142">
        <v>1035</v>
      </c>
      <c r="C1044" s="143"/>
    </row>
    <row r="1045" spans="2:3" x14ac:dyDescent="0.2">
      <c r="B1045" s="142">
        <v>1036</v>
      </c>
      <c r="C1045" s="143"/>
    </row>
    <row r="1046" spans="2:3" x14ac:dyDescent="0.2">
      <c r="B1046" s="142">
        <v>1037</v>
      </c>
      <c r="C1046" s="143"/>
    </row>
    <row r="1047" spans="2:3" x14ac:dyDescent="0.2">
      <c r="B1047" s="142">
        <v>1038</v>
      </c>
      <c r="C1047" s="143"/>
    </row>
    <row r="1048" spans="2:3" x14ac:dyDescent="0.2">
      <c r="B1048" s="142">
        <v>1039</v>
      </c>
      <c r="C1048" s="143"/>
    </row>
    <row r="1049" spans="2:3" x14ac:dyDescent="0.2">
      <c r="B1049" s="142">
        <v>1040</v>
      </c>
      <c r="C1049" s="143"/>
    </row>
    <row r="1050" spans="2:3" x14ac:dyDescent="0.2">
      <c r="B1050" s="142">
        <v>1041</v>
      </c>
      <c r="C1050" s="143"/>
    </row>
    <row r="1051" spans="2:3" x14ac:dyDescent="0.2">
      <c r="B1051" s="142">
        <v>1042</v>
      </c>
      <c r="C1051" s="143"/>
    </row>
    <row r="1052" spans="2:3" x14ac:dyDescent="0.2">
      <c r="B1052" s="142">
        <v>1043</v>
      </c>
      <c r="C1052" s="143"/>
    </row>
    <row r="1053" spans="2:3" x14ac:dyDescent="0.2">
      <c r="B1053" s="142">
        <v>1044</v>
      </c>
      <c r="C1053" s="143"/>
    </row>
    <row r="1054" spans="2:3" x14ac:dyDescent="0.2">
      <c r="B1054" s="142">
        <v>1045</v>
      </c>
      <c r="C1054" s="143"/>
    </row>
    <row r="1055" spans="2:3" x14ac:dyDescent="0.2">
      <c r="B1055" s="142">
        <v>1046</v>
      </c>
      <c r="C1055" s="143"/>
    </row>
    <row r="1056" spans="2:3" x14ac:dyDescent="0.2">
      <c r="B1056" s="142">
        <v>1047</v>
      </c>
      <c r="C1056" s="143"/>
    </row>
    <row r="1057" spans="2:3" x14ac:dyDescent="0.2">
      <c r="B1057" s="142">
        <v>1048</v>
      </c>
      <c r="C1057" s="143"/>
    </row>
    <row r="1058" spans="2:3" x14ac:dyDescent="0.2">
      <c r="B1058" s="142">
        <v>1049</v>
      </c>
      <c r="C1058" s="143"/>
    </row>
    <row r="1059" spans="2:3" x14ac:dyDescent="0.2">
      <c r="B1059" s="142">
        <v>1050</v>
      </c>
      <c r="C1059" s="143"/>
    </row>
    <row r="1060" spans="2:3" x14ac:dyDescent="0.2">
      <c r="B1060" s="142">
        <v>1051</v>
      </c>
      <c r="C1060" s="143"/>
    </row>
    <row r="1061" spans="2:3" x14ac:dyDescent="0.2">
      <c r="B1061" s="142">
        <v>1052</v>
      </c>
      <c r="C1061" s="143"/>
    </row>
    <row r="1062" spans="2:3" x14ac:dyDescent="0.2">
      <c r="B1062" s="142">
        <v>1053</v>
      </c>
      <c r="C1062" s="143"/>
    </row>
    <row r="1063" spans="2:3" x14ac:dyDescent="0.2">
      <c r="B1063" s="142">
        <v>1054</v>
      </c>
      <c r="C1063" s="143"/>
    </row>
    <row r="1064" spans="2:3" x14ac:dyDescent="0.2">
      <c r="B1064" s="142">
        <v>1055</v>
      </c>
      <c r="C1064" s="143"/>
    </row>
    <row r="1065" spans="2:3" x14ac:dyDescent="0.2">
      <c r="B1065" s="142">
        <v>1056</v>
      </c>
      <c r="C1065" s="143"/>
    </row>
    <row r="1066" spans="2:3" x14ac:dyDescent="0.2">
      <c r="B1066" s="142">
        <v>1057</v>
      </c>
      <c r="C1066" s="143"/>
    </row>
    <row r="1067" spans="2:3" x14ac:dyDescent="0.2">
      <c r="B1067" s="142">
        <v>1058</v>
      </c>
      <c r="C1067" s="143"/>
    </row>
    <row r="1068" spans="2:3" x14ac:dyDescent="0.2">
      <c r="B1068" s="142">
        <v>1059</v>
      </c>
      <c r="C1068" s="143"/>
    </row>
    <row r="1069" spans="2:3" x14ac:dyDescent="0.2">
      <c r="B1069" s="142">
        <v>1060</v>
      </c>
      <c r="C1069" s="143"/>
    </row>
    <row r="1070" spans="2:3" x14ac:dyDescent="0.2">
      <c r="B1070" s="142">
        <v>1061</v>
      </c>
      <c r="C1070" s="143"/>
    </row>
    <row r="1071" spans="2:3" x14ac:dyDescent="0.2">
      <c r="B1071" s="142">
        <v>1062</v>
      </c>
      <c r="C1071" s="143"/>
    </row>
    <row r="1072" spans="2:3" x14ac:dyDescent="0.2">
      <c r="B1072" s="142">
        <v>1063</v>
      </c>
      <c r="C1072" s="143"/>
    </row>
    <row r="1073" spans="2:3" x14ac:dyDescent="0.2">
      <c r="B1073" s="142">
        <v>1064</v>
      </c>
      <c r="C1073" s="143"/>
    </row>
    <row r="1074" spans="2:3" x14ac:dyDescent="0.2">
      <c r="B1074" s="142">
        <v>1065</v>
      </c>
      <c r="C1074" s="143"/>
    </row>
    <row r="1075" spans="2:3" x14ac:dyDescent="0.2">
      <c r="B1075" s="142">
        <v>1066</v>
      </c>
      <c r="C1075" s="143"/>
    </row>
    <row r="1076" spans="2:3" x14ac:dyDescent="0.2">
      <c r="B1076" s="142">
        <v>1067</v>
      </c>
      <c r="C1076" s="143"/>
    </row>
    <row r="1077" spans="2:3" x14ac:dyDescent="0.2">
      <c r="B1077" s="142">
        <v>1068</v>
      </c>
      <c r="C1077" s="143"/>
    </row>
    <row r="1078" spans="2:3" x14ac:dyDescent="0.2">
      <c r="B1078" s="142">
        <v>1069</v>
      </c>
      <c r="C1078" s="143"/>
    </row>
    <row r="1079" spans="2:3" x14ac:dyDescent="0.2">
      <c r="B1079" s="142">
        <v>1070</v>
      </c>
      <c r="C1079" s="143"/>
    </row>
    <row r="1080" spans="2:3" x14ac:dyDescent="0.2">
      <c r="B1080" s="142">
        <v>1071</v>
      </c>
      <c r="C1080" s="143"/>
    </row>
    <row r="1081" spans="2:3" x14ac:dyDescent="0.2">
      <c r="B1081" s="142">
        <v>1072</v>
      </c>
      <c r="C1081" s="143"/>
    </row>
    <row r="1082" spans="2:3" x14ac:dyDescent="0.2">
      <c r="B1082" s="142">
        <v>1073</v>
      </c>
      <c r="C1082" s="143"/>
    </row>
    <row r="1083" spans="2:3" x14ac:dyDescent="0.2">
      <c r="B1083" s="142">
        <v>1074</v>
      </c>
      <c r="C1083" s="143"/>
    </row>
    <row r="1084" spans="2:3" x14ac:dyDescent="0.2">
      <c r="B1084" s="142">
        <v>1075</v>
      </c>
      <c r="C1084" s="143"/>
    </row>
    <row r="1085" spans="2:3" x14ac:dyDescent="0.2">
      <c r="B1085" s="142">
        <v>1076</v>
      </c>
      <c r="C1085" s="143"/>
    </row>
    <row r="1086" spans="2:3" x14ac:dyDescent="0.2">
      <c r="B1086" s="142">
        <v>1077</v>
      </c>
      <c r="C1086" s="143"/>
    </row>
    <row r="1087" spans="2:3" x14ac:dyDescent="0.2">
      <c r="B1087" s="142">
        <v>1078</v>
      </c>
      <c r="C1087" s="143"/>
    </row>
    <row r="1088" spans="2:3" x14ac:dyDescent="0.2">
      <c r="B1088" s="142">
        <v>1079</v>
      </c>
      <c r="C1088" s="143"/>
    </row>
    <row r="1089" spans="2:3" x14ac:dyDescent="0.2">
      <c r="B1089" s="142">
        <v>1080</v>
      </c>
      <c r="C1089" s="143"/>
    </row>
    <row r="1090" spans="2:3" x14ac:dyDescent="0.2">
      <c r="B1090" s="142">
        <v>1081</v>
      </c>
      <c r="C1090" s="143"/>
    </row>
    <row r="1091" spans="2:3" x14ac:dyDescent="0.2">
      <c r="B1091" s="142">
        <v>1082</v>
      </c>
      <c r="C1091" s="143"/>
    </row>
    <row r="1092" spans="2:3" x14ac:dyDescent="0.2">
      <c r="B1092" s="142">
        <v>1083</v>
      </c>
      <c r="C1092" s="143"/>
    </row>
    <row r="1093" spans="2:3" x14ac:dyDescent="0.2">
      <c r="B1093" s="142">
        <v>1084</v>
      </c>
      <c r="C1093" s="143"/>
    </row>
    <row r="1094" spans="2:3" x14ac:dyDescent="0.2">
      <c r="B1094" s="142">
        <v>1085</v>
      </c>
      <c r="C1094" s="143"/>
    </row>
    <row r="1095" spans="2:3" x14ac:dyDescent="0.2">
      <c r="B1095" s="142">
        <v>1086</v>
      </c>
      <c r="C1095" s="143"/>
    </row>
    <row r="1096" spans="2:3" x14ac:dyDescent="0.2">
      <c r="B1096" s="142">
        <v>1087</v>
      </c>
      <c r="C1096" s="143"/>
    </row>
    <row r="1097" spans="2:3" x14ac:dyDescent="0.2">
      <c r="B1097" s="142">
        <v>1088</v>
      </c>
      <c r="C1097" s="143"/>
    </row>
    <row r="1098" spans="2:3" x14ac:dyDescent="0.2">
      <c r="B1098" s="142">
        <v>1089</v>
      </c>
      <c r="C1098" s="143"/>
    </row>
    <row r="1099" spans="2:3" x14ac:dyDescent="0.2">
      <c r="B1099" s="142">
        <v>1090</v>
      </c>
      <c r="C1099" s="143"/>
    </row>
    <row r="1100" spans="2:3" x14ac:dyDescent="0.2">
      <c r="B1100" s="142">
        <v>1091</v>
      </c>
      <c r="C1100" s="143"/>
    </row>
    <row r="1101" spans="2:3" x14ac:dyDescent="0.2">
      <c r="B1101" s="142">
        <v>1092</v>
      </c>
      <c r="C1101" s="143"/>
    </row>
    <row r="1102" spans="2:3" x14ac:dyDescent="0.2">
      <c r="B1102" s="142">
        <v>1093</v>
      </c>
      <c r="C1102" s="143"/>
    </row>
    <row r="1103" spans="2:3" x14ac:dyDescent="0.2">
      <c r="B1103" s="142">
        <v>1094</v>
      </c>
      <c r="C1103" s="143"/>
    </row>
    <row r="1104" spans="2:3" x14ac:dyDescent="0.2">
      <c r="B1104" s="142">
        <v>1095</v>
      </c>
      <c r="C1104" s="143"/>
    </row>
    <row r="1105" spans="2:3" x14ac:dyDescent="0.2">
      <c r="B1105" s="142">
        <v>1096</v>
      </c>
      <c r="C1105" s="143"/>
    </row>
    <row r="1106" spans="2:3" x14ac:dyDescent="0.2">
      <c r="B1106" s="142">
        <v>1097</v>
      </c>
      <c r="C1106" s="143"/>
    </row>
    <row r="1107" spans="2:3" x14ac:dyDescent="0.2">
      <c r="B1107" s="142">
        <v>1098</v>
      </c>
      <c r="C1107" s="143"/>
    </row>
    <row r="1108" spans="2:3" x14ac:dyDescent="0.2">
      <c r="B1108" s="142">
        <v>1099</v>
      </c>
      <c r="C1108" s="143"/>
    </row>
    <row r="1109" spans="2:3" x14ac:dyDescent="0.2">
      <c r="B1109" s="142">
        <v>1100</v>
      </c>
      <c r="C1109" s="143"/>
    </row>
    <row r="1110" spans="2:3" x14ac:dyDescent="0.2">
      <c r="B1110" s="142">
        <v>1101</v>
      </c>
      <c r="C1110" s="143"/>
    </row>
    <row r="1111" spans="2:3" x14ac:dyDescent="0.2">
      <c r="B1111" s="142">
        <v>1102</v>
      </c>
      <c r="C1111" s="143"/>
    </row>
    <row r="1112" spans="2:3" x14ac:dyDescent="0.2">
      <c r="B1112" s="142">
        <v>1103</v>
      </c>
      <c r="C1112" s="143"/>
    </row>
    <row r="1113" spans="2:3" x14ac:dyDescent="0.2">
      <c r="B1113" s="142">
        <v>1104</v>
      </c>
      <c r="C1113" s="143"/>
    </row>
    <row r="1114" spans="2:3" x14ac:dyDescent="0.2">
      <c r="B1114" s="142">
        <v>1105</v>
      </c>
      <c r="C1114" s="143"/>
    </row>
    <row r="1115" spans="2:3" x14ac:dyDescent="0.2">
      <c r="B1115" s="142">
        <v>1106</v>
      </c>
      <c r="C1115" s="143"/>
    </row>
    <row r="1116" spans="2:3" x14ac:dyDescent="0.2">
      <c r="B1116" s="142">
        <v>1107</v>
      </c>
      <c r="C1116" s="143"/>
    </row>
    <row r="1117" spans="2:3" x14ac:dyDescent="0.2">
      <c r="B1117" s="142">
        <v>1108</v>
      </c>
      <c r="C1117" s="143"/>
    </row>
    <row r="1118" spans="2:3" x14ac:dyDescent="0.2">
      <c r="B1118" s="142">
        <v>1109</v>
      </c>
      <c r="C1118" s="143"/>
    </row>
    <row r="1119" spans="2:3" x14ac:dyDescent="0.2">
      <c r="B1119" s="142">
        <v>1110</v>
      </c>
      <c r="C1119" s="143"/>
    </row>
    <row r="1120" spans="2:3" x14ac:dyDescent="0.2">
      <c r="B1120" s="142">
        <v>1111</v>
      </c>
      <c r="C1120" s="143"/>
    </row>
    <row r="1121" spans="2:3" x14ac:dyDescent="0.2">
      <c r="B1121" s="142">
        <v>1112</v>
      </c>
      <c r="C1121" s="143"/>
    </row>
    <row r="1122" spans="2:3" x14ac:dyDescent="0.2">
      <c r="B1122" s="142">
        <v>1113</v>
      </c>
      <c r="C1122" s="143"/>
    </row>
    <row r="1123" spans="2:3" x14ac:dyDescent="0.2">
      <c r="B1123" s="142">
        <v>1114</v>
      </c>
      <c r="C1123" s="143"/>
    </row>
    <row r="1124" spans="2:3" x14ac:dyDescent="0.2">
      <c r="B1124" s="142">
        <v>1115</v>
      </c>
      <c r="C1124" s="143"/>
    </row>
    <row r="1125" spans="2:3" x14ac:dyDescent="0.2">
      <c r="B1125" s="142">
        <v>1116</v>
      </c>
      <c r="C1125" s="143"/>
    </row>
    <row r="1126" spans="2:3" x14ac:dyDescent="0.2">
      <c r="B1126" s="142">
        <v>1117</v>
      </c>
      <c r="C1126" s="143"/>
    </row>
    <row r="1127" spans="2:3" x14ac:dyDescent="0.2">
      <c r="B1127" s="142">
        <v>1118</v>
      </c>
      <c r="C1127" s="143"/>
    </row>
    <row r="1128" spans="2:3" x14ac:dyDescent="0.2">
      <c r="B1128" s="142">
        <v>1119</v>
      </c>
      <c r="C1128" s="143"/>
    </row>
    <row r="1129" spans="2:3" x14ac:dyDescent="0.2">
      <c r="B1129" s="142">
        <v>1120</v>
      </c>
      <c r="C1129" s="143"/>
    </row>
    <row r="1130" spans="2:3" x14ac:dyDescent="0.2">
      <c r="B1130" s="142">
        <v>1121</v>
      </c>
      <c r="C1130" s="143"/>
    </row>
    <row r="1131" spans="2:3" x14ac:dyDescent="0.2">
      <c r="B1131" s="142">
        <v>1122</v>
      </c>
      <c r="C1131" s="143"/>
    </row>
    <row r="1132" spans="2:3" x14ac:dyDescent="0.2">
      <c r="B1132" s="142">
        <v>1123</v>
      </c>
      <c r="C1132" s="143"/>
    </row>
    <row r="1133" spans="2:3" x14ac:dyDescent="0.2">
      <c r="B1133" s="142">
        <v>1124</v>
      </c>
      <c r="C1133" s="143"/>
    </row>
    <row r="1134" spans="2:3" x14ac:dyDescent="0.2">
      <c r="B1134" s="142">
        <v>1125</v>
      </c>
      <c r="C1134" s="143"/>
    </row>
    <row r="1135" spans="2:3" x14ac:dyDescent="0.2">
      <c r="B1135" s="142">
        <v>1126</v>
      </c>
      <c r="C1135" s="143"/>
    </row>
    <row r="1136" spans="2:3" x14ac:dyDescent="0.2">
      <c r="B1136" s="142">
        <v>1127</v>
      </c>
      <c r="C1136" s="143"/>
    </row>
    <row r="1137" spans="2:3" x14ac:dyDescent="0.2">
      <c r="B1137" s="142">
        <v>1128</v>
      </c>
      <c r="C1137" s="143"/>
    </row>
    <row r="1138" spans="2:3" x14ac:dyDescent="0.2">
      <c r="B1138" s="142">
        <v>1129</v>
      </c>
      <c r="C1138" s="143"/>
    </row>
    <row r="1139" spans="2:3" x14ac:dyDescent="0.2">
      <c r="B1139" s="142">
        <v>1130</v>
      </c>
      <c r="C1139" s="143"/>
    </row>
    <row r="1140" spans="2:3" x14ac:dyDescent="0.2">
      <c r="B1140" s="142">
        <v>1131</v>
      </c>
      <c r="C1140" s="143"/>
    </row>
    <row r="1141" spans="2:3" x14ac:dyDescent="0.2">
      <c r="B1141" s="142">
        <v>1132</v>
      </c>
      <c r="C1141" s="143"/>
    </row>
    <row r="1142" spans="2:3" x14ac:dyDescent="0.2">
      <c r="B1142" s="142">
        <v>1133</v>
      </c>
      <c r="C1142" s="143"/>
    </row>
    <row r="1143" spans="2:3" x14ac:dyDescent="0.2">
      <c r="B1143" s="142">
        <v>1134</v>
      </c>
      <c r="C1143" s="143"/>
    </row>
    <row r="1144" spans="2:3" x14ac:dyDescent="0.2">
      <c r="B1144" s="142">
        <v>1135</v>
      </c>
      <c r="C1144" s="143"/>
    </row>
    <row r="1145" spans="2:3" x14ac:dyDescent="0.2">
      <c r="B1145" s="142">
        <v>1136</v>
      </c>
      <c r="C1145" s="143"/>
    </row>
    <row r="1146" spans="2:3" x14ac:dyDescent="0.2">
      <c r="B1146" s="142">
        <v>1137</v>
      </c>
      <c r="C1146" s="143"/>
    </row>
    <row r="1147" spans="2:3" x14ac:dyDescent="0.2">
      <c r="B1147" s="142">
        <v>1138</v>
      </c>
      <c r="C1147" s="143"/>
    </row>
    <row r="1148" spans="2:3" x14ac:dyDescent="0.2">
      <c r="B1148" s="142">
        <v>1139</v>
      </c>
      <c r="C1148" s="143"/>
    </row>
    <row r="1149" spans="2:3" x14ac:dyDescent="0.2">
      <c r="B1149" s="142">
        <v>1140</v>
      </c>
      <c r="C1149" s="143"/>
    </row>
    <row r="1150" spans="2:3" x14ac:dyDescent="0.2">
      <c r="B1150" s="142">
        <v>1141</v>
      </c>
      <c r="C1150" s="143"/>
    </row>
    <row r="1151" spans="2:3" x14ac:dyDescent="0.2">
      <c r="B1151" s="142">
        <v>1142</v>
      </c>
      <c r="C1151" s="143"/>
    </row>
    <row r="1152" spans="2:3" x14ac:dyDescent="0.2">
      <c r="B1152" s="142">
        <v>1143</v>
      </c>
      <c r="C1152" s="143"/>
    </row>
    <row r="1153" spans="2:3" x14ac:dyDescent="0.2">
      <c r="B1153" s="142">
        <v>1144</v>
      </c>
      <c r="C1153" s="143"/>
    </row>
    <row r="1154" spans="2:3" x14ac:dyDescent="0.2">
      <c r="B1154" s="142">
        <v>1145</v>
      </c>
      <c r="C1154" s="143"/>
    </row>
    <row r="1155" spans="2:3" x14ac:dyDescent="0.2">
      <c r="B1155" s="142">
        <v>1146</v>
      </c>
      <c r="C1155" s="143"/>
    </row>
    <row r="1156" spans="2:3" x14ac:dyDescent="0.2">
      <c r="B1156" s="142">
        <v>1147</v>
      </c>
      <c r="C1156" s="143"/>
    </row>
    <row r="1157" spans="2:3" x14ac:dyDescent="0.2">
      <c r="B1157" s="142">
        <v>1148</v>
      </c>
      <c r="C1157" s="143"/>
    </row>
    <row r="1158" spans="2:3" x14ac:dyDescent="0.2">
      <c r="B1158" s="142">
        <v>1149</v>
      </c>
      <c r="C1158" s="143"/>
    </row>
    <row r="1159" spans="2:3" x14ac:dyDescent="0.2">
      <c r="B1159" s="142">
        <v>1150</v>
      </c>
      <c r="C1159" s="143"/>
    </row>
    <row r="1160" spans="2:3" x14ac:dyDescent="0.2">
      <c r="B1160" s="142">
        <v>1151</v>
      </c>
      <c r="C1160" s="143"/>
    </row>
    <row r="1161" spans="2:3" x14ac:dyDescent="0.2">
      <c r="B1161" s="142">
        <v>1152</v>
      </c>
      <c r="C1161" s="143"/>
    </row>
    <row r="1162" spans="2:3" x14ac:dyDescent="0.2">
      <c r="B1162" s="142">
        <v>1153</v>
      </c>
      <c r="C1162" s="143"/>
    </row>
    <row r="1163" spans="2:3" x14ac:dyDescent="0.2">
      <c r="B1163" s="142">
        <v>1154</v>
      </c>
      <c r="C1163" s="143"/>
    </row>
    <row r="1164" spans="2:3" x14ac:dyDescent="0.2">
      <c r="B1164" s="142">
        <v>1155</v>
      </c>
      <c r="C1164" s="143"/>
    </row>
    <row r="1165" spans="2:3" x14ac:dyDescent="0.2">
      <c r="B1165" s="142">
        <v>1156</v>
      </c>
      <c r="C1165" s="143"/>
    </row>
    <row r="1166" spans="2:3" x14ac:dyDescent="0.2">
      <c r="B1166" s="142">
        <v>1157</v>
      </c>
      <c r="C1166" s="143"/>
    </row>
    <row r="1167" spans="2:3" x14ac:dyDescent="0.2">
      <c r="B1167" s="142">
        <v>1158</v>
      </c>
      <c r="C1167" s="143"/>
    </row>
    <row r="1168" spans="2:3" x14ac:dyDescent="0.2">
      <c r="B1168" s="142">
        <v>1159</v>
      </c>
      <c r="C1168" s="143"/>
    </row>
    <row r="1169" spans="2:3" x14ac:dyDescent="0.2">
      <c r="B1169" s="142">
        <v>1160</v>
      </c>
      <c r="C1169" s="143"/>
    </row>
    <row r="1170" spans="2:3" x14ac:dyDescent="0.2">
      <c r="B1170" s="142">
        <v>1161</v>
      </c>
      <c r="C1170" s="143"/>
    </row>
    <row r="1171" spans="2:3" x14ac:dyDescent="0.2">
      <c r="B1171" s="142">
        <v>1162</v>
      </c>
      <c r="C1171" s="143"/>
    </row>
    <row r="1172" spans="2:3" x14ac:dyDescent="0.2">
      <c r="B1172" s="142">
        <v>1163</v>
      </c>
      <c r="C1172" s="143"/>
    </row>
    <row r="1173" spans="2:3" x14ac:dyDescent="0.2">
      <c r="B1173" s="142">
        <v>1164</v>
      </c>
      <c r="C1173" s="143"/>
    </row>
    <row r="1174" spans="2:3" x14ac:dyDescent="0.2">
      <c r="B1174" s="142">
        <v>1165</v>
      </c>
      <c r="C1174" s="143"/>
    </row>
    <row r="1175" spans="2:3" x14ac:dyDescent="0.2">
      <c r="B1175" s="142">
        <v>1166</v>
      </c>
      <c r="C1175" s="143"/>
    </row>
    <row r="1176" spans="2:3" x14ac:dyDescent="0.2">
      <c r="B1176" s="142">
        <v>1167</v>
      </c>
      <c r="C1176" s="143"/>
    </row>
    <row r="1177" spans="2:3" x14ac:dyDescent="0.2">
      <c r="B1177" s="142">
        <v>1168</v>
      </c>
      <c r="C1177" s="143"/>
    </row>
    <row r="1178" spans="2:3" x14ac:dyDescent="0.2">
      <c r="B1178" s="142">
        <v>1169</v>
      </c>
      <c r="C1178" s="143"/>
    </row>
    <row r="1179" spans="2:3" x14ac:dyDescent="0.2">
      <c r="B1179" s="142">
        <v>1170</v>
      </c>
      <c r="C1179" s="143"/>
    </row>
    <row r="1180" spans="2:3" x14ac:dyDescent="0.2">
      <c r="B1180" s="142">
        <v>1171</v>
      </c>
      <c r="C1180" s="143"/>
    </row>
    <row r="1181" spans="2:3" x14ac:dyDescent="0.2">
      <c r="B1181" s="142">
        <v>1172</v>
      </c>
      <c r="C1181" s="143"/>
    </row>
    <row r="1182" spans="2:3" x14ac:dyDescent="0.2">
      <c r="B1182" s="142">
        <v>1173</v>
      </c>
      <c r="C1182" s="143"/>
    </row>
    <row r="1183" spans="2:3" x14ac:dyDescent="0.2">
      <c r="B1183" s="142">
        <v>1174</v>
      </c>
      <c r="C1183" s="143"/>
    </row>
    <row r="1184" spans="2:3" x14ac:dyDescent="0.2">
      <c r="B1184" s="142">
        <v>1175</v>
      </c>
      <c r="C1184" s="143"/>
    </row>
    <row r="1185" spans="2:3" x14ac:dyDescent="0.2">
      <c r="B1185" s="142">
        <v>1176</v>
      </c>
      <c r="C1185" s="143"/>
    </row>
    <row r="1186" spans="2:3" x14ac:dyDescent="0.2">
      <c r="B1186" s="142">
        <v>1177</v>
      </c>
      <c r="C1186" s="143"/>
    </row>
    <row r="1187" spans="2:3" x14ac:dyDescent="0.2">
      <c r="B1187" s="142">
        <v>1178</v>
      </c>
      <c r="C1187" s="143"/>
    </row>
    <row r="1188" spans="2:3" x14ac:dyDescent="0.2">
      <c r="B1188" s="142">
        <v>1179</v>
      </c>
      <c r="C1188" s="143"/>
    </row>
    <row r="1189" spans="2:3" x14ac:dyDescent="0.2">
      <c r="B1189" s="142">
        <v>1180</v>
      </c>
      <c r="C1189" s="143"/>
    </row>
    <row r="1190" spans="2:3" x14ac:dyDescent="0.2">
      <c r="B1190" s="142">
        <v>1181</v>
      </c>
      <c r="C1190" s="143"/>
    </row>
    <row r="1191" spans="2:3" x14ac:dyDescent="0.2">
      <c r="B1191" s="142">
        <v>1182</v>
      </c>
      <c r="C1191" s="143"/>
    </row>
    <row r="1192" spans="2:3" x14ac:dyDescent="0.2">
      <c r="B1192" s="142">
        <v>1183</v>
      </c>
      <c r="C1192" s="143"/>
    </row>
    <row r="1193" spans="2:3" x14ac:dyDescent="0.2">
      <c r="B1193" s="142">
        <v>1184</v>
      </c>
      <c r="C1193" s="143"/>
    </row>
    <row r="1194" spans="2:3" x14ac:dyDescent="0.2">
      <c r="B1194" s="142">
        <v>1185</v>
      </c>
      <c r="C1194" s="143"/>
    </row>
    <row r="1195" spans="2:3" x14ac:dyDescent="0.2">
      <c r="B1195" s="142">
        <v>1186</v>
      </c>
      <c r="C1195" s="143"/>
    </row>
    <row r="1196" spans="2:3" x14ac:dyDescent="0.2">
      <c r="B1196" s="142">
        <v>1187</v>
      </c>
      <c r="C1196" s="143"/>
    </row>
    <row r="1197" spans="2:3" x14ac:dyDescent="0.2">
      <c r="B1197" s="142">
        <v>1188</v>
      </c>
      <c r="C1197" s="143"/>
    </row>
    <row r="1198" spans="2:3" x14ac:dyDescent="0.2">
      <c r="B1198" s="142">
        <v>1189</v>
      </c>
      <c r="C1198" s="143"/>
    </row>
    <row r="1199" spans="2:3" x14ac:dyDescent="0.2">
      <c r="B1199" s="142">
        <v>1190</v>
      </c>
      <c r="C1199" s="143"/>
    </row>
    <row r="1200" spans="2:3" x14ac:dyDescent="0.2">
      <c r="B1200" s="142">
        <v>1191</v>
      </c>
      <c r="C1200" s="143"/>
    </row>
    <row r="1201" spans="2:3" x14ac:dyDescent="0.2">
      <c r="B1201" s="142">
        <v>1192</v>
      </c>
      <c r="C1201" s="143"/>
    </row>
    <row r="1202" spans="2:3" x14ac:dyDescent="0.2">
      <c r="B1202" s="142">
        <v>1193</v>
      </c>
      <c r="C1202" s="143"/>
    </row>
    <row r="1203" spans="2:3" x14ac:dyDescent="0.2">
      <c r="B1203" s="142">
        <v>1194</v>
      </c>
      <c r="C1203" s="143"/>
    </row>
    <row r="1204" spans="2:3" x14ac:dyDescent="0.2">
      <c r="B1204" s="142">
        <v>1195</v>
      </c>
      <c r="C1204" s="143"/>
    </row>
    <row r="1205" spans="2:3" x14ac:dyDescent="0.2">
      <c r="B1205" s="142">
        <v>1196</v>
      </c>
      <c r="C1205" s="143"/>
    </row>
    <row r="1206" spans="2:3" x14ac:dyDescent="0.2">
      <c r="B1206" s="142">
        <v>1197</v>
      </c>
      <c r="C1206" s="143"/>
    </row>
    <row r="1207" spans="2:3" x14ac:dyDescent="0.2">
      <c r="B1207" s="142">
        <v>1198</v>
      </c>
      <c r="C1207" s="143"/>
    </row>
    <row r="1208" spans="2:3" x14ac:dyDescent="0.2">
      <c r="B1208" s="142">
        <v>1199</v>
      </c>
      <c r="C1208" s="143"/>
    </row>
    <row r="1209" spans="2:3" x14ac:dyDescent="0.2">
      <c r="B1209" s="142">
        <v>1200</v>
      </c>
      <c r="C1209" s="143"/>
    </row>
    <row r="1210" spans="2:3" x14ac:dyDescent="0.2">
      <c r="B1210" s="142">
        <v>1201</v>
      </c>
      <c r="C1210" s="143"/>
    </row>
    <row r="1211" spans="2:3" x14ac:dyDescent="0.2">
      <c r="B1211" s="142">
        <v>1202</v>
      </c>
      <c r="C1211" s="143"/>
    </row>
    <row r="1212" spans="2:3" x14ac:dyDescent="0.2">
      <c r="B1212" s="142">
        <v>1203</v>
      </c>
      <c r="C1212" s="143"/>
    </row>
    <row r="1213" spans="2:3" x14ac:dyDescent="0.2">
      <c r="B1213" s="142">
        <v>1204</v>
      </c>
      <c r="C1213" s="143"/>
    </row>
    <row r="1214" spans="2:3" x14ac:dyDescent="0.2">
      <c r="B1214" s="142">
        <v>1205</v>
      </c>
      <c r="C1214" s="143"/>
    </row>
    <row r="1215" spans="2:3" x14ac:dyDescent="0.2">
      <c r="B1215" s="142">
        <v>1206</v>
      </c>
      <c r="C1215" s="143"/>
    </row>
    <row r="1216" spans="2:3" x14ac:dyDescent="0.2">
      <c r="B1216" s="142">
        <v>1207</v>
      </c>
      <c r="C1216" s="143"/>
    </row>
    <row r="1217" spans="2:3" x14ac:dyDescent="0.2">
      <c r="B1217" s="142">
        <v>1208</v>
      </c>
      <c r="C1217" s="143"/>
    </row>
    <row r="1218" spans="2:3" x14ac:dyDescent="0.2">
      <c r="B1218" s="142">
        <v>1209</v>
      </c>
      <c r="C1218" s="143"/>
    </row>
    <row r="1219" spans="2:3" x14ac:dyDescent="0.2">
      <c r="B1219" s="142">
        <v>1210</v>
      </c>
      <c r="C1219" s="143"/>
    </row>
    <row r="1220" spans="2:3" x14ac:dyDescent="0.2">
      <c r="B1220" s="142">
        <v>1211</v>
      </c>
      <c r="C1220" s="143"/>
    </row>
    <row r="1221" spans="2:3" x14ac:dyDescent="0.2">
      <c r="B1221" s="142">
        <v>1212</v>
      </c>
      <c r="C1221" s="143"/>
    </row>
    <row r="1222" spans="2:3" x14ac:dyDescent="0.2">
      <c r="B1222" s="142">
        <v>1213</v>
      </c>
      <c r="C1222" s="143"/>
    </row>
    <row r="1223" spans="2:3" x14ac:dyDescent="0.2">
      <c r="B1223" s="142">
        <v>1214</v>
      </c>
      <c r="C1223" s="143"/>
    </row>
    <row r="1224" spans="2:3" x14ac:dyDescent="0.2">
      <c r="B1224" s="142">
        <v>1215</v>
      </c>
      <c r="C1224" s="143"/>
    </row>
    <row r="1225" spans="2:3" x14ac:dyDescent="0.2">
      <c r="B1225" s="142">
        <v>1216</v>
      </c>
      <c r="C1225" s="143"/>
    </row>
    <row r="1226" spans="2:3" x14ac:dyDescent="0.2">
      <c r="B1226" s="142">
        <v>1217</v>
      </c>
      <c r="C1226" s="143"/>
    </row>
    <row r="1227" spans="2:3" x14ac:dyDescent="0.2">
      <c r="B1227" s="142">
        <v>1218</v>
      </c>
      <c r="C1227" s="143"/>
    </row>
    <row r="1228" spans="2:3" x14ac:dyDescent="0.2">
      <c r="B1228" s="142">
        <v>1219</v>
      </c>
      <c r="C1228" s="143"/>
    </row>
    <row r="1229" spans="2:3" x14ac:dyDescent="0.2">
      <c r="B1229" s="142">
        <v>1220</v>
      </c>
      <c r="C1229" s="143"/>
    </row>
    <row r="1230" spans="2:3" x14ac:dyDescent="0.2">
      <c r="B1230" s="142">
        <v>1221</v>
      </c>
      <c r="C1230" s="143"/>
    </row>
    <row r="1231" spans="2:3" x14ac:dyDescent="0.2">
      <c r="B1231" s="142">
        <v>1222</v>
      </c>
      <c r="C1231" s="143"/>
    </row>
    <row r="1232" spans="2:3" x14ac:dyDescent="0.2">
      <c r="B1232" s="142">
        <v>1223</v>
      </c>
      <c r="C1232" s="143"/>
    </row>
    <row r="1233" spans="2:3" x14ac:dyDescent="0.2">
      <c r="B1233" s="142">
        <v>1224</v>
      </c>
      <c r="C1233" s="143"/>
    </row>
    <row r="1234" spans="2:3" x14ac:dyDescent="0.2">
      <c r="B1234" s="142">
        <v>1225</v>
      </c>
      <c r="C1234" s="143"/>
    </row>
    <row r="1235" spans="2:3" x14ac:dyDescent="0.2">
      <c r="B1235" s="142">
        <v>1226</v>
      </c>
      <c r="C1235" s="143"/>
    </row>
    <row r="1236" spans="2:3" x14ac:dyDescent="0.2">
      <c r="B1236" s="142">
        <v>1227</v>
      </c>
      <c r="C1236" s="143"/>
    </row>
    <row r="1237" spans="2:3" x14ac:dyDescent="0.2">
      <c r="B1237" s="142">
        <v>1228</v>
      </c>
      <c r="C1237" s="143"/>
    </row>
    <row r="1238" spans="2:3" x14ac:dyDescent="0.2">
      <c r="B1238" s="142">
        <v>1229</v>
      </c>
      <c r="C1238" s="143"/>
    </row>
    <row r="1239" spans="2:3" x14ac:dyDescent="0.2">
      <c r="B1239" s="142">
        <v>1230</v>
      </c>
      <c r="C1239" s="143"/>
    </row>
    <row r="1240" spans="2:3" x14ac:dyDescent="0.2">
      <c r="B1240" s="142">
        <v>1231</v>
      </c>
      <c r="C1240" s="143"/>
    </row>
    <row r="1241" spans="2:3" x14ac:dyDescent="0.2">
      <c r="B1241" s="142">
        <v>1232</v>
      </c>
      <c r="C1241" s="143"/>
    </row>
    <row r="1242" spans="2:3" x14ac:dyDescent="0.2">
      <c r="B1242" s="142">
        <v>1233</v>
      </c>
      <c r="C1242" s="143"/>
    </row>
    <row r="1243" spans="2:3" x14ac:dyDescent="0.2">
      <c r="B1243" s="142">
        <v>1234</v>
      </c>
      <c r="C1243" s="143"/>
    </row>
    <row r="1244" spans="2:3" x14ac:dyDescent="0.2">
      <c r="B1244" s="142">
        <v>1235</v>
      </c>
      <c r="C1244" s="143"/>
    </row>
    <row r="1245" spans="2:3" x14ac:dyDescent="0.2">
      <c r="B1245" s="142">
        <v>1236</v>
      </c>
      <c r="C1245" s="143"/>
    </row>
    <row r="1246" spans="2:3" x14ac:dyDescent="0.2">
      <c r="B1246" s="142">
        <v>1237</v>
      </c>
      <c r="C1246" s="143"/>
    </row>
    <row r="1247" spans="2:3" x14ac:dyDescent="0.2">
      <c r="B1247" s="142">
        <v>1238</v>
      </c>
      <c r="C1247" s="143"/>
    </row>
    <row r="1248" spans="2:3" x14ac:dyDescent="0.2">
      <c r="B1248" s="142">
        <v>1239</v>
      </c>
      <c r="C1248" s="143"/>
    </row>
    <row r="1249" spans="2:3" x14ac:dyDescent="0.2">
      <c r="B1249" s="142">
        <v>1240</v>
      </c>
      <c r="C1249" s="143"/>
    </row>
    <row r="1250" spans="2:3" x14ac:dyDescent="0.2">
      <c r="B1250" s="142">
        <v>1241</v>
      </c>
      <c r="C1250" s="143"/>
    </row>
    <row r="1251" spans="2:3" x14ac:dyDescent="0.2">
      <c r="B1251" s="142">
        <v>1242</v>
      </c>
      <c r="C1251" s="143"/>
    </row>
    <row r="1252" spans="2:3" x14ac:dyDescent="0.2">
      <c r="B1252" s="142">
        <v>1243</v>
      </c>
      <c r="C1252" s="143"/>
    </row>
    <row r="1253" spans="2:3" x14ac:dyDescent="0.2">
      <c r="B1253" s="142">
        <v>1244</v>
      </c>
      <c r="C1253" s="143"/>
    </row>
    <row r="1254" spans="2:3" x14ac:dyDescent="0.2">
      <c r="B1254" s="142">
        <v>1245</v>
      </c>
      <c r="C1254" s="143"/>
    </row>
    <row r="1255" spans="2:3" x14ac:dyDescent="0.2">
      <c r="B1255" s="142">
        <v>1246</v>
      </c>
      <c r="C1255" s="143"/>
    </row>
    <row r="1256" spans="2:3" x14ac:dyDescent="0.2">
      <c r="B1256" s="142">
        <v>1247</v>
      </c>
      <c r="C1256" s="143"/>
    </row>
    <row r="1257" spans="2:3" x14ac:dyDescent="0.2">
      <c r="B1257" s="142">
        <v>1248</v>
      </c>
      <c r="C1257" s="143"/>
    </row>
    <row r="1258" spans="2:3" x14ac:dyDescent="0.2">
      <c r="B1258" s="142">
        <v>1249</v>
      </c>
      <c r="C1258" s="143"/>
    </row>
    <row r="1259" spans="2:3" x14ac:dyDescent="0.2">
      <c r="B1259" s="142">
        <v>1250</v>
      </c>
      <c r="C1259" s="143"/>
    </row>
    <row r="1260" spans="2:3" x14ac:dyDescent="0.2">
      <c r="B1260" s="142">
        <v>1251</v>
      </c>
      <c r="C1260" s="143"/>
    </row>
    <row r="1261" spans="2:3" x14ac:dyDescent="0.2">
      <c r="B1261" s="142">
        <v>1252</v>
      </c>
      <c r="C1261" s="143"/>
    </row>
    <row r="1262" spans="2:3" x14ac:dyDescent="0.2">
      <c r="B1262" s="142">
        <v>1253</v>
      </c>
      <c r="C1262" s="143"/>
    </row>
    <row r="1263" spans="2:3" x14ac:dyDescent="0.2">
      <c r="B1263" s="142">
        <v>1254</v>
      </c>
      <c r="C1263" s="143"/>
    </row>
    <row r="1264" spans="2:3" x14ac:dyDescent="0.2">
      <c r="B1264" s="142">
        <v>1255</v>
      </c>
      <c r="C1264" s="143"/>
    </row>
    <row r="1265" spans="2:3" x14ac:dyDescent="0.2">
      <c r="B1265" s="142">
        <v>1256</v>
      </c>
      <c r="C1265" s="143"/>
    </row>
    <row r="1266" spans="2:3" x14ac:dyDescent="0.2">
      <c r="B1266" s="142">
        <v>1257</v>
      </c>
      <c r="C1266" s="143"/>
    </row>
    <row r="1267" spans="2:3" x14ac:dyDescent="0.2">
      <c r="B1267" s="142">
        <v>1258</v>
      </c>
      <c r="C1267" s="143"/>
    </row>
    <row r="1268" spans="2:3" x14ac:dyDescent="0.2">
      <c r="B1268" s="142">
        <v>1259</v>
      </c>
      <c r="C1268" s="143"/>
    </row>
    <row r="1269" spans="2:3" x14ac:dyDescent="0.2">
      <c r="B1269" s="142">
        <v>1260</v>
      </c>
      <c r="C1269" s="143"/>
    </row>
    <row r="1270" spans="2:3" x14ac:dyDescent="0.2">
      <c r="B1270" s="142">
        <v>1261</v>
      </c>
      <c r="C1270" s="143"/>
    </row>
    <row r="1271" spans="2:3" x14ac:dyDescent="0.2">
      <c r="B1271" s="142">
        <v>1262</v>
      </c>
      <c r="C1271" s="143"/>
    </row>
    <row r="1272" spans="2:3" x14ac:dyDescent="0.2">
      <c r="B1272" s="142">
        <v>1263</v>
      </c>
      <c r="C1272" s="143"/>
    </row>
    <row r="1273" spans="2:3" x14ac:dyDescent="0.2">
      <c r="B1273" s="142">
        <v>1264</v>
      </c>
      <c r="C1273" s="143"/>
    </row>
    <row r="1274" spans="2:3" x14ac:dyDescent="0.2">
      <c r="B1274" s="142">
        <v>1265</v>
      </c>
      <c r="C1274" s="143"/>
    </row>
    <row r="1275" spans="2:3" x14ac:dyDescent="0.2">
      <c r="B1275" s="142">
        <v>1266</v>
      </c>
      <c r="C1275" s="143"/>
    </row>
    <row r="1276" spans="2:3" x14ac:dyDescent="0.2">
      <c r="B1276" s="142">
        <v>1267</v>
      </c>
      <c r="C1276" s="143"/>
    </row>
    <row r="1277" spans="2:3" x14ac:dyDescent="0.2">
      <c r="B1277" s="142">
        <v>1268</v>
      </c>
      <c r="C1277" s="143"/>
    </row>
    <row r="1278" spans="2:3" x14ac:dyDescent="0.2">
      <c r="B1278" s="142">
        <v>1269</v>
      </c>
      <c r="C1278" s="143"/>
    </row>
    <row r="1279" spans="2:3" x14ac:dyDescent="0.2">
      <c r="B1279" s="142">
        <v>1270</v>
      </c>
      <c r="C1279" s="143"/>
    </row>
    <row r="1280" spans="2:3" x14ac:dyDescent="0.2">
      <c r="B1280" s="142">
        <v>1271</v>
      </c>
      <c r="C1280" s="143"/>
    </row>
    <row r="1281" spans="2:3" x14ac:dyDescent="0.2">
      <c r="B1281" s="142">
        <v>1272</v>
      </c>
      <c r="C1281" s="143"/>
    </row>
    <row r="1282" spans="2:3" x14ac:dyDescent="0.2">
      <c r="B1282" s="142">
        <v>1273</v>
      </c>
      <c r="C1282" s="143"/>
    </row>
    <row r="1283" spans="2:3" x14ac:dyDescent="0.2">
      <c r="B1283" s="142">
        <v>1274</v>
      </c>
      <c r="C1283" s="143"/>
    </row>
    <row r="1284" spans="2:3" x14ac:dyDescent="0.2">
      <c r="B1284" s="142">
        <v>1275</v>
      </c>
      <c r="C1284" s="143"/>
    </row>
    <row r="1285" spans="2:3" x14ac:dyDescent="0.2">
      <c r="B1285" s="142">
        <v>1276</v>
      </c>
      <c r="C1285" s="143"/>
    </row>
    <row r="1286" spans="2:3" x14ac:dyDescent="0.2">
      <c r="B1286" s="142">
        <v>1277</v>
      </c>
      <c r="C1286" s="143"/>
    </row>
    <row r="1287" spans="2:3" x14ac:dyDescent="0.2">
      <c r="B1287" s="142">
        <v>1278</v>
      </c>
      <c r="C1287" s="143"/>
    </row>
    <row r="1288" spans="2:3" x14ac:dyDescent="0.2">
      <c r="B1288" s="142">
        <v>1279</v>
      </c>
      <c r="C1288" s="143"/>
    </row>
    <row r="1289" spans="2:3" x14ac:dyDescent="0.2">
      <c r="B1289" s="142">
        <v>1280</v>
      </c>
      <c r="C1289" s="143"/>
    </row>
    <row r="1290" spans="2:3" x14ac:dyDescent="0.2">
      <c r="B1290" s="142">
        <v>1281</v>
      </c>
      <c r="C1290" s="143"/>
    </row>
    <row r="1291" spans="2:3" x14ac:dyDescent="0.2">
      <c r="B1291" s="142">
        <v>1282</v>
      </c>
      <c r="C1291" s="143"/>
    </row>
    <row r="1292" spans="2:3" x14ac:dyDescent="0.2">
      <c r="B1292" s="142">
        <v>1283</v>
      </c>
      <c r="C1292" s="143"/>
    </row>
    <row r="1293" spans="2:3" x14ac:dyDescent="0.2">
      <c r="B1293" s="142">
        <v>1284</v>
      </c>
      <c r="C1293" s="143"/>
    </row>
    <row r="1294" spans="2:3" x14ac:dyDescent="0.2">
      <c r="B1294" s="142">
        <v>1285</v>
      </c>
      <c r="C1294" s="143"/>
    </row>
    <row r="1295" spans="2:3" x14ac:dyDescent="0.2">
      <c r="B1295" s="142">
        <v>1286</v>
      </c>
      <c r="C1295" s="143"/>
    </row>
    <row r="1296" spans="2:3" x14ac:dyDescent="0.2">
      <c r="B1296" s="142">
        <v>1287</v>
      </c>
      <c r="C1296" s="143"/>
    </row>
    <row r="1297" spans="2:3" x14ac:dyDescent="0.2">
      <c r="B1297" s="142">
        <v>1288</v>
      </c>
      <c r="C1297" s="143"/>
    </row>
    <row r="1298" spans="2:3" x14ac:dyDescent="0.2">
      <c r="B1298" s="142">
        <v>1289</v>
      </c>
      <c r="C1298" s="143"/>
    </row>
    <row r="1299" spans="2:3" x14ac:dyDescent="0.2">
      <c r="B1299" s="142">
        <v>1290</v>
      </c>
      <c r="C1299" s="143"/>
    </row>
    <row r="1300" spans="2:3" x14ac:dyDescent="0.2">
      <c r="B1300" s="142">
        <v>1291</v>
      </c>
      <c r="C1300" s="143"/>
    </row>
    <row r="1301" spans="2:3" x14ac:dyDescent="0.2">
      <c r="B1301" s="142">
        <v>1292</v>
      </c>
      <c r="C1301" s="143"/>
    </row>
    <row r="1302" spans="2:3" x14ac:dyDescent="0.2">
      <c r="B1302" s="142">
        <v>1293</v>
      </c>
      <c r="C1302" s="143"/>
    </row>
    <row r="1303" spans="2:3" x14ac:dyDescent="0.2">
      <c r="B1303" s="142">
        <v>1294</v>
      </c>
      <c r="C1303" s="143"/>
    </row>
    <row r="1304" spans="2:3" x14ac:dyDescent="0.2">
      <c r="B1304" s="142">
        <v>1295</v>
      </c>
      <c r="C1304" s="143"/>
    </row>
    <row r="1305" spans="2:3" x14ac:dyDescent="0.2">
      <c r="B1305" s="142">
        <v>1296</v>
      </c>
      <c r="C1305" s="143"/>
    </row>
    <row r="1306" spans="2:3" x14ac:dyDescent="0.2">
      <c r="B1306" s="142">
        <v>1297</v>
      </c>
      <c r="C1306" s="143"/>
    </row>
    <row r="1307" spans="2:3" x14ac:dyDescent="0.2">
      <c r="B1307" s="142">
        <v>1298</v>
      </c>
      <c r="C1307" s="143"/>
    </row>
    <row r="1308" spans="2:3" x14ac:dyDescent="0.2">
      <c r="B1308" s="142">
        <v>1299</v>
      </c>
      <c r="C1308" s="143"/>
    </row>
    <row r="1309" spans="2:3" x14ac:dyDescent="0.2">
      <c r="B1309" s="142">
        <v>1300</v>
      </c>
      <c r="C1309" s="143"/>
    </row>
    <row r="1310" spans="2:3" x14ac:dyDescent="0.2">
      <c r="B1310" s="142">
        <v>1301</v>
      </c>
      <c r="C1310" s="143"/>
    </row>
    <row r="1311" spans="2:3" x14ac:dyDescent="0.2">
      <c r="B1311" s="142">
        <v>1302</v>
      </c>
      <c r="C1311" s="143"/>
    </row>
    <row r="1312" spans="2:3" x14ac:dyDescent="0.2">
      <c r="B1312" s="142">
        <v>1303</v>
      </c>
      <c r="C1312" s="143"/>
    </row>
    <row r="1313" spans="2:3" x14ac:dyDescent="0.2">
      <c r="B1313" s="142">
        <v>1304</v>
      </c>
      <c r="C1313" s="143"/>
    </row>
    <row r="1314" spans="2:3" x14ac:dyDescent="0.2">
      <c r="B1314" s="142">
        <v>1305</v>
      </c>
      <c r="C1314" s="143"/>
    </row>
    <row r="1315" spans="2:3" x14ac:dyDescent="0.2">
      <c r="B1315" s="142">
        <v>1306</v>
      </c>
      <c r="C1315" s="143"/>
    </row>
    <row r="1316" spans="2:3" x14ac:dyDescent="0.2">
      <c r="B1316" s="142">
        <v>1307</v>
      </c>
      <c r="C1316" s="143"/>
    </row>
    <row r="1317" spans="2:3" x14ac:dyDescent="0.2">
      <c r="B1317" s="142">
        <v>1308</v>
      </c>
      <c r="C1317" s="143"/>
    </row>
    <row r="1318" spans="2:3" x14ac:dyDescent="0.2">
      <c r="B1318" s="142">
        <v>1309</v>
      </c>
      <c r="C1318" s="143"/>
    </row>
    <row r="1319" spans="2:3" x14ac:dyDescent="0.2">
      <c r="B1319" s="142">
        <v>1310</v>
      </c>
      <c r="C1319" s="143"/>
    </row>
    <row r="1320" spans="2:3" x14ac:dyDescent="0.2">
      <c r="B1320" s="142">
        <v>1311</v>
      </c>
      <c r="C1320" s="143"/>
    </row>
    <row r="1321" spans="2:3" x14ac:dyDescent="0.2">
      <c r="B1321" s="142">
        <v>1312</v>
      </c>
      <c r="C1321" s="143"/>
    </row>
    <row r="1322" spans="2:3" x14ac:dyDescent="0.2">
      <c r="B1322" s="142">
        <v>1313</v>
      </c>
      <c r="C1322" s="143"/>
    </row>
    <row r="1323" spans="2:3" x14ac:dyDescent="0.2">
      <c r="B1323" s="142">
        <v>1314</v>
      </c>
      <c r="C1323" s="143"/>
    </row>
    <row r="1324" spans="2:3" x14ac:dyDescent="0.2">
      <c r="B1324" s="142">
        <v>1315</v>
      </c>
      <c r="C1324" s="143"/>
    </row>
    <row r="1325" spans="2:3" x14ac:dyDescent="0.2">
      <c r="B1325" s="142">
        <v>1316</v>
      </c>
      <c r="C1325" s="143"/>
    </row>
    <row r="1326" spans="2:3" x14ac:dyDescent="0.2">
      <c r="B1326" s="142">
        <v>1317</v>
      </c>
      <c r="C1326" s="143"/>
    </row>
    <row r="1327" spans="2:3" x14ac:dyDescent="0.2">
      <c r="B1327" s="142">
        <v>1318</v>
      </c>
      <c r="C1327" s="143"/>
    </row>
    <row r="1328" spans="2:3" x14ac:dyDescent="0.2">
      <c r="B1328" s="142">
        <v>1319</v>
      </c>
      <c r="C1328" s="143"/>
    </row>
    <row r="1329" spans="2:3" x14ac:dyDescent="0.2">
      <c r="B1329" s="142">
        <v>1320</v>
      </c>
      <c r="C1329" s="143"/>
    </row>
    <row r="1330" spans="2:3" x14ac:dyDescent="0.2">
      <c r="B1330" s="142">
        <v>1321</v>
      </c>
      <c r="C1330" s="143"/>
    </row>
    <row r="1331" spans="2:3" x14ac:dyDescent="0.2">
      <c r="B1331" s="142">
        <v>1322</v>
      </c>
      <c r="C1331" s="143"/>
    </row>
    <row r="1332" spans="2:3" x14ac:dyDescent="0.2">
      <c r="B1332" s="142">
        <v>1323</v>
      </c>
      <c r="C1332" s="143"/>
    </row>
    <row r="1333" spans="2:3" x14ac:dyDescent="0.2">
      <c r="B1333" s="142">
        <v>1324</v>
      </c>
      <c r="C1333" s="143"/>
    </row>
    <row r="1334" spans="2:3" x14ac:dyDescent="0.2">
      <c r="B1334" s="142">
        <v>1325</v>
      </c>
      <c r="C1334" s="143"/>
    </row>
    <row r="1335" spans="2:3" x14ac:dyDescent="0.2">
      <c r="B1335" s="142">
        <v>1326</v>
      </c>
      <c r="C1335" s="143"/>
    </row>
    <row r="1336" spans="2:3" x14ac:dyDescent="0.2">
      <c r="B1336" s="142">
        <v>1327</v>
      </c>
      <c r="C1336" s="143"/>
    </row>
    <row r="1337" spans="2:3" x14ac:dyDescent="0.2">
      <c r="B1337" s="142">
        <v>1328</v>
      </c>
      <c r="C1337" s="143"/>
    </row>
    <row r="1338" spans="2:3" x14ac:dyDescent="0.2">
      <c r="B1338" s="142">
        <v>1329</v>
      </c>
      <c r="C1338" s="143"/>
    </row>
    <row r="1339" spans="2:3" x14ac:dyDescent="0.2">
      <c r="B1339" s="142">
        <v>1330</v>
      </c>
      <c r="C1339" s="143"/>
    </row>
    <row r="1340" spans="2:3" x14ac:dyDescent="0.2">
      <c r="B1340" s="142">
        <v>1331</v>
      </c>
      <c r="C1340" s="143"/>
    </row>
    <row r="1341" spans="2:3" x14ac:dyDescent="0.2">
      <c r="B1341" s="142">
        <v>1332</v>
      </c>
      <c r="C1341" s="143"/>
    </row>
    <row r="1342" spans="2:3" x14ac:dyDescent="0.2">
      <c r="B1342" s="142">
        <v>1333</v>
      </c>
      <c r="C1342" s="143"/>
    </row>
    <row r="1343" spans="2:3" x14ac:dyDescent="0.2">
      <c r="B1343" s="142">
        <v>1334</v>
      </c>
      <c r="C1343" s="143"/>
    </row>
    <row r="1344" spans="2:3" x14ac:dyDescent="0.2">
      <c r="B1344" s="142">
        <v>1335</v>
      </c>
      <c r="C1344" s="143"/>
    </row>
    <row r="1345" spans="2:3" x14ac:dyDescent="0.2">
      <c r="B1345" s="142">
        <v>1336</v>
      </c>
      <c r="C1345" s="143"/>
    </row>
    <row r="1346" spans="2:3" x14ac:dyDescent="0.2">
      <c r="B1346" s="142">
        <v>1337</v>
      </c>
      <c r="C1346" s="143"/>
    </row>
    <row r="1347" spans="2:3" x14ac:dyDescent="0.2">
      <c r="B1347" s="142">
        <v>1338</v>
      </c>
      <c r="C1347" s="143"/>
    </row>
    <row r="1348" spans="2:3" x14ac:dyDescent="0.2">
      <c r="B1348" s="142">
        <v>1339</v>
      </c>
      <c r="C1348" s="143"/>
    </row>
    <row r="1349" spans="2:3" x14ac:dyDescent="0.2">
      <c r="B1349" s="142">
        <v>1340</v>
      </c>
      <c r="C1349" s="143"/>
    </row>
    <row r="1350" spans="2:3" x14ac:dyDescent="0.2">
      <c r="B1350" s="142">
        <v>1341</v>
      </c>
      <c r="C1350" s="143"/>
    </row>
    <row r="1351" spans="2:3" x14ac:dyDescent="0.2">
      <c r="B1351" s="142">
        <v>1342</v>
      </c>
      <c r="C1351" s="143"/>
    </row>
    <row r="1352" spans="2:3" x14ac:dyDescent="0.2">
      <c r="B1352" s="142">
        <v>1343</v>
      </c>
      <c r="C1352" s="143"/>
    </row>
    <row r="1353" spans="2:3" x14ac:dyDescent="0.2">
      <c r="B1353" s="142">
        <v>1344</v>
      </c>
      <c r="C1353" s="143"/>
    </row>
    <row r="1354" spans="2:3" x14ac:dyDescent="0.2">
      <c r="B1354" s="142">
        <v>1345</v>
      </c>
      <c r="C1354" s="143"/>
    </row>
    <row r="1355" spans="2:3" x14ac:dyDescent="0.2">
      <c r="B1355" s="142">
        <v>1346</v>
      </c>
      <c r="C1355" s="143"/>
    </row>
    <row r="1356" spans="2:3" x14ac:dyDescent="0.2">
      <c r="B1356" s="142">
        <v>1347</v>
      </c>
      <c r="C1356" s="143"/>
    </row>
    <row r="1357" spans="2:3" x14ac:dyDescent="0.2">
      <c r="B1357" s="142">
        <v>1348</v>
      </c>
      <c r="C1357" s="143"/>
    </row>
    <row r="1358" spans="2:3" x14ac:dyDescent="0.2">
      <c r="B1358" s="142">
        <v>1349</v>
      </c>
      <c r="C1358" s="143"/>
    </row>
    <row r="1359" spans="2:3" x14ac:dyDescent="0.2">
      <c r="B1359" s="142">
        <v>1350</v>
      </c>
      <c r="C1359" s="143"/>
    </row>
    <row r="1360" spans="2:3" x14ac:dyDescent="0.2">
      <c r="B1360" s="142">
        <v>1351</v>
      </c>
      <c r="C1360" s="143"/>
    </row>
    <row r="1361" spans="2:3" x14ac:dyDescent="0.2">
      <c r="B1361" s="142">
        <v>1352</v>
      </c>
      <c r="C1361" s="143"/>
    </row>
    <row r="1362" spans="2:3" x14ac:dyDescent="0.2">
      <c r="B1362" s="142">
        <v>1353</v>
      </c>
      <c r="C1362" s="143"/>
    </row>
    <row r="1363" spans="2:3" x14ac:dyDescent="0.2">
      <c r="B1363" s="142">
        <v>1354</v>
      </c>
      <c r="C1363" s="143"/>
    </row>
    <row r="1364" spans="2:3" x14ac:dyDescent="0.2">
      <c r="B1364" s="142">
        <v>1355</v>
      </c>
      <c r="C1364" s="143"/>
    </row>
    <row r="1365" spans="2:3" x14ac:dyDescent="0.2">
      <c r="B1365" s="142">
        <v>1356</v>
      </c>
      <c r="C1365" s="143"/>
    </row>
    <row r="1366" spans="2:3" x14ac:dyDescent="0.2">
      <c r="B1366" s="142">
        <v>1357</v>
      </c>
      <c r="C1366" s="143"/>
    </row>
    <row r="1367" spans="2:3" x14ac:dyDescent="0.2">
      <c r="B1367" s="142">
        <v>1358</v>
      </c>
      <c r="C1367" s="143"/>
    </row>
    <row r="1368" spans="2:3" x14ac:dyDescent="0.2">
      <c r="B1368" s="142">
        <v>1359</v>
      </c>
      <c r="C1368" s="143"/>
    </row>
    <row r="1369" spans="2:3" x14ac:dyDescent="0.2">
      <c r="B1369" s="142">
        <v>1360</v>
      </c>
      <c r="C1369" s="143"/>
    </row>
    <row r="1370" spans="2:3" x14ac:dyDescent="0.2">
      <c r="B1370" s="142">
        <v>1361</v>
      </c>
      <c r="C1370" s="143"/>
    </row>
    <row r="1371" spans="2:3" x14ac:dyDescent="0.2">
      <c r="B1371" s="142">
        <v>1362</v>
      </c>
      <c r="C1371" s="143"/>
    </row>
    <row r="1372" spans="2:3" x14ac:dyDescent="0.2">
      <c r="B1372" s="142">
        <v>1363</v>
      </c>
      <c r="C1372" s="143"/>
    </row>
    <row r="1373" spans="2:3" x14ac:dyDescent="0.2">
      <c r="B1373" s="142">
        <v>1364</v>
      </c>
      <c r="C1373" s="143"/>
    </row>
    <row r="1374" spans="2:3" x14ac:dyDescent="0.2">
      <c r="B1374" s="142">
        <v>1365</v>
      </c>
      <c r="C1374" s="143"/>
    </row>
    <row r="1375" spans="2:3" x14ac:dyDescent="0.2">
      <c r="B1375" s="142">
        <v>1366</v>
      </c>
      <c r="C1375" s="143"/>
    </row>
    <row r="1376" spans="2:3" x14ac:dyDescent="0.2">
      <c r="B1376" s="142">
        <v>1367</v>
      </c>
      <c r="C1376" s="143"/>
    </row>
    <row r="1377" spans="2:3" x14ac:dyDescent="0.2">
      <c r="B1377" s="142">
        <v>1368</v>
      </c>
      <c r="C1377" s="143"/>
    </row>
    <row r="1378" spans="2:3" x14ac:dyDescent="0.2">
      <c r="B1378" s="142">
        <v>1369</v>
      </c>
      <c r="C1378" s="143"/>
    </row>
    <row r="1379" spans="2:3" x14ac:dyDescent="0.2">
      <c r="B1379" s="142">
        <v>1370</v>
      </c>
      <c r="C1379" s="143"/>
    </row>
    <row r="1380" spans="2:3" x14ac:dyDescent="0.2">
      <c r="B1380" s="142">
        <v>1371</v>
      </c>
      <c r="C1380" s="143"/>
    </row>
    <row r="1381" spans="2:3" x14ac:dyDescent="0.2">
      <c r="B1381" s="142">
        <v>1372</v>
      </c>
      <c r="C1381" s="143"/>
    </row>
    <row r="1382" spans="2:3" x14ac:dyDescent="0.2">
      <c r="B1382" s="142">
        <v>1373</v>
      </c>
      <c r="C1382" s="143"/>
    </row>
    <row r="1383" spans="2:3" x14ac:dyDescent="0.2">
      <c r="B1383" s="142">
        <v>1374</v>
      </c>
      <c r="C1383" s="143"/>
    </row>
    <row r="1384" spans="2:3" x14ac:dyDescent="0.2">
      <c r="B1384" s="142">
        <v>1375</v>
      </c>
      <c r="C1384" s="143"/>
    </row>
    <row r="1385" spans="2:3" x14ac:dyDescent="0.2">
      <c r="B1385" s="142">
        <v>1376</v>
      </c>
      <c r="C1385" s="143"/>
    </row>
    <row r="1386" spans="2:3" x14ac:dyDescent="0.2">
      <c r="B1386" s="142">
        <v>1377</v>
      </c>
      <c r="C1386" s="143"/>
    </row>
    <row r="1387" spans="2:3" x14ac:dyDescent="0.2">
      <c r="B1387" s="142">
        <v>1378</v>
      </c>
      <c r="C1387" s="143"/>
    </row>
    <row r="1388" spans="2:3" x14ac:dyDescent="0.2">
      <c r="B1388" s="142">
        <v>1379</v>
      </c>
      <c r="C1388" s="143"/>
    </row>
    <row r="1389" spans="2:3" x14ac:dyDescent="0.2">
      <c r="B1389" s="142">
        <v>1380</v>
      </c>
      <c r="C1389" s="143"/>
    </row>
    <row r="1390" spans="2:3" x14ac:dyDescent="0.2">
      <c r="B1390" s="142">
        <v>1381</v>
      </c>
      <c r="C1390" s="143"/>
    </row>
    <row r="1391" spans="2:3" x14ac:dyDescent="0.2">
      <c r="B1391" s="142">
        <v>1382</v>
      </c>
      <c r="C1391" s="143"/>
    </row>
    <row r="1392" spans="2:3" x14ac:dyDescent="0.2">
      <c r="B1392" s="142">
        <v>1383</v>
      </c>
      <c r="C1392" s="143"/>
    </row>
    <row r="1393" spans="2:3" x14ac:dyDescent="0.2">
      <c r="B1393" s="142">
        <v>1384</v>
      </c>
      <c r="C1393" s="143"/>
    </row>
    <row r="1394" spans="2:3" x14ac:dyDescent="0.2">
      <c r="B1394" s="142">
        <v>1385</v>
      </c>
      <c r="C1394" s="143"/>
    </row>
    <row r="1395" spans="2:3" x14ac:dyDescent="0.2">
      <c r="B1395" s="142">
        <v>1386</v>
      </c>
      <c r="C1395" s="143"/>
    </row>
    <row r="1396" spans="2:3" x14ac:dyDescent="0.2">
      <c r="B1396" s="142">
        <v>1387</v>
      </c>
      <c r="C1396" s="143"/>
    </row>
    <row r="1397" spans="2:3" x14ac:dyDescent="0.2">
      <c r="B1397" s="142">
        <v>1388</v>
      </c>
      <c r="C1397" s="143"/>
    </row>
    <row r="1398" spans="2:3" x14ac:dyDescent="0.2">
      <c r="B1398" s="142">
        <v>1389</v>
      </c>
      <c r="C1398" s="143"/>
    </row>
    <row r="1399" spans="2:3" x14ac:dyDescent="0.2">
      <c r="B1399" s="142">
        <v>1390</v>
      </c>
      <c r="C1399" s="143"/>
    </row>
    <row r="1400" spans="2:3" x14ac:dyDescent="0.2">
      <c r="B1400" s="142">
        <v>1391</v>
      </c>
      <c r="C1400" s="143"/>
    </row>
    <row r="1401" spans="2:3" x14ac:dyDescent="0.2">
      <c r="B1401" s="142">
        <v>1392</v>
      </c>
      <c r="C1401" s="143"/>
    </row>
    <row r="1402" spans="2:3" x14ac:dyDescent="0.2">
      <c r="B1402" s="142">
        <v>1393</v>
      </c>
      <c r="C1402" s="143"/>
    </row>
    <row r="1403" spans="2:3" x14ac:dyDescent="0.2">
      <c r="B1403" s="142">
        <v>1394</v>
      </c>
      <c r="C1403" s="143"/>
    </row>
    <row r="1404" spans="2:3" x14ac:dyDescent="0.2">
      <c r="B1404" s="142">
        <v>1395</v>
      </c>
      <c r="C1404" s="143"/>
    </row>
    <row r="1405" spans="2:3" x14ac:dyDescent="0.2">
      <c r="B1405" s="142">
        <v>1396</v>
      </c>
      <c r="C1405" s="143"/>
    </row>
    <row r="1406" spans="2:3" x14ac:dyDescent="0.2">
      <c r="B1406" s="142">
        <v>1397</v>
      </c>
      <c r="C1406" s="143"/>
    </row>
    <row r="1407" spans="2:3" x14ac:dyDescent="0.2">
      <c r="B1407" s="142">
        <v>1398</v>
      </c>
      <c r="C1407" s="143"/>
    </row>
    <row r="1408" spans="2:3" x14ac:dyDescent="0.2">
      <c r="B1408" s="142">
        <v>1399</v>
      </c>
      <c r="C1408" s="143"/>
    </row>
    <row r="1409" spans="2:3" x14ac:dyDescent="0.2">
      <c r="B1409" s="142">
        <v>1400</v>
      </c>
      <c r="C1409" s="143"/>
    </row>
    <row r="1410" spans="2:3" x14ac:dyDescent="0.2">
      <c r="B1410" s="142">
        <v>1401</v>
      </c>
      <c r="C1410" s="143"/>
    </row>
    <row r="1411" spans="2:3" x14ac:dyDescent="0.2">
      <c r="B1411" s="142">
        <v>1402</v>
      </c>
      <c r="C1411" s="143"/>
    </row>
    <row r="1412" spans="2:3" x14ac:dyDescent="0.2">
      <c r="B1412" s="142">
        <v>1403</v>
      </c>
      <c r="C1412" s="143"/>
    </row>
    <row r="1413" spans="2:3" x14ac:dyDescent="0.2">
      <c r="B1413" s="142">
        <v>1404</v>
      </c>
      <c r="C1413" s="143"/>
    </row>
    <row r="1414" spans="2:3" x14ac:dyDescent="0.2">
      <c r="B1414" s="142">
        <v>1405</v>
      </c>
      <c r="C1414" s="143"/>
    </row>
    <row r="1415" spans="2:3" x14ac:dyDescent="0.2">
      <c r="B1415" s="142">
        <v>1406</v>
      </c>
      <c r="C1415" s="143"/>
    </row>
    <row r="1416" spans="2:3" x14ac:dyDescent="0.2">
      <c r="B1416" s="142">
        <v>1407</v>
      </c>
      <c r="C1416" s="143"/>
    </row>
    <row r="1417" spans="2:3" x14ac:dyDescent="0.2">
      <c r="B1417" s="142">
        <v>1408</v>
      </c>
      <c r="C1417" s="143"/>
    </row>
    <row r="1418" spans="2:3" x14ac:dyDescent="0.2">
      <c r="B1418" s="142">
        <v>1409</v>
      </c>
      <c r="C1418" s="143"/>
    </row>
    <row r="1419" spans="2:3" x14ac:dyDescent="0.2">
      <c r="B1419" s="142">
        <v>1410</v>
      </c>
      <c r="C1419" s="143"/>
    </row>
    <row r="1420" spans="2:3" x14ac:dyDescent="0.2">
      <c r="B1420" s="142">
        <v>1411</v>
      </c>
      <c r="C1420" s="143"/>
    </row>
    <row r="1421" spans="2:3" x14ac:dyDescent="0.2">
      <c r="B1421" s="142">
        <v>1412</v>
      </c>
      <c r="C1421" s="143"/>
    </row>
    <row r="1422" spans="2:3" x14ac:dyDescent="0.2">
      <c r="B1422" s="142">
        <v>1413</v>
      </c>
      <c r="C1422" s="143"/>
    </row>
    <row r="1423" spans="2:3" x14ac:dyDescent="0.2">
      <c r="B1423" s="142">
        <v>1414</v>
      </c>
      <c r="C1423" s="143"/>
    </row>
    <row r="1424" spans="2:3" x14ac:dyDescent="0.2">
      <c r="B1424" s="142">
        <v>1415</v>
      </c>
      <c r="C1424" s="143"/>
    </row>
    <row r="1425" spans="2:3" x14ac:dyDescent="0.2">
      <c r="B1425" s="142">
        <v>1416</v>
      </c>
      <c r="C1425" s="143"/>
    </row>
    <row r="1426" spans="2:3" x14ac:dyDescent="0.2">
      <c r="B1426" s="142">
        <v>1417</v>
      </c>
      <c r="C1426" s="143"/>
    </row>
    <row r="1427" spans="2:3" x14ac:dyDescent="0.2">
      <c r="B1427" s="142">
        <v>1418</v>
      </c>
      <c r="C1427" s="143"/>
    </row>
    <row r="1428" spans="2:3" x14ac:dyDescent="0.2">
      <c r="B1428" s="142">
        <v>1419</v>
      </c>
      <c r="C1428" s="143"/>
    </row>
    <row r="1429" spans="2:3" x14ac:dyDescent="0.2">
      <c r="B1429" s="142">
        <v>1420</v>
      </c>
      <c r="C1429" s="143"/>
    </row>
    <row r="1430" spans="2:3" x14ac:dyDescent="0.2">
      <c r="B1430" s="142">
        <v>1421</v>
      </c>
      <c r="C1430" s="143"/>
    </row>
    <row r="1431" spans="2:3" x14ac:dyDescent="0.2">
      <c r="B1431" s="142">
        <v>1422</v>
      </c>
      <c r="C1431" s="143"/>
    </row>
    <row r="1432" spans="2:3" x14ac:dyDescent="0.2">
      <c r="B1432" s="142">
        <v>1423</v>
      </c>
      <c r="C1432" s="143"/>
    </row>
    <row r="1433" spans="2:3" x14ac:dyDescent="0.2">
      <c r="B1433" s="142">
        <v>1424</v>
      </c>
      <c r="C1433" s="143"/>
    </row>
    <row r="1434" spans="2:3" x14ac:dyDescent="0.2">
      <c r="B1434" s="142">
        <v>1425</v>
      </c>
      <c r="C1434" s="143"/>
    </row>
    <row r="1435" spans="2:3" x14ac:dyDescent="0.2">
      <c r="B1435" s="142">
        <v>1426</v>
      </c>
      <c r="C1435" s="143"/>
    </row>
    <row r="1436" spans="2:3" x14ac:dyDescent="0.2">
      <c r="B1436" s="142">
        <v>1427</v>
      </c>
      <c r="C1436" s="143"/>
    </row>
    <row r="1437" spans="2:3" x14ac:dyDescent="0.2">
      <c r="B1437" s="142">
        <v>1428</v>
      </c>
      <c r="C1437" s="143"/>
    </row>
    <row r="1438" spans="2:3" x14ac:dyDescent="0.2">
      <c r="B1438" s="142">
        <v>1429</v>
      </c>
      <c r="C1438" s="143"/>
    </row>
    <row r="1439" spans="2:3" x14ac:dyDescent="0.2">
      <c r="B1439" s="142">
        <v>1430</v>
      </c>
      <c r="C1439" s="143"/>
    </row>
    <row r="1440" spans="2:3" x14ac:dyDescent="0.2">
      <c r="B1440" s="142">
        <v>1431</v>
      </c>
      <c r="C1440" s="143"/>
    </row>
    <row r="1441" spans="2:3" x14ac:dyDescent="0.2">
      <c r="B1441" s="142">
        <v>1432</v>
      </c>
      <c r="C1441" s="143"/>
    </row>
    <row r="1442" spans="2:3" x14ac:dyDescent="0.2">
      <c r="B1442" s="142">
        <v>1433</v>
      </c>
      <c r="C1442" s="143"/>
    </row>
    <row r="1443" spans="2:3" x14ac:dyDescent="0.2">
      <c r="B1443" s="142">
        <v>1434</v>
      </c>
      <c r="C1443" s="143"/>
    </row>
    <row r="1444" spans="2:3" x14ac:dyDescent="0.2">
      <c r="B1444" s="142">
        <v>1435</v>
      </c>
      <c r="C1444" s="143"/>
    </row>
    <row r="1445" spans="2:3" x14ac:dyDescent="0.2">
      <c r="B1445" s="142">
        <v>1436</v>
      </c>
      <c r="C1445" s="143"/>
    </row>
    <row r="1446" spans="2:3" x14ac:dyDescent="0.2">
      <c r="B1446" s="142">
        <v>1437</v>
      </c>
      <c r="C1446" s="143"/>
    </row>
    <row r="1447" spans="2:3" x14ac:dyDescent="0.2">
      <c r="B1447" s="142">
        <v>1438</v>
      </c>
      <c r="C1447" s="143"/>
    </row>
    <row r="1448" spans="2:3" x14ac:dyDescent="0.2">
      <c r="B1448" s="142">
        <v>1439</v>
      </c>
      <c r="C1448" s="143"/>
    </row>
    <row r="1449" spans="2:3" x14ac:dyDescent="0.2">
      <c r="B1449" s="142">
        <v>1440</v>
      </c>
      <c r="C1449" s="143"/>
    </row>
    <row r="1450" spans="2:3" x14ac:dyDescent="0.2">
      <c r="B1450" s="142">
        <v>1441</v>
      </c>
      <c r="C1450" s="143"/>
    </row>
    <row r="1451" spans="2:3" x14ac:dyDescent="0.2">
      <c r="B1451" s="142">
        <v>1442</v>
      </c>
      <c r="C1451" s="143"/>
    </row>
    <row r="1452" spans="2:3" x14ac:dyDescent="0.2">
      <c r="B1452" s="142">
        <v>1443</v>
      </c>
      <c r="C1452" s="143"/>
    </row>
    <row r="1453" spans="2:3" x14ac:dyDescent="0.2">
      <c r="B1453" s="142">
        <v>1444</v>
      </c>
      <c r="C1453" s="143"/>
    </row>
    <row r="1454" spans="2:3" x14ac:dyDescent="0.2">
      <c r="B1454" s="142">
        <v>1445</v>
      </c>
      <c r="C1454" s="143"/>
    </row>
    <row r="1455" spans="2:3" x14ac:dyDescent="0.2">
      <c r="B1455" s="142">
        <v>1446</v>
      </c>
      <c r="C1455" s="143"/>
    </row>
    <row r="1456" spans="2:3" x14ac:dyDescent="0.2">
      <c r="B1456" s="142">
        <v>1447</v>
      </c>
      <c r="C1456" s="143"/>
    </row>
    <row r="1457" spans="2:3" x14ac:dyDescent="0.2">
      <c r="B1457" s="142">
        <v>1448</v>
      </c>
      <c r="C1457" s="143"/>
    </row>
    <row r="1458" spans="2:3" x14ac:dyDescent="0.2">
      <c r="B1458" s="142">
        <v>1449</v>
      </c>
      <c r="C1458" s="143"/>
    </row>
    <row r="1459" spans="2:3" x14ac:dyDescent="0.2">
      <c r="B1459" s="142">
        <v>1450</v>
      </c>
      <c r="C1459" s="143"/>
    </row>
    <row r="1460" spans="2:3" x14ac:dyDescent="0.2">
      <c r="B1460" s="142">
        <v>1451</v>
      </c>
      <c r="C1460" s="143"/>
    </row>
    <row r="1461" spans="2:3" x14ac:dyDescent="0.2">
      <c r="B1461" s="142">
        <v>1452</v>
      </c>
      <c r="C1461" s="143"/>
    </row>
    <row r="1462" spans="2:3" x14ac:dyDescent="0.2">
      <c r="B1462" s="142">
        <v>1453</v>
      </c>
      <c r="C1462" s="143"/>
    </row>
    <row r="1463" spans="2:3" x14ac:dyDescent="0.2">
      <c r="B1463" s="142">
        <v>1454</v>
      </c>
      <c r="C1463" s="143"/>
    </row>
    <row r="1464" spans="2:3" x14ac:dyDescent="0.2">
      <c r="B1464" s="142">
        <v>1455</v>
      </c>
      <c r="C1464" s="143"/>
    </row>
    <row r="1465" spans="2:3" x14ac:dyDescent="0.2">
      <c r="B1465" s="142">
        <v>1456</v>
      </c>
      <c r="C1465" s="143"/>
    </row>
    <row r="1466" spans="2:3" x14ac:dyDescent="0.2">
      <c r="B1466" s="142">
        <v>1457</v>
      </c>
      <c r="C1466" s="143"/>
    </row>
    <row r="1467" spans="2:3" x14ac:dyDescent="0.2">
      <c r="B1467" s="142">
        <v>1458</v>
      </c>
      <c r="C1467" s="143"/>
    </row>
    <row r="1468" spans="2:3" x14ac:dyDescent="0.2">
      <c r="B1468" s="142">
        <v>1459</v>
      </c>
      <c r="C1468" s="143"/>
    </row>
    <row r="1469" spans="2:3" x14ac:dyDescent="0.2">
      <c r="B1469" s="142">
        <v>1460</v>
      </c>
      <c r="C1469" s="143"/>
    </row>
    <row r="1470" spans="2:3" x14ac:dyDescent="0.2">
      <c r="B1470" s="142">
        <v>1461</v>
      </c>
      <c r="C1470" s="143"/>
    </row>
    <row r="1471" spans="2:3" x14ac:dyDescent="0.2">
      <c r="B1471" s="142">
        <v>1462</v>
      </c>
      <c r="C1471" s="143"/>
    </row>
    <row r="1472" spans="2:3" x14ac:dyDescent="0.2">
      <c r="B1472" s="142">
        <v>1463</v>
      </c>
      <c r="C1472" s="143"/>
    </row>
    <row r="1473" spans="2:3" x14ac:dyDescent="0.2">
      <c r="B1473" s="142">
        <v>1464</v>
      </c>
      <c r="C1473" s="143"/>
    </row>
    <row r="1474" spans="2:3" x14ac:dyDescent="0.2">
      <c r="B1474" s="142">
        <v>1465</v>
      </c>
      <c r="C1474" s="143"/>
    </row>
    <row r="1475" spans="2:3" x14ac:dyDescent="0.2">
      <c r="B1475" s="142">
        <v>1466</v>
      </c>
      <c r="C1475" s="143"/>
    </row>
    <row r="1476" spans="2:3" x14ac:dyDescent="0.2">
      <c r="B1476" s="142">
        <v>1467</v>
      </c>
      <c r="C1476" s="143"/>
    </row>
    <row r="1477" spans="2:3" x14ac:dyDescent="0.2">
      <c r="B1477" s="142">
        <v>1468</v>
      </c>
      <c r="C1477" s="143"/>
    </row>
    <row r="1478" spans="2:3" x14ac:dyDescent="0.2">
      <c r="B1478" s="142">
        <v>1469</v>
      </c>
      <c r="C1478" s="143"/>
    </row>
    <row r="1479" spans="2:3" x14ac:dyDescent="0.2">
      <c r="B1479" s="142">
        <v>1470</v>
      </c>
      <c r="C1479" s="143"/>
    </row>
    <row r="1480" spans="2:3" x14ac:dyDescent="0.2">
      <c r="B1480" s="142">
        <v>1471</v>
      </c>
      <c r="C1480" s="143"/>
    </row>
    <row r="1481" spans="2:3" x14ac:dyDescent="0.2">
      <c r="B1481" s="142">
        <v>1472</v>
      </c>
      <c r="C1481" s="143"/>
    </row>
    <row r="1482" spans="2:3" x14ac:dyDescent="0.2">
      <c r="B1482" s="142">
        <v>1473</v>
      </c>
      <c r="C1482" s="143"/>
    </row>
    <row r="1483" spans="2:3" x14ac:dyDescent="0.2">
      <c r="B1483" s="142">
        <v>1474</v>
      </c>
      <c r="C1483" s="143"/>
    </row>
    <row r="1484" spans="2:3" x14ac:dyDescent="0.2">
      <c r="B1484" s="142">
        <v>1475</v>
      </c>
      <c r="C1484" s="143"/>
    </row>
    <row r="1485" spans="2:3" x14ac:dyDescent="0.2">
      <c r="B1485" s="142">
        <v>1476</v>
      </c>
      <c r="C1485" s="143"/>
    </row>
    <row r="1486" spans="2:3" x14ac:dyDescent="0.2">
      <c r="B1486" s="142">
        <v>1477</v>
      </c>
      <c r="C1486" s="143"/>
    </row>
    <row r="1487" spans="2:3" x14ac:dyDescent="0.2">
      <c r="B1487" s="142">
        <v>1478</v>
      </c>
      <c r="C1487" s="143"/>
    </row>
    <row r="1488" spans="2:3" x14ac:dyDescent="0.2">
      <c r="B1488" s="142">
        <v>1479</v>
      </c>
      <c r="C1488" s="143"/>
    </row>
    <row r="1489" spans="2:3" x14ac:dyDescent="0.2">
      <c r="B1489" s="142">
        <v>1480</v>
      </c>
      <c r="C1489" s="143"/>
    </row>
    <row r="1490" spans="2:3" x14ac:dyDescent="0.2">
      <c r="B1490" s="142">
        <v>1481</v>
      </c>
      <c r="C1490" s="143"/>
    </row>
    <row r="1491" spans="2:3" x14ac:dyDescent="0.2">
      <c r="B1491" s="142">
        <v>1482</v>
      </c>
      <c r="C1491" s="143"/>
    </row>
    <row r="1492" spans="2:3" x14ac:dyDescent="0.2">
      <c r="B1492" s="142">
        <v>1483</v>
      </c>
      <c r="C1492" s="143"/>
    </row>
    <row r="1493" spans="2:3" x14ac:dyDescent="0.2">
      <c r="B1493" s="142">
        <v>1484</v>
      </c>
      <c r="C1493" s="143"/>
    </row>
    <row r="1494" spans="2:3" x14ac:dyDescent="0.2">
      <c r="B1494" s="142">
        <v>1485</v>
      </c>
      <c r="C1494" s="143"/>
    </row>
    <row r="1495" spans="2:3" x14ac:dyDescent="0.2">
      <c r="B1495" s="142">
        <v>1486</v>
      </c>
      <c r="C1495" s="143"/>
    </row>
    <row r="1496" spans="2:3" x14ac:dyDescent="0.2">
      <c r="B1496" s="142">
        <v>1487</v>
      </c>
      <c r="C1496" s="143"/>
    </row>
    <row r="1497" spans="2:3" x14ac:dyDescent="0.2">
      <c r="B1497" s="142">
        <v>1488</v>
      </c>
      <c r="C1497" s="143"/>
    </row>
    <row r="1498" spans="2:3" x14ac:dyDescent="0.2">
      <c r="B1498" s="142">
        <v>1489</v>
      </c>
      <c r="C1498" s="143"/>
    </row>
    <row r="1499" spans="2:3" x14ac:dyDescent="0.2">
      <c r="B1499" s="142">
        <v>1490</v>
      </c>
      <c r="C1499" s="143"/>
    </row>
    <row r="1500" spans="2:3" x14ac:dyDescent="0.2">
      <c r="B1500" s="142">
        <v>1491</v>
      </c>
      <c r="C1500" s="143"/>
    </row>
    <row r="1501" spans="2:3" x14ac:dyDescent="0.2">
      <c r="B1501" s="142">
        <v>1492</v>
      </c>
      <c r="C1501" s="143"/>
    </row>
    <row r="1502" spans="2:3" x14ac:dyDescent="0.2">
      <c r="B1502" s="142">
        <v>1493</v>
      </c>
      <c r="C1502" s="143"/>
    </row>
    <row r="1503" spans="2:3" x14ac:dyDescent="0.2">
      <c r="B1503" s="142">
        <v>1494</v>
      </c>
      <c r="C1503" s="143"/>
    </row>
    <row r="1504" spans="2:3" x14ac:dyDescent="0.2">
      <c r="B1504" s="142">
        <v>1495</v>
      </c>
      <c r="C1504" s="143"/>
    </row>
    <row r="1505" spans="2:3" x14ac:dyDescent="0.2">
      <c r="B1505" s="142">
        <v>1496</v>
      </c>
      <c r="C1505" s="143"/>
    </row>
    <row r="1506" spans="2:3" x14ac:dyDescent="0.2">
      <c r="B1506" s="142">
        <v>1497</v>
      </c>
      <c r="C1506" s="143"/>
    </row>
    <row r="1507" spans="2:3" x14ac:dyDescent="0.2">
      <c r="B1507" s="142">
        <v>1498</v>
      </c>
      <c r="C1507" s="143"/>
    </row>
    <row r="1508" spans="2:3" x14ac:dyDescent="0.2">
      <c r="B1508" s="142">
        <v>1499</v>
      </c>
      <c r="C1508" s="143"/>
    </row>
    <row r="1509" spans="2:3" x14ac:dyDescent="0.2">
      <c r="B1509" s="142">
        <v>1500</v>
      </c>
      <c r="C1509" s="143"/>
    </row>
    <row r="1510" spans="2:3" x14ac:dyDescent="0.2">
      <c r="B1510" s="142">
        <v>1501</v>
      </c>
      <c r="C1510" s="143"/>
    </row>
    <row r="1511" spans="2:3" x14ac:dyDescent="0.2">
      <c r="B1511" s="142">
        <v>1502</v>
      </c>
      <c r="C1511" s="143"/>
    </row>
    <row r="1512" spans="2:3" x14ac:dyDescent="0.2">
      <c r="B1512" s="142">
        <v>1503</v>
      </c>
      <c r="C1512" s="143"/>
    </row>
    <row r="1513" spans="2:3" x14ac:dyDescent="0.2">
      <c r="B1513" s="142">
        <v>1504</v>
      </c>
      <c r="C1513" s="143"/>
    </row>
    <row r="1514" spans="2:3" x14ac:dyDescent="0.2">
      <c r="B1514" s="142">
        <v>1505</v>
      </c>
      <c r="C1514" s="143"/>
    </row>
    <row r="1515" spans="2:3" x14ac:dyDescent="0.2">
      <c r="B1515" s="142">
        <v>1506</v>
      </c>
      <c r="C1515" s="143"/>
    </row>
    <row r="1516" spans="2:3" x14ac:dyDescent="0.2">
      <c r="B1516" s="142">
        <v>1507</v>
      </c>
      <c r="C1516" s="143"/>
    </row>
    <row r="1517" spans="2:3" x14ac:dyDescent="0.2">
      <c r="B1517" s="142">
        <v>1508</v>
      </c>
      <c r="C1517" s="143"/>
    </row>
    <row r="1518" spans="2:3" x14ac:dyDescent="0.2">
      <c r="B1518" s="142">
        <v>1509</v>
      </c>
      <c r="C1518" s="143"/>
    </row>
    <row r="1519" spans="2:3" x14ac:dyDescent="0.2">
      <c r="B1519" s="142">
        <v>1510</v>
      </c>
      <c r="C1519" s="143"/>
    </row>
    <row r="1520" spans="2:3" x14ac:dyDescent="0.2">
      <c r="B1520" s="142">
        <v>1511</v>
      </c>
      <c r="C1520" s="143"/>
    </row>
    <row r="1521" spans="2:3" x14ac:dyDescent="0.2">
      <c r="B1521" s="142">
        <v>1512</v>
      </c>
      <c r="C1521" s="143"/>
    </row>
    <row r="1522" spans="2:3" x14ac:dyDescent="0.2">
      <c r="B1522" s="142">
        <v>1513</v>
      </c>
      <c r="C1522" s="143"/>
    </row>
    <row r="1523" spans="2:3" x14ac:dyDescent="0.2">
      <c r="B1523" s="142">
        <v>1514</v>
      </c>
      <c r="C1523" s="143"/>
    </row>
    <row r="1524" spans="2:3" x14ac:dyDescent="0.2">
      <c r="B1524" s="142">
        <v>1515</v>
      </c>
      <c r="C1524" s="143"/>
    </row>
    <row r="1525" spans="2:3" x14ac:dyDescent="0.2">
      <c r="B1525" s="142">
        <v>1516</v>
      </c>
      <c r="C1525" s="143"/>
    </row>
    <row r="1526" spans="2:3" x14ac:dyDescent="0.2">
      <c r="B1526" s="142">
        <v>1517</v>
      </c>
      <c r="C1526" s="143"/>
    </row>
    <row r="1527" spans="2:3" x14ac:dyDescent="0.2">
      <c r="B1527" s="142">
        <v>1518</v>
      </c>
      <c r="C1527" s="143"/>
    </row>
    <row r="1528" spans="2:3" x14ac:dyDescent="0.2">
      <c r="B1528" s="142">
        <v>1519</v>
      </c>
      <c r="C1528" s="143"/>
    </row>
    <row r="1529" spans="2:3" x14ac:dyDescent="0.2">
      <c r="B1529" s="142">
        <v>1520</v>
      </c>
      <c r="C1529" s="143"/>
    </row>
    <row r="1530" spans="2:3" x14ac:dyDescent="0.2">
      <c r="B1530" s="142">
        <v>1521</v>
      </c>
      <c r="C1530" s="143"/>
    </row>
    <row r="1531" spans="2:3" x14ac:dyDescent="0.2">
      <c r="B1531" s="142">
        <v>1522</v>
      </c>
      <c r="C1531" s="143"/>
    </row>
    <row r="1532" spans="2:3" x14ac:dyDescent="0.2">
      <c r="B1532" s="142">
        <v>1523</v>
      </c>
      <c r="C1532" s="143"/>
    </row>
    <row r="1533" spans="2:3" x14ac:dyDescent="0.2">
      <c r="B1533" s="142">
        <v>1524</v>
      </c>
      <c r="C1533" s="143"/>
    </row>
    <row r="1534" spans="2:3" x14ac:dyDescent="0.2">
      <c r="B1534" s="142">
        <v>1525</v>
      </c>
      <c r="C1534" s="143"/>
    </row>
    <row r="1535" spans="2:3" x14ac:dyDescent="0.2">
      <c r="B1535" s="142">
        <v>1526</v>
      </c>
      <c r="C1535" s="143"/>
    </row>
    <row r="1536" spans="2:3" x14ac:dyDescent="0.2">
      <c r="B1536" s="142">
        <v>1527</v>
      </c>
      <c r="C1536" s="143"/>
    </row>
    <row r="1537" spans="2:3" x14ac:dyDescent="0.2">
      <c r="B1537" s="142">
        <v>1528</v>
      </c>
      <c r="C1537" s="143"/>
    </row>
    <row r="1538" spans="2:3" x14ac:dyDescent="0.2">
      <c r="B1538" s="142">
        <v>1529</v>
      </c>
      <c r="C1538" s="143"/>
    </row>
    <row r="1539" spans="2:3" x14ac:dyDescent="0.2">
      <c r="B1539" s="142">
        <v>1530</v>
      </c>
      <c r="C1539" s="143"/>
    </row>
    <row r="1540" spans="2:3" x14ac:dyDescent="0.2">
      <c r="B1540" s="142">
        <v>1531</v>
      </c>
      <c r="C1540" s="143"/>
    </row>
    <row r="1541" spans="2:3" x14ac:dyDescent="0.2">
      <c r="B1541" s="142">
        <v>1532</v>
      </c>
      <c r="C1541" s="143"/>
    </row>
    <row r="1542" spans="2:3" x14ac:dyDescent="0.2">
      <c r="B1542" s="142">
        <v>1533</v>
      </c>
      <c r="C1542" s="143"/>
    </row>
    <row r="1543" spans="2:3" x14ac:dyDescent="0.2">
      <c r="B1543" s="142">
        <v>1534</v>
      </c>
      <c r="C1543" s="143"/>
    </row>
    <row r="1544" spans="2:3" x14ac:dyDescent="0.2">
      <c r="B1544" s="142">
        <v>1535</v>
      </c>
      <c r="C1544" s="143"/>
    </row>
    <row r="1545" spans="2:3" x14ac:dyDescent="0.2">
      <c r="B1545" s="142">
        <v>1536</v>
      </c>
      <c r="C1545" s="143"/>
    </row>
    <row r="1546" spans="2:3" x14ac:dyDescent="0.2">
      <c r="B1546" s="142">
        <v>1537</v>
      </c>
      <c r="C1546" s="143"/>
    </row>
    <row r="1547" spans="2:3" x14ac:dyDescent="0.2">
      <c r="B1547" s="142">
        <v>1538</v>
      </c>
      <c r="C1547" s="143"/>
    </row>
    <row r="1548" spans="2:3" x14ac:dyDescent="0.2">
      <c r="B1548" s="142">
        <v>1539</v>
      </c>
      <c r="C1548" s="143"/>
    </row>
    <row r="1549" spans="2:3" x14ac:dyDescent="0.2">
      <c r="B1549" s="142">
        <v>1540</v>
      </c>
      <c r="C1549" s="143"/>
    </row>
    <row r="1550" spans="2:3" x14ac:dyDescent="0.2">
      <c r="B1550" s="142">
        <v>1541</v>
      </c>
      <c r="C1550" s="143"/>
    </row>
    <row r="1551" spans="2:3" x14ac:dyDescent="0.2">
      <c r="B1551" s="142">
        <v>1542</v>
      </c>
      <c r="C1551" s="143"/>
    </row>
    <row r="1552" spans="2:3" x14ac:dyDescent="0.2">
      <c r="B1552" s="142">
        <v>1543</v>
      </c>
      <c r="C1552" s="143"/>
    </row>
    <row r="1553" spans="2:3" x14ac:dyDescent="0.2">
      <c r="B1553" s="142">
        <v>1544</v>
      </c>
      <c r="C1553" s="143"/>
    </row>
    <row r="1554" spans="2:3" x14ac:dyDescent="0.2">
      <c r="B1554" s="142">
        <v>1545</v>
      </c>
      <c r="C1554" s="143"/>
    </row>
    <row r="1555" spans="2:3" x14ac:dyDescent="0.2">
      <c r="B1555" s="142">
        <v>1546</v>
      </c>
      <c r="C1555" s="143"/>
    </row>
    <row r="1556" spans="2:3" x14ac:dyDescent="0.2">
      <c r="B1556" s="142">
        <v>1547</v>
      </c>
      <c r="C1556" s="143"/>
    </row>
    <row r="1557" spans="2:3" x14ac:dyDescent="0.2">
      <c r="B1557" s="142">
        <v>1548</v>
      </c>
      <c r="C1557" s="143"/>
    </row>
    <row r="1558" spans="2:3" x14ac:dyDescent="0.2">
      <c r="B1558" s="142">
        <v>1549</v>
      </c>
      <c r="C1558" s="143"/>
    </row>
    <row r="1559" spans="2:3" x14ac:dyDescent="0.2">
      <c r="B1559" s="142">
        <v>1550</v>
      </c>
      <c r="C1559" s="143"/>
    </row>
    <row r="1560" spans="2:3" x14ac:dyDescent="0.2">
      <c r="B1560" s="142">
        <v>1551</v>
      </c>
      <c r="C1560" s="143"/>
    </row>
    <row r="1561" spans="2:3" x14ac:dyDescent="0.2">
      <c r="B1561" s="142">
        <v>1552</v>
      </c>
      <c r="C1561" s="143"/>
    </row>
    <row r="1562" spans="2:3" x14ac:dyDescent="0.2">
      <c r="B1562" s="142">
        <v>1553</v>
      </c>
      <c r="C1562" s="143"/>
    </row>
    <row r="1563" spans="2:3" x14ac:dyDescent="0.2">
      <c r="B1563" s="142">
        <v>1554</v>
      </c>
      <c r="C1563" s="143"/>
    </row>
    <row r="1564" spans="2:3" x14ac:dyDescent="0.2">
      <c r="B1564" s="142">
        <v>1555</v>
      </c>
      <c r="C1564" s="143"/>
    </row>
    <row r="1565" spans="2:3" x14ac:dyDescent="0.2">
      <c r="B1565" s="142">
        <v>1556</v>
      </c>
      <c r="C1565" s="143"/>
    </row>
    <row r="1566" spans="2:3" x14ac:dyDescent="0.2">
      <c r="B1566" s="142">
        <v>1557</v>
      </c>
      <c r="C1566" s="143"/>
    </row>
    <row r="1567" spans="2:3" x14ac:dyDescent="0.2">
      <c r="B1567" s="142">
        <v>1558</v>
      </c>
      <c r="C1567" s="143"/>
    </row>
    <row r="1568" spans="2:3" x14ac:dyDescent="0.2">
      <c r="B1568" s="142">
        <v>1559</v>
      </c>
      <c r="C1568" s="143"/>
    </row>
    <row r="1569" spans="2:3" x14ac:dyDescent="0.2">
      <c r="B1569" s="142">
        <v>1560</v>
      </c>
      <c r="C1569" s="143"/>
    </row>
    <row r="1570" spans="2:3" x14ac:dyDescent="0.2">
      <c r="B1570" s="142">
        <v>1561</v>
      </c>
      <c r="C1570" s="143"/>
    </row>
    <row r="1571" spans="2:3" x14ac:dyDescent="0.2">
      <c r="B1571" s="142">
        <v>1562</v>
      </c>
      <c r="C1571" s="143"/>
    </row>
    <row r="1572" spans="2:3" x14ac:dyDescent="0.2">
      <c r="B1572" s="142">
        <v>1563</v>
      </c>
      <c r="C1572" s="143"/>
    </row>
    <row r="1573" spans="2:3" x14ac:dyDescent="0.2">
      <c r="B1573" s="142">
        <v>1564</v>
      </c>
      <c r="C1573" s="143"/>
    </row>
    <row r="1574" spans="2:3" x14ac:dyDescent="0.2">
      <c r="B1574" s="142">
        <v>1565</v>
      </c>
      <c r="C1574" s="143"/>
    </row>
    <row r="1575" spans="2:3" x14ac:dyDescent="0.2">
      <c r="B1575" s="142">
        <v>1566</v>
      </c>
      <c r="C1575" s="143"/>
    </row>
    <row r="1576" spans="2:3" x14ac:dyDescent="0.2">
      <c r="B1576" s="142">
        <v>1567</v>
      </c>
      <c r="C1576" s="143"/>
    </row>
    <row r="1577" spans="2:3" x14ac:dyDescent="0.2">
      <c r="B1577" s="142">
        <v>1568</v>
      </c>
      <c r="C1577" s="143"/>
    </row>
    <row r="1578" spans="2:3" x14ac:dyDescent="0.2">
      <c r="B1578" s="142">
        <v>1569</v>
      </c>
      <c r="C1578" s="143"/>
    </row>
    <row r="1579" spans="2:3" x14ac:dyDescent="0.2">
      <c r="B1579" s="142">
        <v>1570</v>
      </c>
      <c r="C1579" s="143"/>
    </row>
    <row r="1580" spans="2:3" x14ac:dyDescent="0.2">
      <c r="B1580" s="142">
        <v>1571</v>
      </c>
      <c r="C1580" s="143"/>
    </row>
    <row r="1581" spans="2:3" x14ac:dyDescent="0.2">
      <c r="B1581" s="142">
        <v>1572</v>
      </c>
      <c r="C1581" s="143"/>
    </row>
    <row r="1582" spans="2:3" x14ac:dyDescent="0.2">
      <c r="B1582" s="142">
        <v>1573</v>
      </c>
      <c r="C1582" s="143"/>
    </row>
    <row r="1583" spans="2:3" x14ac:dyDescent="0.2">
      <c r="B1583" s="142">
        <v>1574</v>
      </c>
      <c r="C1583" s="143"/>
    </row>
    <row r="1584" spans="2:3" x14ac:dyDescent="0.2">
      <c r="B1584" s="142">
        <v>1575</v>
      </c>
      <c r="C1584" s="143"/>
    </row>
    <row r="1585" spans="2:3" x14ac:dyDescent="0.2">
      <c r="B1585" s="142">
        <v>1576</v>
      </c>
      <c r="C1585" s="143"/>
    </row>
    <row r="1586" spans="2:3" x14ac:dyDescent="0.2">
      <c r="B1586" s="142">
        <v>1577</v>
      </c>
      <c r="C1586" s="143"/>
    </row>
    <row r="1587" spans="2:3" x14ac:dyDescent="0.2">
      <c r="B1587" s="142">
        <v>1578</v>
      </c>
      <c r="C1587" s="143"/>
    </row>
    <row r="1588" spans="2:3" x14ac:dyDescent="0.2">
      <c r="B1588" s="142">
        <v>1579</v>
      </c>
      <c r="C1588" s="143"/>
    </row>
    <row r="1589" spans="2:3" x14ac:dyDescent="0.2">
      <c r="B1589" s="142">
        <v>1580</v>
      </c>
      <c r="C1589" s="143"/>
    </row>
    <row r="1590" spans="2:3" x14ac:dyDescent="0.2">
      <c r="B1590" s="142">
        <v>1581</v>
      </c>
      <c r="C1590" s="143"/>
    </row>
    <row r="1591" spans="2:3" x14ac:dyDescent="0.2">
      <c r="B1591" s="142">
        <v>1582</v>
      </c>
      <c r="C1591" s="143"/>
    </row>
    <row r="1592" spans="2:3" x14ac:dyDescent="0.2">
      <c r="B1592" s="142">
        <v>1583</v>
      </c>
      <c r="C1592" s="143"/>
    </row>
    <row r="1593" spans="2:3" x14ac:dyDescent="0.2">
      <c r="B1593" s="142">
        <v>1584</v>
      </c>
      <c r="C1593" s="143"/>
    </row>
    <row r="1594" spans="2:3" x14ac:dyDescent="0.2">
      <c r="B1594" s="142">
        <v>1585</v>
      </c>
      <c r="C1594" s="143"/>
    </row>
    <row r="1595" spans="2:3" x14ac:dyDescent="0.2">
      <c r="B1595" s="142">
        <v>1586</v>
      </c>
      <c r="C1595" s="143"/>
    </row>
    <row r="1596" spans="2:3" x14ac:dyDescent="0.2">
      <c r="B1596" s="142">
        <v>1587</v>
      </c>
      <c r="C1596" s="143"/>
    </row>
    <row r="1597" spans="2:3" x14ac:dyDescent="0.2">
      <c r="B1597" s="142">
        <v>1588</v>
      </c>
      <c r="C1597" s="143"/>
    </row>
    <row r="1598" spans="2:3" x14ac:dyDescent="0.2">
      <c r="B1598" s="142">
        <v>1589</v>
      </c>
      <c r="C1598" s="143"/>
    </row>
    <row r="1599" spans="2:3" x14ac:dyDescent="0.2">
      <c r="B1599" s="142">
        <v>1590</v>
      </c>
      <c r="C1599" s="143"/>
    </row>
    <row r="1600" spans="2:3" x14ac:dyDescent="0.2">
      <c r="B1600" s="142">
        <v>1591</v>
      </c>
      <c r="C1600" s="143"/>
    </row>
    <row r="1601" spans="2:3" x14ac:dyDescent="0.2">
      <c r="B1601" s="142">
        <v>1592</v>
      </c>
      <c r="C1601" s="143"/>
    </row>
    <row r="1602" spans="2:3" x14ac:dyDescent="0.2">
      <c r="B1602" s="142">
        <v>1593</v>
      </c>
      <c r="C1602" s="143"/>
    </row>
    <row r="1603" spans="2:3" x14ac:dyDescent="0.2">
      <c r="B1603" s="142">
        <v>1594</v>
      </c>
      <c r="C1603" s="143"/>
    </row>
    <row r="1604" spans="2:3" x14ac:dyDescent="0.2">
      <c r="B1604" s="142">
        <v>1595</v>
      </c>
      <c r="C1604" s="143"/>
    </row>
    <row r="1605" spans="2:3" x14ac:dyDescent="0.2">
      <c r="B1605" s="142">
        <v>1596</v>
      </c>
      <c r="C1605" s="143"/>
    </row>
    <row r="1606" spans="2:3" x14ac:dyDescent="0.2">
      <c r="B1606" s="142">
        <v>1597</v>
      </c>
      <c r="C1606" s="143"/>
    </row>
    <row r="1607" spans="2:3" x14ac:dyDescent="0.2">
      <c r="B1607" s="142">
        <v>1598</v>
      </c>
      <c r="C1607" s="143"/>
    </row>
    <row r="1608" spans="2:3" x14ac:dyDescent="0.2">
      <c r="B1608" s="142">
        <v>1599</v>
      </c>
      <c r="C1608" s="143"/>
    </row>
    <row r="1609" spans="2:3" x14ac:dyDescent="0.2">
      <c r="B1609" s="142">
        <v>1600</v>
      </c>
      <c r="C1609" s="143"/>
    </row>
    <row r="1610" spans="2:3" x14ac:dyDescent="0.2">
      <c r="B1610" s="142">
        <v>1601</v>
      </c>
      <c r="C1610" s="143"/>
    </row>
    <row r="1611" spans="2:3" x14ac:dyDescent="0.2">
      <c r="B1611" s="142">
        <v>1602</v>
      </c>
      <c r="C1611" s="143"/>
    </row>
    <row r="1612" spans="2:3" x14ac:dyDescent="0.2">
      <c r="B1612" s="142">
        <v>1603</v>
      </c>
      <c r="C1612" s="143"/>
    </row>
    <row r="1613" spans="2:3" x14ac:dyDescent="0.2">
      <c r="B1613" s="142">
        <v>1604</v>
      </c>
      <c r="C1613" s="143"/>
    </row>
    <row r="1614" spans="2:3" x14ac:dyDescent="0.2">
      <c r="B1614" s="142">
        <v>1605</v>
      </c>
      <c r="C1614" s="143"/>
    </row>
    <row r="1615" spans="2:3" x14ac:dyDescent="0.2">
      <c r="B1615" s="142">
        <v>1606</v>
      </c>
      <c r="C1615" s="143"/>
    </row>
    <row r="1616" spans="2:3" x14ac:dyDescent="0.2">
      <c r="B1616" s="142">
        <v>1607</v>
      </c>
      <c r="C1616" s="143"/>
    </row>
    <row r="1617" spans="2:3" x14ac:dyDescent="0.2">
      <c r="B1617" s="142">
        <v>1608</v>
      </c>
      <c r="C1617" s="143"/>
    </row>
    <row r="1618" spans="2:3" x14ac:dyDescent="0.2">
      <c r="B1618" s="142">
        <v>1609</v>
      </c>
      <c r="C1618" s="143"/>
    </row>
    <row r="1619" spans="2:3" x14ac:dyDescent="0.2">
      <c r="B1619" s="142">
        <v>1610</v>
      </c>
      <c r="C1619" s="143"/>
    </row>
    <row r="1620" spans="2:3" x14ac:dyDescent="0.2">
      <c r="B1620" s="142">
        <v>1611</v>
      </c>
      <c r="C1620" s="143"/>
    </row>
    <row r="1621" spans="2:3" x14ac:dyDescent="0.2">
      <c r="B1621" s="142">
        <v>1612</v>
      </c>
      <c r="C1621" s="143"/>
    </row>
    <row r="1622" spans="2:3" x14ac:dyDescent="0.2">
      <c r="B1622" s="142">
        <v>1613</v>
      </c>
      <c r="C1622" s="143"/>
    </row>
    <row r="1623" spans="2:3" x14ac:dyDescent="0.2">
      <c r="B1623" s="142">
        <v>1614</v>
      </c>
      <c r="C1623" s="143"/>
    </row>
    <row r="1624" spans="2:3" x14ac:dyDescent="0.2">
      <c r="B1624" s="142">
        <v>1615</v>
      </c>
      <c r="C1624" s="143"/>
    </row>
    <row r="1625" spans="2:3" x14ac:dyDescent="0.2">
      <c r="B1625" s="142">
        <v>1616</v>
      </c>
      <c r="C1625" s="143"/>
    </row>
    <row r="1626" spans="2:3" x14ac:dyDescent="0.2">
      <c r="B1626" s="142">
        <v>1617</v>
      </c>
      <c r="C1626" s="143"/>
    </row>
    <row r="1627" spans="2:3" x14ac:dyDescent="0.2">
      <c r="B1627" s="142">
        <v>1618</v>
      </c>
      <c r="C1627" s="143"/>
    </row>
    <row r="1628" spans="2:3" x14ac:dyDescent="0.2">
      <c r="B1628" s="142">
        <v>1619</v>
      </c>
      <c r="C1628" s="143"/>
    </row>
    <row r="1629" spans="2:3" x14ac:dyDescent="0.2">
      <c r="B1629" s="142">
        <v>1620</v>
      </c>
      <c r="C1629" s="143"/>
    </row>
    <row r="1630" spans="2:3" x14ac:dyDescent="0.2">
      <c r="B1630" s="142">
        <v>1621</v>
      </c>
      <c r="C1630" s="143"/>
    </row>
    <row r="1631" spans="2:3" x14ac:dyDescent="0.2">
      <c r="B1631" s="142">
        <v>1622</v>
      </c>
      <c r="C1631" s="143"/>
    </row>
    <row r="1632" spans="2:3" x14ac:dyDescent="0.2">
      <c r="B1632" s="142">
        <v>1623</v>
      </c>
      <c r="C1632" s="143"/>
    </row>
    <row r="1633" spans="2:3" x14ac:dyDescent="0.2">
      <c r="B1633" s="142">
        <v>1624</v>
      </c>
      <c r="C1633" s="143"/>
    </row>
    <row r="1634" spans="2:3" x14ac:dyDescent="0.2">
      <c r="B1634" s="142">
        <v>1625</v>
      </c>
      <c r="C1634" s="143"/>
    </row>
    <row r="1635" spans="2:3" x14ac:dyDescent="0.2">
      <c r="B1635" s="142">
        <v>1626</v>
      </c>
      <c r="C1635" s="143"/>
    </row>
    <row r="1636" spans="2:3" x14ac:dyDescent="0.2">
      <c r="B1636" s="142">
        <v>1627</v>
      </c>
      <c r="C1636" s="143"/>
    </row>
    <row r="1637" spans="2:3" x14ac:dyDescent="0.2">
      <c r="B1637" s="142">
        <v>1628</v>
      </c>
      <c r="C1637" s="143"/>
    </row>
    <row r="1638" spans="2:3" x14ac:dyDescent="0.2">
      <c r="B1638" s="142">
        <v>1629</v>
      </c>
      <c r="C1638" s="143"/>
    </row>
    <row r="1639" spans="2:3" x14ac:dyDescent="0.2">
      <c r="B1639" s="142">
        <v>1630</v>
      </c>
      <c r="C1639" s="143"/>
    </row>
    <row r="1640" spans="2:3" x14ac:dyDescent="0.2">
      <c r="B1640" s="142">
        <v>1631</v>
      </c>
      <c r="C1640" s="143"/>
    </row>
    <row r="1641" spans="2:3" x14ac:dyDescent="0.2">
      <c r="B1641" s="142">
        <v>1632</v>
      </c>
      <c r="C1641" s="143"/>
    </row>
    <row r="1642" spans="2:3" x14ac:dyDescent="0.2">
      <c r="B1642" s="142">
        <v>1633</v>
      </c>
      <c r="C1642" s="143"/>
    </row>
    <row r="1643" spans="2:3" x14ac:dyDescent="0.2">
      <c r="B1643" s="142">
        <v>1634</v>
      </c>
      <c r="C1643" s="143"/>
    </row>
    <row r="1644" spans="2:3" x14ac:dyDescent="0.2">
      <c r="B1644" s="142">
        <v>1635</v>
      </c>
      <c r="C1644" s="143"/>
    </row>
    <row r="1645" spans="2:3" x14ac:dyDescent="0.2">
      <c r="B1645" s="142">
        <v>1636</v>
      </c>
      <c r="C1645" s="143"/>
    </row>
    <row r="1646" spans="2:3" x14ac:dyDescent="0.2">
      <c r="B1646" s="142">
        <v>1637</v>
      </c>
      <c r="C1646" s="143"/>
    </row>
    <row r="1647" spans="2:3" x14ac:dyDescent="0.2">
      <c r="B1647" s="142">
        <v>1638</v>
      </c>
      <c r="C1647" s="143"/>
    </row>
    <row r="1648" spans="2:3" x14ac:dyDescent="0.2">
      <c r="B1648" s="142">
        <v>1639</v>
      </c>
      <c r="C1648" s="143"/>
    </row>
    <row r="1649" spans="2:3" x14ac:dyDescent="0.2">
      <c r="B1649" s="142">
        <v>1640</v>
      </c>
      <c r="C1649" s="143"/>
    </row>
    <row r="1650" spans="2:3" x14ac:dyDescent="0.2">
      <c r="B1650" s="142">
        <v>1641</v>
      </c>
      <c r="C1650" s="143"/>
    </row>
    <row r="1651" spans="2:3" x14ac:dyDescent="0.2">
      <c r="B1651" s="142">
        <v>1642</v>
      </c>
      <c r="C1651" s="143"/>
    </row>
    <row r="1652" spans="2:3" x14ac:dyDescent="0.2">
      <c r="B1652" s="142">
        <v>1643</v>
      </c>
      <c r="C1652" s="143"/>
    </row>
    <row r="1653" spans="2:3" x14ac:dyDescent="0.2">
      <c r="B1653" s="142">
        <v>1644</v>
      </c>
      <c r="C1653" s="143"/>
    </row>
    <row r="1654" spans="2:3" x14ac:dyDescent="0.2">
      <c r="B1654" s="142">
        <v>1645</v>
      </c>
      <c r="C1654" s="143"/>
    </row>
    <row r="1655" spans="2:3" x14ac:dyDescent="0.2">
      <c r="B1655" s="142">
        <v>1646</v>
      </c>
      <c r="C1655" s="143"/>
    </row>
    <row r="1656" spans="2:3" x14ac:dyDescent="0.2">
      <c r="B1656" s="142">
        <v>1647</v>
      </c>
      <c r="C1656" s="143"/>
    </row>
    <row r="1657" spans="2:3" x14ac:dyDescent="0.2">
      <c r="B1657" s="142">
        <v>1648</v>
      </c>
      <c r="C1657" s="143"/>
    </row>
    <row r="1658" spans="2:3" x14ac:dyDescent="0.2">
      <c r="B1658" s="142">
        <v>1649</v>
      </c>
      <c r="C1658" s="143"/>
    </row>
    <row r="1659" spans="2:3" x14ac:dyDescent="0.2">
      <c r="B1659" s="142">
        <v>1650</v>
      </c>
      <c r="C1659" s="143"/>
    </row>
    <row r="1660" spans="2:3" x14ac:dyDescent="0.2">
      <c r="B1660" s="142">
        <v>1651</v>
      </c>
      <c r="C1660" s="143"/>
    </row>
    <row r="1661" spans="2:3" x14ac:dyDescent="0.2">
      <c r="B1661" s="142">
        <v>1652</v>
      </c>
      <c r="C1661" s="143"/>
    </row>
    <row r="1662" spans="2:3" x14ac:dyDescent="0.2">
      <c r="B1662" s="142">
        <v>1653</v>
      </c>
      <c r="C1662" s="143"/>
    </row>
    <row r="1663" spans="2:3" x14ac:dyDescent="0.2">
      <c r="B1663" s="142">
        <v>1654</v>
      </c>
      <c r="C1663" s="143"/>
    </row>
    <row r="1664" spans="2:3" x14ac:dyDescent="0.2">
      <c r="B1664" s="142">
        <v>1655</v>
      </c>
      <c r="C1664" s="143"/>
    </row>
    <row r="1665" spans="2:3" x14ac:dyDescent="0.2">
      <c r="B1665" s="142">
        <v>1656</v>
      </c>
      <c r="C1665" s="143"/>
    </row>
    <row r="1666" spans="2:3" x14ac:dyDescent="0.2">
      <c r="B1666" s="142">
        <v>1657</v>
      </c>
      <c r="C1666" s="143"/>
    </row>
    <row r="1667" spans="2:3" x14ac:dyDescent="0.2">
      <c r="B1667" s="142">
        <v>1658</v>
      </c>
      <c r="C1667" s="143"/>
    </row>
    <row r="1668" spans="2:3" x14ac:dyDescent="0.2">
      <c r="B1668" s="142">
        <v>1659</v>
      </c>
      <c r="C1668" s="143"/>
    </row>
    <row r="1669" spans="2:3" x14ac:dyDescent="0.2">
      <c r="B1669" s="142">
        <v>1660</v>
      </c>
      <c r="C1669" s="143"/>
    </row>
    <row r="1670" spans="2:3" x14ac:dyDescent="0.2">
      <c r="B1670" s="142">
        <v>1661</v>
      </c>
      <c r="C1670" s="143"/>
    </row>
    <row r="1671" spans="2:3" x14ac:dyDescent="0.2">
      <c r="B1671" s="142">
        <v>1662</v>
      </c>
      <c r="C1671" s="143"/>
    </row>
    <row r="1672" spans="2:3" x14ac:dyDescent="0.2">
      <c r="B1672" s="142">
        <v>1663</v>
      </c>
      <c r="C1672" s="143"/>
    </row>
    <row r="1673" spans="2:3" x14ac:dyDescent="0.2">
      <c r="B1673" s="142">
        <v>1664</v>
      </c>
      <c r="C1673" s="143"/>
    </row>
    <row r="1674" spans="2:3" x14ac:dyDescent="0.2">
      <c r="B1674" s="142">
        <v>1665</v>
      </c>
      <c r="C1674" s="143"/>
    </row>
    <row r="1675" spans="2:3" x14ac:dyDescent="0.2">
      <c r="B1675" s="142">
        <v>1666</v>
      </c>
      <c r="C1675" s="143"/>
    </row>
    <row r="1676" spans="2:3" x14ac:dyDescent="0.2">
      <c r="B1676" s="142">
        <v>1667</v>
      </c>
      <c r="C1676" s="143"/>
    </row>
    <row r="1677" spans="2:3" x14ac:dyDescent="0.2">
      <c r="B1677" s="142">
        <v>1668</v>
      </c>
      <c r="C1677" s="143"/>
    </row>
    <row r="1678" spans="2:3" x14ac:dyDescent="0.2">
      <c r="B1678" s="142">
        <v>1669</v>
      </c>
      <c r="C1678" s="143"/>
    </row>
    <row r="1679" spans="2:3" x14ac:dyDescent="0.2">
      <c r="B1679" s="142">
        <v>1670</v>
      </c>
      <c r="C1679" s="143"/>
    </row>
    <row r="1680" spans="2:3" x14ac:dyDescent="0.2">
      <c r="B1680" s="142">
        <v>1671</v>
      </c>
      <c r="C1680" s="143"/>
    </row>
    <row r="1681" spans="2:3" x14ac:dyDescent="0.2">
      <c r="B1681" s="142">
        <v>1672</v>
      </c>
      <c r="C1681" s="143"/>
    </row>
    <row r="1682" spans="2:3" x14ac:dyDescent="0.2">
      <c r="B1682" s="142">
        <v>1673</v>
      </c>
      <c r="C1682" s="143"/>
    </row>
    <row r="1683" spans="2:3" x14ac:dyDescent="0.2">
      <c r="B1683" s="142">
        <v>1674</v>
      </c>
      <c r="C1683" s="143"/>
    </row>
    <row r="1684" spans="2:3" x14ac:dyDescent="0.2">
      <c r="B1684" s="142">
        <v>1675</v>
      </c>
      <c r="C1684" s="143"/>
    </row>
    <row r="1685" spans="2:3" x14ac:dyDescent="0.2">
      <c r="B1685" s="142">
        <v>1676</v>
      </c>
      <c r="C1685" s="143"/>
    </row>
    <row r="1686" spans="2:3" x14ac:dyDescent="0.2">
      <c r="B1686" s="142">
        <v>1677</v>
      </c>
      <c r="C1686" s="143"/>
    </row>
    <row r="1687" spans="2:3" x14ac:dyDescent="0.2">
      <c r="B1687" s="142">
        <v>1678</v>
      </c>
      <c r="C1687" s="143"/>
    </row>
    <row r="1688" spans="2:3" x14ac:dyDescent="0.2">
      <c r="B1688" s="142">
        <v>1679</v>
      </c>
      <c r="C1688" s="143"/>
    </row>
    <row r="1689" spans="2:3" x14ac:dyDescent="0.2">
      <c r="B1689" s="142">
        <v>1680</v>
      </c>
      <c r="C1689" s="143"/>
    </row>
    <row r="1690" spans="2:3" x14ac:dyDescent="0.2">
      <c r="B1690" s="142">
        <v>1681</v>
      </c>
      <c r="C1690" s="143"/>
    </row>
    <row r="1691" spans="2:3" x14ac:dyDescent="0.2">
      <c r="B1691" s="142">
        <v>1682</v>
      </c>
      <c r="C1691" s="143"/>
    </row>
    <row r="1692" spans="2:3" x14ac:dyDescent="0.2">
      <c r="B1692" s="142">
        <v>1683</v>
      </c>
      <c r="C1692" s="143"/>
    </row>
    <row r="1693" spans="2:3" x14ac:dyDescent="0.2">
      <c r="B1693" s="142">
        <v>1684</v>
      </c>
      <c r="C1693" s="143"/>
    </row>
    <row r="1694" spans="2:3" x14ac:dyDescent="0.2">
      <c r="B1694" s="142">
        <v>1685</v>
      </c>
      <c r="C1694" s="143"/>
    </row>
    <row r="1695" spans="2:3" x14ac:dyDescent="0.2">
      <c r="B1695" s="142">
        <v>1686</v>
      </c>
      <c r="C1695" s="143"/>
    </row>
    <row r="1696" spans="2:3" x14ac:dyDescent="0.2">
      <c r="B1696" s="142">
        <v>1687</v>
      </c>
      <c r="C1696" s="143"/>
    </row>
    <row r="1697" spans="2:3" x14ac:dyDescent="0.2">
      <c r="B1697" s="142">
        <v>1688</v>
      </c>
      <c r="C1697" s="143"/>
    </row>
    <row r="1698" spans="2:3" x14ac:dyDescent="0.2">
      <c r="B1698" s="142">
        <v>1689</v>
      </c>
      <c r="C1698" s="143"/>
    </row>
    <row r="1699" spans="2:3" x14ac:dyDescent="0.2">
      <c r="B1699" s="142">
        <v>1690</v>
      </c>
      <c r="C1699" s="143"/>
    </row>
    <row r="1700" spans="2:3" x14ac:dyDescent="0.2">
      <c r="B1700" s="142">
        <v>1691</v>
      </c>
      <c r="C1700" s="143"/>
    </row>
    <row r="1701" spans="2:3" x14ac:dyDescent="0.2">
      <c r="B1701" s="142">
        <v>1692</v>
      </c>
      <c r="C1701" s="143"/>
    </row>
    <row r="1702" spans="2:3" x14ac:dyDescent="0.2">
      <c r="B1702" s="142">
        <v>1693</v>
      </c>
      <c r="C1702" s="143"/>
    </row>
    <row r="1703" spans="2:3" x14ac:dyDescent="0.2">
      <c r="B1703" s="142">
        <v>1694</v>
      </c>
      <c r="C1703" s="143"/>
    </row>
    <row r="1704" spans="2:3" x14ac:dyDescent="0.2">
      <c r="B1704" s="142">
        <v>1695</v>
      </c>
      <c r="C1704" s="143"/>
    </row>
    <row r="1705" spans="2:3" x14ac:dyDescent="0.2">
      <c r="B1705" s="142">
        <v>1696</v>
      </c>
      <c r="C1705" s="143"/>
    </row>
    <row r="1706" spans="2:3" x14ac:dyDescent="0.2">
      <c r="B1706" s="142">
        <v>1697</v>
      </c>
      <c r="C1706" s="143"/>
    </row>
    <row r="1707" spans="2:3" x14ac:dyDescent="0.2">
      <c r="B1707" s="142">
        <v>1698</v>
      </c>
      <c r="C1707" s="143"/>
    </row>
    <row r="1708" spans="2:3" x14ac:dyDescent="0.2">
      <c r="B1708" s="142">
        <v>1699</v>
      </c>
      <c r="C1708" s="143"/>
    </row>
    <row r="1709" spans="2:3" x14ac:dyDescent="0.2">
      <c r="B1709" s="142">
        <v>1700</v>
      </c>
      <c r="C1709" s="143"/>
    </row>
    <row r="1710" spans="2:3" x14ac:dyDescent="0.2">
      <c r="B1710" s="142">
        <v>1701</v>
      </c>
      <c r="C1710" s="143"/>
    </row>
    <row r="1711" spans="2:3" x14ac:dyDescent="0.2">
      <c r="B1711" s="142">
        <v>1702</v>
      </c>
      <c r="C1711" s="143"/>
    </row>
    <row r="1712" spans="2:3" x14ac:dyDescent="0.2">
      <c r="B1712" s="142">
        <v>1703</v>
      </c>
      <c r="C1712" s="143"/>
    </row>
    <row r="1713" spans="2:3" x14ac:dyDescent="0.2">
      <c r="B1713" s="142">
        <v>1704</v>
      </c>
      <c r="C1713" s="143"/>
    </row>
    <row r="1714" spans="2:3" x14ac:dyDescent="0.2">
      <c r="B1714" s="142">
        <v>1705</v>
      </c>
      <c r="C1714" s="143"/>
    </row>
    <row r="1715" spans="2:3" x14ac:dyDescent="0.2">
      <c r="B1715" s="142">
        <v>1706</v>
      </c>
      <c r="C1715" s="143"/>
    </row>
    <row r="1716" spans="2:3" x14ac:dyDescent="0.2">
      <c r="B1716" s="142">
        <v>1707</v>
      </c>
      <c r="C1716" s="143"/>
    </row>
    <row r="1717" spans="2:3" x14ac:dyDescent="0.2">
      <c r="B1717" s="142">
        <v>1708</v>
      </c>
      <c r="C1717" s="143"/>
    </row>
    <row r="1718" spans="2:3" x14ac:dyDescent="0.2">
      <c r="B1718" s="142">
        <v>1709</v>
      </c>
      <c r="C1718" s="143"/>
    </row>
    <row r="1719" spans="2:3" x14ac:dyDescent="0.2">
      <c r="B1719" s="142">
        <v>1710</v>
      </c>
      <c r="C1719" s="143"/>
    </row>
    <row r="1720" spans="2:3" x14ac:dyDescent="0.2">
      <c r="B1720" s="142">
        <v>1711</v>
      </c>
      <c r="C1720" s="143"/>
    </row>
    <row r="1721" spans="2:3" x14ac:dyDescent="0.2">
      <c r="B1721" s="142">
        <v>1712</v>
      </c>
      <c r="C1721" s="143"/>
    </row>
    <row r="1722" spans="2:3" x14ac:dyDescent="0.2">
      <c r="B1722" s="142">
        <v>1713</v>
      </c>
      <c r="C1722" s="143"/>
    </row>
    <row r="1723" spans="2:3" x14ac:dyDescent="0.2">
      <c r="B1723" s="142">
        <v>1714</v>
      </c>
      <c r="C1723" s="143"/>
    </row>
    <row r="1724" spans="2:3" x14ac:dyDescent="0.2">
      <c r="B1724" s="142">
        <v>1715</v>
      </c>
      <c r="C1724" s="143"/>
    </row>
    <row r="1725" spans="2:3" x14ac:dyDescent="0.2">
      <c r="B1725" s="142">
        <v>1716</v>
      </c>
      <c r="C1725" s="143"/>
    </row>
    <row r="1726" spans="2:3" x14ac:dyDescent="0.2">
      <c r="B1726" s="142">
        <v>1717</v>
      </c>
      <c r="C1726" s="143"/>
    </row>
    <row r="1727" spans="2:3" x14ac:dyDescent="0.2">
      <c r="B1727" s="142">
        <v>1718</v>
      </c>
      <c r="C1727" s="143"/>
    </row>
    <row r="1728" spans="2:3" x14ac:dyDescent="0.2">
      <c r="B1728" s="142">
        <v>1719</v>
      </c>
      <c r="C1728" s="143"/>
    </row>
    <row r="1729" spans="2:3" x14ac:dyDescent="0.2">
      <c r="B1729" s="142">
        <v>1720</v>
      </c>
      <c r="C1729" s="143"/>
    </row>
    <row r="1730" spans="2:3" x14ac:dyDescent="0.2">
      <c r="B1730" s="142">
        <v>1721</v>
      </c>
      <c r="C1730" s="143"/>
    </row>
    <row r="1731" spans="2:3" x14ac:dyDescent="0.2">
      <c r="B1731" s="142">
        <v>1722</v>
      </c>
      <c r="C1731" s="143"/>
    </row>
    <row r="1732" spans="2:3" x14ac:dyDescent="0.2">
      <c r="B1732" s="142">
        <v>1723</v>
      </c>
      <c r="C1732" s="143"/>
    </row>
    <row r="1733" spans="2:3" x14ac:dyDescent="0.2">
      <c r="B1733" s="142">
        <v>1724</v>
      </c>
      <c r="C1733" s="143"/>
    </row>
    <row r="1734" spans="2:3" x14ac:dyDescent="0.2">
      <c r="B1734" s="142">
        <v>1725</v>
      </c>
      <c r="C1734" s="143"/>
    </row>
    <row r="1735" spans="2:3" x14ac:dyDescent="0.2">
      <c r="B1735" s="142">
        <v>1726</v>
      </c>
      <c r="C1735" s="143"/>
    </row>
    <row r="1736" spans="2:3" x14ac:dyDescent="0.2">
      <c r="B1736" s="142">
        <v>1727</v>
      </c>
      <c r="C1736" s="143"/>
    </row>
    <row r="1737" spans="2:3" x14ac:dyDescent="0.2">
      <c r="B1737" s="142">
        <v>1728</v>
      </c>
      <c r="C1737" s="143"/>
    </row>
    <row r="1738" spans="2:3" x14ac:dyDescent="0.2">
      <c r="B1738" s="142">
        <v>1729</v>
      </c>
      <c r="C1738" s="143"/>
    </row>
    <row r="1739" spans="2:3" x14ac:dyDescent="0.2">
      <c r="B1739" s="142">
        <v>1730</v>
      </c>
      <c r="C1739" s="143"/>
    </row>
    <row r="1740" spans="2:3" x14ac:dyDescent="0.2">
      <c r="B1740" s="142">
        <v>1731</v>
      </c>
      <c r="C1740" s="143"/>
    </row>
    <row r="1741" spans="2:3" x14ac:dyDescent="0.2">
      <c r="B1741" s="142">
        <v>1732</v>
      </c>
      <c r="C1741" s="143"/>
    </row>
    <row r="1742" spans="2:3" x14ac:dyDescent="0.2">
      <c r="B1742" s="142">
        <v>1733</v>
      </c>
      <c r="C1742" s="143"/>
    </row>
    <row r="1743" spans="2:3" x14ac:dyDescent="0.2">
      <c r="B1743" s="142">
        <v>1734</v>
      </c>
      <c r="C1743" s="143"/>
    </row>
    <row r="1744" spans="2:3" x14ac:dyDescent="0.2">
      <c r="B1744" s="142">
        <v>1735</v>
      </c>
      <c r="C1744" s="143"/>
    </row>
    <row r="1745" spans="2:3" x14ac:dyDescent="0.2">
      <c r="B1745" s="142">
        <v>1736</v>
      </c>
      <c r="C1745" s="143"/>
    </row>
    <row r="1746" spans="2:3" x14ac:dyDescent="0.2">
      <c r="B1746" s="142">
        <v>1737</v>
      </c>
      <c r="C1746" s="143"/>
    </row>
    <row r="1747" spans="2:3" x14ac:dyDescent="0.2">
      <c r="B1747" s="142">
        <v>1738</v>
      </c>
      <c r="C1747" s="143"/>
    </row>
    <row r="1748" spans="2:3" x14ac:dyDescent="0.2">
      <c r="B1748" s="142">
        <v>1739</v>
      </c>
      <c r="C1748" s="143"/>
    </row>
    <row r="1749" spans="2:3" x14ac:dyDescent="0.2">
      <c r="B1749" s="142">
        <v>1740</v>
      </c>
      <c r="C1749" s="143"/>
    </row>
    <row r="1750" spans="2:3" x14ac:dyDescent="0.2">
      <c r="B1750" s="142">
        <v>1741</v>
      </c>
      <c r="C1750" s="143"/>
    </row>
    <row r="1751" spans="2:3" x14ac:dyDescent="0.2">
      <c r="B1751" s="142">
        <v>1742</v>
      </c>
      <c r="C1751" s="143"/>
    </row>
    <row r="1752" spans="2:3" x14ac:dyDescent="0.2">
      <c r="B1752" s="142">
        <v>1743</v>
      </c>
      <c r="C1752" s="143"/>
    </row>
    <row r="1753" spans="2:3" x14ac:dyDescent="0.2">
      <c r="B1753" s="142">
        <v>1744</v>
      </c>
      <c r="C1753" s="143"/>
    </row>
    <row r="1754" spans="2:3" x14ac:dyDescent="0.2">
      <c r="B1754" s="142">
        <v>1745</v>
      </c>
      <c r="C1754" s="143"/>
    </row>
    <row r="1755" spans="2:3" x14ac:dyDescent="0.2">
      <c r="B1755" s="142">
        <v>1746</v>
      </c>
      <c r="C1755" s="143"/>
    </row>
    <row r="1756" spans="2:3" x14ac:dyDescent="0.2">
      <c r="B1756" s="142">
        <v>1747</v>
      </c>
      <c r="C1756" s="143"/>
    </row>
    <row r="1757" spans="2:3" x14ac:dyDescent="0.2">
      <c r="B1757" s="142">
        <v>1748</v>
      </c>
      <c r="C1757" s="143"/>
    </row>
    <row r="1758" spans="2:3" x14ac:dyDescent="0.2">
      <c r="B1758" s="142">
        <v>1749</v>
      </c>
      <c r="C1758" s="143"/>
    </row>
    <row r="1759" spans="2:3" x14ac:dyDescent="0.2">
      <c r="B1759" s="142">
        <v>1750</v>
      </c>
      <c r="C1759" s="143"/>
    </row>
    <row r="1760" spans="2:3" x14ac:dyDescent="0.2">
      <c r="B1760" s="142">
        <v>1751</v>
      </c>
      <c r="C1760" s="143"/>
    </row>
    <row r="1761" spans="2:3" x14ac:dyDescent="0.2">
      <c r="B1761" s="142">
        <v>1752</v>
      </c>
      <c r="C1761" s="143"/>
    </row>
    <row r="1762" spans="2:3" x14ac:dyDescent="0.2">
      <c r="B1762" s="142">
        <v>1753</v>
      </c>
      <c r="C1762" s="143"/>
    </row>
    <row r="1763" spans="2:3" x14ac:dyDescent="0.2">
      <c r="B1763" s="142">
        <v>1754</v>
      </c>
      <c r="C1763" s="143"/>
    </row>
    <row r="1764" spans="2:3" x14ac:dyDescent="0.2">
      <c r="B1764" s="142">
        <v>1755</v>
      </c>
      <c r="C1764" s="143"/>
    </row>
    <row r="1765" spans="2:3" x14ac:dyDescent="0.2">
      <c r="B1765" s="142">
        <v>1756</v>
      </c>
      <c r="C1765" s="143"/>
    </row>
    <row r="1766" spans="2:3" x14ac:dyDescent="0.2">
      <c r="B1766" s="142">
        <v>1757</v>
      </c>
      <c r="C1766" s="143"/>
    </row>
    <row r="1767" spans="2:3" x14ac:dyDescent="0.2">
      <c r="B1767" s="142">
        <v>1758</v>
      </c>
      <c r="C1767" s="143"/>
    </row>
    <row r="1768" spans="2:3" x14ac:dyDescent="0.2">
      <c r="B1768" s="142">
        <v>1759</v>
      </c>
      <c r="C1768" s="143"/>
    </row>
    <row r="1769" spans="2:3" x14ac:dyDescent="0.2">
      <c r="B1769" s="142">
        <v>1760</v>
      </c>
      <c r="C1769" s="143"/>
    </row>
    <row r="1770" spans="2:3" x14ac:dyDescent="0.2">
      <c r="B1770" s="142">
        <v>1761</v>
      </c>
      <c r="C1770" s="143"/>
    </row>
    <row r="1771" spans="2:3" x14ac:dyDescent="0.2">
      <c r="B1771" s="142">
        <v>1762</v>
      </c>
      <c r="C1771" s="143"/>
    </row>
    <row r="1772" spans="2:3" x14ac:dyDescent="0.2">
      <c r="B1772" s="142">
        <v>1763</v>
      </c>
      <c r="C1772" s="143"/>
    </row>
    <row r="1773" spans="2:3" x14ac:dyDescent="0.2">
      <c r="B1773" s="142">
        <v>1764</v>
      </c>
      <c r="C1773" s="143"/>
    </row>
    <row r="1774" spans="2:3" x14ac:dyDescent="0.2">
      <c r="B1774" s="142">
        <v>1765</v>
      </c>
      <c r="C1774" s="143"/>
    </row>
    <row r="1775" spans="2:3" x14ac:dyDescent="0.2">
      <c r="B1775" s="142">
        <v>1766</v>
      </c>
      <c r="C1775" s="143"/>
    </row>
    <row r="1776" spans="2:3" x14ac:dyDescent="0.2">
      <c r="B1776" s="142">
        <v>1767</v>
      </c>
      <c r="C1776" s="143"/>
    </row>
    <row r="1777" spans="2:3" x14ac:dyDescent="0.2">
      <c r="B1777" s="142">
        <v>1768</v>
      </c>
      <c r="C1777" s="143"/>
    </row>
    <row r="1778" spans="2:3" x14ac:dyDescent="0.2">
      <c r="B1778" s="142">
        <v>1769</v>
      </c>
      <c r="C1778" s="143"/>
    </row>
    <row r="1779" spans="2:3" x14ac:dyDescent="0.2">
      <c r="B1779" s="142">
        <v>1770</v>
      </c>
      <c r="C1779" s="143"/>
    </row>
    <row r="1780" spans="2:3" x14ac:dyDescent="0.2">
      <c r="B1780" s="142">
        <v>1771</v>
      </c>
      <c r="C1780" s="143"/>
    </row>
    <row r="1781" spans="2:3" x14ac:dyDescent="0.2">
      <c r="B1781" s="142">
        <v>1772</v>
      </c>
      <c r="C1781" s="143"/>
    </row>
    <row r="1782" spans="2:3" x14ac:dyDescent="0.2">
      <c r="B1782" s="142">
        <v>1773</v>
      </c>
      <c r="C1782" s="143"/>
    </row>
    <row r="1783" spans="2:3" x14ac:dyDescent="0.2">
      <c r="B1783" s="142">
        <v>1774</v>
      </c>
      <c r="C1783" s="143"/>
    </row>
    <row r="1784" spans="2:3" x14ac:dyDescent="0.2">
      <c r="B1784" s="142">
        <v>1775</v>
      </c>
      <c r="C1784" s="143"/>
    </row>
    <row r="1785" spans="2:3" x14ac:dyDescent="0.2">
      <c r="B1785" s="142">
        <v>1776</v>
      </c>
      <c r="C1785" s="143"/>
    </row>
    <row r="1786" spans="2:3" x14ac:dyDescent="0.2">
      <c r="B1786" s="142">
        <v>1777</v>
      </c>
      <c r="C1786" s="143"/>
    </row>
    <row r="1787" spans="2:3" x14ac:dyDescent="0.2">
      <c r="B1787" s="142">
        <v>1778</v>
      </c>
      <c r="C1787" s="143"/>
    </row>
    <row r="1788" spans="2:3" x14ac:dyDescent="0.2">
      <c r="B1788" s="142">
        <v>1779</v>
      </c>
      <c r="C1788" s="143"/>
    </row>
    <row r="1789" spans="2:3" x14ac:dyDescent="0.2">
      <c r="B1789" s="142">
        <v>1780</v>
      </c>
      <c r="C1789" s="143"/>
    </row>
    <row r="1790" spans="2:3" x14ac:dyDescent="0.2">
      <c r="B1790" s="142">
        <v>1781</v>
      </c>
      <c r="C1790" s="143"/>
    </row>
    <row r="1791" spans="2:3" x14ac:dyDescent="0.2">
      <c r="B1791" s="142">
        <v>1782</v>
      </c>
      <c r="C1791" s="143"/>
    </row>
    <row r="1792" spans="2:3" x14ac:dyDescent="0.2">
      <c r="B1792" s="142">
        <v>1783</v>
      </c>
      <c r="C1792" s="143"/>
    </row>
    <row r="1793" spans="2:3" x14ac:dyDescent="0.2">
      <c r="B1793" s="142">
        <v>1784</v>
      </c>
      <c r="C1793" s="143"/>
    </row>
    <row r="1794" spans="2:3" x14ac:dyDescent="0.2">
      <c r="B1794" s="142">
        <v>1785</v>
      </c>
      <c r="C1794" s="143"/>
    </row>
    <row r="1795" spans="2:3" x14ac:dyDescent="0.2">
      <c r="B1795" s="142">
        <v>1786</v>
      </c>
      <c r="C1795" s="143"/>
    </row>
    <row r="1796" spans="2:3" x14ac:dyDescent="0.2">
      <c r="B1796" s="142">
        <v>1787</v>
      </c>
      <c r="C1796" s="143"/>
    </row>
    <row r="1797" spans="2:3" x14ac:dyDescent="0.2">
      <c r="B1797" s="142">
        <v>1788</v>
      </c>
      <c r="C1797" s="143"/>
    </row>
    <row r="1798" spans="2:3" x14ac:dyDescent="0.2">
      <c r="B1798" s="142">
        <v>1789</v>
      </c>
      <c r="C1798" s="143"/>
    </row>
    <row r="1799" spans="2:3" x14ac:dyDescent="0.2">
      <c r="B1799" s="142">
        <v>1790</v>
      </c>
      <c r="C1799" s="143"/>
    </row>
    <row r="1800" spans="2:3" x14ac:dyDescent="0.2">
      <c r="B1800" s="142">
        <v>1791</v>
      </c>
      <c r="C1800" s="143"/>
    </row>
    <row r="1801" spans="2:3" x14ac:dyDescent="0.2">
      <c r="B1801" s="142">
        <v>1792</v>
      </c>
      <c r="C1801" s="143"/>
    </row>
    <row r="1802" spans="2:3" x14ac:dyDescent="0.2">
      <c r="B1802" s="142">
        <v>1793</v>
      </c>
      <c r="C1802" s="143"/>
    </row>
    <row r="1803" spans="2:3" x14ac:dyDescent="0.2">
      <c r="B1803" s="142">
        <v>1794</v>
      </c>
      <c r="C1803" s="143"/>
    </row>
    <row r="1804" spans="2:3" x14ac:dyDescent="0.2">
      <c r="B1804" s="142">
        <v>1795</v>
      </c>
      <c r="C1804" s="143"/>
    </row>
    <row r="1805" spans="2:3" x14ac:dyDescent="0.2">
      <c r="B1805" s="142">
        <v>1796</v>
      </c>
      <c r="C1805" s="143"/>
    </row>
    <row r="1806" spans="2:3" x14ac:dyDescent="0.2">
      <c r="B1806" s="142">
        <v>1797</v>
      </c>
      <c r="C1806" s="143"/>
    </row>
    <row r="1807" spans="2:3" x14ac:dyDescent="0.2">
      <c r="B1807" s="142">
        <v>1798</v>
      </c>
      <c r="C1807" s="143"/>
    </row>
    <row r="1808" spans="2:3" x14ac:dyDescent="0.2">
      <c r="B1808" s="142">
        <v>1799</v>
      </c>
      <c r="C1808" s="143"/>
    </row>
    <row r="1809" spans="2:3" x14ac:dyDescent="0.2">
      <c r="B1809" s="142">
        <v>1800</v>
      </c>
      <c r="C1809" s="143"/>
    </row>
    <row r="1810" spans="2:3" x14ac:dyDescent="0.2">
      <c r="B1810" s="142">
        <v>1801</v>
      </c>
      <c r="C1810" s="143"/>
    </row>
    <row r="1811" spans="2:3" x14ac:dyDescent="0.2">
      <c r="B1811" s="142">
        <v>1802</v>
      </c>
      <c r="C1811" s="143"/>
    </row>
    <row r="1812" spans="2:3" x14ac:dyDescent="0.2">
      <c r="B1812" s="142">
        <v>1803</v>
      </c>
      <c r="C1812" s="143"/>
    </row>
    <row r="1813" spans="2:3" x14ac:dyDescent="0.2">
      <c r="B1813" s="142">
        <v>1804</v>
      </c>
      <c r="C1813" s="143"/>
    </row>
    <row r="1814" spans="2:3" x14ac:dyDescent="0.2">
      <c r="B1814" s="142">
        <v>1805</v>
      </c>
      <c r="C1814" s="143"/>
    </row>
    <row r="1815" spans="2:3" x14ac:dyDescent="0.2">
      <c r="B1815" s="142">
        <v>1806</v>
      </c>
      <c r="C1815" s="143"/>
    </row>
    <row r="1816" spans="2:3" x14ac:dyDescent="0.2">
      <c r="B1816" s="142">
        <v>1807</v>
      </c>
      <c r="C1816" s="143"/>
    </row>
    <row r="1817" spans="2:3" x14ac:dyDescent="0.2">
      <c r="B1817" s="142">
        <v>1808</v>
      </c>
      <c r="C1817" s="143"/>
    </row>
    <row r="1818" spans="2:3" x14ac:dyDescent="0.2">
      <c r="B1818" s="142">
        <v>1809</v>
      </c>
      <c r="C1818" s="143"/>
    </row>
    <row r="1819" spans="2:3" x14ac:dyDescent="0.2">
      <c r="B1819" s="142">
        <v>1810</v>
      </c>
      <c r="C1819" s="143"/>
    </row>
    <row r="1820" spans="2:3" x14ac:dyDescent="0.2">
      <c r="B1820" s="142">
        <v>1811</v>
      </c>
      <c r="C1820" s="143"/>
    </row>
    <row r="1821" spans="2:3" x14ac:dyDescent="0.2">
      <c r="B1821" s="142">
        <v>1812</v>
      </c>
      <c r="C1821" s="143"/>
    </row>
    <row r="1822" spans="2:3" x14ac:dyDescent="0.2">
      <c r="B1822" s="142">
        <v>1813</v>
      </c>
      <c r="C1822" s="143"/>
    </row>
    <row r="1823" spans="2:3" x14ac:dyDescent="0.2">
      <c r="B1823" s="142">
        <v>1814</v>
      </c>
      <c r="C1823" s="143"/>
    </row>
    <row r="1824" spans="2:3" x14ac:dyDescent="0.2">
      <c r="B1824" s="142">
        <v>1815</v>
      </c>
      <c r="C1824" s="143"/>
    </row>
    <row r="1825" spans="2:3" x14ac:dyDescent="0.2">
      <c r="B1825" s="142">
        <v>1816</v>
      </c>
      <c r="C1825" s="143"/>
    </row>
    <row r="1826" spans="2:3" x14ac:dyDescent="0.2">
      <c r="B1826" s="142">
        <v>1817</v>
      </c>
      <c r="C1826" s="143"/>
    </row>
    <row r="1827" spans="2:3" x14ac:dyDescent="0.2">
      <c r="B1827" s="142">
        <v>1818</v>
      </c>
      <c r="C1827" s="143"/>
    </row>
    <row r="1828" spans="2:3" x14ac:dyDescent="0.2">
      <c r="B1828" s="142">
        <v>1819</v>
      </c>
      <c r="C1828" s="143"/>
    </row>
    <row r="1829" spans="2:3" x14ac:dyDescent="0.2">
      <c r="B1829" s="142">
        <v>1820</v>
      </c>
      <c r="C1829" s="143"/>
    </row>
    <row r="1830" spans="2:3" x14ac:dyDescent="0.2">
      <c r="B1830" s="142">
        <v>1821</v>
      </c>
      <c r="C1830" s="143"/>
    </row>
    <row r="1831" spans="2:3" x14ac:dyDescent="0.2">
      <c r="B1831" s="142">
        <v>1822</v>
      </c>
      <c r="C1831" s="143"/>
    </row>
    <row r="1832" spans="2:3" x14ac:dyDescent="0.2">
      <c r="B1832" s="142">
        <v>1823</v>
      </c>
      <c r="C1832" s="143"/>
    </row>
    <row r="1833" spans="2:3" x14ac:dyDescent="0.2">
      <c r="B1833" s="142">
        <v>1824</v>
      </c>
      <c r="C1833" s="143"/>
    </row>
    <row r="1834" spans="2:3" x14ac:dyDescent="0.2">
      <c r="B1834" s="142">
        <v>1825</v>
      </c>
      <c r="C1834" s="143"/>
    </row>
    <row r="1835" spans="2:3" x14ac:dyDescent="0.2">
      <c r="B1835" s="142">
        <v>1826</v>
      </c>
      <c r="C1835" s="143"/>
    </row>
    <row r="1836" spans="2:3" x14ac:dyDescent="0.2">
      <c r="B1836" s="142">
        <v>1827</v>
      </c>
      <c r="C1836" s="143"/>
    </row>
    <row r="1837" spans="2:3" x14ac:dyDescent="0.2">
      <c r="B1837" s="142">
        <v>1828</v>
      </c>
      <c r="C1837" s="143"/>
    </row>
    <row r="1838" spans="2:3" x14ac:dyDescent="0.2">
      <c r="B1838" s="142">
        <v>1829</v>
      </c>
      <c r="C1838" s="143"/>
    </row>
    <row r="1839" spans="2:3" x14ac:dyDescent="0.2">
      <c r="B1839" s="142">
        <v>1830</v>
      </c>
      <c r="C1839" s="143"/>
    </row>
    <row r="1840" spans="2:3" x14ac:dyDescent="0.2">
      <c r="B1840" s="142">
        <v>1831</v>
      </c>
      <c r="C1840" s="143"/>
    </row>
    <row r="1841" spans="2:3" x14ac:dyDescent="0.2">
      <c r="B1841" s="142">
        <v>1832</v>
      </c>
      <c r="C1841" s="143"/>
    </row>
    <row r="1842" spans="2:3" x14ac:dyDescent="0.2">
      <c r="B1842" s="142">
        <v>1833</v>
      </c>
      <c r="C1842" s="143"/>
    </row>
    <row r="1843" spans="2:3" x14ac:dyDescent="0.2">
      <c r="B1843" s="142">
        <v>1834</v>
      </c>
      <c r="C1843" s="143"/>
    </row>
    <row r="1844" spans="2:3" x14ac:dyDescent="0.2">
      <c r="B1844" s="142">
        <v>1835</v>
      </c>
      <c r="C1844" s="143"/>
    </row>
    <row r="1845" spans="2:3" x14ac:dyDescent="0.2">
      <c r="B1845" s="142">
        <v>1836</v>
      </c>
      <c r="C1845" s="143"/>
    </row>
    <row r="1846" spans="2:3" x14ac:dyDescent="0.2">
      <c r="B1846" s="142">
        <v>1837</v>
      </c>
      <c r="C1846" s="143"/>
    </row>
    <row r="1847" spans="2:3" x14ac:dyDescent="0.2">
      <c r="B1847" s="142">
        <v>1838</v>
      </c>
      <c r="C1847" s="143"/>
    </row>
    <row r="1848" spans="2:3" x14ac:dyDescent="0.2">
      <c r="B1848" s="142">
        <v>1839</v>
      </c>
      <c r="C1848" s="143"/>
    </row>
    <row r="1849" spans="2:3" x14ac:dyDescent="0.2">
      <c r="B1849" s="142">
        <v>1840</v>
      </c>
      <c r="C1849" s="143"/>
    </row>
    <row r="1850" spans="2:3" x14ac:dyDescent="0.2">
      <c r="B1850" s="142">
        <v>1841</v>
      </c>
      <c r="C1850" s="143"/>
    </row>
    <row r="1851" spans="2:3" x14ac:dyDescent="0.2">
      <c r="B1851" s="142">
        <v>1842</v>
      </c>
      <c r="C1851" s="143"/>
    </row>
    <row r="1852" spans="2:3" x14ac:dyDescent="0.2">
      <c r="B1852" s="142">
        <v>1843</v>
      </c>
      <c r="C1852" s="143"/>
    </row>
    <row r="1853" spans="2:3" x14ac:dyDescent="0.2">
      <c r="B1853" s="142">
        <v>1844</v>
      </c>
      <c r="C1853" s="143"/>
    </row>
    <row r="1854" spans="2:3" x14ac:dyDescent="0.2">
      <c r="B1854" s="142">
        <v>1845</v>
      </c>
      <c r="C1854" s="143"/>
    </row>
    <row r="1855" spans="2:3" x14ac:dyDescent="0.2">
      <c r="B1855" s="142">
        <v>1846</v>
      </c>
      <c r="C1855" s="143"/>
    </row>
    <row r="1856" spans="2:3" x14ac:dyDescent="0.2">
      <c r="B1856" s="142">
        <v>1847</v>
      </c>
      <c r="C1856" s="143"/>
    </row>
    <row r="1857" spans="2:3" x14ac:dyDescent="0.2">
      <c r="B1857" s="142">
        <v>1848</v>
      </c>
      <c r="C1857" s="143"/>
    </row>
    <row r="1858" spans="2:3" x14ac:dyDescent="0.2">
      <c r="B1858" s="142">
        <v>1849</v>
      </c>
      <c r="C1858" s="143"/>
    </row>
    <row r="1859" spans="2:3" x14ac:dyDescent="0.2">
      <c r="B1859" s="142">
        <v>1850</v>
      </c>
      <c r="C1859" s="143"/>
    </row>
    <row r="1860" spans="2:3" x14ac:dyDescent="0.2">
      <c r="B1860" s="142">
        <v>1851</v>
      </c>
      <c r="C1860" s="143"/>
    </row>
    <row r="1861" spans="2:3" x14ac:dyDescent="0.2">
      <c r="B1861" s="142">
        <v>1852</v>
      </c>
      <c r="C1861" s="143"/>
    </row>
    <row r="1862" spans="2:3" x14ac:dyDescent="0.2">
      <c r="B1862" s="142">
        <v>1853</v>
      </c>
      <c r="C1862" s="143"/>
    </row>
    <row r="1863" spans="2:3" x14ac:dyDescent="0.2">
      <c r="B1863" s="142">
        <v>1854</v>
      </c>
      <c r="C1863" s="143"/>
    </row>
    <row r="1864" spans="2:3" x14ac:dyDescent="0.2">
      <c r="B1864" s="142">
        <v>1855</v>
      </c>
      <c r="C1864" s="143"/>
    </row>
    <row r="1865" spans="2:3" x14ac:dyDescent="0.2">
      <c r="B1865" s="142">
        <v>1856</v>
      </c>
      <c r="C1865" s="143"/>
    </row>
    <row r="1866" spans="2:3" x14ac:dyDescent="0.2">
      <c r="B1866" s="142">
        <v>1857</v>
      </c>
      <c r="C1866" s="143"/>
    </row>
    <row r="1867" spans="2:3" x14ac:dyDescent="0.2">
      <c r="B1867" s="142">
        <v>1858</v>
      </c>
      <c r="C1867" s="143"/>
    </row>
    <row r="1868" spans="2:3" x14ac:dyDescent="0.2">
      <c r="B1868" s="142">
        <v>1859</v>
      </c>
      <c r="C1868" s="143"/>
    </row>
    <row r="1869" spans="2:3" x14ac:dyDescent="0.2">
      <c r="B1869" s="142">
        <v>1860</v>
      </c>
      <c r="C1869" s="143"/>
    </row>
    <row r="1870" spans="2:3" x14ac:dyDescent="0.2">
      <c r="B1870" s="142">
        <v>1861</v>
      </c>
      <c r="C1870" s="143"/>
    </row>
    <row r="1871" spans="2:3" x14ac:dyDescent="0.2">
      <c r="B1871" s="142">
        <v>1862</v>
      </c>
      <c r="C1871" s="143"/>
    </row>
    <row r="1872" spans="2:3" x14ac:dyDescent="0.2">
      <c r="B1872" s="142">
        <v>1863</v>
      </c>
      <c r="C1872" s="143"/>
    </row>
    <row r="1873" spans="2:3" x14ac:dyDescent="0.2">
      <c r="B1873" s="142">
        <v>1864</v>
      </c>
      <c r="C1873" s="143"/>
    </row>
    <row r="1874" spans="2:3" x14ac:dyDescent="0.2">
      <c r="B1874" s="142">
        <v>1865</v>
      </c>
      <c r="C1874" s="143"/>
    </row>
    <row r="1875" spans="2:3" x14ac:dyDescent="0.2">
      <c r="B1875" s="142">
        <v>1866</v>
      </c>
      <c r="C1875" s="143"/>
    </row>
    <row r="1876" spans="2:3" x14ac:dyDescent="0.2">
      <c r="B1876" s="142">
        <v>1867</v>
      </c>
      <c r="C1876" s="143"/>
    </row>
    <row r="1877" spans="2:3" x14ac:dyDescent="0.2">
      <c r="B1877" s="142">
        <v>1868</v>
      </c>
      <c r="C1877" s="143"/>
    </row>
    <row r="1878" spans="2:3" x14ac:dyDescent="0.2">
      <c r="B1878" s="142">
        <v>1869</v>
      </c>
      <c r="C1878" s="143"/>
    </row>
    <row r="1879" spans="2:3" x14ac:dyDescent="0.2">
      <c r="B1879" s="142">
        <v>1870</v>
      </c>
      <c r="C1879" s="143"/>
    </row>
    <row r="1880" spans="2:3" x14ac:dyDescent="0.2">
      <c r="B1880" s="142">
        <v>1871</v>
      </c>
      <c r="C1880" s="143"/>
    </row>
    <row r="1881" spans="2:3" x14ac:dyDescent="0.2">
      <c r="B1881" s="142">
        <v>1872</v>
      </c>
      <c r="C1881" s="143"/>
    </row>
    <row r="1882" spans="2:3" x14ac:dyDescent="0.2">
      <c r="B1882" s="142">
        <v>1873</v>
      </c>
      <c r="C1882" s="143"/>
    </row>
    <row r="1883" spans="2:3" x14ac:dyDescent="0.2">
      <c r="B1883" s="142">
        <v>1874</v>
      </c>
      <c r="C1883" s="143"/>
    </row>
    <row r="1884" spans="2:3" x14ac:dyDescent="0.2">
      <c r="B1884" s="142">
        <v>1875</v>
      </c>
      <c r="C1884" s="143"/>
    </row>
    <row r="1885" spans="2:3" x14ac:dyDescent="0.2">
      <c r="B1885" s="142">
        <v>1876</v>
      </c>
      <c r="C1885" s="143"/>
    </row>
    <row r="1886" spans="2:3" x14ac:dyDescent="0.2">
      <c r="B1886" s="142">
        <v>1877</v>
      </c>
      <c r="C1886" s="143"/>
    </row>
    <row r="1887" spans="2:3" x14ac:dyDescent="0.2">
      <c r="B1887" s="142">
        <v>1878</v>
      </c>
      <c r="C1887" s="143"/>
    </row>
    <row r="1888" spans="2:3" x14ac:dyDescent="0.2">
      <c r="B1888" s="142">
        <v>1879</v>
      </c>
      <c r="C1888" s="143"/>
    </row>
    <row r="1889" spans="2:3" x14ac:dyDescent="0.2">
      <c r="B1889" s="142">
        <v>1880</v>
      </c>
      <c r="C1889" s="143"/>
    </row>
    <row r="1890" spans="2:3" x14ac:dyDescent="0.2">
      <c r="B1890" s="142">
        <v>1881</v>
      </c>
      <c r="C1890" s="143"/>
    </row>
    <row r="1891" spans="2:3" x14ac:dyDescent="0.2">
      <c r="B1891" s="142">
        <v>1882</v>
      </c>
      <c r="C1891" s="143"/>
    </row>
    <row r="1892" spans="2:3" x14ac:dyDescent="0.2">
      <c r="B1892" s="142">
        <v>1883</v>
      </c>
      <c r="C1892" s="143"/>
    </row>
    <row r="1893" spans="2:3" x14ac:dyDescent="0.2">
      <c r="B1893" s="142">
        <v>1884</v>
      </c>
      <c r="C1893" s="143"/>
    </row>
    <row r="1894" spans="2:3" x14ac:dyDescent="0.2">
      <c r="B1894" s="142">
        <v>1885</v>
      </c>
      <c r="C1894" s="143"/>
    </row>
    <row r="1895" spans="2:3" x14ac:dyDescent="0.2">
      <c r="B1895" s="142">
        <v>1886</v>
      </c>
      <c r="C1895" s="143"/>
    </row>
    <row r="1896" spans="2:3" x14ac:dyDescent="0.2">
      <c r="B1896" s="142">
        <v>1887</v>
      </c>
      <c r="C1896" s="143"/>
    </row>
    <row r="1897" spans="2:3" x14ac:dyDescent="0.2">
      <c r="B1897" s="142">
        <v>1888</v>
      </c>
      <c r="C1897" s="143"/>
    </row>
    <row r="1898" spans="2:3" x14ac:dyDescent="0.2">
      <c r="B1898" s="142">
        <v>1889</v>
      </c>
      <c r="C1898" s="143"/>
    </row>
    <row r="1899" spans="2:3" x14ac:dyDescent="0.2">
      <c r="B1899" s="142">
        <v>1890</v>
      </c>
      <c r="C1899" s="143"/>
    </row>
    <row r="1900" spans="2:3" x14ac:dyDescent="0.2">
      <c r="B1900" s="142">
        <v>1891</v>
      </c>
      <c r="C1900" s="143"/>
    </row>
    <row r="1901" spans="2:3" x14ac:dyDescent="0.2">
      <c r="B1901" s="142">
        <v>1892</v>
      </c>
      <c r="C1901" s="143"/>
    </row>
    <row r="1902" spans="2:3" x14ac:dyDescent="0.2">
      <c r="B1902" s="142">
        <v>1893</v>
      </c>
      <c r="C1902" s="143"/>
    </row>
    <row r="1903" spans="2:3" x14ac:dyDescent="0.2">
      <c r="B1903" s="142">
        <v>1894</v>
      </c>
      <c r="C1903" s="143"/>
    </row>
    <row r="1904" spans="2:3" x14ac:dyDescent="0.2">
      <c r="B1904" s="142">
        <v>1895</v>
      </c>
      <c r="C1904" s="143"/>
    </row>
    <row r="1905" spans="2:3" x14ac:dyDescent="0.2">
      <c r="B1905" s="142">
        <v>1896</v>
      </c>
      <c r="C1905" s="143"/>
    </row>
    <row r="1906" spans="2:3" x14ac:dyDescent="0.2">
      <c r="B1906" s="142">
        <v>1897</v>
      </c>
      <c r="C1906" s="143"/>
    </row>
    <row r="1907" spans="2:3" x14ac:dyDescent="0.2">
      <c r="B1907" s="142">
        <v>1898</v>
      </c>
      <c r="C1907" s="143"/>
    </row>
    <row r="1908" spans="2:3" x14ac:dyDescent="0.2">
      <c r="B1908" s="142">
        <v>1899</v>
      </c>
      <c r="C1908" s="143"/>
    </row>
    <row r="1909" spans="2:3" x14ac:dyDescent="0.2">
      <c r="B1909" s="142">
        <v>1900</v>
      </c>
      <c r="C1909" s="143"/>
    </row>
    <row r="1910" spans="2:3" x14ac:dyDescent="0.2">
      <c r="B1910" s="142">
        <v>1901</v>
      </c>
      <c r="C1910" s="143"/>
    </row>
    <row r="1911" spans="2:3" x14ac:dyDescent="0.2">
      <c r="B1911" s="142">
        <v>1902</v>
      </c>
      <c r="C1911" s="143"/>
    </row>
    <row r="1912" spans="2:3" x14ac:dyDescent="0.2">
      <c r="B1912" s="142">
        <v>1903</v>
      </c>
      <c r="C1912" s="143"/>
    </row>
    <row r="1913" spans="2:3" x14ac:dyDescent="0.2">
      <c r="B1913" s="142">
        <v>1904</v>
      </c>
      <c r="C1913" s="143"/>
    </row>
    <row r="1914" spans="2:3" x14ac:dyDescent="0.2">
      <c r="B1914" s="142">
        <v>1905</v>
      </c>
      <c r="C1914" s="143"/>
    </row>
    <row r="1915" spans="2:3" x14ac:dyDescent="0.2">
      <c r="B1915" s="142">
        <v>1906</v>
      </c>
      <c r="C1915" s="143"/>
    </row>
    <row r="1916" spans="2:3" x14ac:dyDescent="0.2">
      <c r="B1916" s="142">
        <v>1907</v>
      </c>
      <c r="C1916" s="143"/>
    </row>
    <row r="1917" spans="2:3" x14ac:dyDescent="0.2">
      <c r="B1917" s="142">
        <v>1908</v>
      </c>
      <c r="C1917" s="143"/>
    </row>
    <row r="1918" spans="2:3" x14ac:dyDescent="0.2">
      <c r="B1918" s="142">
        <v>1909</v>
      </c>
      <c r="C1918" s="143"/>
    </row>
    <row r="1919" spans="2:3" x14ac:dyDescent="0.2">
      <c r="B1919" s="142">
        <v>1910</v>
      </c>
      <c r="C1919" s="143"/>
    </row>
    <row r="1920" spans="2:3" x14ac:dyDescent="0.2">
      <c r="B1920" s="142">
        <v>1911</v>
      </c>
      <c r="C1920" s="143"/>
    </row>
    <row r="1921" spans="2:3" x14ac:dyDescent="0.2">
      <c r="B1921" s="142">
        <v>1912</v>
      </c>
      <c r="C1921" s="143"/>
    </row>
    <row r="1922" spans="2:3" x14ac:dyDescent="0.2">
      <c r="B1922" s="142">
        <v>1913</v>
      </c>
      <c r="C1922" s="143"/>
    </row>
    <row r="1923" spans="2:3" x14ac:dyDescent="0.2">
      <c r="B1923" s="142">
        <v>1914</v>
      </c>
      <c r="C1923" s="143"/>
    </row>
    <row r="1924" spans="2:3" x14ac:dyDescent="0.2">
      <c r="B1924" s="142">
        <v>1915</v>
      </c>
      <c r="C1924" s="143"/>
    </row>
    <row r="1925" spans="2:3" x14ac:dyDescent="0.2">
      <c r="B1925" s="142">
        <v>1916</v>
      </c>
      <c r="C1925" s="143"/>
    </row>
    <row r="1926" spans="2:3" x14ac:dyDescent="0.2">
      <c r="B1926" s="142">
        <v>1917</v>
      </c>
      <c r="C1926" s="143"/>
    </row>
    <row r="1927" spans="2:3" x14ac:dyDescent="0.2">
      <c r="B1927" s="142">
        <v>1918</v>
      </c>
      <c r="C1927" s="143"/>
    </row>
    <row r="1928" spans="2:3" x14ac:dyDescent="0.2">
      <c r="B1928" s="142">
        <v>1919</v>
      </c>
      <c r="C1928" s="143"/>
    </row>
    <row r="1929" spans="2:3" x14ac:dyDescent="0.2">
      <c r="B1929" s="142">
        <v>1920</v>
      </c>
      <c r="C1929" s="143"/>
    </row>
    <row r="1930" spans="2:3" x14ac:dyDescent="0.2">
      <c r="B1930" s="142">
        <v>1921</v>
      </c>
      <c r="C1930" s="143"/>
    </row>
    <row r="1931" spans="2:3" x14ac:dyDescent="0.2">
      <c r="B1931" s="142">
        <v>1922</v>
      </c>
      <c r="C1931" s="143"/>
    </row>
    <row r="1932" spans="2:3" x14ac:dyDescent="0.2">
      <c r="B1932" s="142">
        <v>1923</v>
      </c>
      <c r="C1932" s="143"/>
    </row>
    <row r="1933" spans="2:3" x14ac:dyDescent="0.2">
      <c r="B1933" s="142">
        <v>1924</v>
      </c>
      <c r="C1933" s="143"/>
    </row>
    <row r="1934" spans="2:3" x14ac:dyDescent="0.2">
      <c r="B1934" s="142">
        <v>1925</v>
      </c>
      <c r="C1934" s="143"/>
    </row>
    <row r="1935" spans="2:3" x14ac:dyDescent="0.2">
      <c r="B1935" s="142">
        <v>1926</v>
      </c>
      <c r="C1935" s="143"/>
    </row>
    <row r="1936" spans="2:3" x14ac:dyDescent="0.2">
      <c r="B1936" s="142">
        <v>1927</v>
      </c>
      <c r="C1936" s="143"/>
    </row>
    <row r="1937" spans="2:3" x14ac:dyDescent="0.2">
      <c r="B1937" s="142">
        <v>1928</v>
      </c>
      <c r="C1937" s="143"/>
    </row>
    <row r="1938" spans="2:3" x14ac:dyDescent="0.2">
      <c r="B1938" s="142">
        <v>1929</v>
      </c>
      <c r="C1938" s="143"/>
    </row>
    <row r="1939" spans="2:3" x14ac:dyDescent="0.2">
      <c r="B1939" s="142">
        <v>1930</v>
      </c>
      <c r="C1939" s="143"/>
    </row>
    <row r="1940" spans="2:3" x14ac:dyDescent="0.2">
      <c r="B1940" s="142">
        <v>1931</v>
      </c>
      <c r="C1940" s="143"/>
    </row>
    <row r="1941" spans="2:3" x14ac:dyDescent="0.2">
      <c r="B1941" s="142">
        <v>1932</v>
      </c>
      <c r="C1941" s="143"/>
    </row>
    <row r="1942" spans="2:3" x14ac:dyDescent="0.2">
      <c r="B1942" s="142">
        <v>1933</v>
      </c>
      <c r="C1942" s="143"/>
    </row>
    <row r="1943" spans="2:3" x14ac:dyDescent="0.2">
      <c r="B1943" s="142">
        <v>1934</v>
      </c>
      <c r="C1943" s="143"/>
    </row>
    <row r="1944" spans="2:3" x14ac:dyDescent="0.2">
      <c r="B1944" s="142">
        <v>1935</v>
      </c>
      <c r="C1944" s="143"/>
    </row>
    <row r="1945" spans="2:3" x14ac:dyDescent="0.2">
      <c r="B1945" s="142">
        <v>1936</v>
      </c>
      <c r="C1945" s="143"/>
    </row>
    <row r="1946" spans="2:3" x14ac:dyDescent="0.2">
      <c r="B1946" s="142">
        <v>1937</v>
      </c>
      <c r="C1946" s="143"/>
    </row>
    <row r="1947" spans="2:3" x14ac:dyDescent="0.2">
      <c r="B1947" s="142">
        <v>1938</v>
      </c>
      <c r="C1947" s="143"/>
    </row>
    <row r="1948" spans="2:3" x14ac:dyDescent="0.2">
      <c r="B1948" s="142">
        <v>1939</v>
      </c>
      <c r="C1948" s="143"/>
    </row>
    <row r="1949" spans="2:3" x14ac:dyDescent="0.2">
      <c r="B1949" s="142">
        <v>1940</v>
      </c>
      <c r="C1949" s="143"/>
    </row>
    <row r="1950" spans="2:3" x14ac:dyDescent="0.2">
      <c r="B1950" s="142">
        <v>1941</v>
      </c>
      <c r="C1950" s="143"/>
    </row>
    <row r="1951" spans="2:3" x14ac:dyDescent="0.2">
      <c r="B1951" s="142">
        <v>1942</v>
      </c>
      <c r="C1951" s="143"/>
    </row>
    <row r="1952" spans="2:3" x14ac:dyDescent="0.2">
      <c r="B1952" s="142">
        <v>1943</v>
      </c>
      <c r="C1952" s="143"/>
    </row>
    <row r="1953" spans="2:3" x14ac:dyDescent="0.2">
      <c r="B1953" s="142">
        <v>1944</v>
      </c>
      <c r="C1953" s="143"/>
    </row>
    <row r="1954" spans="2:3" x14ac:dyDescent="0.2">
      <c r="B1954" s="142">
        <v>1945</v>
      </c>
      <c r="C1954" s="143"/>
    </row>
    <row r="1955" spans="2:3" x14ac:dyDescent="0.2">
      <c r="B1955" s="142">
        <v>1946</v>
      </c>
      <c r="C1955" s="143"/>
    </row>
    <row r="1956" spans="2:3" x14ac:dyDescent="0.2">
      <c r="B1956" s="142">
        <v>1947</v>
      </c>
      <c r="C1956" s="143"/>
    </row>
    <row r="1957" spans="2:3" x14ac:dyDescent="0.2">
      <c r="B1957" s="142">
        <v>1948</v>
      </c>
      <c r="C1957" s="143"/>
    </row>
    <row r="1958" spans="2:3" x14ac:dyDescent="0.2">
      <c r="B1958" s="142">
        <v>1949</v>
      </c>
      <c r="C1958" s="143"/>
    </row>
    <row r="1959" spans="2:3" x14ac:dyDescent="0.2">
      <c r="B1959" s="142">
        <v>1950</v>
      </c>
      <c r="C1959" s="143"/>
    </row>
    <row r="1960" spans="2:3" x14ac:dyDescent="0.2">
      <c r="B1960" s="142">
        <v>1951</v>
      </c>
      <c r="C1960" s="143"/>
    </row>
    <row r="1961" spans="2:3" x14ac:dyDescent="0.2">
      <c r="B1961" s="142">
        <v>1952</v>
      </c>
      <c r="C1961" s="143"/>
    </row>
    <row r="1962" spans="2:3" x14ac:dyDescent="0.2">
      <c r="B1962" s="142">
        <v>1953</v>
      </c>
      <c r="C1962" s="143"/>
    </row>
    <row r="1963" spans="2:3" x14ac:dyDescent="0.2">
      <c r="B1963" s="142">
        <v>1954</v>
      </c>
      <c r="C1963" s="143"/>
    </row>
    <row r="1964" spans="2:3" x14ac:dyDescent="0.2">
      <c r="B1964" s="142">
        <v>1955</v>
      </c>
      <c r="C1964" s="143"/>
    </row>
    <row r="1965" spans="2:3" x14ac:dyDescent="0.2">
      <c r="B1965" s="142">
        <v>1956</v>
      </c>
      <c r="C1965" s="143"/>
    </row>
    <row r="1966" spans="2:3" x14ac:dyDescent="0.2">
      <c r="B1966" s="142">
        <v>1957</v>
      </c>
      <c r="C1966" s="143"/>
    </row>
    <row r="1967" spans="2:3" x14ac:dyDescent="0.2">
      <c r="B1967" s="142">
        <v>1958</v>
      </c>
      <c r="C1967" s="143"/>
    </row>
    <row r="1968" spans="2:3" x14ac:dyDescent="0.2">
      <c r="B1968" s="142">
        <v>1959</v>
      </c>
      <c r="C1968" s="143"/>
    </row>
    <row r="1969" spans="2:3" x14ac:dyDescent="0.2">
      <c r="B1969" s="142">
        <v>1960</v>
      </c>
      <c r="C1969" s="143"/>
    </row>
    <row r="1970" spans="2:3" x14ac:dyDescent="0.2">
      <c r="B1970" s="142">
        <v>1961</v>
      </c>
      <c r="C1970" s="143"/>
    </row>
    <row r="1971" spans="2:3" x14ac:dyDescent="0.2">
      <c r="B1971" s="142">
        <v>1962</v>
      </c>
      <c r="C1971" s="143"/>
    </row>
    <row r="1972" spans="2:3" x14ac:dyDescent="0.2">
      <c r="B1972" s="142">
        <v>1963</v>
      </c>
      <c r="C1972" s="143"/>
    </row>
    <row r="1973" spans="2:3" x14ac:dyDescent="0.2">
      <c r="B1973" s="142">
        <v>1964</v>
      </c>
      <c r="C1973" s="143"/>
    </row>
    <row r="1974" spans="2:3" x14ac:dyDescent="0.2">
      <c r="B1974" s="142">
        <v>1965</v>
      </c>
      <c r="C1974" s="143"/>
    </row>
    <row r="1975" spans="2:3" x14ac:dyDescent="0.2">
      <c r="B1975" s="142">
        <v>1966</v>
      </c>
      <c r="C1975" s="143"/>
    </row>
    <row r="1976" spans="2:3" x14ac:dyDescent="0.2">
      <c r="B1976" s="142">
        <v>1967</v>
      </c>
      <c r="C1976" s="143"/>
    </row>
    <row r="1977" spans="2:3" x14ac:dyDescent="0.2">
      <c r="B1977" s="142">
        <v>1968</v>
      </c>
      <c r="C1977" s="143"/>
    </row>
    <row r="1978" spans="2:3" x14ac:dyDescent="0.2">
      <c r="B1978" s="142">
        <v>1969</v>
      </c>
      <c r="C1978" s="143"/>
    </row>
    <row r="1979" spans="2:3" x14ac:dyDescent="0.2">
      <c r="B1979" s="142">
        <v>1970</v>
      </c>
      <c r="C1979" s="143"/>
    </row>
    <row r="1980" spans="2:3" x14ac:dyDescent="0.2">
      <c r="B1980" s="142">
        <v>1971</v>
      </c>
      <c r="C1980" s="143"/>
    </row>
    <row r="1981" spans="2:3" x14ac:dyDescent="0.2">
      <c r="B1981" s="142">
        <v>1972</v>
      </c>
      <c r="C1981" s="143"/>
    </row>
    <row r="1982" spans="2:3" x14ac:dyDescent="0.2">
      <c r="B1982" s="142">
        <v>1973</v>
      </c>
      <c r="C1982" s="143"/>
    </row>
    <row r="1983" spans="2:3" x14ac:dyDescent="0.2">
      <c r="B1983" s="142">
        <v>1974</v>
      </c>
      <c r="C1983" s="143"/>
    </row>
    <row r="1984" spans="2:3" x14ac:dyDescent="0.2">
      <c r="B1984" s="142">
        <v>1975</v>
      </c>
      <c r="C1984" s="143"/>
    </row>
    <row r="1985" spans="2:3" x14ac:dyDescent="0.2">
      <c r="B1985" s="142">
        <v>1976</v>
      </c>
      <c r="C1985" s="143"/>
    </row>
    <row r="1986" spans="2:3" x14ac:dyDescent="0.2">
      <c r="B1986" s="142">
        <v>1977</v>
      </c>
      <c r="C1986" s="143"/>
    </row>
    <row r="1987" spans="2:3" x14ac:dyDescent="0.2">
      <c r="B1987" s="142">
        <v>1978</v>
      </c>
      <c r="C1987" s="143"/>
    </row>
    <row r="1988" spans="2:3" x14ac:dyDescent="0.2">
      <c r="B1988" s="142">
        <v>1979</v>
      </c>
      <c r="C1988" s="143"/>
    </row>
    <row r="1989" spans="2:3" x14ac:dyDescent="0.2">
      <c r="B1989" s="142">
        <v>1980</v>
      </c>
      <c r="C1989" s="143"/>
    </row>
    <row r="1990" spans="2:3" x14ac:dyDescent="0.2">
      <c r="B1990" s="142">
        <v>1981</v>
      </c>
      <c r="C1990" s="143"/>
    </row>
    <row r="1991" spans="2:3" x14ac:dyDescent="0.2">
      <c r="B1991" s="142">
        <v>1982</v>
      </c>
      <c r="C1991" s="143"/>
    </row>
    <row r="1992" spans="2:3" x14ac:dyDescent="0.2">
      <c r="B1992" s="142">
        <v>1983</v>
      </c>
      <c r="C1992" s="143"/>
    </row>
    <row r="1993" spans="2:3" x14ac:dyDescent="0.2">
      <c r="B1993" s="142">
        <v>1984</v>
      </c>
      <c r="C1993" s="143"/>
    </row>
    <row r="1994" spans="2:3" x14ac:dyDescent="0.2">
      <c r="B1994" s="142">
        <v>1985</v>
      </c>
      <c r="C1994" s="143"/>
    </row>
    <row r="1995" spans="2:3" x14ac:dyDescent="0.2">
      <c r="B1995" s="142">
        <v>1986</v>
      </c>
      <c r="C1995" s="143"/>
    </row>
    <row r="1996" spans="2:3" x14ac:dyDescent="0.2">
      <c r="B1996" s="142">
        <v>1987</v>
      </c>
      <c r="C1996" s="143"/>
    </row>
    <row r="1997" spans="2:3" x14ac:dyDescent="0.2">
      <c r="B1997" s="142">
        <v>1988</v>
      </c>
      <c r="C1997" s="143"/>
    </row>
    <row r="1998" spans="2:3" x14ac:dyDescent="0.2">
      <c r="B1998" s="142">
        <v>1989</v>
      </c>
      <c r="C1998" s="143"/>
    </row>
    <row r="1999" spans="2:3" x14ac:dyDescent="0.2">
      <c r="B1999" s="142">
        <v>1990</v>
      </c>
      <c r="C1999" s="143"/>
    </row>
    <row r="2000" spans="2:3" x14ac:dyDescent="0.2">
      <c r="B2000" s="142">
        <v>1991</v>
      </c>
      <c r="C2000" s="143"/>
    </row>
    <row r="2001" spans="2:3" x14ac:dyDescent="0.2">
      <c r="B2001" s="142">
        <v>1992</v>
      </c>
      <c r="C2001" s="143"/>
    </row>
    <row r="2002" spans="2:3" x14ac:dyDescent="0.2">
      <c r="B2002" s="142">
        <v>1993</v>
      </c>
      <c r="C2002" s="143"/>
    </row>
    <row r="2003" spans="2:3" x14ac:dyDescent="0.2">
      <c r="B2003" s="142">
        <v>1994</v>
      </c>
      <c r="C2003" s="143"/>
    </row>
    <row r="2004" spans="2:3" x14ac:dyDescent="0.2">
      <c r="B2004" s="142">
        <v>1995</v>
      </c>
      <c r="C2004" s="143"/>
    </row>
    <row r="2005" spans="2:3" x14ac:dyDescent="0.2">
      <c r="B2005" s="142">
        <v>1996</v>
      </c>
      <c r="C2005" s="143"/>
    </row>
    <row r="2006" spans="2:3" x14ac:dyDescent="0.2">
      <c r="B2006" s="142">
        <v>1997</v>
      </c>
      <c r="C2006" s="143"/>
    </row>
    <row r="2007" spans="2:3" x14ac:dyDescent="0.2">
      <c r="B2007" s="142">
        <v>1998</v>
      </c>
      <c r="C2007" s="143"/>
    </row>
    <row r="2008" spans="2:3" x14ac:dyDescent="0.2">
      <c r="B2008" s="142">
        <v>1999</v>
      </c>
      <c r="C2008" s="143"/>
    </row>
    <row r="2009" spans="2:3" x14ac:dyDescent="0.2">
      <c r="B2009" s="142">
        <v>2000</v>
      </c>
      <c r="C2009" s="143"/>
    </row>
    <row r="2010" spans="2:3" x14ac:dyDescent="0.2">
      <c r="B2010" s="142">
        <v>2001</v>
      </c>
      <c r="C2010" s="143"/>
    </row>
    <row r="2011" spans="2:3" x14ac:dyDescent="0.2">
      <c r="B2011" s="142">
        <v>2002</v>
      </c>
      <c r="C2011" s="143"/>
    </row>
    <row r="2012" spans="2:3" x14ac:dyDescent="0.2">
      <c r="B2012" s="142">
        <v>2003</v>
      </c>
      <c r="C2012" s="143"/>
    </row>
    <row r="2013" spans="2:3" x14ac:dyDescent="0.2">
      <c r="B2013" s="142">
        <v>2004</v>
      </c>
      <c r="C2013" s="143"/>
    </row>
    <row r="2014" spans="2:3" x14ac:dyDescent="0.2">
      <c r="B2014" s="142">
        <v>2005</v>
      </c>
      <c r="C2014" s="143"/>
    </row>
    <row r="2015" spans="2:3" x14ac:dyDescent="0.2">
      <c r="B2015" s="142">
        <v>2006</v>
      </c>
      <c r="C2015" s="143"/>
    </row>
    <row r="2016" spans="2:3" x14ac:dyDescent="0.2">
      <c r="B2016" s="142">
        <v>2007</v>
      </c>
      <c r="C2016" s="143"/>
    </row>
    <row r="2017" spans="2:3" x14ac:dyDescent="0.2">
      <c r="B2017" s="142">
        <v>2008</v>
      </c>
      <c r="C2017" s="143"/>
    </row>
    <row r="2018" spans="2:3" x14ac:dyDescent="0.2">
      <c r="B2018" s="142">
        <v>2009</v>
      </c>
      <c r="C2018" s="143"/>
    </row>
    <row r="2019" spans="2:3" x14ac:dyDescent="0.2">
      <c r="B2019" s="142">
        <v>2010</v>
      </c>
      <c r="C2019" s="143"/>
    </row>
    <row r="2020" spans="2:3" x14ac:dyDescent="0.2">
      <c r="B2020" s="142">
        <v>2011</v>
      </c>
      <c r="C2020" s="143"/>
    </row>
    <row r="2021" spans="2:3" x14ac:dyDescent="0.2">
      <c r="B2021" s="142">
        <v>2012</v>
      </c>
      <c r="C2021" s="143"/>
    </row>
    <row r="2022" spans="2:3" x14ac:dyDescent="0.2">
      <c r="B2022" s="142">
        <v>2013</v>
      </c>
      <c r="C2022" s="143"/>
    </row>
    <row r="2023" spans="2:3" x14ac:dyDescent="0.2">
      <c r="B2023" s="142">
        <v>2014</v>
      </c>
      <c r="C2023" s="143"/>
    </row>
    <row r="2024" spans="2:3" x14ac:dyDescent="0.2">
      <c r="B2024" s="142">
        <v>2015</v>
      </c>
      <c r="C2024" s="143"/>
    </row>
    <row r="2025" spans="2:3" x14ac:dyDescent="0.2">
      <c r="B2025" s="142">
        <v>2016</v>
      </c>
      <c r="C2025" s="143"/>
    </row>
    <row r="2026" spans="2:3" x14ac:dyDescent="0.2">
      <c r="B2026" s="142">
        <v>2017</v>
      </c>
      <c r="C2026" s="143"/>
    </row>
    <row r="2027" spans="2:3" x14ac:dyDescent="0.2">
      <c r="B2027" s="142">
        <v>2018</v>
      </c>
      <c r="C2027" s="143"/>
    </row>
    <row r="2028" spans="2:3" x14ac:dyDescent="0.2">
      <c r="B2028" s="142">
        <v>2019</v>
      </c>
      <c r="C2028" s="143"/>
    </row>
    <row r="2029" spans="2:3" x14ac:dyDescent="0.2">
      <c r="B2029" s="142">
        <v>2020</v>
      </c>
      <c r="C2029" s="143"/>
    </row>
    <row r="2030" spans="2:3" x14ac:dyDescent="0.2">
      <c r="B2030" s="142">
        <v>2021</v>
      </c>
      <c r="C2030" s="143"/>
    </row>
    <row r="2031" spans="2:3" x14ac:dyDescent="0.2">
      <c r="B2031" s="142">
        <v>2022</v>
      </c>
      <c r="C2031" s="143"/>
    </row>
    <row r="2032" spans="2:3" x14ac:dyDescent="0.2">
      <c r="B2032" s="142">
        <v>2023</v>
      </c>
      <c r="C2032" s="143"/>
    </row>
    <row r="2033" spans="2:3" x14ac:dyDescent="0.2">
      <c r="B2033" s="142">
        <v>2024</v>
      </c>
      <c r="C2033" s="143"/>
    </row>
    <row r="2034" spans="2:3" x14ac:dyDescent="0.2">
      <c r="B2034" s="142">
        <v>2025</v>
      </c>
      <c r="C2034" s="143"/>
    </row>
    <row r="2035" spans="2:3" x14ac:dyDescent="0.2">
      <c r="B2035" s="142">
        <v>2026</v>
      </c>
      <c r="C2035" s="143"/>
    </row>
    <row r="2036" spans="2:3" x14ac:dyDescent="0.2">
      <c r="B2036" s="142">
        <v>2027</v>
      </c>
      <c r="C2036" s="143"/>
    </row>
    <row r="2037" spans="2:3" x14ac:dyDescent="0.2">
      <c r="B2037" s="142">
        <v>2028</v>
      </c>
      <c r="C2037" s="143"/>
    </row>
    <row r="2038" spans="2:3" x14ac:dyDescent="0.2">
      <c r="B2038" s="142">
        <v>2029</v>
      </c>
      <c r="C2038" s="143"/>
    </row>
    <row r="2039" spans="2:3" x14ac:dyDescent="0.2">
      <c r="B2039" s="142">
        <v>2030</v>
      </c>
      <c r="C2039" s="143"/>
    </row>
    <row r="2040" spans="2:3" x14ac:dyDescent="0.2">
      <c r="B2040" s="142">
        <v>2031</v>
      </c>
      <c r="C2040" s="143"/>
    </row>
    <row r="2041" spans="2:3" x14ac:dyDescent="0.2">
      <c r="B2041" s="142">
        <v>2032</v>
      </c>
      <c r="C2041" s="143"/>
    </row>
    <row r="2042" spans="2:3" x14ac:dyDescent="0.2">
      <c r="B2042" s="142">
        <v>2033</v>
      </c>
      <c r="C2042" s="143"/>
    </row>
    <row r="2043" spans="2:3" x14ac:dyDescent="0.2">
      <c r="B2043" s="142">
        <v>2034</v>
      </c>
      <c r="C2043" s="143"/>
    </row>
    <row r="2044" spans="2:3" x14ac:dyDescent="0.2">
      <c r="B2044" s="142">
        <v>2035</v>
      </c>
      <c r="C2044" s="143"/>
    </row>
    <row r="2045" spans="2:3" x14ac:dyDescent="0.2">
      <c r="B2045" s="142">
        <v>2036</v>
      </c>
      <c r="C2045" s="143"/>
    </row>
    <row r="2046" spans="2:3" x14ac:dyDescent="0.2">
      <c r="B2046" s="142">
        <v>2037</v>
      </c>
      <c r="C2046" s="143"/>
    </row>
    <row r="2047" spans="2:3" x14ac:dyDescent="0.2">
      <c r="B2047" s="142">
        <v>2038</v>
      </c>
      <c r="C2047" s="143"/>
    </row>
    <row r="2048" spans="2:3" x14ac:dyDescent="0.2">
      <c r="B2048" s="142">
        <v>2039</v>
      </c>
      <c r="C2048" s="143"/>
    </row>
    <row r="2049" spans="2:3" x14ac:dyDescent="0.2">
      <c r="B2049" s="142">
        <v>2040</v>
      </c>
      <c r="C2049" s="143"/>
    </row>
    <row r="2050" spans="2:3" x14ac:dyDescent="0.2">
      <c r="B2050" s="142">
        <v>2041</v>
      </c>
      <c r="C2050" s="143"/>
    </row>
    <row r="2051" spans="2:3" x14ac:dyDescent="0.2">
      <c r="B2051" s="142">
        <v>2042</v>
      </c>
      <c r="C2051" s="143"/>
    </row>
    <row r="2052" spans="2:3" x14ac:dyDescent="0.2">
      <c r="B2052" s="142">
        <v>2043</v>
      </c>
      <c r="C2052" s="143"/>
    </row>
    <row r="2053" spans="2:3" x14ac:dyDescent="0.2">
      <c r="B2053" s="142">
        <v>2044</v>
      </c>
      <c r="C2053" s="143"/>
    </row>
    <row r="2054" spans="2:3" x14ac:dyDescent="0.2">
      <c r="B2054" s="142">
        <v>2045</v>
      </c>
      <c r="C2054" s="143"/>
    </row>
    <row r="2055" spans="2:3" x14ac:dyDescent="0.2">
      <c r="B2055" s="142">
        <v>2046</v>
      </c>
      <c r="C2055" s="143"/>
    </row>
    <row r="2056" spans="2:3" x14ac:dyDescent="0.2">
      <c r="B2056" s="142">
        <v>2047</v>
      </c>
      <c r="C2056" s="143"/>
    </row>
    <row r="2057" spans="2:3" x14ac:dyDescent="0.2">
      <c r="B2057" s="142">
        <v>2048</v>
      </c>
      <c r="C2057" s="143"/>
    </row>
    <row r="2058" spans="2:3" x14ac:dyDescent="0.2">
      <c r="B2058" s="142">
        <v>2049</v>
      </c>
      <c r="C2058" s="143"/>
    </row>
    <row r="2059" spans="2:3" x14ac:dyDescent="0.2">
      <c r="B2059" s="142">
        <v>2050</v>
      </c>
      <c r="C2059" s="143"/>
    </row>
    <row r="2060" spans="2:3" x14ac:dyDescent="0.2">
      <c r="B2060" s="142">
        <v>2051</v>
      </c>
      <c r="C2060" s="143"/>
    </row>
    <row r="2061" spans="2:3" x14ac:dyDescent="0.2">
      <c r="B2061" s="142">
        <v>2052</v>
      </c>
      <c r="C2061" s="143"/>
    </row>
    <row r="2062" spans="2:3" x14ac:dyDescent="0.2">
      <c r="B2062" s="142">
        <v>2053</v>
      </c>
      <c r="C2062" s="143"/>
    </row>
    <row r="2063" spans="2:3" x14ac:dyDescent="0.2">
      <c r="B2063" s="142">
        <v>2054</v>
      </c>
      <c r="C2063" s="143"/>
    </row>
    <row r="2064" spans="2:3" x14ac:dyDescent="0.2">
      <c r="B2064" s="142">
        <v>2055</v>
      </c>
      <c r="C2064" s="143"/>
    </row>
    <row r="2065" spans="2:3" x14ac:dyDescent="0.2">
      <c r="B2065" s="142">
        <v>2056</v>
      </c>
      <c r="C2065" s="143"/>
    </row>
    <row r="2066" spans="2:3" x14ac:dyDescent="0.2">
      <c r="B2066" s="142">
        <v>2057</v>
      </c>
      <c r="C2066" s="143"/>
    </row>
    <row r="2067" spans="2:3" x14ac:dyDescent="0.2">
      <c r="B2067" s="142">
        <v>2058</v>
      </c>
      <c r="C2067" s="143"/>
    </row>
    <row r="2068" spans="2:3" x14ac:dyDescent="0.2">
      <c r="B2068" s="142">
        <v>2059</v>
      </c>
      <c r="C2068" s="143"/>
    </row>
    <row r="2069" spans="2:3" x14ac:dyDescent="0.2">
      <c r="B2069" s="142">
        <v>2060</v>
      </c>
      <c r="C2069" s="143"/>
    </row>
    <row r="2070" spans="2:3" x14ac:dyDescent="0.2">
      <c r="B2070" s="142">
        <v>2061</v>
      </c>
      <c r="C2070" s="143"/>
    </row>
    <row r="2071" spans="2:3" x14ac:dyDescent="0.2">
      <c r="B2071" s="142">
        <v>2062</v>
      </c>
      <c r="C2071" s="143"/>
    </row>
    <row r="2072" spans="2:3" x14ac:dyDescent="0.2">
      <c r="B2072" s="142">
        <v>2063</v>
      </c>
      <c r="C2072" s="143"/>
    </row>
    <row r="2073" spans="2:3" x14ac:dyDescent="0.2">
      <c r="B2073" s="142">
        <v>2064</v>
      </c>
      <c r="C2073" s="143"/>
    </row>
    <row r="2074" spans="2:3" x14ac:dyDescent="0.2">
      <c r="B2074" s="142">
        <v>2065</v>
      </c>
      <c r="C2074" s="143"/>
    </row>
    <row r="2075" spans="2:3" x14ac:dyDescent="0.2">
      <c r="B2075" s="142">
        <v>2066</v>
      </c>
      <c r="C2075" s="143"/>
    </row>
    <row r="2076" spans="2:3" x14ac:dyDescent="0.2">
      <c r="B2076" s="142">
        <v>2067</v>
      </c>
      <c r="C2076" s="143"/>
    </row>
    <row r="2077" spans="2:3" x14ac:dyDescent="0.2">
      <c r="B2077" s="142">
        <v>2068</v>
      </c>
      <c r="C2077" s="143"/>
    </row>
    <row r="2078" spans="2:3" x14ac:dyDescent="0.2">
      <c r="B2078" s="142">
        <v>2069</v>
      </c>
      <c r="C2078" s="143"/>
    </row>
    <row r="2079" spans="2:3" x14ac:dyDescent="0.2">
      <c r="B2079" s="142">
        <v>2070</v>
      </c>
      <c r="C2079" s="143"/>
    </row>
    <row r="2080" spans="2:3" x14ac:dyDescent="0.2">
      <c r="B2080" s="142">
        <v>2071</v>
      </c>
      <c r="C2080" s="143"/>
    </row>
    <row r="2081" spans="2:3" x14ac:dyDescent="0.2">
      <c r="B2081" s="142">
        <v>2072</v>
      </c>
      <c r="C2081" s="143"/>
    </row>
    <row r="2082" spans="2:3" x14ac:dyDescent="0.2">
      <c r="B2082" s="142">
        <v>2073</v>
      </c>
      <c r="C2082" s="143"/>
    </row>
    <row r="2083" spans="2:3" x14ac:dyDescent="0.2">
      <c r="B2083" s="142">
        <v>2074</v>
      </c>
      <c r="C2083" s="143"/>
    </row>
    <row r="2084" spans="2:3" x14ac:dyDescent="0.2">
      <c r="B2084" s="142">
        <v>2075</v>
      </c>
      <c r="C2084" s="143"/>
    </row>
    <row r="2085" spans="2:3" x14ac:dyDescent="0.2">
      <c r="B2085" s="142">
        <v>2076</v>
      </c>
      <c r="C2085" s="143"/>
    </row>
    <row r="2086" spans="2:3" x14ac:dyDescent="0.2">
      <c r="B2086" s="142">
        <v>2077</v>
      </c>
      <c r="C2086" s="143"/>
    </row>
    <row r="2087" spans="2:3" x14ac:dyDescent="0.2">
      <c r="B2087" s="142">
        <v>2078</v>
      </c>
      <c r="C2087" s="143"/>
    </row>
    <row r="2088" spans="2:3" x14ac:dyDescent="0.2">
      <c r="B2088" s="142">
        <v>2079</v>
      </c>
      <c r="C2088" s="143"/>
    </row>
    <row r="2089" spans="2:3" x14ac:dyDescent="0.2">
      <c r="B2089" s="142">
        <v>2080</v>
      </c>
      <c r="C2089" s="143"/>
    </row>
    <row r="2090" spans="2:3" x14ac:dyDescent="0.2">
      <c r="B2090" s="142">
        <v>2081</v>
      </c>
      <c r="C2090" s="143"/>
    </row>
    <row r="2091" spans="2:3" x14ac:dyDescent="0.2">
      <c r="B2091" s="142">
        <v>2082</v>
      </c>
      <c r="C2091" s="143"/>
    </row>
    <row r="2092" spans="2:3" x14ac:dyDescent="0.2">
      <c r="B2092" s="142">
        <v>2083</v>
      </c>
      <c r="C2092" s="143"/>
    </row>
    <row r="2093" spans="2:3" x14ac:dyDescent="0.2">
      <c r="B2093" s="142">
        <v>2084</v>
      </c>
      <c r="C2093" s="143"/>
    </row>
    <row r="2094" spans="2:3" x14ac:dyDescent="0.2">
      <c r="B2094" s="142">
        <v>2085</v>
      </c>
      <c r="C2094" s="143"/>
    </row>
    <row r="2095" spans="2:3" x14ac:dyDescent="0.2">
      <c r="B2095" s="142">
        <v>2086</v>
      </c>
      <c r="C2095" s="143"/>
    </row>
    <row r="2096" spans="2:3" x14ac:dyDescent="0.2">
      <c r="B2096" s="142">
        <v>2087</v>
      </c>
      <c r="C2096" s="143"/>
    </row>
    <row r="2097" spans="2:3" x14ac:dyDescent="0.2">
      <c r="B2097" s="142">
        <v>2088</v>
      </c>
      <c r="C2097" s="143"/>
    </row>
    <row r="2098" spans="2:3" x14ac:dyDescent="0.2">
      <c r="B2098" s="142">
        <v>2089</v>
      </c>
      <c r="C2098" s="143"/>
    </row>
    <row r="2099" spans="2:3" x14ac:dyDescent="0.2">
      <c r="B2099" s="142">
        <v>2090</v>
      </c>
      <c r="C2099" s="143"/>
    </row>
    <row r="2100" spans="2:3" x14ac:dyDescent="0.2">
      <c r="B2100" s="142">
        <v>2091</v>
      </c>
      <c r="C2100" s="143"/>
    </row>
    <row r="2101" spans="2:3" x14ac:dyDescent="0.2">
      <c r="B2101" s="142">
        <v>2092</v>
      </c>
      <c r="C2101" s="143"/>
    </row>
    <row r="2102" spans="2:3" x14ac:dyDescent="0.2">
      <c r="B2102" s="142">
        <v>2093</v>
      </c>
      <c r="C2102" s="143"/>
    </row>
    <row r="2103" spans="2:3" x14ac:dyDescent="0.2">
      <c r="B2103" s="142">
        <v>2094</v>
      </c>
      <c r="C2103" s="143"/>
    </row>
    <row r="2104" spans="2:3" x14ac:dyDescent="0.2">
      <c r="B2104" s="142">
        <v>2095</v>
      </c>
      <c r="C2104" s="143"/>
    </row>
    <row r="2105" spans="2:3" x14ac:dyDescent="0.2">
      <c r="B2105" s="142">
        <v>2096</v>
      </c>
      <c r="C2105" s="143"/>
    </row>
    <row r="2106" spans="2:3" x14ac:dyDescent="0.2">
      <c r="B2106" s="142">
        <v>2097</v>
      </c>
      <c r="C2106" s="143"/>
    </row>
    <row r="2107" spans="2:3" x14ac:dyDescent="0.2">
      <c r="B2107" s="142">
        <v>2098</v>
      </c>
      <c r="C2107" s="143"/>
    </row>
    <row r="2108" spans="2:3" x14ac:dyDescent="0.2">
      <c r="B2108" s="142">
        <v>2099</v>
      </c>
      <c r="C2108" s="143"/>
    </row>
    <row r="2109" spans="2:3" x14ac:dyDescent="0.2">
      <c r="B2109" s="142">
        <v>2100</v>
      </c>
      <c r="C2109" s="143"/>
    </row>
    <row r="2110" spans="2:3" x14ac:dyDescent="0.2">
      <c r="B2110" s="142">
        <v>2101</v>
      </c>
      <c r="C2110" s="143"/>
    </row>
    <row r="2111" spans="2:3" x14ac:dyDescent="0.2">
      <c r="B2111" s="142">
        <v>2102</v>
      </c>
      <c r="C2111" s="143"/>
    </row>
    <row r="2112" spans="2:3" x14ac:dyDescent="0.2">
      <c r="B2112" s="142">
        <v>2103</v>
      </c>
      <c r="C2112" s="143"/>
    </row>
    <row r="2113" spans="2:3" x14ac:dyDescent="0.2">
      <c r="B2113" s="142">
        <v>2104</v>
      </c>
      <c r="C2113" s="143"/>
    </row>
    <row r="2114" spans="2:3" x14ac:dyDescent="0.2">
      <c r="B2114" s="142">
        <v>2105</v>
      </c>
      <c r="C2114" s="143"/>
    </row>
    <row r="2115" spans="2:3" x14ac:dyDescent="0.2">
      <c r="B2115" s="142">
        <v>2106</v>
      </c>
      <c r="C2115" s="143"/>
    </row>
    <row r="2116" spans="2:3" x14ac:dyDescent="0.2">
      <c r="B2116" s="142">
        <v>2107</v>
      </c>
      <c r="C2116" s="143"/>
    </row>
    <row r="2117" spans="2:3" x14ac:dyDescent="0.2">
      <c r="B2117" s="142">
        <v>2108</v>
      </c>
      <c r="C2117" s="143"/>
    </row>
    <row r="2118" spans="2:3" x14ac:dyDescent="0.2">
      <c r="B2118" s="142">
        <v>2109</v>
      </c>
      <c r="C2118" s="143"/>
    </row>
    <row r="2119" spans="2:3" x14ac:dyDescent="0.2">
      <c r="B2119" s="142">
        <v>2110</v>
      </c>
      <c r="C2119" s="143"/>
    </row>
    <row r="2120" spans="2:3" x14ac:dyDescent="0.2">
      <c r="B2120" s="142">
        <v>2111</v>
      </c>
      <c r="C2120" s="143"/>
    </row>
    <row r="2121" spans="2:3" x14ac:dyDescent="0.2">
      <c r="B2121" s="142">
        <v>2112</v>
      </c>
      <c r="C2121" s="143"/>
    </row>
    <row r="2122" spans="2:3" x14ac:dyDescent="0.2">
      <c r="B2122" s="142">
        <v>2113</v>
      </c>
      <c r="C2122" s="143"/>
    </row>
    <row r="2123" spans="2:3" x14ac:dyDescent="0.2">
      <c r="B2123" s="142">
        <v>2114</v>
      </c>
      <c r="C2123" s="143"/>
    </row>
    <row r="2124" spans="2:3" x14ac:dyDescent="0.2">
      <c r="B2124" s="142">
        <v>2115</v>
      </c>
      <c r="C2124" s="143"/>
    </row>
    <row r="2125" spans="2:3" x14ac:dyDescent="0.2">
      <c r="B2125" s="142">
        <v>2116</v>
      </c>
      <c r="C2125" s="143"/>
    </row>
    <row r="2126" spans="2:3" x14ac:dyDescent="0.2">
      <c r="B2126" s="142">
        <v>2117</v>
      </c>
      <c r="C2126" s="143"/>
    </row>
    <row r="2127" spans="2:3" x14ac:dyDescent="0.2">
      <c r="B2127" s="142">
        <v>2118</v>
      </c>
      <c r="C2127" s="143"/>
    </row>
    <row r="2128" spans="2:3" x14ac:dyDescent="0.2">
      <c r="B2128" s="142">
        <v>2119</v>
      </c>
      <c r="C2128" s="143"/>
    </row>
    <row r="2129" spans="2:3" x14ac:dyDescent="0.2">
      <c r="B2129" s="142">
        <v>2120</v>
      </c>
      <c r="C2129" s="143"/>
    </row>
    <row r="2130" spans="2:3" x14ac:dyDescent="0.2">
      <c r="B2130" s="142">
        <v>2121</v>
      </c>
      <c r="C2130" s="143"/>
    </row>
    <row r="2131" spans="2:3" x14ac:dyDescent="0.2">
      <c r="B2131" s="142">
        <v>2122</v>
      </c>
      <c r="C2131" s="143"/>
    </row>
    <row r="2132" spans="2:3" x14ac:dyDescent="0.2">
      <c r="B2132" s="142">
        <v>2123</v>
      </c>
      <c r="C2132" s="143"/>
    </row>
    <row r="2133" spans="2:3" x14ac:dyDescent="0.2">
      <c r="B2133" s="142">
        <v>2124</v>
      </c>
      <c r="C2133" s="143"/>
    </row>
    <row r="2134" spans="2:3" x14ac:dyDescent="0.2">
      <c r="B2134" s="142">
        <v>2125</v>
      </c>
      <c r="C2134" s="143"/>
    </row>
    <row r="2135" spans="2:3" x14ac:dyDescent="0.2">
      <c r="B2135" s="142">
        <v>2126</v>
      </c>
      <c r="C2135" s="143"/>
    </row>
    <row r="2136" spans="2:3" x14ac:dyDescent="0.2">
      <c r="B2136" s="142">
        <v>2127</v>
      </c>
      <c r="C2136" s="143"/>
    </row>
    <row r="2137" spans="2:3" x14ac:dyDescent="0.2">
      <c r="B2137" s="142">
        <v>2128</v>
      </c>
      <c r="C2137" s="143"/>
    </row>
    <row r="2138" spans="2:3" x14ac:dyDescent="0.2">
      <c r="B2138" s="142">
        <v>2129</v>
      </c>
      <c r="C2138" s="143"/>
    </row>
    <row r="2139" spans="2:3" x14ac:dyDescent="0.2">
      <c r="B2139" s="142">
        <v>2130</v>
      </c>
      <c r="C2139" s="143"/>
    </row>
    <row r="2140" spans="2:3" x14ac:dyDescent="0.2">
      <c r="B2140" s="142">
        <v>2131</v>
      </c>
      <c r="C2140" s="143"/>
    </row>
    <row r="2141" spans="2:3" x14ac:dyDescent="0.2">
      <c r="B2141" s="142">
        <v>2132</v>
      </c>
      <c r="C2141" s="143"/>
    </row>
    <row r="2142" spans="2:3" x14ac:dyDescent="0.2">
      <c r="B2142" s="142">
        <v>2133</v>
      </c>
      <c r="C2142" s="143"/>
    </row>
    <row r="2143" spans="2:3" x14ac:dyDescent="0.2">
      <c r="B2143" s="142">
        <v>2134</v>
      </c>
      <c r="C2143" s="143"/>
    </row>
    <row r="2144" spans="2:3" x14ac:dyDescent="0.2">
      <c r="B2144" s="142">
        <v>2135</v>
      </c>
      <c r="C2144" s="143"/>
    </row>
    <row r="2145" spans="2:3" x14ac:dyDescent="0.2">
      <c r="B2145" s="142">
        <v>2136</v>
      </c>
      <c r="C2145" s="143"/>
    </row>
    <row r="2146" spans="2:3" x14ac:dyDescent="0.2">
      <c r="B2146" s="142">
        <v>2137</v>
      </c>
      <c r="C2146" s="143"/>
    </row>
    <row r="2147" spans="2:3" x14ac:dyDescent="0.2">
      <c r="B2147" s="142">
        <v>2138</v>
      </c>
      <c r="C2147" s="143"/>
    </row>
    <row r="2148" spans="2:3" x14ac:dyDescent="0.2">
      <c r="B2148" s="142">
        <v>2139</v>
      </c>
      <c r="C2148" s="143"/>
    </row>
    <row r="2149" spans="2:3" x14ac:dyDescent="0.2">
      <c r="B2149" s="142">
        <v>2140</v>
      </c>
      <c r="C2149" s="143"/>
    </row>
    <row r="2150" spans="2:3" x14ac:dyDescent="0.2">
      <c r="B2150" s="142">
        <v>2141</v>
      </c>
      <c r="C2150" s="143"/>
    </row>
    <row r="2151" spans="2:3" x14ac:dyDescent="0.2">
      <c r="B2151" s="142">
        <v>2142</v>
      </c>
      <c r="C2151" s="143"/>
    </row>
    <row r="2152" spans="2:3" x14ac:dyDescent="0.2">
      <c r="B2152" s="142">
        <v>2143</v>
      </c>
      <c r="C2152" s="143"/>
    </row>
    <row r="2153" spans="2:3" x14ac:dyDescent="0.2">
      <c r="B2153" s="142">
        <v>2144</v>
      </c>
      <c r="C2153" s="143"/>
    </row>
    <row r="2154" spans="2:3" x14ac:dyDescent="0.2">
      <c r="B2154" s="142">
        <v>2145</v>
      </c>
      <c r="C2154" s="143"/>
    </row>
    <row r="2155" spans="2:3" x14ac:dyDescent="0.2">
      <c r="B2155" s="142">
        <v>2146</v>
      </c>
      <c r="C2155" s="143"/>
    </row>
    <row r="2156" spans="2:3" x14ac:dyDescent="0.2">
      <c r="B2156" s="142">
        <v>2147</v>
      </c>
      <c r="C2156" s="143"/>
    </row>
    <row r="2157" spans="2:3" x14ac:dyDescent="0.2">
      <c r="B2157" s="142">
        <v>2148</v>
      </c>
      <c r="C2157" s="143"/>
    </row>
    <row r="2158" spans="2:3" x14ac:dyDescent="0.2">
      <c r="B2158" s="142">
        <v>2149</v>
      </c>
      <c r="C2158" s="143"/>
    </row>
    <row r="2159" spans="2:3" x14ac:dyDescent="0.2">
      <c r="B2159" s="142">
        <v>2150</v>
      </c>
      <c r="C2159" s="143"/>
    </row>
    <row r="2160" spans="2:3" x14ac:dyDescent="0.2">
      <c r="B2160" s="142">
        <v>2151</v>
      </c>
      <c r="C2160" s="143"/>
    </row>
    <row r="2161" spans="2:3" x14ac:dyDescent="0.2">
      <c r="B2161" s="142">
        <v>2152</v>
      </c>
      <c r="C2161" s="143"/>
    </row>
    <row r="2162" spans="2:3" x14ac:dyDescent="0.2">
      <c r="B2162" s="142">
        <v>2153</v>
      </c>
      <c r="C2162" s="143"/>
    </row>
    <row r="2163" spans="2:3" x14ac:dyDescent="0.2">
      <c r="B2163" s="142">
        <v>2154</v>
      </c>
      <c r="C2163" s="143"/>
    </row>
    <row r="2164" spans="2:3" x14ac:dyDescent="0.2">
      <c r="B2164" s="142">
        <v>2155</v>
      </c>
      <c r="C2164" s="143"/>
    </row>
    <row r="2165" spans="2:3" x14ac:dyDescent="0.2">
      <c r="B2165" s="142">
        <v>2156</v>
      </c>
      <c r="C2165" s="143"/>
    </row>
    <row r="2166" spans="2:3" x14ac:dyDescent="0.2">
      <c r="B2166" s="142">
        <v>2157</v>
      </c>
      <c r="C2166" s="143"/>
    </row>
    <row r="2167" spans="2:3" x14ac:dyDescent="0.2">
      <c r="B2167" s="142">
        <v>2158</v>
      </c>
      <c r="C2167" s="143"/>
    </row>
    <row r="2168" spans="2:3" x14ac:dyDescent="0.2">
      <c r="B2168" s="142">
        <v>2159</v>
      </c>
      <c r="C2168" s="143"/>
    </row>
    <row r="2169" spans="2:3" x14ac:dyDescent="0.2">
      <c r="B2169" s="142">
        <v>2160</v>
      </c>
      <c r="C2169" s="143"/>
    </row>
    <row r="2170" spans="2:3" x14ac:dyDescent="0.2">
      <c r="B2170" s="142">
        <v>2161</v>
      </c>
      <c r="C2170" s="143"/>
    </row>
    <row r="2171" spans="2:3" x14ac:dyDescent="0.2">
      <c r="B2171" s="142">
        <v>2162</v>
      </c>
      <c r="C2171" s="143"/>
    </row>
    <row r="2172" spans="2:3" x14ac:dyDescent="0.2">
      <c r="B2172" s="142">
        <v>2163</v>
      </c>
      <c r="C2172" s="143"/>
    </row>
    <row r="2173" spans="2:3" x14ac:dyDescent="0.2">
      <c r="B2173" s="142">
        <v>2164</v>
      </c>
      <c r="C2173" s="143"/>
    </row>
    <row r="2174" spans="2:3" x14ac:dyDescent="0.2">
      <c r="B2174" s="142">
        <v>2165</v>
      </c>
      <c r="C2174" s="143"/>
    </row>
    <row r="2175" spans="2:3" x14ac:dyDescent="0.2">
      <c r="B2175" s="142">
        <v>2166</v>
      </c>
      <c r="C2175" s="143"/>
    </row>
    <row r="2176" spans="2:3" x14ac:dyDescent="0.2">
      <c r="B2176" s="142">
        <v>2167</v>
      </c>
      <c r="C2176" s="143"/>
    </row>
    <row r="2177" spans="2:3" x14ac:dyDescent="0.2">
      <c r="B2177" s="142">
        <v>2168</v>
      </c>
      <c r="C2177" s="143"/>
    </row>
    <row r="2178" spans="2:3" x14ac:dyDescent="0.2">
      <c r="B2178" s="142">
        <v>2169</v>
      </c>
      <c r="C2178" s="143"/>
    </row>
    <row r="2179" spans="2:3" x14ac:dyDescent="0.2">
      <c r="B2179" s="142">
        <v>2170</v>
      </c>
      <c r="C2179" s="143"/>
    </row>
    <row r="2180" spans="2:3" x14ac:dyDescent="0.2">
      <c r="B2180" s="142">
        <v>2171</v>
      </c>
      <c r="C2180" s="143"/>
    </row>
    <row r="2181" spans="2:3" x14ac:dyDescent="0.2">
      <c r="B2181" s="142">
        <v>2172</v>
      </c>
      <c r="C2181" s="143"/>
    </row>
    <row r="2182" spans="2:3" x14ac:dyDescent="0.2">
      <c r="B2182" s="142">
        <v>2173</v>
      </c>
      <c r="C2182" s="143"/>
    </row>
    <row r="2183" spans="2:3" x14ac:dyDescent="0.2">
      <c r="B2183" s="142">
        <v>2174</v>
      </c>
      <c r="C2183" s="143"/>
    </row>
    <row r="2184" spans="2:3" x14ac:dyDescent="0.2">
      <c r="B2184" s="142">
        <v>2175</v>
      </c>
      <c r="C2184" s="143"/>
    </row>
    <row r="2185" spans="2:3" x14ac:dyDescent="0.2">
      <c r="B2185" s="142">
        <v>2176</v>
      </c>
      <c r="C2185" s="143"/>
    </row>
    <row r="2186" spans="2:3" x14ac:dyDescent="0.2">
      <c r="B2186" s="142">
        <v>2177</v>
      </c>
      <c r="C2186" s="143"/>
    </row>
    <row r="2187" spans="2:3" x14ac:dyDescent="0.2">
      <c r="B2187" s="142">
        <v>2178</v>
      </c>
      <c r="C2187" s="143"/>
    </row>
    <row r="2188" spans="2:3" x14ac:dyDescent="0.2">
      <c r="B2188" s="142">
        <v>2179</v>
      </c>
      <c r="C2188" s="143"/>
    </row>
    <row r="2189" spans="2:3" x14ac:dyDescent="0.2">
      <c r="B2189" s="142">
        <v>2180</v>
      </c>
      <c r="C2189" s="143"/>
    </row>
    <row r="2190" spans="2:3" x14ac:dyDescent="0.2">
      <c r="B2190" s="142">
        <v>2181</v>
      </c>
      <c r="C2190" s="143"/>
    </row>
    <row r="2191" spans="2:3" x14ac:dyDescent="0.2">
      <c r="B2191" s="142">
        <v>2182</v>
      </c>
      <c r="C2191" s="143"/>
    </row>
    <row r="2192" spans="2:3" x14ac:dyDescent="0.2">
      <c r="B2192" s="142">
        <v>2183</v>
      </c>
      <c r="C2192" s="143"/>
    </row>
    <row r="2193" spans="2:3" x14ac:dyDescent="0.2">
      <c r="B2193" s="142">
        <v>2184</v>
      </c>
      <c r="C2193" s="143"/>
    </row>
    <row r="2194" spans="2:3" x14ac:dyDescent="0.2">
      <c r="B2194" s="142">
        <v>2185</v>
      </c>
      <c r="C2194" s="143"/>
    </row>
    <row r="2195" spans="2:3" x14ac:dyDescent="0.2">
      <c r="B2195" s="142">
        <v>2186</v>
      </c>
      <c r="C2195" s="143"/>
    </row>
    <row r="2196" spans="2:3" x14ac:dyDescent="0.2">
      <c r="B2196" s="142">
        <v>2187</v>
      </c>
      <c r="C2196" s="143"/>
    </row>
    <row r="2197" spans="2:3" x14ac:dyDescent="0.2">
      <c r="B2197" s="142">
        <v>2188</v>
      </c>
      <c r="C2197" s="143"/>
    </row>
    <row r="2198" spans="2:3" x14ac:dyDescent="0.2">
      <c r="B2198" s="142">
        <v>2189</v>
      </c>
      <c r="C2198" s="143"/>
    </row>
    <row r="2199" spans="2:3" x14ac:dyDescent="0.2">
      <c r="B2199" s="142">
        <v>2190</v>
      </c>
      <c r="C2199" s="143"/>
    </row>
    <row r="2200" spans="2:3" x14ac:dyDescent="0.2">
      <c r="B2200" s="142">
        <v>2191</v>
      </c>
      <c r="C2200" s="143"/>
    </row>
    <row r="2201" spans="2:3" x14ac:dyDescent="0.2">
      <c r="B2201" s="142">
        <v>2192</v>
      </c>
      <c r="C2201" s="143"/>
    </row>
    <row r="2202" spans="2:3" x14ac:dyDescent="0.2">
      <c r="B2202" s="142">
        <v>2193</v>
      </c>
      <c r="C2202" s="143"/>
    </row>
    <row r="2203" spans="2:3" x14ac:dyDescent="0.2">
      <c r="B2203" s="142">
        <v>2194</v>
      </c>
      <c r="C2203" s="143"/>
    </row>
    <row r="2204" spans="2:3" x14ac:dyDescent="0.2">
      <c r="B2204" s="142">
        <v>2195</v>
      </c>
      <c r="C2204" s="143"/>
    </row>
    <row r="2205" spans="2:3" x14ac:dyDescent="0.2">
      <c r="B2205" s="142">
        <v>2196</v>
      </c>
      <c r="C2205" s="143"/>
    </row>
    <row r="2206" spans="2:3" x14ac:dyDescent="0.2">
      <c r="B2206" s="142">
        <v>2197</v>
      </c>
      <c r="C2206" s="143"/>
    </row>
    <row r="2207" spans="2:3" x14ac:dyDescent="0.2">
      <c r="B2207" s="142">
        <v>2198</v>
      </c>
      <c r="C2207" s="143"/>
    </row>
    <row r="2208" spans="2:3" x14ac:dyDescent="0.2">
      <c r="B2208" s="142">
        <v>2199</v>
      </c>
      <c r="C2208" s="143"/>
    </row>
    <row r="2209" spans="2:3" x14ac:dyDescent="0.2">
      <c r="B2209" s="142">
        <v>2200</v>
      </c>
      <c r="C2209" s="143"/>
    </row>
    <row r="2210" spans="2:3" x14ac:dyDescent="0.2">
      <c r="B2210" s="142">
        <v>2201</v>
      </c>
      <c r="C2210" s="143"/>
    </row>
    <row r="2211" spans="2:3" x14ac:dyDescent="0.2">
      <c r="B2211" s="142">
        <v>2202</v>
      </c>
      <c r="C2211" s="143"/>
    </row>
    <row r="2212" spans="2:3" x14ac:dyDescent="0.2">
      <c r="B2212" s="142">
        <v>2203</v>
      </c>
      <c r="C2212" s="143"/>
    </row>
    <row r="2213" spans="2:3" x14ac:dyDescent="0.2">
      <c r="B2213" s="142">
        <v>2204</v>
      </c>
      <c r="C2213" s="143"/>
    </row>
    <row r="2214" spans="2:3" x14ac:dyDescent="0.2">
      <c r="B2214" s="142">
        <v>2205</v>
      </c>
      <c r="C2214" s="143"/>
    </row>
    <row r="2215" spans="2:3" x14ac:dyDescent="0.2">
      <c r="B2215" s="142">
        <v>2206</v>
      </c>
      <c r="C2215" s="143"/>
    </row>
    <row r="2216" spans="2:3" x14ac:dyDescent="0.2">
      <c r="B2216" s="142">
        <v>2207</v>
      </c>
      <c r="C2216" s="143"/>
    </row>
    <row r="2217" spans="2:3" x14ac:dyDescent="0.2">
      <c r="B2217" s="142">
        <v>2208</v>
      </c>
      <c r="C2217" s="143"/>
    </row>
    <row r="2218" spans="2:3" x14ac:dyDescent="0.2">
      <c r="B2218" s="142">
        <v>2209</v>
      </c>
      <c r="C2218" s="143"/>
    </row>
    <row r="2219" spans="2:3" x14ac:dyDescent="0.2">
      <c r="B2219" s="142">
        <v>2210</v>
      </c>
      <c r="C2219" s="143"/>
    </row>
    <row r="2220" spans="2:3" x14ac:dyDescent="0.2">
      <c r="B2220" s="142">
        <v>2211</v>
      </c>
      <c r="C2220" s="143"/>
    </row>
    <row r="2221" spans="2:3" x14ac:dyDescent="0.2">
      <c r="B2221" s="142">
        <v>2212</v>
      </c>
      <c r="C2221" s="143"/>
    </row>
    <row r="2222" spans="2:3" x14ac:dyDescent="0.2">
      <c r="B2222" s="142">
        <v>2213</v>
      </c>
      <c r="C2222" s="143"/>
    </row>
    <row r="2223" spans="2:3" x14ac:dyDescent="0.2">
      <c r="B2223" s="142">
        <v>2214</v>
      </c>
      <c r="C2223" s="143"/>
    </row>
    <row r="2224" spans="2:3" x14ac:dyDescent="0.2">
      <c r="B2224" s="142">
        <v>2215</v>
      </c>
      <c r="C2224" s="143"/>
    </row>
    <row r="2225" spans="2:3" x14ac:dyDescent="0.2">
      <c r="B2225" s="142">
        <v>2216</v>
      </c>
      <c r="C2225" s="143"/>
    </row>
    <row r="2226" spans="2:3" x14ac:dyDescent="0.2">
      <c r="B2226" s="142">
        <v>2217</v>
      </c>
      <c r="C2226" s="143"/>
    </row>
    <row r="2227" spans="2:3" x14ac:dyDescent="0.2">
      <c r="B2227" s="142">
        <v>2218</v>
      </c>
      <c r="C2227" s="143"/>
    </row>
    <row r="2228" spans="2:3" x14ac:dyDescent="0.2">
      <c r="B2228" s="142">
        <v>2219</v>
      </c>
      <c r="C2228" s="143"/>
    </row>
    <row r="2229" spans="2:3" x14ac:dyDescent="0.2">
      <c r="B2229" s="142">
        <v>2220</v>
      </c>
      <c r="C2229" s="143"/>
    </row>
    <row r="2230" spans="2:3" x14ac:dyDescent="0.2">
      <c r="B2230" s="142">
        <v>2221</v>
      </c>
      <c r="C2230" s="143"/>
    </row>
    <row r="2231" spans="2:3" x14ac:dyDescent="0.2">
      <c r="B2231" s="142">
        <v>2222</v>
      </c>
      <c r="C2231" s="143"/>
    </row>
    <row r="2232" spans="2:3" x14ac:dyDescent="0.2">
      <c r="B2232" s="142">
        <v>2223</v>
      </c>
      <c r="C2232" s="143"/>
    </row>
    <row r="2233" spans="2:3" x14ac:dyDescent="0.2">
      <c r="B2233" s="142">
        <v>2224</v>
      </c>
      <c r="C2233" s="143"/>
    </row>
    <row r="2234" spans="2:3" x14ac:dyDescent="0.2">
      <c r="B2234" s="142">
        <v>2225</v>
      </c>
      <c r="C2234" s="143"/>
    </row>
    <row r="2235" spans="2:3" x14ac:dyDescent="0.2">
      <c r="B2235" s="142">
        <v>2226</v>
      </c>
      <c r="C2235" s="143"/>
    </row>
    <row r="2236" spans="2:3" x14ac:dyDescent="0.2">
      <c r="B2236" s="142">
        <v>2227</v>
      </c>
      <c r="C2236" s="143"/>
    </row>
    <row r="2237" spans="2:3" x14ac:dyDescent="0.2">
      <c r="B2237" s="142">
        <v>2228</v>
      </c>
      <c r="C2237" s="143"/>
    </row>
    <row r="2238" spans="2:3" x14ac:dyDescent="0.2">
      <c r="B2238" s="142">
        <v>2229</v>
      </c>
      <c r="C2238" s="143"/>
    </row>
    <row r="2239" spans="2:3" x14ac:dyDescent="0.2">
      <c r="B2239" s="142">
        <v>2230</v>
      </c>
      <c r="C2239" s="143"/>
    </row>
    <row r="2240" spans="2:3" x14ac:dyDescent="0.2">
      <c r="B2240" s="142">
        <v>2231</v>
      </c>
      <c r="C2240" s="143"/>
    </row>
    <row r="2241" spans="2:3" x14ac:dyDescent="0.2">
      <c r="B2241" s="142">
        <v>2232</v>
      </c>
      <c r="C2241" s="143"/>
    </row>
    <row r="2242" spans="2:3" x14ac:dyDescent="0.2">
      <c r="B2242" s="142">
        <v>2233</v>
      </c>
      <c r="C2242" s="143"/>
    </row>
    <row r="2243" spans="2:3" x14ac:dyDescent="0.2">
      <c r="B2243" s="142">
        <v>2234</v>
      </c>
      <c r="C2243" s="143"/>
    </row>
    <row r="2244" spans="2:3" x14ac:dyDescent="0.2">
      <c r="B2244" s="142">
        <v>2235</v>
      </c>
      <c r="C2244" s="143"/>
    </row>
    <row r="2245" spans="2:3" x14ac:dyDescent="0.2">
      <c r="B2245" s="142">
        <v>2236</v>
      </c>
      <c r="C2245" s="143"/>
    </row>
    <row r="2246" spans="2:3" x14ac:dyDescent="0.2">
      <c r="B2246" s="142">
        <v>2237</v>
      </c>
      <c r="C2246" s="143"/>
    </row>
    <row r="2247" spans="2:3" x14ac:dyDescent="0.2">
      <c r="B2247" s="142">
        <v>2238</v>
      </c>
      <c r="C2247" s="143"/>
    </row>
    <row r="2248" spans="2:3" x14ac:dyDescent="0.2">
      <c r="B2248" s="142">
        <v>2239</v>
      </c>
      <c r="C2248" s="143"/>
    </row>
    <row r="2249" spans="2:3" x14ac:dyDescent="0.2">
      <c r="B2249" s="142">
        <v>2240</v>
      </c>
      <c r="C2249" s="143"/>
    </row>
    <row r="2250" spans="2:3" x14ac:dyDescent="0.2">
      <c r="B2250" s="142">
        <v>2241</v>
      </c>
      <c r="C2250" s="143"/>
    </row>
    <row r="2251" spans="2:3" x14ac:dyDescent="0.2">
      <c r="B2251" s="142">
        <v>2242</v>
      </c>
      <c r="C2251" s="143"/>
    </row>
    <row r="2252" spans="2:3" x14ac:dyDescent="0.2">
      <c r="B2252" s="142">
        <v>2243</v>
      </c>
      <c r="C2252" s="143"/>
    </row>
    <row r="2253" spans="2:3" x14ac:dyDescent="0.2">
      <c r="B2253" s="142">
        <v>2244</v>
      </c>
      <c r="C2253" s="143"/>
    </row>
    <row r="2254" spans="2:3" x14ac:dyDescent="0.2">
      <c r="B2254" s="142">
        <v>2245</v>
      </c>
      <c r="C2254" s="143"/>
    </row>
    <row r="2255" spans="2:3" x14ac:dyDescent="0.2">
      <c r="B2255" s="142">
        <v>2246</v>
      </c>
      <c r="C2255" s="143"/>
    </row>
    <row r="2256" spans="2:3" x14ac:dyDescent="0.2">
      <c r="B2256" s="142">
        <v>2247</v>
      </c>
      <c r="C2256" s="143"/>
    </row>
    <row r="2257" spans="2:3" x14ac:dyDescent="0.2">
      <c r="B2257" s="142">
        <v>2248</v>
      </c>
      <c r="C2257" s="143"/>
    </row>
    <row r="2258" spans="2:3" x14ac:dyDescent="0.2">
      <c r="B2258" s="142">
        <v>2249</v>
      </c>
      <c r="C2258" s="143"/>
    </row>
    <row r="2259" spans="2:3" x14ac:dyDescent="0.2">
      <c r="B2259" s="142">
        <v>2250</v>
      </c>
      <c r="C2259" s="143"/>
    </row>
    <row r="2260" spans="2:3" x14ac:dyDescent="0.2">
      <c r="B2260" s="142">
        <v>2251</v>
      </c>
      <c r="C2260" s="143"/>
    </row>
    <row r="2261" spans="2:3" x14ac:dyDescent="0.2">
      <c r="B2261" s="142">
        <v>2252</v>
      </c>
      <c r="C2261" s="143"/>
    </row>
    <row r="2262" spans="2:3" x14ac:dyDescent="0.2">
      <c r="B2262" s="142">
        <v>2253</v>
      </c>
      <c r="C2262" s="143"/>
    </row>
    <row r="2263" spans="2:3" x14ac:dyDescent="0.2">
      <c r="B2263" s="142">
        <v>2254</v>
      </c>
      <c r="C2263" s="143"/>
    </row>
    <row r="2264" spans="2:3" x14ac:dyDescent="0.2">
      <c r="B2264" s="142">
        <v>2255</v>
      </c>
      <c r="C2264" s="143"/>
    </row>
    <row r="2265" spans="2:3" x14ac:dyDescent="0.2">
      <c r="B2265" s="142">
        <v>2256</v>
      </c>
      <c r="C2265" s="143"/>
    </row>
    <row r="2266" spans="2:3" x14ac:dyDescent="0.2">
      <c r="B2266" s="142">
        <v>2257</v>
      </c>
      <c r="C2266" s="143"/>
    </row>
    <row r="2267" spans="2:3" x14ac:dyDescent="0.2">
      <c r="B2267" s="142">
        <v>2258</v>
      </c>
      <c r="C2267" s="143"/>
    </row>
    <row r="2268" spans="2:3" x14ac:dyDescent="0.2">
      <c r="B2268" s="142">
        <v>2259</v>
      </c>
      <c r="C2268" s="143"/>
    </row>
    <row r="2269" spans="2:3" x14ac:dyDescent="0.2">
      <c r="B2269" s="142">
        <v>2260</v>
      </c>
      <c r="C2269" s="143"/>
    </row>
    <row r="2270" spans="2:3" x14ac:dyDescent="0.2">
      <c r="B2270" s="142">
        <v>2261</v>
      </c>
      <c r="C2270" s="143"/>
    </row>
    <row r="2271" spans="2:3" x14ac:dyDescent="0.2">
      <c r="B2271" s="142">
        <v>2262</v>
      </c>
      <c r="C2271" s="143"/>
    </row>
    <row r="2272" spans="2:3" x14ac:dyDescent="0.2">
      <c r="B2272" s="142">
        <v>2263</v>
      </c>
      <c r="C2272" s="143"/>
    </row>
    <row r="2273" spans="2:3" x14ac:dyDescent="0.2">
      <c r="B2273" s="142">
        <v>2264</v>
      </c>
      <c r="C2273" s="143"/>
    </row>
    <row r="2274" spans="2:3" x14ac:dyDescent="0.2">
      <c r="B2274" s="142">
        <v>2265</v>
      </c>
      <c r="C2274" s="143"/>
    </row>
    <row r="2275" spans="2:3" x14ac:dyDescent="0.2">
      <c r="B2275" s="142">
        <v>2266</v>
      </c>
      <c r="C2275" s="143"/>
    </row>
    <row r="2276" spans="2:3" x14ac:dyDescent="0.2">
      <c r="B2276" s="142">
        <v>2267</v>
      </c>
      <c r="C2276" s="143"/>
    </row>
    <row r="2277" spans="2:3" x14ac:dyDescent="0.2">
      <c r="B2277" s="142">
        <v>2268</v>
      </c>
      <c r="C2277" s="143"/>
    </row>
    <row r="2278" spans="2:3" x14ac:dyDescent="0.2">
      <c r="B2278" s="142">
        <v>2269</v>
      </c>
      <c r="C2278" s="143"/>
    </row>
    <row r="2279" spans="2:3" x14ac:dyDescent="0.2">
      <c r="B2279" s="142">
        <v>2270</v>
      </c>
      <c r="C2279" s="143"/>
    </row>
    <row r="2280" spans="2:3" x14ac:dyDescent="0.2">
      <c r="B2280" s="142">
        <v>2271</v>
      </c>
      <c r="C2280" s="143"/>
    </row>
    <row r="2281" spans="2:3" x14ac:dyDescent="0.2">
      <c r="B2281" s="142">
        <v>2272</v>
      </c>
      <c r="C2281" s="143"/>
    </row>
    <row r="2282" spans="2:3" x14ac:dyDescent="0.2">
      <c r="B2282" s="142">
        <v>2273</v>
      </c>
      <c r="C2282" s="143"/>
    </row>
    <row r="2283" spans="2:3" x14ac:dyDescent="0.2">
      <c r="B2283" s="142">
        <v>2274</v>
      </c>
      <c r="C2283" s="143"/>
    </row>
    <row r="2284" spans="2:3" x14ac:dyDescent="0.2">
      <c r="B2284" s="142">
        <v>2275</v>
      </c>
      <c r="C2284" s="143"/>
    </row>
    <row r="2285" spans="2:3" x14ac:dyDescent="0.2">
      <c r="B2285" s="142">
        <v>2276</v>
      </c>
      <c r="C2285" s="143"/>
    </row>
    <row r="2286" spans="2:3" x14ac:dyDescent="0.2">
      <c r="B2286" s="142">
        <v>2277</v>
      </c>
      <c r="C2286" s="143"/>
    </row>
    <row r="2287" spans="2:3" x14ac:dyDescent="0.2">
      <c r="B2287" s="142">
        <v>2278</v>
      </c>
      <c r="C2287" s="143"/>
    </row>
    <row r="2288" spans="2:3" x14ac:dyDescent="0.2">
      <c r="B2288" s="142">
        <v>2279</v>
      </c>
      <c r="C2288" s="143"/>
    </row>
    <row r="2289" spans="2:3" x14ac:dyDescent="0.2">
      <c r="B2289" s="142">
        <v>2280</v>
      </c>
      <c r="C2289" s="143"/>
    </row>
    <row r="2290" spans="2:3" x14ac:dyDescent="0.2">
      <c r="B2290" s="142">
        <v>2281</v>
      </c>
      <c r="C2290" s="143"/>
    </row>
    <row r="2291" spans="2:3" x14ac:dyDescent="0.2">
      <c r="B2291" s="142">
        <v>2282</v>
      </c>
      <c r="C2291" s="143"/>
    </row>
    <row r="2292" spans="2:3" x14ac:dyDescent="0.2">
      <c r="B2292" s="142">
        <v>2283</v>
      </c>
      <c r="C2292" s="143"/>
    </row>
    <row r="2293" spans="2:3" x14ac:dyDescent="0.2">
      <c r="B2293" s="142">
        <v>2284</v>
      </c>
      <c r="C2293" s="143"/>
    </row>
    <row r="2294" spans="2:3" x14ac:dyDescent="0.2">
      <c r="B2294" s="142">
        <v>2285</v>
      </c>
      <c r="C2294" s="143"/>
    </row>
    <row r="2295" spans="2:3" x14ac:dyDescent="0.2">
      <c r="B2295" s="142">
        <v>2286</v>
      </c>
      <c r="C2295" s="143"/>
    </row>
    <row r="2296" spans="2:3" x14ac:dyDescent="0.2">
      <c r="B2296" s="142">
        <v>2287</v>
      </c>
      <c r="C2296" s="143"/>
    </row>
    <row r="2297" spans="2:3" x14ac:dyDescent="0.2">
      <c r="B2297" s="142">
        <v>2288</v>
      </c>
      <c r="C2297" s="143"/>
    </row>
    <row r="2298" spans="2:3" x14ac:dyDescent="0.2">
      <c r="B2298" s="142">
        <v>2289</v>
      </c>
      <c r="C2298" s="143"/>
    </row>
    <row r="2299" spans="2:3" x14ac:dyDescent="0.2">
      <c r="B2299" s="142">
        <v>2290</v>
      </c>
      <c r="C2299" s="143"/>
    </row>
    <row r="2300" spans="2:3" x14ac:dyDescent="0.2">
      <c r="B2300" s="142">
        <v>2291</v>
      </c>
      <c r="C2300" s="143"/>
    </row>
    <row r="2301" spans="2:3" x14ac:dyDescent="0.2">
      <c r="B2301" s="142">
        <v>2292</v>
      </c>
      <c r="C2301" s="143"/>
    </row>
    <row r="2302" spans="2:3" x14ac:dyDescent="0.2">
      <c r="B2302" s="142">
        <v>2293</v>
      </c>
      <c r="C2302" s="143"/>
    </row>
    <row r="2303" spans="2:3" x14ac:dyDescent="0.2">
      <c r="B2303" s="142">
        <v>2294</v>
      </c>
      <c r="C2303" s="143"/>
    </row>
    <row r="2304" spans="2:3" x14ac:dyDescent="0.2">
      <c r="B2304" s="142">
        <v>2295</v>
      </c>
      <c r="C2304" s="143"/>
    </row>
    <row r="2305" spans="2:3" x14ac:dyDescent="0.2">
      <c r="B2305" s="142">
        <v>2296</v>
      </c>
      <c r="C2305" s="143"/>
    </row>
    <row r="2306" spans="2:3" x14ac:dyDescent="0.2">
      <c r="B2306" s="142">
        <v>2297</v>
      </c>
      <c r="C2306" s="143"/>
    </row>
    <row r="2307" spans="2:3" x14ac:dyDescent="0.2">
      <c r="B2307" s="142">
        <v>2298</v>
      </c>
      <c r="C2307" s="143"/>
    </row>
    <row r="2308" spans="2:3" x14ac:dyDescent="0.2">
      <c r="B2308" s="142">
        <v>2299</v>
      </c>
      <c r="C2308" s="143"/>
    </row>
    <row r="2309" spans="2:3" x14ac:dyDescent="0.2">
      <c r="B2309" s="142">
        <v>2300</v>
      </c>
      <c r="C2309" s="143"/>
    </row>
    <row r="2310" spans="2:3" x14ac:dyDescent="0.2">
      <c r="B2310" s="142">
        <v>2301</v>
      </c>
      <c r="C2310" s="143"/>
    </row>
    <row r="2311" spans="2:3" x14ac:dyDescent="0.2">
      <c r="B2311" s="142">
        <v>2302</v>
      </c>
      <c r="C2311" s="143"/>
    </row>
    <row r="2312" spans="2:3" x14ac:dyDescent="0.2">
      <c r="B2312" s="142">
        <v>2303</v>
      </c>
      <c r="C2312" s="143"/>
    </row>
    <row r="2313" spans="2:3" x14ac:dyDescent="0.2">
      <c r="B2313" s="142">
        <v>2304</v>
      </c>
      <c r="C2313" s="143"/>
    </row>
    <row r="2314" spans="2:3" x14ac:dyDescent="0.2">
      <c r="B2314" s="142">
        <v>2305</v>
      </c>
      <c r="C2314" s="143"/>
    </row>
    <row r="2315" spans="2:3" x14ac:dyDescent="0.2">
      <c r="B2315" s="142">
        <v>2306</v>
      </c>
      <c r="C2315" s="143"/>
    </row>
    <row r="2316" spans="2:3" x14ac:dyDescent="0.2">
      <c r="B2316" s="142">
        <v>2307</v>
      </c>
      <c r="C2316" s="143"/>
    </row>
    <row r="2317" spans="2:3" x14ac:dyDescent="0.2">
      <c r="B2317" s="142">
        <v>2308</v>
      </c>
      <c r="C2317" s="143"/>
    </row>
    <row r="2318" spans="2:3" x14ac:dyDescent="0.2">
      <c r="B2318" s="142">
        <v>2309</v>
      </c>
      <c r="C2318" s="143"/>
    </row>
    <row r="2319" spans="2:3" x14ac:dyDescent="0.2">
      <c r="B2319" s="142">
        <v>2310</v>
      </c>
      <c r="C2319" s="143"/>
    </row>
    <row r="2320" spans="2:3" x14ac:dyDescent="0.2">
      <c r="B2320" s="142">
        <v>2311</v>
      </c>
      <c r="C2320" s="143"/>
    </row>
    <row r="2321" spans="2:3" x14ac:dyDescent="0.2">
      <c r="B2321" s="142">
        <v>2312</v>
      </c>
      <c r="C2321" s="143"/>
    </row>
    <row r="2322" spans="2:3" x14ac:dyDescent="0.2">
      <c r="B2322" s="142">
        <v>2313</v>
      </c>
      <c r="C2322" s="143"/>
    </row>
    <row r="2323" spans="2:3" x14ac:dyDescent="0.2">
      <c r="B2323" s="142">
        <v>2314</v>
      </c>
      <c r="C2323" s="143"/>
    </row>
    <row r="2324" spans="2:3" x14ac:dyDescent="0.2">
      <c r="B2324" s="142">
        <v>2315</v>
      </c>
      <c r="C2324" s="143"/>
    </row>
    <row r="2325" spans="2:3" x14ac:dyDescent="0.2">
      <c r="B2325" s="142">
        <v>2316</v>
      </c>
      <c r="C2325" s="143"/>
    </row>
    <row r="2326" spans="2:3" x14ac:dyDescent="0.2">
      <c r="B2326" s="142">
        <v>2317</v>
      </c>
      <c r="C2326" s="143"/>
    </row>
    <row r="2327" spans="2:3" x14ac:dyDescent="0.2">
      <c r="B2327" s="142">
        <v>2318</v>
      </c>
      <c r="C2327" s="143"/>
    </row>
    <row r="2328" spans="2:3" x14ac:dyDescent="0.2">
      <c r="B2328" s="142">
        <v>2319</v>
      </c>
      <c r="C2328" s="143"/>
    </row>
    <row r="2329" spans="2:3" x14ac:dyDescent="0.2">
      <c r="B2329" s="142">
        <v>2320</v>
      </c>
      <c r="C2329" s="143"/>
    </row>
    <row r="2330" spans="2:3" x14ac:dyDescent="0.2">
      <c r="B2330" s="142">
        <v>2321</v>
      </c>
      <c r="C2330" s="143"/>
    </row>
    <row r="2331" spans="2:3" x14ac:dyDescent="0.2">
      <c r="B2331" s="142">
        <v>2322</v>
      </c>
      <c r="C2331" s="143"/>
    </row>
    <row r="2332" spans="2:3" x14ac:dyDescent="0.2">
      <c r="B2332" s="142">
        <v>2323</v>
      </c>
      <c r="C2332" s="143"/>
    </row>
    <row r="2333" spans="2:3" x14ac:dyDescent="0.2">
      <c r="B2333" s="142">
        <v>2324</v>
      </c>
      <c r="C2333" s="143"/>
    </row>
    <row r="2334" spans="2:3" x14ac:dyDescent="0.2">
      <c r="B2334" s="142">
        <v>2325</v>
      </c>
      <c r="C2334" s="143"/>
    </row>
    <row r="2335" spans="2:3" x14ac:dyDescent="0.2">
      <c r="B2335" s="142">
        <v>2326</v>
      </c>
      <c r="C2335" s="143"/>
    </row>
    <row r="2336" spans="2:3" x14ac:dyDescent="0.2">
      <c r="B2336" s="142">
        <v>2327</v>
      </c>
      <c r="C2336" s="143"/>
    </row>
    <row r="2337" spans="2:3" x14ac:dyDescent="0.2">
      <c r="B2337" s="142">
        <v>2328</v>
      </c>
      <c r="C2337" s="143"/>
    </row>
    <row r="2338" spans="2:3" x14ac:dyDescent="0.2">
      <c r="B2338" s="142">
        <v>2329</v>
      </c>
      <c r="C2338" s="143"/>
    </row>
    <row r="2339" spans="2:3" x14ac:dyDescent="0.2">
      <c r="B2339" s="142">
        <v>2330</v>
      </c>
      <c r="C2339" s="143"/>
    </row>
    <row r="2340" spans="2:3" x14ac:dyDescent="0.2">
      <c r="B2340" s="142">
        <v>2331</v>
      </c>
      <c r="C2340" s="143"/>
    </row>
    <row r="2341" spans="2:3" x14ac:dyDescent="0.2">
      <c r="B2341" s="142">
        <v>2332</v>
      </c>
      <c r="C2341" s="143"/>
    </row>
    <row r="2342" spans="2:3" x14ac:dyDescent="0.2">
      <c r="B2342" s="142">
        <v>2333</v>
      </c>
      <c r="C2342" s="143"/>
    </row>
    <row r="2343" spans="2:3" x14ac:dyDescent="0.2">
      <c r="B2343" s="142">
        <v>2334</v>
      </c>
      <c r="C2343" s="143"/>
    </row>
    <row r="2344" spans="2:3" x14ac:dyDescent="0.2">
      <c r="B2344" s="142">
        <v>2335</v>
      </c>
      <c r="C2344" s="143"/>
    </row>
    <row r="2345" spans="2:3" x14ac:dyDescent="0.2">
      <c r="B2345" s="142">
        <v>2336</v>
      </c>
      <c r="C2345" s="143"/>
    </row>
    <row r="2346" spans="2:3" x14ac:dyDescent="0.2">
      <c r="B2346" s="142">
        <v>2337</v>
      </c>
      <c r="C2346" s="143"/>
    </row>
    <row r="2347" spans="2:3" x14ac:dyDescent="0.2">
      <c r="B2347" s="142">
        <v>2338</v>
      </c>
      <c r="C2347" s="143"/>
    </row>
    <row r="2348" spans="2:3" x14ac:dyDescent="0.2">
      <c r="B2348" s="142">
        <v>2339</v>
      </c>
      <c r="C2348" s="143"/>
    </row>
    <row r="2349" spans="2:3" x14ac:dyDescent="0.2">
      <c r="B2349" s="142">
        <v>2340</v>
      </c>
      <c r="C2349" s="143"/>
    </row>
    <row r="2350" spans="2:3" x14ac:dyDescent="0.2">
      <c r="B2350" s="142">
        <v>2341</v>
      </c>
      <c r="C2350" s="143"/>
    </row>
    <row r="2351" spans="2:3" x14ac:dyDescent="0.2">
      <c r="B2351" s="142">
        <v>2342</v>
      </c>
      <c r="C2351" s="143"/>
    </row>
    <row r="2352" spans="2:3" x14ac:dyDescent="0.2">
      <c r="B2352" s="142">
        <v>2343</v>
      </c>
      <c r="C2352" s="143"/>
    </row>
    <row r="2353" spans="2:3" x14ac:dyDescent="0.2">
      <c r="B2353" s="142">
        <v>2344</v>
      </c>
      <c r="C2353" s="143"/>
    </row>
    <row r="2354" spans="2:3" x14ac:dyDescent="0.2">
      <c r="B2354" s="142">
        <v>2345</v>
      </c>
      <c r="C2354" s="143"/>
    </row>
    <row r="2355" spans="2:3" x14ac:dyDescent="0.2">
      <c r="B2355" s="142">
        <v>2346</v>
      </c>
      <c r="C2355" s="143"/>
    </row>
    <row r="2356" spans="2:3" x14ac:dyDescent="0.2">
      <c r="B2356" s="142">
        <v>2347</v>
      </c>
      <c r="C2356" s="143"/>
    </row>
    <row r="2357" spans="2:3" x14ac:dyDescent="0.2">
      <c r="B2357" s="142">
        <v>2348</v>
      </c>
      <c r="C2357" s="143"/>
    </row>
    <row r="2358" spans="2:3" x14ac:dyDescent="0.2">
      <c r="B2358" s="142">
        <v>2349</v>
      </c>
      <c r="C2358" s="143"/>
    </row>
    <row r="2359" spans="2:3" x14ac:dyDescent="0.2">
      <c r="B2359" s="142">
        <v>2350</v>
      </c>
      <c r="C2359" s="143"/>
    </row>
    <row r="2360" spans="2:3" x14ac:dyDescent="0.2">
      <c r="B2360" s="142">
        <v>2351</v>
      </c>
      <c r="C2360" s="143"/>
    </row>
    <row r="2361" spans="2:3" x14ac:dyDescent="0.2">
      <c r="B2361" s="142">
        <v>2352</v>
      </c>
      <c r="C2361" s="143"/>
    </row>
    <row r="2362" spans="2:3" x14ac:dyDescent="0.2">
      <c r="B2362" s="142">
        <v>2353</v>
      </c>
      <c r="C2362" s="143"/>
    </row>
    <row r="2363" spans="2:3" x14ac:dyDescent="0.2">
      <c r="B2363" s="142">
        <v>2354</v>
      </c>
      <c r="C2363" s="143"/>
    </row>
    <row r="2364" spans="2:3" x14ac:dyDescent="0.2">
      <c r="B2364" s="142">
        <v>2355</v>
      </c>
      <c r="C2364" s="143"/>
    </row>
    <row r="2365" spans="2:3" x14ac:dyDescent="0.2">
      <c r="B2365" s="142">
        <v>2356</v>
      </c>
      <c r="C2365" s="143"/>
    </row>
    <row r="2366" spans="2:3" x14ac:dyDescent="0.2">
      <c r="B2366" s="142">
        <v>2357</v>
      </c>
      <c r="C2366" s="143"/>
    </row>
    <row r="2367" spans="2:3" x14ac:dyDescent="0.2">
      <c r="B2367" s="142">
        <v>2358</v>
      </c>
      <c r="C2367" s="143"/>
    </row>
    <row r="2368" spans="2:3" x14ac:dyDescent="0.2">
      <c r="B2368" s="142">
        <v>2359</v>
      </c>
      <c r="C2368" s="143"/>
    </row>
    <row r="2369" spans="2:3" x14ac:dyDescent="0.2">
      <c r="B2369" s="142">
        <v>2360</v>
      </c>
      <c r="C2369" s="143"/>
    </row>
    <row r="2370" spans="2:3" x14ac:dyDescent="0.2">
      <c r="B2370" s="142">
        <v>2361</v>
      </c>
      <c r="C2370" s="143"/>
    </row>
    <row r="2371" spans="2:3" x14ac:dyDescent="0.2">
      <c r="B2371" s="142">
        <v>2362</v>
      </c>
      <c r="C2371" s="143"/>
    </row>
    <row r="2372" spans="2:3" x14ac:dyDescent="0.2">
      <c r="B2372" s="142">
        <v>2363</v>
      </c>
      <c r="C2372" s="143"/>
    </row>
    <row r="2373" spans="2:3" x14ac:dyDescent="0.2">
      <c r="B2373" s="142">
        <v>2364</v>
      </c>
      <c r="C2373" s="143"/>
    </row>
    <row r="2374" spans="2:3" x14ac:dyDescent="0.2">
      <c r="B2374" s="142">
        <v>2365</v>
      </c>
      <c r="C2374" s="143"/>
    </row>
    <row r="2375" spans="2:3" x14ac:dyDescent="0.2">
      <c r="B2375" s="142">
        <v>2366</v>
      </c>
      <c r="C2375" s="143"/>
    </row>
    <row r="2376" spans="2:3" x14ac:dyDescent="0.2">
      <c r="B2376" s="142">
        <v>2367</v>
      </c>
      <c r="C2376" s="143"/>
    </row>
    <row r="2377" spans="2:3" x14ac:dyDescent="0.2">
      <c r="B2377" s="142">
        <v>2368</v>
      </c>
      <c r="C2377" s="143"/>
    </row>
    <row r="2378" spans="2:3" x14ac:dyDescent="0.2">
      <c r="B2378" s="142">
        <v>2369</v>
      </c>
      <c r="C2378" s="143"/>
    </row>
    <row r="2379" spans="2:3" x14ac:dyDescent="0.2">
      <c r="B2379" s="142">
        <v>2370</v>
      </c>
      <c r="C2379" s="143"/>
    </row>
    <row r="2380" spans="2:3" x14ac:dyDescent="0.2">
      <c r="B2380" s="142">
        <v>2371</v>
      </c>
      <c r="C2380" s="143"/>
    </row>
    <row r="2381" spans="2:3" x14ac:dyDescent="0.2">
      <c r="B2381" s="142">
        <v>2372</v>
      </c>
      <c r="C2381" s="143"/>
    </row>
    <row r="2382" spans="2:3" x14ac:dyDescent="0.2">
      <c r="B2382" s="142">
        <v>2373</v>
      </c>
      <c r="C2382" s="143"/>
    </row>
    <row r="2383" spans="2:3" x14ac:dyDescent="0.2">
      <c r="B2383" s="142">
        <v>2374</v>
      </c>
      <c r="C2383" s="143"/>
    </row>
    <row r="2384" spans="2:3" x14ac:dyDescent="0.2">
      <c r="B2384" s="142">
        <v>2375</v>
      </c>
      <c r="C2384" s="143"/>
    </row>
    <row r="2385" spans="2:3" x14ac:dyDescent="0.2">
      <c r="B2385" s="142">
        <v>2376</v>
      </c>
      <c r="C2385" s="143"/>
    </row>
    <row r="2386" spans="2:3" x14ac:dyDescent="0.2">
      <c r="B2386" s="142">
        <v>2377</v>
      </c>
      <c r="C2386" s="143"/>
    </row>
    <row r="2387" spans="2:3" x14ac:dyDescent="0.2">
      <c r="B2387" s="142">
        <v>2378</v>
      </c>
      <c r="C2387" s="143"/>
    </row>
    <row r="2388" spans="2:3" x14ac:dyDescent="0.2">
      <c r="B2388" s="142">
        <v>2379</v>
      </c>
      <c r="C2388" s="143"/>
    </row>
    <row r="2389" spans="2:3" x14ac:dyDescent="0.2">
      <c r="B2389" s="142">
        <v>2380</v>
      </c>
      <c r="C2389" s="143"/>
    </row>
    <row r="2390" spans="2:3" x14ac:dyDescent="0.2">
      <c r="B2390" s="142">
        <v>2381</v>
      </c>
      <c r="C2390" s="143"/>
    </row>
    <row r="2391" spans="2:3" x14ac:dyDescent="0.2">
      <c r="B2391" s="142">
        <v>2382</v>
      </c>
      <c r="C2391" s="143"/>
    </row>
    <row r="2392" spans="2:3" x14ac:dyDescent="0.2">
      <c r="B2392" s="142">
        <v>2383</v>
      </c>
      <c r="C2392" s="143"/>
    </row>
    <row r="2393" spans="2:3" x14ac:dyDescent="0.2">
      <c r="B2393" s="142">
        <v>2384</v>
      </c>
      <c r="C2393" s="143"/>
    </row>
    <row r="2394" spans="2:3" x14ac:dyDescent="0.2">
      <c r="B2394" s="142">
        <v>2385</v>
      </c>
      <c r="C2394" s="143"/>
    </row>
    <row r="2395" spans="2:3" x14ac:dyDescent="0.2">
      <c r="B2395" s="142">
        <v>2386</v>
      </c>
      <c r="C2395" s="143"/>
    </row>
    <row r="2396" spans="2:3" x14ac:dyDescent="0.2">
      <c r="B2396" s="142">
        <v>2387</v>
      </c>
      <c r="C2396" s="143"/>
    </row>
    <row r="2397" spans="2:3" x14ac:dyDescent="0.2">
      <c r="B2397" s="142">
        <v>2388</v>
      </c>
      <c r="C2397" s="143"/>
    </row>
    <row r="2398" spans="2:3" x14ac:dyDescent="0.2">
      <c r="B2398" s="142">
        <v>2389</v>
      </c>
      <c r="C2398" s="143"/>
    </row>
    <row r="2399" spans="2:3" x14ac:dyDescent="0.2">
      <c r="B2399" s="142">
        <v>2390</v>
      </c>
      <c r="C2399" s="143"/>
    </row>
    <row r="2400" spans="2:3" x14ac:dyDescent="0.2">
      <c r="B2400" s="142">
        <v>2391</v>
      </c>
      <c r="C2400" s="143"/>
    </row>
    <row r="2401" spans="2:3" x14ac:dyDescent="0.2">
      <c r="B2401" s="142">
        <v>2392</v>
      </c>
      <c r="C2401" s="143"/>
    </row>
    <row r="2402" spans="2:3" x14ac:dyDescent="0.2">
      <c r="B2402" s="142">
        <v>2393</v>
      </c>
      <c r="C2402" s="143"/>
    </row>
    <row r="2403" spans="2:3" x14ac:dyDescent="0.2">
      <c r="B2403" s="142">
        <v>2394</v>
      </c>
      <c r="C2403" s="143"/>
    </row>
    <row r="2404" spans="2:3" x14ac:dyDescent="0.2">
      <c r="B2404" s="142">
        <v>2395</v>
      </c>
      <c r="C2404" s="143"/>
    </row>
    <row r="2405" spans="2:3" x14ac:dyDescent="0.2">
      <c r="B2405" s="142">
        <v>2396</v>
      </c>
      <c r="C2405" s="143"/>
    </row>
    <row r="2406" spans="2:3" x14ac:dyDescent="0.2">
      <c r="B2406" s="142">
        <v>2397</v>
      </c>
      <c r="C2406" s="143"/>
    </row>
    <row r="2407" spans="2:3" x14ac:dyDescent="0.2">
      <c r="B2407" s="142">
        <v>2398</v>
      </c>
      <c r="C2407" s="143"/>
    </row>
    <row r="2408" spans="2:3" x14ac:dyDescent="0.2">
      <c r="B2408" s="142">
        <v>2399</v>
      </c>
      <c r="C2408" s="143"/>
    </row>
    <row r="2409" spans="2:3" x14ac:dyDescent="0.2">
      <c r="B2409" s="142">
        <v>2400</v>
      </c>
      <c r="C2409" s="143"/>
    </row>
    <row r="2410" spans="2:3" x14ac:dyDescent="0.2">
      <c r="B2410" s="142">
        <v>2401</v>
      </c>
      <c r="C2410" s="143"/>
    </row>
    <row r="2411" spans="2:3" x14ac:dyDescent="0.2">
      <c r="B2411" s="142">
        <v>2402</v>
      </c>
      <c r="C2411" s="143"/>
    </row>
    <row r="2412" spans="2:3" x14ac:dyDescent="0.2">
      <c r="B2412" s="142">
        <v>2403</v>
      </c>
      <c r="C2412" s="143"/>
    </row>
    <row r="2413" spans="2:3" x14ac:dyDescent="0.2">
      <c r="B2413" s="142">
        <v>2404</v>
      </c>
      <c r="C2413" s="143"/>
    </row>
    <row r="2414" spans="2:3" x14ac:dyDescent="0.2">
      <c r="B2414" s="142">
        <v>2405</v>
      </c>
      <c r="C2414" s="143"/>
    </row>
    <row r="2415" spans="2:3" x14ac:dyDescent="0.2">
      <c r="B2415" s="142">
        <v>2406</v>
      </c>
      <c r="C2415" s="143"/>
    </row>
    <row r="2416" spans="2:3" x14ac:dyDescent="0.2">
      <c r="B2416" s="142">
        <v>2407</v>
      </c>
      <c r="C2416" s="143"/>
    </row>
    <row r="2417" spans="2:3" x14ac:dyDescent="0.2">
      <c r="B2417" s="142">
        <v>2408</v>
      </c>
      <c r="C2417" s="143"/>
    </row>
    <row r="2418" spans="2:3" x14ac:dyDescent="0.2">
      <c r="B2418" s="142">
        <v>2409</v>
      </c>
      <c r="C2418" s="143"/>
    </row>
    <row r="2419" spans="2:3" x14ac:dyDescent="0.2">
      <c r="B2419" s="142">
        <v>2410</v>
      </c>
      <c r="C2419" s="143"/>
    </row>
    <row r="2420" spans="2:3" x14ac:dyDescent="0.2">
      <c r="B2420" s="142">
        <v>2411</v>
      </c>
      <c r="C2420" s="143"/>
    </row>
    <row r="2421" spans="2:3" x14ac:dyDescent="0.2">
      <c r="B2421" s="142">
        <v>2412</v>
      </c>
      <c r="C2421" s="143"/>
    </row>
    <row r="2422" spans="2:3" x14ac:dyDescent="0.2">
      <c r="B2422" s="142">
        <v>2413</v>
      </c>
      <c r="C2422" s="143"/>
    </row>
    <row r="2423" spans="2:3" x14ac:dyDescent="0.2">
      <c r="B2423" s="142">
        <v>2414</v>
      </c>
      <c r="C2423" s="143"/>
    </row>
    <row r="2424" spans="2:3" x14ac:dyDescent="0.2">
      <c r="B2424" s="142">
        <v>2415</v>
      </c>
      <c r="C2424" s="143"/>
    </row>
    <row r="2425" spans="2:3" x14ac:dyDescent="0.2">
      <c r="B2425" s="142">
        <v>2416</v>
      </c>
      <c r="C2425" s="143"/>
    </row>
    <row r="2426" spans="2:3" x14ac:dyDescent="0.2">
      <c r="B2426" s="142">
        <v>2417</v>
      </c>
      <c r="C2426" s="143"/>
    </row>
    <row r="2427" spans="2:3" x14ac:dyDescent="0.2">
      <c r="B2427" s="142">
        <v>2418</v>
      </c>
      <c r="C2427" s="143"/>
    </row>
    <row r="2428" spans="2:3" x14ac:dyDescent="0.2">
      <c r="B2428" s="142">
        <v>2419</v>
      </c>
      <c r="C2428" s="143"/>
    </row>
    <row r="2429" spans="2:3" x14ac:dyDescent="0.2">
      <c r="B2429" s="142">
        <v>2420</v>
      </c>
      <c r="C2429" s="143"/>
    </row>
    <row r="2430" spans="2:3" x14ac:dyDescent="0.2">
      <c r="B2430" s="142">
        <v>2421</v>
      </c>
      <c r="C2430" s="143"/>
    </row>
    <row r="2431" spans="2:3" x14ac:dyDescent="0.2">
      <c r="B2431" s="142">
        <v>2422</v>
      </c>
      <c r="C2431" s="143"/>
    </row>
    <row r="2432" spans="2:3" x14ac:dyDescent="0.2">
      <c r="B2432" s="142">
        <v>2423</v>
      </c>
      <c r="C2432" s="143"/>
    </row>
    <row r="2433" spans="2:3" x14ac:dyDescent="0.2">
      <c r="B2433" s="142">
        <v>2424</v>
      </c>
      <c r="C2433" s="143"/>
    </row>
    <row r="2434" spans="2:3" x14ac:dyDescent="0.2">
      <c r="B2434" s="142">
        <v>2425</v>
      </c>
      <c r="C2434" s="143"/>
    </row>
    <row r="2435" spans="2:3" x14ac:dyDescent="0.2">
      <c r="B2435" s="142">
        <v>2426</v>
      </c>
      <c r="C2435" s="143"/>
    </row>
    <row r="2436" spans="2:3" x14ac:dyDescent="0.2">
      <c r="B2436" s="142">
        <v>2427</v>
      </c>
      <c r="C2436" s="143"/>
    </row>
    <row r="2437" spans="2:3" x14ac:dyDescent="0.2">
      <c r="B2437" s="142">
        <v>2428</v>
      </c>
      <c r="C2437" s="143"/>
    </row>
    <row r="2438" spans="2:3" x14ac:dyDescent="0.2">
      <c r="B2438" s="142">
        <v>2429</v>
      </c>
      <c r="C2438" s="143"/>
    </row>
    <row r="2439" spans="2:3" x14ac:dyDescent="0.2">
      <c r="B2439" s="142">
        <v>2430</v>
      </c>
      <c r="C2439" s="143"/>
    </row>
    <row r="2440" spans="2:3" x14ac:dyDescent="0.2">
      <c r="B2440" s="142">
        <v>2431</v>
      </c>
      <c r="C2440" s="143"/>
    </row>
    <row r="2441" spans="2:3" x14ac:dyDescent="0.2">
      <c r="B2441" s="142">
        <v>2432</v>
      </c>
      <c r="C2441" s="143"/>
    </row>
    <row r="2442" spans="2:3" x14ac:dyDescent="0.2">
      <c r="B2442" s="142">
        <v>2433</v>
      </c>
      <c r="C2442" s="143"/>
    </row>
    <row r="2443" spans="2:3" x14ac:dyDescent="0.2">
      <c r="B2443" s="142">
        <v>2434</v>
      </c>
      <c r="C2443" s="143"/>
    </row>
    <row r="2444" spans="2:3" x14ac:dyDescent="0.2">
      <c r="B2444" s="142">
        <v>2435</v>
      </c>
      <c r="C2444" s="143"/>
    </row>
    <row r="2445" spans="2:3" x14ac:dyDescent="0.2">
      <c r="B2445" s="142">
        <v>2436</v>
      </c>
      <c r="C2445" s="143"/>
    </row>
    <row r="2446" spans="2:3" x14ac:dyDescent="0.2">
      <c r="B2446" s="142">
        <v>2437</v>
      </c>
      <c r="C2446" s="143"/>
    </row>
    <row r="2447" spans="2:3" x14ac:dyDescent="0.2">
      <c r="B2447" s="142">
        <v>2438</v>
      </c>
      <c r="C2447" s="143"/>
    </row>
    <row r="2448" spans="2:3" x14ac:dyDescent="0.2">
      <c r="B2448" s="142">
        <v>2439</v>
      </c>
      <c r="C2448" s="143"/>
    </row>
    <row r="2449" spans="2:3" x14ac:dyDescent="0.2">
      <c r="B2449" s="142">
        <v>2440</v>
      </c>
      <c r="C2449" s="143"/>
    </row>
    <row r="2450" spans="2:3" x14ac:dyDescent="0.2">
      <c r="B2450" s="142">
        <v>2441</v>
      </c>
      <c r="C2450" s="143"/>
    </row>
    <row r="2451" spans="2:3" x14ac:dyDescent="0.2">
      <c r="B2451" s="142">
        <v>2442</v>
      </c>
      <c r="C2451" s="143"/>
    </row>
    <row r="2452" spans="2:3" x14ac:dyDescent="0.2">
      <c r="B2452" s="142">
        <v>2443</v>
      </c>
      <c r="C2452" s="143"/>
    </row>
    <row r="2453" spans="2:3" x14ac:dyDescent="0.2">
      <c r="B2453" s="142">
        <v>2444</v>
      </c>
      <c r="C2453" s="143"/>
    </row>
    <row r="2454" spans="2:3" x14ac:dyDescent="0.2">
      <c r="B2454" s="142">
        <v>2445</v>
      </c>
      <c r="C2454" s="143"/>
    </row>
    <row r="2455" spans="2:3" x14ac:dyDescent="0.2">
      <c r="B2455" s="142">
        <v>2446</v>
      </c>
      <c r="C2455" s="143"/>
    </row>
    <row r="2456" spans="2:3" x14ac:dyDescent="0.2">
      <c r="B2456" s="142">
        <v>2447</v>
      </c>
      <c r="C2456" s="143"/>
    </row>
    <row r="2457" spans="2:3" x14ac:dyDescent="0.2">
      <c r="B2457" s="142">
        <v>2448</v>
      </c>
      <c r="C2457" s="143"/>
    </row>
    <row r="2458" spans="2:3" x14ac:dyDescent="0.2">
      <c r="B2458" s="142">
        <v>2449</v>
      </c>
      <c r="C2458" s="143"/>
    </row>
    <row r="2459" spans="2:3" x14ac:dyDescent="0.2">
      <c r="B2459" s="142">
        <v>2450</v>
      </c>
      <c r="C2459" s="143"/>
    </row>
    <row r="2460" spans="2:3" x14ac:dyDescent="0.2">
      <c r="B2460" s="142">
        <v>2451</v>
      </c>
      <c r="C2460" s="143"/>
    </row>
    <row r="2461" spans="2:3" x14ac:dyDescent="0.2">
      <c r="B2461" s="142">
        <v>2452</v>
      </c>
      <c r="C2461" s="143"/>
    </row>
    <row r="2462" spans="2:3" x14ac:dyDescent="0.2">
      <c r="B2462" s="142">
        <v>2453</v>
      </c>
      <c r="C2462" s="143"/>
    </row>
    <row r="2463" spans="2:3" x14ac:dyDescent="0.2">
      <c r="B2463" s="142">
        <v>2454</v>
      </c>
      <c r="C2463" s="143"/>
    </row>
    <row r="2464" spans="2:3" x14ac:dyDescent="0.2">
      <c r="B2464" s="142">
        <v>2455</v>
      </c>
      <c r="C2464" s="143"/>
    </row>
    <row r="2465" spans="2:3" x14ac:dyDescent="0.2">
      <c r="B2465" s="142">
        <v>2456</v>
      </c>
      <c r="C2465" s="143"/>
    </row>
    <row r="2466" spans="2:3" x14ac:dyDescent="0.2">
      <c r="B2466" s="142">
        <v>2457</v>
      </c>
      <c r="C2466" s="143"/>
    </row>
    <row r="2467" spans="2:3" x14ac:dyDescent="0.2">
      <c r="B2467" s="142">
        <v>2458</v>
      </c>
      <c r="C2467" s="143"/>
    </row>
    <row r="2468" spans="2:3" x14ac:dyDescent="0.2">
      <c r="B2468" s="142">
        <v>2459</v>
      </c>
      <c r="C2468" s="143"/>
    </row>
    <row r="2469" spans="2:3" x14ac:dyDescent="0.2">
      <c r="B2469" s="142">
        <v>2460</v>
      </c>
      <c r="C2469" s="143"/>
    </row>
    <row r="2470" spans="2:3" x14ac:dyDescent="0.2">
      <c r="B2470" s="142">
        <v>2461</v>
      </c>
      <c r="C2470" s="143"/>
    </row>
    <row r="2471" spans="2:3" x14ac:dyDescent="0.2">
      <c r="B2471" s="142">
        <v>2462</v>
      </c>
      <c r="C2471" s="143"/>
    </row>
    <row r="2472" spans="2:3" x14ac:dyDescent="0.2">
      <c r="B2472" s="142">
        <v>2463</v>
      </c>
      <c r="C2472" s="143"/>
    </row>
    <row r="2473" spans="2:3" x14ac:dyDescent="0.2">
      <c r="B2473" s="142">
        <v>2464</v>
      </c>
      <c r="C2473" s="143"/>
    </row>
    <row r="2474" spans="2:3" x14ac:dyDescent="0.2">
      <c r="B2474" s="142">
        <v>2465</v>
      </c>
      <c r="C2474" s="143"/>
    </row>
    <row r="2475" spans="2:3" x14ac:dyDescent="0.2">
      <c r="B2475" s="142">
        <v>2466</v>
      </c>
      <c r="C2475" s="143"/>
    </row>
    <row r="2476" spans="2:3" x14ac:dyDescent="0.2">
      <c r="B2476" s="142">
        <v>2467</v>
      </c>
      <c r="C2476" s="143"/>
    </row>
    <row r="2477" spans="2:3" x14ac:dyDescent="0.2">
      <c r="B2477" s="142">
        <v>2468</v>
      </c>
      <c r="C2477" s="143"/>
    </row>
    <row r="2478" spans="2:3" x14ac:dyDescent="0.2">
      <c r="B2478" s="142">
        <v>2469</v>
      </c>
      <c r="C2478" s="143"/>
    </row>
    <row r="2479" spans="2:3" x14ac:dyDescent="0.2">
      <c r="B2479" s="142">
        <v>2470</v>
      </c>
      <c r="C2479" s="143"/>
    </row>
    <row r="2480" spans="2:3" x14ac:dyDescent="0.2">
      <c r="B2480" s="142">
        <v>2471</v>
      </c>
      <c r="C2480" s="143"/>
    </row>
    <row r="2481" spans="2:3" x14ac:dyDescent="0.2">
      <c r="B2481" s="142">
        <v>2472</v>
      </c>
      <c r="C2481" s="143"/>
    </row>
    <row r="2482" spans="2:3" x14ac:dyDescent="0.2">
      <c r="B2482" s="142">
        <v>2473</v>
      </c>
      <c r="C2482" s="143"/>
    </row>
    <row r="2483" spans="2:3" x14ac:dyDescent="0.2">
      <c r="B2483" s="142">
        <v>2474</v>
      </c>
      <c r="C2483" s="143"/>
    </row>
    <row r="2484" spans="2:3" x14ac:dyDescent="0.2">
      <c r="B2484" s="142">
        <v>2475</v>
      </c>
      <c r="C2484" s="143"/>
    </row>
    <row r="2485" spans="2:3" x14ac:dyDescent="0.2">
      <c r="B2485" s="142">
        <v>2476</v>
      </c>
      <c r="C2485" s="143"/>
    </row>
    <row r="2486" spans="2:3" x14ac:dyDescent="0.2">
      <c r="B2486" s="142">
        <v>2477</v>
      </c>
      <c r="C2486" s="143"/>
    </row>
    <row r="2487" spans="2:3" x14ac:dyDescent="0.2">
      <c r="B2487" s="142">
        <v>2478</v>
      </c>
      <c r="C2487" s="143"/>
    </row>
    <row r="2488" spans="2:3" x14ac:dyDescent="0.2">
      <c r="B2488" s="142">
        <v>2479</v>
      </c>
      <c r="C2488" s="143"/>
    </row>
    <row r="2489" spans="2:3" x14ac:dyDescent="0.2">
      <c r="B2489" s="142">
        <v>2480</v>
      </c>
      <c r="C2489" s="143"/>
    </row>
    <row r="2490" spans="2:3" x14ac:dyDescent="0.2">
      <c r="B2490" s="142">
        <v>2481</v>
      </c>
      <c r="C2490" s="143"/>
    </row>
    <row r="2491" spans="2:3" x14ac:dyDescent="0.2">
      <c r="B2491" s="142">
        <v>2482</v>
      </c>
      <c r="C2491" s="143"/>
    </row>
    <row r="2492" spans="2:3" x14ac:dyDescent="0.2">
      <c r="B2492" s="142">
        <v>2483</v>
      </c>
      <c r="C2492" s="143"/>
    </row>
    <row r="2493" spans="2:3" x14ac:dyDescent="0.2">
      <c r="B2493" s="142">
        <v>2484</v>
      </c>
      <c r="C2493" s="143"/>
    </row>
    <row r="2494" spans="2:3" x14ac:dyDescent="0.2">
      <c r="B2494" s="142">
        <v>2485</v>
      </c>
      <c r="C2494" s="143"/>
    </row>
    <row r="2495" spans="2:3" x14ac:dyDescent="0.2">
      <c r="B2495" s="142">
        <v>2486</v>
      </c>
      <c r="C2495" s="143"/>
    </row>
    <row r="2496" spans="2:3" x14ac:dyDescent="0.2">
      <c r="B2496" s="142">
        <v>2487</v>
      </c>
      <c r="C2496" s="143"/>
    </row>
    <row r="2497" spans="2:3" x14ac:dyDescent="0.2">
      <c r="B2497" s="142">
        <v>2488</v>
      </c>
      <c r="C2497" s="143"/>
    </row>
    <row r="2498" spans="2:3" x14ac:dyDescent="0.2">
      <c r="B2498" s="142">
        <v>2489</v>
      </c>
      <c r="C2498" s="143"/>
    </row>
    <row r="2499" spans="2:3" x14ac:dyDescent="0.2">
      <c r="B2499" s="142">
        <v>2490</v>
      </c>
      <c r="C2499" s="143"/>
    </row>
    <row r="2500" spans="2:3" x14ac:dyDescent="0.2">
      <c r="B2500" s="142">
        <v>2491</v>
      </c>
      <c r="C2500" s="143"/>
    </row>
    <row r="2501" spans="2:3" x14ac:dyDescent="0.2">
      <c r="B2501" s="142">
        <v>2492</v>
      </c>
      <c r="C2501" s="143"/>
    </row>
    <row r="2502" spans="2:3" x14ac:dyDescent="0.2">
      <c r="B2502" s="142">
        <v>2493</v>
      </c>
      <c r="C2502" s="143"/>
    </row>
    <row r="2503" spans="2:3" x14ac:dyDescent="0.2">
      <c r="B2503" s="142">
        <v>2494</v>
      </c>
      <c r="C2503" s="143"/>
    </row>
    <row r="2504" spans="2:3" x14ac:dyDescent="0.2">
      <c r="B2504" s="142">
        <v>2495</v>
      </c>
      <c r="C2504" s="143"/>
    </row>
    <row r="2505" spans="2:3" x14ac:dyDescent="0.2">
      <c r="B2505" s="142">
        <v>2496</v>
      </c>
      <c r="C2505" s="143"/>
    </row>
    <row r="2506" spans="2:3" x14ac:dyDescent="0.2">
      <c r="B2506" s="142">
        <v>2497</v>
      </c>
      <c r="C2506" s="143"/>
    </row>
    <row r="2507" spans="2:3" x14ac:dyDescent="0.2">
      <c r="B2507" s="142">
        <v>2498</v>
      </c>
      <c r="C2507" s="143"/>
    </row>
    <row r="2508" spans="2:3" x14ac:dyDescent="0.2">
      <c r="B2508" s="142">
        <v>2499</v>
      </c>
      <c r="C2508" s="143"/>
    </row>
    <row r="2509" spans="2:3" x14ac:dyDescent="0.2">
      <c r="B2509" s="142">
        <v>2500</v>
      </c>
      <c r="C2509" s="143"/>
    </row>
    <row r="2510" spans="2:3" x14ac:dyDescent="0.2">
      <c r="B2510" s="142">
        <v>2501</v>
      </c>
      <c r="C2510" s="143"/>
    </row>
    <row r="2511" spans="2:3" x14ac:dyDescent="0.2">
      <c r="B2511" s="142">
        <v>2502</v>
      </c>
      <c r="C2511" s="143"/>
    </row>
    <row r="2512" spans="2:3" x14ac:dyDescent="0.2">
      <c r="B2512" s="142">
        <v>2503</v>
      </c>
      <c r="C2512" s="143"/>
    </row>
    <row r="2513" spans="2:3" x14ac:dyDescent="0.2">
      <c r="B2513" s="142">
        <v>2504</v>
      </c>
      <c r="C2513" s="143"/>
    </row>
    <row r="2514" spans="2:3" x14ac:dyDescent="0.2">
      <c r="B2514" s="142">
        <v>2505</v>
      </c>
      <c r="C2514" s="143"/>
    </row>
    <row r="2515" spans="2:3" x14ac:dyDescent="0.2">
      <c r="B2515" s="142">
        <v>2506</v>
      </c>
      <c r="C2515" s="143"/>
    </row>
    <row r="2516" spans="2:3" x14ac:dyDescent="0.2">
      <c r="B2516" s="142">
        <v>2507</v>
      </c>
      <c r="C2516" s="143"/>
    </row>
    <row r="2517" spans="2:3" x14ac:dyDescent="0.2">
      <c r="B2517" s="142">
        <v>2508</v>
      </c>
      <c r="C2517" s="143"/>
    </row>
    <row r="2518" spans="2:3" x14ac:dyDescent="0.2">
      <c r="B2518" s="142">
        <v>2509</v>
      </c>
      <c r="C2518" s="143"/>
    </row>
    <row r="2519" spans="2:3" x14ac:dyDescent="0.2">
      <c r="B2519" s="142">
        <v>2510</v>
      </c>
      <c r="C2519" s="143"/>
    </row>
    <row r="2520" spans="2:3" x14ac:dyDescent="0.2">
      <c r="B2520" s="142">
        <v>2511</v>
      </c>
      <c r="C2520" s="143"/>
    </row>
    <row r="2521" spans="2:3" x14ac:dyDescent="0.2">
      <c r="B2521" s="142">
        <v>2512</v>
      </c>
      <c r="C2521" s="143"/>
    </row>
    <row r="2522" spans="2:3" x14ac:dyDescent="0.2">
      <c r="B2522" s="142">
        <v>2513</v>
      </c>
      <c r="C2522" s="143"/>
    </row>
    <row r="2523" spans="2:3" x14ac:dyDescent="0.2">
      <c r="B2523" s="142">
        <v>2514</v>
      </c>
      <c r="C2523" s="143"/>
    </row>
    <row r="2524" spans="2:3" x14ac:dyDescent="0.2">
      <c r="B2524" s="142">
        <v>2515</v>
      </c>
      <c r="C2524" s="143"/>
    </row>
    <row r="2525" spans="2:3" x14ac:dyDescent="0.2">
      <c r="B2525" s="142">
        <v>2516</v>
      </c>
      <c r="C2525" s="143"/>
    </row>
    <row r="2526" spans="2:3" x14ac:dyDescent="0.2">
      <c r="B2526" s="142">
        <v>2517</v>
      </c>
      <c r="C2526" s="143"/>
    </row>
    <row r="2527" spans="2:3" x14ac:dyDescent="0.2">
      <c r="B2527" s="142">
        <v>2518</v>
      </c>
      <c r="C2527" s="143"/>
    </row>
    <row r="2528" spans="2:3" x14ac:dyDescent="0.2">
      <c r="B2528" s="142">
        <v>2519</v>
      </c>
      <c r="C2528" s="143"/>
    </row>
    <row r="2529" spans="2:3" x14ac:dyDescent="0.2">
      <c r="B2529" s="142">
        <v>2520</v>
      </c>
      <c r="C2529" s="143"/>
    </row>
    <row r="2530" spans="2:3" x14ac:dyDescent="0.2">
      <c r="B2530" s="142">
        <v>2521</v>
      </c>
      <c r="C2530" s="143"/>
    </row>
    <row r="2531" spans="2:3" x14ac:dyDescent="0.2">
      <c r="B2531" s="142">
        <v>2522</v>
      </c>
      <c r="C2531" s="143"/>
    </row>
    <row r="2532" spans="2:3" x14ac:dyDescent="0.2">
      <c r="B2532" s="142">
        <v>2523</v>
      </c>
      <c r="C2532" s="143"/>
    </row>
    <row r="2533" spans="2:3" x14ac:dyDescent="0.2">
      <c r="B2533" s="142">
        <v>2524</v>
      </c>
      <c r="C2533" s="143"/>
    </row>
    <row r="2534" spans="2:3" x14ac:dyDescent="0.2">
      <c r="B2534" s="142">
        <v>2525</v>
      </c>
      <c r="C2534" s="143"/>
    </row>
    <row r="2535" spans="2:3" x14ac:dyDescent="0.2">
      <c r="B2535" s="142">
        <v>2526</v>
      </c>
      <c r="C2535" s="143"/>
    </row>
    <row r="2536" spans="2:3" x14ac:dyDescent="0.2">
      <c r="B2536" s="142">
        <v>2527</v>
      </c>
      <c r="C2536" s="143"/>
    </row>
    <row r="2537" spans="2:3" x14ac:dyDescent="0.2">
      <c r="B2537" s="142">
        <v>2528</v>
      </c>
      <c r="C2537" s="143"/>
    </row>
    <row r="2538" spans="2:3" x14ac:dyDescent="0.2">
      <c r="B2538" s="142">
        <v>2529</v>
      </c>
      <c r="C2538" s="143"/>
    </row>
    <row r="2539" spans="2:3" x14ac:dyDescent="0.2">
      <c r="B2539" s="142">
        <v>2530</v>
      </c>
      <c r="C2539" s="143"/>
    </row>
    <row r="2540" spans="2:3" x14ac:dyDescent="0.2">
      <c r="B2540" s="142">
        <v>2531</v>
      </c>
      <c r="C2540" s="143"/>
    </row>
    <row r="2541" spans="2:3" x14ac:dyDescent="0.2">
      <c r="B2541" s="142">
        <v>2532</v>
      </c>
      <c r="C2541" s="143"/>
    </row>
    <row r="2542" spans="2:3" x14ac:dyDescent="0.2">
      <c r="B2542" s="142">
        <v>2533</v>
      </c>
      <c r="C2542" s="143"/>
    </row>
    <row r="2543" spans="2:3" x14ac:dyDescent="0.2">
      <c r="B2543" s="142">
        <v>2534</v>
      </c>
      <c r="C2543" s="143"/>
    </row>
    <row r="2544" spans="2:3" x14ac:dyDescent="0.2">
      <c r="B2544" s="142">
        <v>2535</v>
      </c>
      <c r="C2544" s="143"/>
    </row>
    <row r="2545" spans="2:3" x14ac:dyDescent="0.2">
      <c r="B2545" s="142">
        <v>2536</v>
      </c>
      <c r="C2545" s="143"/>
    </row>
    <row r="2546" spans="2:3" x14ac:dyDescent="0.2">
      <c r="B2546" s="142">
        <v>2537</v>
      </c>
      <c r="C2546" s="143"/>
    </row>
    <row r="2547" spans="2:3" x14ac:dyDescent="0.2">
      <c r="B2547" s="142">
        <v>2538</v>
      </c>
      <c r="C2547" s="143"/>
    </row>
    <row r="2548" spans="2:3" x14ac:dyDescent="0.2">
      <c r="B2548" s="142">
        <v>2539</v>
      </c>
      <c r="C2548" s="143"/>
    </row>
    <row r="2549" spans="2:3" x14ac:dyDescent="0.2">
      <c r="B2549" s="142">
        <v>2540</v>
      </c>
      <c r="C2549" s="143"/>
    </row>
    <row r="2550" spans="2:3" x14ac:dyDescent="0.2">
      <c r="B2550" s="142">
        <v>2541</v>
      </c>
      <c r="C2550" s="143"/>
    </row>
    <row r="2551" spans="2:3" x14ac:dyDescent="0.2">
      <c r="B2551" s="142">
        <v>2542</v>
      </c>
      <c r="C2551" s="143"/>
    </row>
    <row r="2552" spans="2:3" x14ac:dyDescent="0.2">
      <c r="B2552" s="142">
        <v>2543</v>
      </c>
      <c r="C2552" s="143"/>
    </row>
    <row r="2553" spans="2:3" x14ac:dyDescent="0.2">
      <c r="B2553" s="142">
        <v>2544</v>
      </c>
      <c r="C2553" s="143"/>
    </row>
    <row r="2554" spans="2:3" x14ac:dyDescent="0.2">
      <c r="B2554" s="142">
        <v>2545</v>
      </c>
      <c r="C2554" s="143"/>
    </row>
    <row r="2555" spans="2:3" x14ac:dyDescent="0.2">
      <c r="B2555" s="142">
        <v>2546</v>
      </c>
      <c r="C2555" s="143"/>
    </row>
    <row r="2556" spans="2:3" x14ac:dyDescent="0.2">
      <c r="B2556" s="142">
        <v>2547</v>
      </c>
      <c r="C2556" s="143"/>
    </row>
    <row r="2557" spans="2:3" x14ac:dyDescent="0.2">
      <c r="B2557" s="142">
        <v>2548</v>
      </c>
      <c r="C2557" s="143"/>
    </row>
    <row r="2558" spans="2:3" x14ac:dyDescent="0.2">
      <c r="B2558" s="142">
        <v>2549</v>
      </c>
      <c r="C2558" s="143"/>
    </row>
    <row r="2559" spans="2:3" x14ac:dyDescent="0.2">
      <c r="B2559" s="142">
        <v>2550</v>
      </c>
      <c r="C2559" s="143"/>
    </row>
    <row r="2560" spans="2:3" x14ac:dyDescent="0.2">
      <c r="B2560" s="142">
        <v>2551</v>
      </c>
      <c r="C2560" s="143"/>
    </row>
    <row r="2561" spans="2:3" x14ac:dyDescent="0.2">
      <c r="B2561" s="142">
        <v>2552</v>
      </c>
      <c r="C2561" s="143"/>
    </row>
    <row r="2562" spans="2:3" x14ac:dyDescent="0.2">
      <c r="B2562" s="142">
        <v>2553</v>
      </c>
      <c r="C2562" s="143"/>
    </row>
    <row r="2563" spans="2:3" x14ac:dyDescent="0.2">
      <c r="B2563" s="142">
        <v>2554</v>
      </c>
      <c r="C2563" s="143"/>
    </row>
    <row r="2564" spans="2:3" x14ac:dyDescent="0.2">
      <c r="B2564" s="142">
        <v>2555</v>
      </c>
      <c r="C2564" s="143"/>
    </row>
    <row r="2565" spans="2:3" x14ac:dyDescent="0.2">
      <c r="B2565" s="142">
        <v>2556</v>
      </c>
      <c r="C2565" s="143"/>
    </row>
    <row r="2566" spans="2:3" x14ac:dyDescent="0.2">
      <c r="B2566" s="142">
        <v>2557</v>
      </c>
      <c r="C2566" s="143"/>
    </row>
    <row r="2567" spans="2:3" x14ac:dyDescent="0.2">
      <c r="B2567" s="142">
        <v>2558</v>
      </c>
      <c r="C2567" s="143"/>
    </row>
    <row r="2568" spans="2:3" x14ac:dyDescent="0.2">
      <c r="B2568" s="142">
        <v>2559</v>
      </c>
      <c r="C2568" s="143"/>
    </row>
    <row r="2569" spans="2:3" x14ac:dyDescent="0.2">
      <c r="B2569" s="142">
        <v>2560</v>
      </c>
      <c r="C2569" s="143"/>
    </row>
    <row r="2570" spans="2:3" x14ac:dyDescent="0.2">
      <c r="B2570" s="142">
        <v>2561</v>
      </c>
      <c r="C2570" s="143"/>
    </row>
    <row r="2571" spans="2:3" x14ac:dyDescent="0.2">
      <c r="B2571" s="142">
        <v>2562</v>
      </c>
      <c r="C2571" s="143"/>
    </row>
    <row r="2572" spans="2:3" x14ac:dyDescent="0.2">
      <c r="B2572" s="142">
        <v>2563</v>
      </c>
      <c r="C2572" s="143"/>
    </row>
    <row r="2573" spans="2:3" x14ac:dyDescent="0.2">
      <c r="B2573" s="142">
        <v>2564</v>
      </c>
      <c r="C2573" s="143"/>
    </row>
    <row r="2574" spans="2:3" x14ac:dyDescent="0.2">
      <c r="B2574" s="142">
        <v>2565</v>
      </c>
      <c r="C2574" s="143"/>
    </row>
    <row r="2575" spans="2:3" x14ac:dyDescent="0.2">
      <c r="B2575" s="142">
        <v>2566</v>
      </c>
      <c r="C2575" s="143"/>
    </row>
    <row r="2576" spans="2:3" x14ac:dyDescent="0.2">
      <c r="B2576" s="142">
        <v>2567</v>
      </c>
      <c r="C2576" s="143"/>
    </row>
    <row r="2577" spans="2:3" x14ac:dyDescent="0.2">
      <c r="B2577" s="142">
        <v>2568</v>
      </c>
      <c r="C2577" s="143"/>
    </row>
    <row r="2578" spans="2:3" x14ac:dyDescent="0.2">
      <c r="B2578" s="142">
        <v>2569</v>
      </c>
      <c r="C2578" s="143"/>
    </row>
    <row r="2579" spans="2:3" x14ac:dyDescent="0.2">
      <c r="B2579" s="142">
        <v>2570</v>
      </c>
      <c r="C2579" s="143"/>
    </row>
    <row r="2580" spans="2:3" x14ac:dyDescent="0.2">
      <c r="B2580" s="142">
        <v>2571</v>
      </c>
      <c r="C2580" s="143"/>
    </row>
    <row r="2581" spans="2:3" x14ac:dyDescent="0.2">
      <c r="B2581" s="142">
        <v>2572</v>
      </c>
      <c r="C2581" s="143"/>
    </row>
    <row r="2582" spans="2:3" x14ac:dyDescent="0.2">
      <c r="B2582" s="142">
        <v>2573</v>
      </c>
      <c r="C2582" s="143"/>
    </row>
    <row r="2583" spans="2:3" x14ac:dyDescent="0.2">
      <c r="B2583" s="142">
        <v>2574</v>
      </c>
      <c r="C2583" s="143"/>
    </row>
    <row r="2584" spans="2:3" x14ac:dyDescent="0.2">
      <c r="B2584" s="142">
        <v>2575</v>
      </c>
      <c r="C2584" s="143"/>
    </row>
    <row r="2585" spans="2:3" x14ac:dyDescent="0.2">
      <c r="B2585" s="142">
        <v>2576</v>
      </c>
      <c r="C2585" s="143"/>
    </row>
    <row r="2586" spans="2:3" x14ac:dyDescent="0.2">
      <c r="B2586" s="142">
        <v>2577</v>
      </c>
      <c r="C2586" s="143"/>
    </row>
    <row r="2587" spans="2:3" x14ac:dyDescent="0.2">
      <c r="B2587" s="142">
        <v>2578</v>
      </c>
      <c r="C2587" s="143"/>
    </row>
    <row r="2588" spans="2:3" x14ac:dyDescent="0.2">
      <c r="B2588" s="142">
        <v>2579</v>
      </c>
      <c r="C2588" s="143"/>
    </row>
    <row r="2589" spans="2:3" x14ac:dyDescent="0.2">
      <c r="B2589" s="142">
        <v>2580</v>
      </c>
      <c r="C2589" s="143"/>
    </row>
    <row r="2590" spans="2:3" x14ac:dyDescent="0.2">
      <c r="B2590" s="142">
        <v>2581</v>
      </c>
      <c r="C2590" s="143"/>
    </row>
    <row r="2591" spans="2:3" x14ac:dyDescent="0.2">
      <c r="B2591" s="142">
        <v>2582</v>
      </c>
      <c r="C2591" s="143"/>
    </row>
    <row r="2592" spans="2:3" x14ac:dyDescent="0.2">
      <c r="B2592" s="142">
        <v>2583</v>
      </c>
      <c r="C2592" s="143"/>
    </row>
    <row r="2593" spans="2:3" x14ac:dyDescent="0.2">
      <c r="B2593" s="142">
        <v>2584</v>
      </c>
      <c r="C2593" s="143"/>
    </row>
    <row r="2594" spans="2:3" x14ac:dyDescent="0.2">
      <c r="B2594" s="142">
        <v>2585</v>
      </c>
      <c r="C2594" s="143"/>
    </row>
    <row r="2595" spans="2:3" x14ac:dyDescent="0.2">
      <c r="B2595" s="142">
        <v>2586</v>
      </c>
      <c r="C2595" s="143"/>
    </row>
    <row r="2596" spans="2:3" x14ac:dyDescent="0.2">
      <c r="B2596" s="142">
        <v>2587</v>
      </c>
      <c r="C2596" s="143"/>
    </row>
    <row r="2597" spans="2:3" x14ac:dyDescent="0.2">
      <c r="B2597" s="142">
        <v>2588</v>
      </c>
      <c r="C2597" s="143"/>
    </row>
    <row r="2598" spans="2:3" x14ac:dyDescent="0.2">
      <c r="B2598" s="142">
        <v>2589</v>
      </c>
      <c r="C2598" s="143"/>
    </row>
    <row r="2599" spans="2:3" x14ac:dyDescent="0.2">
      <c r="B2599" s="142">
        <v>2590</v>
      </c>
      <c r="C2599" s="143"/>
    </row>
    <row r="2600" spans="2:3" x14ac:dyDescent="0.2">
      <c r="B2600" s="142">
        <v>2591</v>
      </c>
      <c r="C2600" s="143"/>
    </row>
    <row r="2601" spans="2:3" x14ac:dyDescent="0.2">
      <c r="B2601" s="142">
        <v>2592</v>
      </c>
      <c r="C2601" s="143"/>
    </row>
    <row r="2602" spans="2:3" x14ac:dyDescent="0.2">
      <c r="B2602" s="142">
        <v>2593</v>
      </c>
      <c r="C2602" s="143"/>
    </row>
    <row r="2603" spans="2:3" x14ac:dyDescent="0.2">
      <c r="B2603" s="142">
        <v>2594</v>
      </c>
      <c r="C2603" s="143"/>
    </row>
    <row r="2604" spans="2:3" x14ac:dyDescent="0.2">
      <c r="B2604" s="142">
        <v>2595</v>
      </c>
      <c r="C2604" s="143"/>
    </row>
    <row r="2605" spans="2:3" x14ac:dyDescent="0.2">
      <c r="B2605" s="142">
        <v>2596</v>
      </c>
      <c r="C2605" s="143"/>
    </row>
    <row r="2606" spans="2:3" x14ac:dyDescent="0.2">
      <c r="B2606" s="142">
        <v>2597</v>
      </c>
      <c r="C2606" s="143"/>
    </row>
    <row r="2607" spans="2:3" x14ac:dyDescent="0.2">
      <c r="B2607" s="142">
        <v>2598</v>
      </c>
      <c r="C2607" s="143"/>
    </row>
    <row r="2608" spans="2:3" x14ac:dyDescent="0.2">
      <c r="B2608" s="142">
        <v>2599</v>
      </c>
      <c r="C2608" s="143"/>
    </row>
    <row r="2609" spans="2:3" x14ac:dyDescent="0.2">
      <c r="B2609" s="142">
        <v>2600</v>
      </c>
      <c r="C2609" s="143"/>
    </row>
    <row r="2610" spans="2:3" x14ac:dyDescent="0.2">
      <c r="B2610" s="142">
        <v>2601</v>
      </c>
      <c r="C2610" s="143"/>
    </row>
    <row r="2611" spans="2:3" x14ac:dyDescent="0.2">
      <c r="B2611" s="142">
        <v>2602</v>
      </c>
      <c r="C2611" s="143"/>
    </row>
    <row r="2612" spans="2:3" x14ac:dyDescent="0.2">
      <c r="B2612" s="142">
        <v>2603</v>
      </c>
      <c r="C2612" s="143"/>
    </row>
    <row r="2613" spans="2:3" x14ac:dyDescent="0.2">
      <c r="B2613" s="142">
        <v>2604</v>
      </c>
      <c r="C2613" s="143"/>
    </row>
    <row r="2614" spans="2:3" x14ac:dyDescent="0.2">
      <c r="B2614" s="142">
        <v>2605</v>
      </c>
      <c r="C2614" s="143"/>
    </row>
    <row r="2615" spans="2:3" x14ac:dyDescent="0.2">
      <c r="B2615" s="142">
        <v>2606</v>
      </c>
      <c r="C2615" s="143"/>
    </row>
    <row r="2616" spans="2:3" x14ac:dyDescent="0.2">
      <c r="B2616" s="142">
        <v>2607</v>
      </c>
      <c r="C2616" s="143"/>
    </row>
    <row r="2617" spans="2:3" x14ac:dyDescent="0.2">
      <c r="B2617" s="142">
        <v>2608</v>
      </c>
      <c r="C2617" s="143"/>
    </row>
    <row r="2618" spans="2:3" x14ac:dyDescent="0.2">
      <c r="B2618" s="142">
        <v>2609</v>
      </c>
      <c r="C2618" s="143"/>
    </row>
    <row r="2619" spans="2:3" x14ac:dyDescent="0.2">
      <c r="B2619" s="142">
        <v>2610</v>
      </c>
      <c r="C2619" s="143"/>
    </row>
    <row r="2620" spans="2:3" x14ac:dyDescent="0.2">
      <c r="B2620" s="142">
        <v>2611</v>
      </c>
      <c r="C2620" s="143"/>
    </row>
    <row r="2621" spans="2:3" x14ac:dyDescent="0.2">
      <c r="B2621" s="142">
        <v>2612</v>
      </c>
      <c r="C2621" s="143"/>
    </row>
    <row r="2622" spans="2:3" x14ac:dyDescent="0.2">
      <c r="B2622" s="142">
        <v>2613</v>
      </c>
      <c r="C2622" s="143"/>
    </row>
    <row r="2623" spans="2:3" x14ac:dyDescent="0.2">
      <c r="B2623" s="142">
        <v>2614</v>
      </c>
      <c r="C2623" s="143"/>
    </row>
    <row r="2624" spans="2:3" x14ac:dyDescent="0.2">
      <c r="B2624" s="142">
        <v>2615</v>
      </c>
      <c r="C2624" s="143"/>
    </row>
    <row r="2625" spans="2:3" x14ac:dyDescent="0.2">
      <c r="B2625" s="142">
        <v>2616</v>
      </c>
      <c r="C2625" s="143"/>
    </row>
    <row r="2626" spans="2:3" x14ac:dyDescent="0.2">
      <c r="B2626" s="142">
        <v>2617</v>
      </c>
      <c r="C2626" s="143"/>
    </row>
    <row r="2627" spans="2:3" x14ac:dyDescent="0.2">
      <c r="B2627" s="142">
        <v>2618</v>
      </c>
      <c r="C2627" s="143"/>
    </row>
    <row r="2628" spans="2:3" x14ac:dyDescent="0.2">
      <c r="B2628" s="142">
        <v>2619</v>
      </c>
      <c r="C2628" s="143"/>
    </row>
    <row r="2629" spans="2:3" x14ac:dyDescent="0.2">
      <c r="B2629" s="142">
        <v>2620</v>
      </c>
      <c r="C2629" s="143"/>
    </row>
    <row r="2630" spans="2:3" x14ac:dyDescent="0.2">
      <c r="B2630" s="142">
        <v>2621</v>
      </c>
      <c r="C2630" s="143"/>
    </row>
    <row r="2631" spans="2:3" x14ac:dyDescent="0.2">
      <c r="B2631" s="142">
        <v>2622</v>
      </c>
      <c r="C2631" s="143"/>
    </row>
    <row r="2632" spans="2:3" x14ac:dyDescent="0.2">
      <c r="B2632" s="142">
        <v>2623</v>
      </c>
      <c r="C2632" s="143"/>
    </row>
    <row r="2633" spans="2:3" x14ac:dyDescent="0.2">
      <c r="B2633" s="142">
        <v>2624</v>
      </c>
      <c r="C2633" s="143"/>
    </row>
    <row r="2634" spans="2:3" x14ac:dyDescent="0.2">
      <c r="B2634" s="142">
        <v>2625</v>
      </c>
      <c r="C2634" s="143"/>
    </row>
    <row r="2635" spans="2:3" x14ac:dyDescent="0.2">
      <c r="B2635" s="142">
        <v>2626</v>
      </c>
      <c r="C2635" s="143"/>
    </row>
    <row r="2636" spans="2:3" x14ac:dyDescent="0.2">
      <c r="B2636" s="142">
        <v>2627</v>
      </c>
      <c r="C2636" s="143"/>
    </row>
    <row r="2637" spans="2:3" x14ac:dyDescent="0.2">
      <c r="B2637" s="142">
        <v>2628</v>
      </c>
      <c r="C2637" s="143"/>
    </row>
    <row r="2638" spans="2:3" x14ac:dyDescent="0.2">
      <c r="B2638" s="142">
        <v>2629</v>
      </c>
      <c r="C2638" s="143"/>
    </row>
    <row r="2639" spans="2:3" x14ac:dyDescent="0.2">
      <c r="B2639" s="142">
        <v>2630</v>
      </c>
      <c r="C2639" s="143"/>
    </row>
    <row r="2640" spans="2:3" x14ac:dyDescent="0.2">
      <c r="B2640" s="142">
        <v>2631</v>
      </c>
      <c r="C2640" s="143"/>
    </row>
    <row r="2641" spans="2:3" x14ac:dyDescent="0.2">
      <c r="B2641" s="142">
        <v>2632</v>
      </c>
      <c r="C2641" s="143"/>
    </row>
    <row r="2642" spans="2:3" x14ac:dyDescent="0.2">
      <c r="B2642" s="142">
        <v>2633</v>
      </c>
      <c r="C2642" s="143"/>
    </row>
    <row r="2643" spans="2:3" x14ac:dyDescent="0.2">
      <c r="B2643" s="142">
        <v>2634</v>
      </c>
      <c r="C2643" s="143"/>
    </row>
    <row r="2644" spans="2:3" x14ac:dyDescent="0.2">
      <c r="B2644" s="142">
        <v>2635</v>
      </c>
      <c r="C2644" s="143"/>
    </row>
    <row r="2645" spans="2:3" x14ac:dyDescent="0.2">
      <c r="B2645" s="142">
        <v>2636</v>
      </c>
      <c r="C2645" s="143"/>
    </row>
    <row r="2646" spans="2:3" x14ac:dyDescent="0.2">
      <c r="B2646" s="142">
        <v>2637</v>
      </c>
      <c r="C2646" s="143"/>
    </row>
    <row r="2647" spans="2:3" x14ac:dyDescent="0.2">
      <c r="B2647" s="142">
        <v>2638</v>
      </c>
      <c r="C2647" s="143"/>
    </row>
    <row r="2648" spans="2:3" x14ac:dyDescent="0.2">
      <c r="B2648" s="142">
        <v>2639</v>
      </c>
      <c r="C2648" s="143"/>
    </row>
    <row r="2649" spans="2:3" x14ac:dyDescent="0.2">
      <c r="B2649" s="142">
        <v>2640</v>
      </c>
      <c r="C2649" s="143"/>
    </row>
    <row r="2650" spans="2:3" x14ac:dyDescent="0.2">
      <c r="B2650" s="142">
        <v>2641</v>
      </c>
      <c r="C2650" s="143"/>
    </row>
    <row r="2651" spans="2:3" x14ac:dyDescent="0.2">
      <c r="B2651" s="142">
        <v>2642</v>
      </c>
      <c r="C2651" s="143"/>
    </row>
    <row r="2652" spans="2:3" x14ac:dyDescent="0.2">
      <c r="B2652" s="142">
        <v>2643</v>
      </c>
      <c r="C2652" s="143"/>
    </row>
    <row r="2653" spans="2:3" x14ac:dyDescent="0.2">
      <c r="B2653" s="142">
        <v>2644</v>
      </c>
      <c r="C2653" s="143"/>
    </row>
    <row r="2654" spans="2:3" x14ac:dyDescent="0.2">
      <c r="B2654" s="142">
        <v>2645</v>
      </c>
      <c r="C2654" s="143"/>
    </row>
    <row r="2655" spans="2:3" x14ac:dyDescent="0.2">
      <c r="B2655" s="142">
        <v>2646</v>
      </c>
      <c r="C2655" s="143"/>
    </row>
    <row r="2656" spans="2:3" x14ac:dyDescent="0.2">
      <c r="B2656" s="142">
        <v>2647</v>
      </c>
      <c r="C2656" s="143"/>
    </row>
    <row r="2657" spans="2:3" x14ac:dyDescent="0.2">
      <c r="B2657" s="142">
        <v>2648</v>
      </c>
      <c r="C2657" s="143"/>
    </row>
    <row r="2658" spans="2:3" x14ac:dyDescent="0.2">
      <c r="B2658" s="142">
        <v>2649</v>
      </c>
      <c r="C2658" s="143"/>
    </row>
    <row r="2659" spans="2:3" x14ac:dyDescent="0.2">
      <c r="B2659" s="142">
        <v>2650</v>
      </c>
      <c r="C2659" s="143"/>
    </row>
    <row r="2660" spans="2:3" x14ac:dyDescent="0.2">
      <c r="B2660" s="142">
        <v>2651</v>
      </c>
      <c r="C2660" s="143"/>
    </row>
    <row r="2661" spans="2:3" x14ac:dyDescent="0.2">
      <c r="B2661" s="142">
        <v>2652</v>
      </c>
      <c r="C2661" s="143"/>
    </row>
    <row r="2662" spans="2:3" x14ac:dyDescent="0.2">
      <c r="B2662" s="142">
        <v>2653</v>
      </c>
      <c r="C2662" s="143"/>
    </row>
    <row r="2663" spans="2:3" x14ac:dyDescent="0.2">
      <c r="B2663" s="142">
        <v>2654</v>
      </c>
      <c r="C2663" s="143"/>
    </row>
    <row r="2664" spans="2:3" x14ac:dyDescent="0.2">
      <c r="B2664" s="142">
        <v>2655</v>
      </c>
      <c r="C2664" s="143"/>
    </row>
    <row r="2665" spans="2:3" x14ac:dyDescent="0.2">
      <c r="B2665" s="142">
        <v>2656</v>
      </c>
      <c r="C2665" s="143"/>
    </row>
    <row r="2666" spans="2:3" x14ac:dyDescent="0.2">
      <c r="B2666" s="142">
        <v>2657</v>
      </c>
      <c r="C2666" s="143"/>
    </row>
    <row r="2667" spans="2:3" x14ac:dyDescent="0.2">
      <c r="B2667" s="142">
        <v>2658</v>
      </c>
      <c r="C2667" s="143"/>
    </row>
    <row r="2668" spans="2:3" x14ac:dyDescent="0.2">
      <c r="B2668" s="142">
        <v>2659</v>
      </c>
      <c r="C2668" s="143"/>
    </row>
    <row r="2669" spans="2:3" x14ac:dyDescent="0.2">
      <c r="B2669" s="142">
        <v>2660</v>
      </c>
      <c r="C2669" s="143"/>
    </row>
    <row r="2670" spans="2:3" x14ac:dyDescent="0.2">
      <c r="B2670" s="142">
        <v>2661</v>
      </c>
      <c r="C2670" s="143"/>
    </row>
    <row r="2671" spans="2:3" x14ac:dyDescent="0.2">
      <c r="B2671" s="142">
        <v>2662</v>
      </c>
      <c r="C2671" s="143"/>
    </row>
    <row r="2672" spans="2:3" x14ac:dyDescent="0.2">
      <c r="B2672" s="142">
        <v>2663</v>
      </c>
      <c r="C2672" s="143"/>
    </row>
    <row r="2673" spans="2:3" x14ac:dyDescent="0.2">
      <c r="B2673" s="142">
        <v>2664</v>
      </c>
      <c r="C2673" s="143"/>
    </row>
    <row r="2674" spans="2:3" x14ac:dyDescent="0.2">
      <c r="B2674" s="142">
        <v>2665</v>
      </c>
      <c r="C2674" s="143"/>
    </row>
    <row r="2675" spans="2:3" x14ac:dyDescent="0.2">
      <c r="B2675" s="142">
        <v>2666</v>
      </c>
      <c r="C2675" s="143"/>
    </row>
    <row r="2676" spans="2:3" x14ac:dyDescent="0.2">
      <c r="B2676" s="142">
        <v>2667</v>
      </c>
      <c r="C2676" s="143"/>
    </row>
    <row r="2677" spans="2:3" x14ac:dyDescent="0.2">
      <c r="B2677" s="142">
        <v>2668</v>
      </c>
      <c r="C2677" s="143"/>
    </row>
    <row r="2678" spans="2:3" x14ac:dyDescent="0.2">
      <c r="B2678" s="142">
        <v>2669</v>
      </c>
      <c r="C2678" s="143"/>
    </row>
    <row r="2679" spans="2:3" x14ac:dyDescent="0.2">
      <c r="B2679" s="142">
        <v>2670</v>
      </c>
      <c r="C2679" s="143"/>
    </row>
    <row r="2680" spans="2:3" x14ac:dyDescent="0.2">
      <c r="B2680" s="142">
        <v>2671</v>
      </c>
      <c r="C2680" s="143"/>
    </row>
    <row r="2681" spans="2:3" x14ac:dyDescent="0.2">
      <c r="B2681" s="142">
        <v>2672</v>
      </c>
      <c r="C2681" s="143"/>
    </row>
    <row r="2682" spans="2:3" x14ac:dyDescent="0.2">
      <c r="B2682" s="142">
        <v>2673</v>
      </c>
      <c r="C2682" s="143"/>
    </row>
    <row r="2683" spans="2:3" x14ac:dyDescent="0.2">
      <c r="B2683" s="142">
        <v>2674</v>
      </c>
      <c r="C2683" s="143"/>
    </row>
    <row r="2684" spans="2:3" x14ac:dyDescent="0.2">
      <c r="B2684" s="142">
        <v>2675</v>
      </c>
      <c r="C2684" s="143"/>
    </row>
    <row r="2685" spans="2:3" x14ac:dyDescent="0.2">
      <c r="B2685" s="142">
        <v>2676</v>
      </c>
      <c r="C2685" s="143"/>
    </row>
    <row r="2686" spans="2:3" x14ac:dyDescent="0.2">
      <c r="B2686" s="142">
        <v>2677</v>
      </c>
      <c r="C2686" s="143"/>
    </row>
    <row r="2687" spans="2:3" x14ac:dyDescent="0.2">
      <c r="B2687" s="142">
        <v>2678</v>
      </c>
      <c r="C2687" s="143"/>
    </row>
    <row r="2688" spans="2:3" x14ac:dyDescent="0.2">
      <c r="B2688" s="142">
        <v>2679</v>
      </c>
      <c r="C2688" s="143"/>
    </row>
    <row r="2689" spans="2:3" x14ac:dyDescent="0.2">
      <c r="B2689" s="142">
        <v>2680</v>
      </c>
      <c r="C2689" s="143"/>
    </row>
    <row r="2690" spans="2:3" x14ac:dyDescent="0.2">
      <c r="B2690" s="142">
        <v>2681</v>
      </c>
      <c r="C2690" s="143"/>
    </row>
    <row r="2691" spans="2:3" x14ac:dyDescent="0.2">
      <c r="B2691" s="142">
        <v>2682</v>
      </c>
      <c r="C2691" s="143"/>
    </row>
    <row r="2692" spans="2:3" x14ac:dyDescent="0.2">
      <c r="B2692" s="142">
        <v>2683</v>
      </c>
      <c r="C2692" s="143"/>
    </row>
    <row r="2693" spans="2:3" x14ac:dyDescent="0.2">
      <c r="B2693" s="142">
        <v>2684</v>
      </c>
      <c r="C2693" s="143"/>
    </row>
    <row r="2694" spans="2:3" x14ac:dyDescent="0.2">
      <c r="B2694" s="142">
        <v>2685</v>
      </c>
      <c r="C2694" s="143"/>
    </row>
    <row r="2695" spans="2:3" x14ac:dyDescent="0.2">
      <c r="B2695" s="142">
        <v>2686</v>
      </c>
      <c r="C2695" s="143"/>
    </row>
    <row r="2696" spans="2:3" x14ac:dyDescent="0.2">
      <c r="B2696" s="142">
        <v>2687</v>
      </c>
      <c r="C2696" s="143"/>
    </row>
    <row r="2697" spans="2:3" x14ac:dyDescent="0.2">
      <c r="B2697" s="142">
        <v>2688</v>
      </c>
      <c r="C2697" s="143"/>
    </row>
    <row r="2698" spans="2:3" x14ac:dyDescent="0.2">
      <c r="B2698" s="142">
        <v>2689</v>
      </c>
      <c r="C2698" s="143"/>
    </row>
    <row r="2699" spans="2:3" x14ac:dyDescent="0.2">
      <c r="B2699" s="142">
        <v>2690</v>
      </c>
      <c r="C2699" s="143"/>
    </row>
    <row r="2700" spans="2:3" x14ac:dyDescent="0.2">
      <c r="B2700" s="142">
        <v>2691</v>
      </c>
      <c r="C2700" s="143"/>
    </row>
    <row r="2701" spans="2:3" x14ac:dyDescent="0.2">
      <c r="B2701" s="142">
        <v>2692</v>
      </c>
      <c r="C2701" s="143"/>
    </row>
    <row r="2702" spans="2:3" x14ac:dyDescent="0.2">
      <c r="B2702" s="142">
        <v>2693</v>
      </c>
      <c r="C2702" s="143"/>
    </row>
    <row r="2703" spans="2:3" x14ac:dyDescent="0.2">
      <c r="B2703" s="142">
        <v>2694</v>
      </c>
      <c r="C2703" s="143"/>
    </row>
    <row r="2704" spans="2:3" x14ac:dyDescent="0.2">
      <c r="B2704" s="142">
        <v>2695</v>
      </c>
      <c r="C2704" s="143"/>
    </row>
    <row r="2705" spans="2:3" x14ac:dyDescent="0.2">
      <c r="B2705" s="142">
        <v>2696</v>
      </c>
      <c r="C2705" s="143"/>
    </row>
    <row r="2706" spans="2:3" x14ac:dyDescent="0.2">
      <c r="B2706" s="142">
        <v>2697</v>
      </c>
      <c r="C2706" s="143"/>
    </row>
    <row r="2707" spans="2:3" x14ac:dyDescent="0.2">
      <c r="B2707" s="142">
        <v>2698</v>
      </c>
      <c r="C2707" s="143"/>
    </row>
    <row r="2708" spans="2:3" x14ac:dyDescent="0.2">
      <c r="B2708" s="142">
        <v>2699</v>
      </c>
      <c r="C2708" s="143"/>
    </row>
    <row r="2709" spans="2:3" x14ac:dyDescent="0.2">
      <c r="B2709" s="142">
        <v>2700</v>
      </c>
      <c r="C2709" s="143"/>
    </row>
    <row r="2710" spans="2:3" x14ac:dyDescent="0.2">
      <c r="B2710" s="142">
        <v>2701</v>
      </c>
      <c r="C2710" s="143"/>
    </row>
    <row r="2711" spans="2:3" x14ac:dyDescent="0.2">
      <c r="B2711" s="142">
        <v>2702</v>
      </c>
      <c r="C2711" s="143"/>
    </row>
    <row r="2712" spans="2:3" x14ac:dyDescent="0.2">
      <c r="B2712" s="142">
        <v>2703</v>
      </c>
      <c r="C2712" s="143"/>
    </row>
    <row r="2713" spans="2:3" x14ac:dyDescent="0.2">
      <c r="B2713" s="142">
        <v>2704</v>
      </c>
      <c r="C2713" s="143"/>
    </row>
    <row r="2714" spans="2:3" x14ac:dyDescent="0.2">
      <c r="B2714" s="142">
        <v>2705</v>
      </c>
      <c r="C2714" s="143"/>
    </row>
    <row r="2715" spans="2:3" x14ac:dyDescent="0.2">
      <c r="B2715" s="142">
        <v>2706</v>
      </c>
      <c r="C2715" s="143"/>
    </row>
    <row r="2716" spans="2:3" x14ac:dyDescent="0.2">
      <c r="B2716" s="142">
        <v>2707</v>
      </c>
      <c r="C2716" s="143"/>
    </row>
    <row r="2717" spans="2:3" x14ac:dyDescent="0.2">
      <c r="B2717" s="142">
        <v>2708</v>
      </c>
      <c r="C2717" s="143"/>
    </row>
    <row r="2718" spans="2:3" x14ac:dyDescent="0.2">
      <c r="B2718" s="142">
        <v>2709</v>
      </c>
      <c r="C2718" s="143"/>
    </row>
    <row r="2719" spans="2:3" x14ac:dyDescent="0.2">
      <c r="B2719" s="142">
        <v>2710</v>
      </c>
      <c r="C2719" s="143"/>
    </row>
    <row r="2720" spans="2:3" x14ac:dyDescent="0.2">
      <c r="B2720" s="142">
        <v>2711</v>
      </c>
      <c r="C2720" s="143"/>
    </row>
    <row r="2721" spans="2:3" x14ac:dyDescent="0.2">
      <c r="B2721" s="142">
        <v>2712</v>
      </c>
      <c r="C2721" s="143"/>
    </row>
    <row r="2722" spans="2:3" x14ac:dyDescent="0.2">
      <c r="B2722" s="142">
        <v>2713</v>
      </c>
      <c r="C2722" s="143"/>
    </row>
    <row r="2723" spans="2:3" x14ac:dyDescent="0.2">
      <c r="B2723" s="142">
        <v>2714</v>
      </c>
      <c r="C2723" s="143"/>
    </row>
    <row r="2724" spans="2:3" x14ac:dyDescent="0.2">
      <c r="B2724" s="142">
        <v>2715</v>
      </c>
      <c r="C2724" s="143"/>
    </row>
    <row r="2725" spans="2:3" x14ac:dyDescent="0.2">
      <c r="B2725" s="142">
        <v>2716</v>
      </c>
      <c r="C2725" s="143"/>
    </row>
    <row r="2726" spans="2:3" x14ac:dyDescent="0.2">
      <c r="B2726" s="142">
        <v>2717</v>
      </c>
      <c r="C2726" s="143"/>
    </row>
    <row r="2727" spans="2:3" x14ac:dyDescent="0.2">
      <c r="B2727" s="142">
        <v>2718</v>
      </c>
      <c r="C2727" s="143"/>
    </row>
    <row r="2728" spans="2:3" x14ac:dyDescent="0.2">
      <c r="B2728" s="142">
        <v>2719</v>
      </c>
      <c r="C2728" s="143"/>
    </row>
    <row r="2729" spans="2:3" x14ac:dyDescent="0.2">
      <c r="B2729" s="142">
        <v>2720</v>
      </c>
      <c r="C2729" s="143"/>
    </row>
    <row r="2730" spans="2:3" x14ac:dyDescent="0.2">
      <c r="B2730" s="142">
        <v>2721</v>
      </c>
      <c r="C2730" s="143"/>
    </row>
    <row r="2731" spans="2:3" x14ac:dyDescent="0.2">
      <c r="B2731" s="142">
        <v>2722</v>
      </c>
      <c r="C2731" s="143"/>
    </row>
    <row r="2732" spans="2:3" x14ac:dyDescent="0.2">
      <c r="B2732" s="142">
        <v>2723</v>
      </c>
      <c r="C2732" s="143"/>
    </row>
    <row r="2733" spans="2:3" x14ac:dyDescent="0.2">
      <c r="B2733" s="142">
        <v>2724</v>
      </c>
      <c r="C2733" s="143"/>
    </row>
    <row r="2734" spans="2:3" x14ac:dyDescent="0.2">
      <c r="B2734" s="142">
        <v>2725</v>
      </c>
      <c r="C2734" s="143"/>
    </row>
    <row r="2735" spans="2:3" x14ac:dyDescent="0.2">
      <c r="B2735" s="142">
        <v>2726</v>
      </c>
      <c r="C2735" s="143"/>
    </row>
    <row r="2736" spans="2:3" x14ac:dyDescent="0.2">
      <c r="B2736" s="142">
        <v>2727</v>
      </c>
      <c r="C2736" s="143"/>
    </row>
    <row r="2737" spans="2:3" x14ac:dyDescent="0.2">
      <c r="B2737" s="142">
        <v>2728</v>
      </c>
      <c r="C2737" s="143"/>
    </row>
    <row r="2738" spans="2:3" x14ac:dyDescent="0.2">
      <c r="B2738" s="142">
        <v>2729</v>
      </c>
      <c r="C2738" s="143"/>
    </row>
    <row r="2739" spans="2:3" x14ac:dyDescent="0.2">
      <c r="B2739" s="142">
        <v>2730</v>
      </c>
      <c r="C2739" s="143"/>
    </row>
    <row r="2740" spans="2:3" x14ac:dyDescent="0.2">
      <c r="B2740" s="142">
        <v>2731</v>
      </c>
      <c r="C2740" s="143"/>
    </row>
    <row r="2741" spans="2:3" x14ac:dyDescent="0.2">
      <c r="B2741" s="142">
        <v>2732</v>
      </c>
      <c r="C2741" s="143"/>
    </row>
    <row r="2742" spans="2:3" x14ac:dyDescent="0.2">
      <c r="B2742" s="142">
        <v>2733</v>
      </c>
      <c r="C2742" s="143"/>
    </row>
    <row r="2743" spans="2:3" x14ac:dyDescent="0.2">
      <c r="B2743" s="142">
        <v>2734</v>
      </c>
      <c r="C2743" s="143"/>
    </row>
    <row r="2744" spans="2:3" x14ac:dyDescent="0.2">
      <c r="B2744" s="142">
        <v>2735</v>
      </c>
      <c r="C2744" s="143"/>
    </row>
    <row r="2745" spans="2:3" x14ac:dyDescent="0.2">
      <c r="B2745" s="142">
        <v>2736</v>
      </c>
      <c r="C2745" s="143"/>
    </row>
    <row r="2746" spans="2:3" x14ac:dyDescent="0.2">
      <c r="B2746" s="142">
        <v>2737</v>
      </c>
      <c r="C2746" s="143"/>
    </row>
    <row r="2747" spans="2:3" x14ac:dyDescent="0.2">
      <c r="B2747" s="142">
        <v>2738</v>
      </c>
      <c r="C2747" s="143"/>
    </row>
    <row r="2748" spans="2:3" x14ac:dyDescent="0.2">
      <c r="B2748" s="142">
        <v>2739</v>
      </c>
      <c r="C2748" s="143"/>
    </row>
    <row r="2749" spans="2:3" x14ac:dyDescent="0.2">
      <c r="B2749" s="142">
        <v>2740</v>
      </c>
      <c r="C2749" s="143"/>
    </row>
    <row r="2750" spans="2:3" x14ac:dyDescent="0.2">
      <c r="B2750" s="142">
        <v>2741</v>
      </c>
      <c r="C2750" s="143"/>
    </row>
    <row r="2751" spans="2:3" x14ac:dyDescent="0.2">
      <c r="B2751" s="142">
        <v>2742</v>
      </c>
      <c r="C2751" s="143"/>
    </row>
    <row r="2752" spans="2:3" x14ac:dyDescent="0.2">
      <c r="B2752" s="142">
        <v>2743</v>
      </c>
      <c r="C2752" s="143"/>
    </row>
    <row r="2753" spans="2:3" x14ac:dyDescent="0.2">
      <c r="B2753" s="142">
        <v>2744</v>
      </c>
      <c r="C2753" s="143"/>
    </row>
    <row r="2754" spans="2:3" x14ac:dyDescent="0.2">
      <c r="B2754" s="142">
        <v>2745</v>
      </c>
      <c r="C2754" s="143"/>
    </row>
    <row r="2755" spans="2:3" x14ac:dyDescent="0.2">
      <c r="B2755" s="142">
        <v>2746</v>
      </c>
      <c r="C2755" s="143"/>
    </row>
    <row r="2756" spans="2:3" x14ac:dyDescent="0.2">
      <c r="B2756" s="142">
        <v>2747</v>
      </c>
      <c r="C2756" s="143"/>
    </row>
    <row r="2757" spans="2:3" x14ac:dyDescent="0.2">
      <c r="B2757" s="142">
        <v>2748</v>
      </c>
      <c r="C2757" s="143"/>
    </row>
    <row r="2758" spans="2:3" x14ac:dyDescent="0.2">
      <c r="B2758" s="142">
        <v>2749</v>
      </c>
      <c r="C2758" s="143"/>
    </row>
    <row r="2759" spans="2:3" x14ac:dyDescent="0.2">
      <c r="B2759" s="142">
        <v>2750</v>
      </c>
      <c r="C2759" s="143"/>
    </row>
    <row r="2760" spans="2:3" x14ac:dyDescent="0.2">
      <c r="B2760" s="142">
        <v>2751</v>
      </c>
      <c r="C2760" s="143"/>
    </row>
    <row r="2761" spans="2:3" x14ac:dyDescent="0.2">
      <c r="B2761" s="142">
        <v>2752</v>
      </c>
      <c r="C2761" s="143"/>
    </row>
    <row r="2762" spans="2:3" x14ac:dyDescent="0.2">
      <c r="B2762" s="142">
        <v>2753</v>
      </c>
      <c r="C2762" s="143"/>
    </row>
    <row r="2763" spans="2:3" x14ac:dyDescent="0.2">
      <c r="B2763" s="142">
        <v>2754</v>
      </c>
      <c r="C2763" s="143"/>
    </row>
    <row r="2764" spans="2:3" x14ac:dyDescent="0.2">
      <c r="B2764" s="142">
        <v>2755</v>
      </c>
      <c r="C2764" s="143"/>
    </row>
    <row r="2765" spans="2:3" x14ac:dyDescent="0.2">
      <c r="B2765" s="142">
        <v>2756</v>
      </c>
      <c r="C2765" s="143"/>
    </row>
    <row r="2766" spans="2:3" x14ac:dyDescent="0.2">
      <c r="B2766" s="142">
        <v>2757</v>
      </c>
      <c r="C2766" s="143"/>
    </row>
    <row r="2767" spans="2:3" x14ac:dyDescent="0.2">
      <c r="B2767" s="142">
        <v>2758</v>
      </c>
      <c r="C2767" s="143"/>
    </row>
    <row r="2768" spans="2:3" x14ac:dyDescent="0.2">
      <c r="B2768" s="142">
        <v>2759</v>
      </c>
      <c r="C2768" s="143"/>
    </row>
    <row r="2769" spans="2:3" x14ac:dyDescent="0.2">
      <c r="B2769" s="142">
        <v>2760</v>
      </c>
      <c r="C2769" s="143"/>
    </row>
    <row r="2770" spans="2:3" x14ac:dyDescent="0.2">
      <c r="B2770" s="142">
        <v>2761</v>
      </c>
      <c r="C2770" s="143"/>
    </row>
    <row r="2771" spans="2:3" x14ac:dyDescent="0.2">
      <c r="B2771" s="142">
        <v>2762</v>
      </c>
      <c r="C2771" s="143"/>
    </row>
    <row r="2772" spans="2:3" x14ac:dyDescent="0.2">
      <c r="B2772" s="142">
        <v>2763</v>
      </c>
      <c r="C2772" s="143"/>
    </row>
    <row r="2773" spans="2:3" x14ac:dyDescent="0.2">
      <c r="B2773" s="142">
        <v>2764</v>
      </c>
      <c r="C2773" s="143"/>
    </row>
    <row r="2774" spans="2:3" x14ac:dyDescent="0.2">
      <c r="B2774" s="142">
        <v>2765</v>
      </c>
      <c r="C2774" s="143"/>
    </row>
    <row r="2775" spans="2:3" x14ac:dyDescent="0.2">
      <c r="B2775" s="142">
        <v>2766</v>
      </c>
      <c r="C2775" s="143"/>
    </row>
    <row r="2776" spans="2:3" x14ac:dyDescent="0.2">
      <c r="B2776" s="142">
        <v>2767</v>
      </c>
      <c r="C2776" s="143"/>
    </row>
    <row r="2777" spans="2:3" x14ac:dyDescent="0.2">
      <c r="B2777" s="142">
        <v>2768</v>
      </c>
      <c r="C2777" s="143"/>
    </row>
    <row r="2778" spans="2:3" x14ac:dyDescent="0.2">
      <c r="B2778" s="142">
        <v>2769</v>
      </c>
      <c r="C2778" s="143"/>
    </row>
    <row r="2779" spans="2:3" x14ac:dyDescent="0.2">
      <c r="B2779" s="142">
        <v>2770</v>
      </c>
      <c r="C2779" s="143"/>
    </row>
    <row r="2780" spans="2:3" x14ac:dyDescent="0.2">
      <c r="B2780" s="142">
        <v>2771</v>
      </c>
      <c r="C2780" s="143"/>
    </row>
    <row r="2781" spans="2:3" x14ac:dyDescent="0.2">
      <c r="B2781" s="142">
        <v>2772</v>
      </c>
      <c r="C2781" s="143"/>
    </row>
    <row r="2782" spans="2:3" x14ac:dyDescent="0.2">
      <c r="B2782" s="142">
        <v>2773</v>
      </c>
      <c r="C2782" s="143"/>
    </row>
    <row r="2783" spans="2:3" x14ac:dyDescent="0.2">
      <c r="B2783" s="142">
        <v>2774</v>
      </c>
      <c r="C2783" s="143"/>
    </row>
    <row r="2784" spans="2:3" x14ac:dyDescent="0.2">
      <c r="B2784" s="142">
        <v>2775</v>
      </c>
      <c r="C2784" s="143"/>
    </row>
    <row r="2785" spans="2:3" x14ac:dyDescent="0.2">
      <c r="B2785" s="142">
        <v>2776</v>
      </c>
      <c r="C2785" s="143"/>
    </row>
    <row r="2786" spans="2:3" x14ac:dyDescent="0.2">
      <c r="B2786" s="142">
        <v>2777</v>
      </c>
      <c r="C2786" s="143"/>
    </row>
    <row r="2787" spans="2:3" x14ac:dyDescent="0.2">
      <c r="B2787" s="142">
        <v>2778</v>
      </c>
      <c r="C2787" s="143"/>
    </row>
    <row r="2788" spans="2:3" x14ac:dyDescent="0.2">
      <c r="B2788" s="142">
        <v>2779</v>
      </c>
      <c r="C2788" s="143"/>
    </row>
    <row r="2789" spans="2:3" x14ac:dyDescent="0.2">
      <c r="B2789" s="142">
        <v>2780</v>
      </c>
      <c r="C2789" s="143"/>
    </row>
    <row r="2790" spans="2:3" x14ac:dyDescent="0.2">
      <c r="B2790" s="142">
        <v>2781</v>
      </c>
      <c r="C2790" s="143"/>
    </row>
    <row r="2791" spans="2:3" x14ac:dyDescent="0.2">
      <c r="B2791" s="142">
        <v>2782</v>
      </c>
      <c r="C2791" s="143"/>
    </row>
    <row r="2792" spans="2:3" x14ac:dyDescent="0.2">
      <c r="B2792" s="142">
        <v>2783</v>
      </c>
      <c r="C2792" s="143"/>
    </row>
    <row r="2793" spans="2:3" x14ac:dyDescent="0.2">
      <c r="B2793" s="142">
        <v>2784</v>
      </c>
      <c r="C2793" s="143"/>
    </row>
    <row r="2794" spans="2:3" x14ac:dyDescent="0.2">
      <c r="B2794" s="142">
        <v>2785</v>
      </c>
      <c r="C2794" s="143"/>
    </row>
    <row r="2795" spans="2:3" x14ac:dyDescent="0.2">
      <c r="B2795" s="142">
        <v>2786</v>
      </c>
      <c r="C2795" s="143"/>
    </row>
    <row r="2796" spans="2:3" x14ac:dyDescent="0.2">
      <c r="B2796" s="142">
        <v>2787</v>
      </c>
      <c r="C2796" s="143"/>
    </row>
    <row r="2797" spans="2:3" x14ac:dyDescent="0.2">
      <c r="B2797" s="142">
        <v>2788</v>
      </c>
      <c r="C2797" s="143"/>
    </row>
    <row r="2798" spans="2:3" x14ac:dyDescent="0.2">
      <c r="B2798" s="142">
        <v>2789</v>
      </c>
      <c r="C2798" s="143"/>
    </row>
    <row r="2799" spans="2:3" x14ac:dyDescent="0.2">
      <c r="B2799" s="142">
        <v>2790</v>
      </c>
      <c r="C2799" s="143"/>
    </row>
    <row r="2800" spans="2:3" x14ac:dyDescent="0.2">
      <c r="B2800" s="142">
        <v>2791</v>
      </c>
      <c r="C2800" s="143"/>
    </row>
    <row r="2801" spans="2:3" x14ac:dyDescent="0.2">
      <c r="B2801" s="142">
        <v>2792</v>
      </c>
      <c r="C2801" s="143"/>
    </row>
    <row r="2802" spans="2:3" x14ac:dyDescent="0.2">
      <c r="B2802" s="142">
        <v>2793</v>
      </c>
      <c r="C2802" s="143"/>
    </row>
    <row r="2803" spans="2:3" x14ac:dyDescent="0.2">
      <c r="B2803" s="142">
        <v>2794</v>
      </c>
      <c r="C2803" s="143"/>
    </row>
    <row r="2804" spans="2:3" x14ac:dyDescent="0.2">
      <c r="B2804" s="142">
        <v>2795</v>
      </c>
      <c r="C2804" s="143"/>
    </row>
    <row r="2805" spans="2:3" x14ac:dyDescent="0.2">
      <c r="B2805" s="142">
        <v>2796</v>
      </c>
      <c r="C2805" s="143"/>
    </row>
    <row r="2806" spans="2:3" x14ac:dyDescent="0.2">
      <c r="B2806" s="142">
        <v>2797</v>
      </c>
      <c r="C2806" s="143"/>
    </row>
    <row r="2807" spans="2:3" x14ac:dyDescent="0.2">
      <c r="B2807" s="142">
        <v>2798</v>
      </c>
      <c r="C2807" s="143"/>
    </row>
    <row r="2808" spans="2:3" x14ac:dyDescent="0.2">
      <c r="B2808" s="142">
        <v>2799</v>
      </c>
      <c r="C2808" s="143"/>
    </row>
    <row r="2809" spans="2:3" x14ac:dyDescent="0.2">
      <c r="B2809" s="142">
        <v>2800</v>
      </c>
      <c r="C2809" s="143"/>
    </row>
    <row r="2810" spans="2:3" x14ac:dyDescent="0.2">
      <c r="B2810" s="142">
        <v>2801</v>
      </c>
      <c r="C2810" s="143"/>
    </row>
    <row r="2811" spans="2:3" x14ac:dyDescent="0.2">
      <c r="B2811" s="142">
        <v>2802</v>
      </c>
      <c r="C2811" s="143"/>
    </row>
    <row r="2812" spans="2:3" x14ac:dyDescent="0.2">
      <c r="B2812" s="142">
        <v>2803</v>
      </c>
      <c r="C2812" s="143"/>
    </row>
    <row r="2813" spans="2:3" x14ac:dyDescent="0.2">
      <c r="B2813" s="142">
        <v>2804</v>
      </c>
      <c r="C2813" s="143"/>
    </row>
    <row r="2814" spans="2:3" x14ac:dyDescent="0.2">
      <c r="B2814" s="142">
        <v>2805</v>
      </c>
      <c r="C2814" s="143"/>
    </row>
    <row r="2815" spans="2:3" x14ac:dyDescent="0.2">
      <c r="B2815" s="142">
        <v>2806</v>
      </c>
      <c r="C2815" s="143"/>
    </row>
    <row r="2816" spans="2:3" x14ac:dyDescent="0.2">
      <c r="B2816" s="142">
        <v>2807</v>
      </c>
      <c r="C2816" s="143"/>
    </row>
    <row r="2817" spans="2:3" x14ac:dyDescent="0.2">
      <c r="B2817" s="142">
        <v>2808</v>
      </c>
      <c r="C2817" s="143"/>
    </row>
    <row r="2818" spans="2:3" x14ac:dyDescent="0.2">
      <c r="B2818" s="142">
        <v>2809</v>
      </c>
      <c r="C2818" s="143"/>
    </row>
    <row r="2819" spans="2:3" x14ac:dyDescent="0.2">
      <c r="B2819" s="142">
        <v>2810</v>
      </c>
      <c r="C2819" s="143"/>
    </row>
    <row r="2820" spans="2:3" x14ac:dyDescent="0.2">
      <c r="B2820" s="142">
        <v>2811</v>
      </c>
      <c r="C2820" s="143"/>
    </row>
    <row r="2821" spans="2:3" x14ac:dyDescent="0.2">
      <c r="B2821" s="142">
        <v>2812</v>
      </c>
      <c r="C2821" s="143"/>
    </row>
    <row r="2822" spans="2:3" x14ac:dyDescent="0.2">
      <c r="B2822" s="142">
        <v>2813</v>
      </c>
      <c r="C2822" s="143"/>
    </row>
    <row r="2823" spans="2:3" x14ac:dyDescent="0.2">
      <c r="B2823" s="142">
        <v>2814</v>
      </c>
      <c r="C2823" s="143"/>
    </row>
    <row r="2824" spans="2:3" x14ac:dyDescent="0.2">
      <c r="B2824" s="142">
        <v>2815</v>
      </c>
      <c r="C2824" s="143"/>
    </row>
    <row r="2825" spans="2:3" x14ac:dyDescent="0.2">
      <c r="B2825" s="142">
        <v>2816</v>
      </c>
      <c r="C2825" s="143"/>
    </row>
    <row r="2826" spans="2:3" x14ac:dyDescent="0.2">
      <c r="B2826" s="142">
        <v>2817</v>
      </c>
      <c r="C2826" s="143"/>
    </row>
    <row r="2827" spans="2:3" x14ac:dyDescent="0.2">
      <c r="B2827" s="142">
        <v>2818</v>
      </c>
      <c r="C2827" s="143"/>
    </row>
    <row r="2828" spans="2:3" x14ac:dyDescent="0.2">
      <c r="B2828" s="142">
        <v>2819</v>
      </c>
      <c r="C2828" s="143"/>
    </row>
    <row r="2829" spans="2:3" x14ac:dyDescent="0.2">
      <c r="B2829" s="142">
        <v>2820</v>
      </c>
      <c r="C2829" s="143"/>
    </row>
    <row r="2830" spans="2:3" x14ac:dyDescent="0.2">
      <c r="B2830" s="142">
        <v>2821</v>
      </c>
      <c r="C2830" s="143"/>
    </row>
    <row r="2831" spans="2:3" x14ac:dyDescent="0.2">
      <c r="B2831" s="142">
        <v>2822</v>
      </c>
      <c r="C2831" s="143"/>
    </row>
    <row r="2832" spans="2:3" x14ac:dyDescent="0.2">
      <c r="B2832" s="142">
        <v>2823</v>
      </c>
      <c r="C2832" s="143"/>
    </row>
    <row r="2833" spans="2:3" x14ac:dyDescent="0.2">
      <c r="B2833" s="142">
        <v>2824</v>
      </c>
      <c r="C2833" s="143"/>
    </row>
    <row r="2834" spans="2:3" x14ac:dyDescent="0.2">
      <c r="B2834" s="142">
        <v>2825</v>
      </c>
      <c r="C2834" s="143"/>
    </row>
    <row r="2835" spans="2:3" x14ac:dyDescent="0.2">
      <c r="B2835" s="142">
        <v>2826</v>
      </c>
      <c r="C2835" s="143"/>
    </row>
    <row r="2836" spans="2:3" x14ac:dyDescent="0.2">
      <c r="B2836" s="142">
        <v>2827</v>
      </c>
      <c r="C2836" s="143"/>
    </row>
    <row r="2837" spans="2:3" x14ac:dyDescent="0.2">
      <c r="B2837" s="142">
        <v>2828</v>
      </c>
      <c r="C2837" s="143"/>
    </row>
    <row r="2838" spans="2:3" x14ac:dyDescent="0.2">
      <c r="B2838" s="142">
        <v>2829</v>
      </c>
      <c r="C2838" s="143"/>
    </row>
    <row r="2839" spans="2:3" x14ac:dyDescent="0.2">
      <c r="B2839" s="142">
        <v>2830</v>
      </c>
      <c r="C2839" s="143"/>
    </row>
    <row r="2840" spans="2:3" x14ac:dyDescent="0.2">
      <c r="B2840" s="142">
        <v>2831</v>
      </c>
      <c r="C2840" s="143"/>
    </row>
    <row r="2841" spans="2:3" x14ac:dyDescent="0.2">
      <c r="B2841" s="142">
        <v>2832</v>
      </c>
      <c r="C2841" s="143"/>
    </row>
    <row r="2842" spans="2:3" x14ac:dyDescent="0.2">
      <c r="B2842" s="142">
        <v>2833</v>
      </c>
      <c r="C2842" s="143"/>
    </row>
    <row r="2843" spans="2:3" x14ac:dyDescent="0.2">
      <c r="B2843" s="142">
        <v>2834</v>
      </c>
      <c r="C2843" s="143"/>
    </row>
    <row r="2844" spans="2:3" x14ac:dyDescent="0.2">
      <c r="B2844" s="142">
        <v>2835</v>
      </c>
      <c r="C2844" s="143"/>
    </row>
    <row r="2845" spans="2:3" x14ac:dyDescent="0.2">
      <c r="B2845" s="142">
        <v>2836</v>
      </c>
      <c r="C2845" s="143"/>
    </row>
    <row r="2846" spans="2:3" x14ac:dyDescent="0.2">
      <c r="B2846" s="142">
        <v>2837</v>
      </c>
      <c r="C2846" s="143"/>
    </row>
    <row r="2847" spans="2:3" x14ac:dyDescent="0.2">
      <c r="B2847" s="142">
        <v>2838</v>
      </c>
      <c r="C2847" s="143"/>
    </row>
    <row r="2848" spans="2:3" x14ac:dyDescent="0.2">
      <c r="B2848" s="142">
        <v>2839</v>
      </c>
      <c r="C2848" s="143"/>
    </row>
    <row r="2849" spans="2:3" x14ac:dyDescent="0.2">
      <c r="B2849" s="142">
        <v>2840</v>
      </c>
      <c r="C2849" s="143"/>
    </row>
    <row r="2850" spans="2:3" x14ac:dyDescent="0.2">
      <c r="B2850" s="142">
        <v>2841</v>
      </c>
      <c r="C2850" s="143"/>
    </row>
    <row r="2851" spans="2:3" x14ac:dyDescent="0.2">
      <c r="B2851" s="142">
        <v>2842</v>
      </c>
      <c r="C2851" s="143"/>
    </row>
    <row r="2852" spans="2:3" x14ac:dyDescent="0.2">
      <c r="B2852" s="142">
        <v>2843</v>
      </c>
      <c r="C2852" s="143"/>
    </row>
    <row r="2853" spans="2:3" x14ac:dyDescent="0.2">
      <c r="B2853" s="142">
        <v>2844</v>
      </c>
      <c r="C2853" s="143"/>
    </row>
    <row r="2854" spans="2:3" x14ac:dyDescent="0.2">
      <c r="B2854" s="142">
        <v>2845</v>
      </c>
      <c r="C2854" s="143"/>
    </row>
    <row r="2855" spans="2:3" x14ac:dyDescent="0.2">
      <c r="B2855" s="142">
        <v>2846</v>
      </c>
      <c r="C2855" s="143"/>
    </row>
    <row r="2856" spans="2:3" x14ac:dyDescent="0.2">
      <c r="B2856" s="142">
        <v>2847</v>
      </c>
      <c r="C2856" s="143"/>
    </row>
    <row r="2857" spans="2:3" x14ac:dyDescent="0.2">
      <c r="B2857" s="142">
        <v>2848</v>
      </c>
      <c r="C2857" s="143"/>
    </row>
    <row r="2858" spans="2:3" x14ac:dyDescent="0.2">
      <c r="B2858" s="142">
        <v>2849</v>
      </c>
      <c r="C2858" s="143"/>
    </row>
    <row r="2859" spans="2:3" x14ac:dyDescent="0.2">
      <c r="B2859" s="142">
        <v>2850</v>
      </c>
      <c r="C2859" s="143"/>
    </row>
    <row r="2860" spans="2:3" x14ac:dyDescent="0.2">
      <c r="B2860" s="142">
        <v>2851</v>
      </c>
      <c r="C2860" s="143"/>
    </row>
    <row r="2861" spans="2:3" x14ac:dyDescent="0.2">
      <c r="B2861" s="142">
        <v>2852</v>
      </c>
      <c r="C2861" s="143"/>
    </row>
    <row r="2862" spans="2:3" x14ac:dyDescent="0.2">
      <c r="B2862" s="142">
        <v>2853</v>
      </c>
      <c r="C2862" s="143"/>
    </row>
    <row r="2863" spans="2:3" x14ac:dyDescent="0.2">
      <c r="B2863" s="142">
        <v>2854</v>
      </c>
      <c r="C2863" s="143"/>
    </row>
    <row r="2864" spans="2:3" x14ac:dyDescent="0.2">
      <c r="B2864" s="142">
        <v>2855</v>
      </c>
      <c r="C2864" s="143"/>
    </row>
    <row r="2865" spans="2:3" x14ac:dyDescent="0.2">
      <c r="B2865" s="142">
        <v>2856</v>
      </c>
      <c r="C2865" s="143"/>
    </row>
    <row r="2866" spans="2:3" x14ac:dyDescent="0.2">
      <c r="B2866" s="142">
        <v>2857</v>
      </c>
      <c r="C2866" s="143"/>
    </row>
    <row r="2867" spans="2:3" x14ac:dyDescent="0.2">
      <c r="B2867" s="142">
        <v>2858</v>
      </c>
      <c r="C2867" s="143"/>
    </row>
    <row r="2868" spans="2:3" x14ac:dyDescent="0.2">
      <c r="B2868" s="142">
        <v>2859</v>
      </c>
      <c r="C2868" s="143"/>
    </row>
    <row r="2869" spans="2:3" x14ac:dyDescent="0.2">
      <c r="B2869" s="142">
        <v>2860</v>
      </c>
      <c r="C2869" s="143"/>
    </row>
    <row r="2870" spans="2:3" x14ac:dyDescent="0.2">
      <c r="B2870" s="142">
        <v>2861</v>
      </c>
      <c r="C2870" s="143"/>
    </row>
    <row r="2871" spans="2:3" x14ac:dyDescent="0.2">
      <c r="B2871" s="142">
        <v>2862</v>
      </c>
      <c r="C2871" s="143"/>
    </row>
    <row r="2872" spans="2:3" x14ac:dyDescent="0.2">
      <c r="B2872" s="142">
        <v>2863</v>
      </c>
      <c r="C2872" s="143"/>
    </row>
    <row r="2873" spans="2:3" x14ac:dyDescent="0.2">
      <c r="B2873" s="142">
        <v>2864</v>
      </c>
      <c r="C2873" s="143"/>
    </row>
    <row r="2874" spans="2:3" x14ac:dyDescent="0.2">
      <c r="B2874" s="142">
        <v>2865</v>
      </c>
      <c r="C2874" s="143"/>
    </row>
    <row r="2875" spans="2:3" x14ac:dyDescent="0.2">
      <c r="B2875" s="142">
        <v>2866</v>
      </c>
      <c r="C2875" s="143"/>
    </row>
    <row r="2876" spans="2:3" x14ac:dyDescent="0.2">
      <c r="B2876" s="142">
        <v>2867</v>
      </c>
      <c r="C2876" s="143"/>
    </row>
    <row r="2877" spans="2:3" x14ac:dyDescent="0.2">
      <c r="B2877" s="142">
        <v>2868</v>
      </c>
      <c r="C2877" s="143"/>
    </row>
    <row r="2878" spans="2:3" x14ac:dyDescent="0.2">
      <c r="B2878" s="142">
        <v>2869</v>
      </c>
      <c r="C2878" s="143"/>
    </row>
    <row r="2879" spans="2:3" x14ac:dyDescent="0.2">
      <c r="B2879" s="142">
        <v>2870</v>
      </c>
      <c r="C2879" s="143"/>
    </row>
    <row r="2880" spans="2:3" x14ac:dyDescent="0.2">
      <c r="B2880" s="142">
        <v>2871</v>
      </c>
      <c r="C2880" s="143"/>
    </row>
    <row r="2881" spans="2:3" x14ac:dyDescent="0.2">
      <c r="B2881" s="142">
        <v>2872</v>
      </c>
      <c r="C2881" s="143"/>
    </row>
    <row r="2882" spans="2:3" x14ac:dyDescent="0.2">
      <c r="B2882" s="142">
        <v>2873</v>
      </c>
      <c r="C2882" s="143"/>
    </row>
    <row r="2883" spans="2:3" x14ac:dyDescent="0.2">
      <c r="B2883" s="142">
        <v>2874</v>
      </c>
      <c r="C2883" s="143"/>
    </row>
    <row r="2884" spans="2:3" x14ac:dyDescent="0.2">
      <c r="B2884" s="142">
        <v>2875</v>
      </c>
      <c r="C2884" s="143"/>
    </row>
    <row r="2885" spans="2:3" x14ac:dyDescent="0.2">
      <c r="B2885" s="142">
        <v>2876</v>
      </c>
      <c r="C2885" s="143"/>
    </row>
    <row r="2886" spans="2:3" x14ac:dyDescent="0.2">
      <c r="B2886" s="142">
        <v>2877</v>
      </c>
      <c r="C2886" s="143"/>
    </row>
    <row r="2887" spans="2:3" x14ac:dyDescent="0.2">
      <c r="B2887" s="142">
        <v>2878</v>
      </c>
      <c r="C2887" s="143"/>
    </row>
    <row r="2888" spans="2:3" x14ac:dyDescent="0.2">
      <c r="B2888" s="142">
        <v>2879</v>
      </c>
      <c r="C2888" s="143"/>
    </row>
    <row r="2889" spans="2:3" x14ac:dyDescent="0.2">
      <c r="B2889" s="142">
        <v>2880</v>
      </c>
      <c r="C2889" s="143"/>
    </row>
    <row r="2890" spans="2:3" x14ac:dyDescent="0.2">
      <c r="B2890" s="142">
        <v>2881</v>
      </c>
      <c r="C2890" s="143"/>
    </row>
    <row r="2891" spans="2:3" x14ac:dyDescent="0.2">
      <c r="B2891" s="142">
        <v>2882</v>
      </c>
      <c r="C2891" s="143"/>
    </row>
    <row r="2892" spans="2:3" x14ac:dyDescent="0.2">
      <c r="B2892" s="142">
        <v>2883</v>
      </c>
      <c r="C2892" s="143"/>
    </row>
    <row r="2893" spans="2:3" x14ac:dyDescent="0.2">
      <c r="B2893" s="142">
        <v>2884</v>
      </c>
      <c r="C2893" s="143"/>
    </row>
    <row r="2894" spans="2:3" x14ac:dyDescent="0.2">
      <c r="B2894" s="142">
        <v>2885</v>
      </c>
      <c r="C2894" s="143"/>
    </row>
    <row r="2895" spans="2:3" x14ac:dyDescent="0.2">
      <c r="B2895" s="142">
        <v>2886</v>
      </c>
      <c r="C2895" s="143"/>
    </row>
    <row r="2896" spans="2:3" x14ac:dyDescent="0.2">
      <c r="B2896" s="142">
        <v>2887</v>
      </c>
      <c r="C2896" s="143"/>
    </row>
    <row r="2897" spans="2:3" x14ac:dyDescent="0.2">
      <c r="B2897" s="142">
        <v>2888</v>
      </c>
      <c r="C2897" s="143"/>
    </row>
    <row r="2898" spans="2:3" x14ac:dyDescent="0.2">
      <c r="B2898" s="142">
        <v>2889</v>
      </c>
      <c r="C2898" s="143"/>
    </row>
    <row r="2899" spans="2:3" x14ac:dyDescent="0.2">
      <c r="B2899" s="142">
        <v>2890</v>
      </c>
      <c r="C2899" s="143"/>
    </row>
    <row r="2900" spans="2:3" x14ac:dyDescent="0.2">
      <c r="B2900" s="142">
        <v>2891</v>
      </c>
      <c r="C2900" s="143"/>
    </row>
    <row r="2901" spans="2:3" x14ac:dyDescent="0.2">
      <c r="B2901" s="142">
        <v>2892</v>
      </c>
      <c r="C2901" s="143"/>
    </row>
    <row r="2902" spans="2:3" x14ac:dyDescent="0.2">
      <c r="B2902" s="142">
        <v>2893</v>
      </c>
      <c r="C2902" s="143"/>
    </row>
    <row r="2903" spans="2:3" x14ac:dyDescent="0.2">
      <c r="B2903" s="142">
        <v>2894</v>
      </c>
      <c r="C2903" s="143"/>
    </row>
    <row r="2904" spans="2:3" x14ac:dyDescent="0.2">
      <c r="B2904" s="142">
        <v>2895</v>
      </c>
      <c r="C2904" s="143"/>
    </row>
    <row r="2905" spans="2:3" x14ac:dyDescent="0.2">
      <c r="B2905" s="142">
        <v>2896</v>
      </c>
      <c r="C2905" s="143"/>
    </row>
    <row r="2906" spans="2:3" x14ac:dyDescent="0.2">
      <c r="B2906" s="142">
        <v>2897</v>
      </c>
      <c r="C2906" s="143"/>
    </row>
    <row r="2907" spans="2:3" x14ac:dyDescent="0.2">
      <c r="B2907" s="142">
        <v>2898</v>
      </c>
      <c r="C2907" s="143"/>
    </row>
    <row r="2908" spans="2:3" x14ac:dyDescent="0.2">
      <c r="B2908" s="142">
        <v>2899</v>
      </c>
      <c r="C2908" s="143"/>
    </row>
    <row r="2909" spans="2:3" x14ac:dyDescent="0.2">
      <c r="B2909" s="142">
        <v>2900</v>
      </c>
      <c r="C2909" s="143"/>
    </row>
    <row r="2910" spans="2:3" x14ac:dyDescent="0.2">
      <c r="B2910" s="142">
        <v>2901</v>
      </c>
      <c r="C2910" s="143"/>
    </row>
    <row r="2911" spans="2:3" x14ac:dyDescent="0.2">
      <c r="B2911" s="142">
        <v>2902</v>
      </c>
      <c r="C2911" s="143"/>
    </row>
    <row r="2912" spans="2:3" x14ac:dyDescent="0.2">
      <c r="B2912" s="142">
        <v>2903</v>
      </c>
      <c r="C2912" s="143"/>
    </row>
    <row r="2913" spans="2:3" x14ac:dyDescent="0.2">
      <c r="B2913" s="142">
        <v>2904</v>
      </c>
      <c r="C2913" s="143"/>
    </row>
    <row r="2914" spans="2:3" x14ac:dyDescent="0.2">
      <c r="B2914" s="142">
        <v>2905</v>
      </c>
      <c r="C2914" s="143"/>
    </row>
    <row r="2915" spans="2:3" x14ac:dyDescent="0.2">
      <c r="B2915" s="142">
        <v>2906</v>
      </c>
      <c r="C2915" s="143"/>
    </row>
    <row r="2916" spans="2:3" x14ac:dyDescent="0.2">
      <c r="B2916" s="142">
        <v>2907</v>
      </c>
      <c r="C2916" s="143"/>
    </row>
    <row r="2917" spans="2:3" x14ac:dyDescent="0.2">
      <c r="B2917" s="142">
        <v>2908</v>
      </c>
      <c r="C2917" s="143"/>
    </row>
    <row r="2918" spans="2:3" x14ac:dyDescent="0.2">
      <c r="B2918" s="142">
        <v>2909</v>
      </c>
      <c r="C2918" s="143"/>
    </row>
    <row r="2919" spans="2:3" x14ac:dyDescent="0.2">
      <c r="B2919" s="142">
        <v>2910</v>
      </c>
      <c r="C2919" s="143"/>
    </row>
    <row r="2920" spans="2:3" x14ac:dyDescent="0.2">
      <c r="B2920" s="142">
        <v>2911</v>
      </c>
      <c r="C2920" s="143"/>
    </row>
    <row r="2921" spans="2:3" x14ac:dyDescent="0.2">
      <c r="B2921" s="142">
        <v>2912</v>
      </c>
      <c r="C2921" s="143"/>
    </row>
    <row r="2922" spans="2:3" x14ac:dyDescent="0.2">
      <c r="B2922" s="142">
        <v>2913</v>
      </c>
      <c r="C2922" s="143"/>
    </row>
    <row r="2923" spans="2:3" x14ac:dyDescent="0.2">
      <c r="B2923" s="142">
        <v>2914</v>
      </c>
      <c r="C2923" s="143"/>
    </row>
    <row r="2924" spans="2:3" x14ac:dyDescent="0.2">
      <c r="B2924" s="142">
        <v>2915</v>
      </c>
      <c r="C2924" s="143"/>
    </row>
    <row r="2925" spans="2:3" x14ac:dyDescent="0.2">
      <c r="B2925" s="142">
        <v>2916</v>
      </c>
      <c r="C2925" s="143"/>
    </row>
    <row r="2926" spans="2:3" x14ac:dyDescent="0.2">
      <c r="B2926" s="142">
        <v>2917</v>
      </c>
      <c r="C2926" s="143"/>
    </row>
    <row r="2927" spans="2:3" x14ac:dyDescent="0.2">
      <c r="B2927" s="142">
        <v>2918</v>
      </c>
      <c r="C2927" s="143"/>
    </row>
    <row r="2928" spans="2:3" x14ac:dyDescent="0.2">
      <c r="B2928" s="142">
        <v>2919</v>
      </c>
      <c r="C2928" s="143"/>
    </row>
    <row r="2929" spans="2:3" x14ac:dyDescent="0.2">
      <c r="B2929" s="142">
        <v>2920</v>
      </c>
      <c r="C2929" s="143"/>
    </row>
    <row r="2930" spans="2:3" x14ac:dyDescent="0.2">
      <c r="B2930" s="142">
        <v>2921</v>
      </c>
      <c r="C2930" s="143"/>
    </row>
    <row r="2931" spans="2:3" x14ac:dyDescent="0.2">
      <c r="B2931" s="142">
        <v>2922</v>
      </c>
      <c r="C2931" s="143"/>
    </row>
    <row r="2932" spans="2:3" x14ac:dyDescent="0.2">
      <c r="B2932" s="142">
        <v>2923</v>
      </c>
      <c r="C2932" s="143"/>
    </row>
    <row r="2933" spans="2:3" x14ac:dyDescent="0.2">
      <c r="B2933" s="142">
        <v>2924</v>
      </c>
      <c r="C2933" s="143"/>
    </row>
    <row r="2934" spans="2:3" x14ac:dyDescent="0.2">
      <c r="B2934" s="142">
        <v>2925</v>
      </c>
      <c r="C2934" s="143"/>
    </row>
    <row r="2935" spans="2:3" x14ac:dyDescent="0.2">
      <c r="B2935" s="142">
        <v>2926</v>
      </c>
      <c r="C2935" s="143"/>
    </row>
    <row r="2936" spans="2:3" x14ac:dyDescent="0.2">
      <c r="B2936" s="142">
        <v>2927</v>
      </c>
      <c r="C2936" s="143"/>
    </row>
    <row r="2937" spans="2:3" x14ac:dyDescent="0.2">
      <c r="B2937" s="142">
        <v>2928</v>
      </c>
      <c r="C2937" s="143"/>
    </row>
    <row r="2938" spans="2:3" x14ac:dyDescent="0.2">
      <c r="B2938" s="142">
        <v>2929</v>
      </c>
      <c r="C2938" s="143"/>
    </row>
    <row r="2939" spans="2:3" x14ac:dyDescent="0.2">
      <c r="B2939" s="142">
        <v>2930</v>
      </c>
      <c r="C2939" s="143"/>
    </row>
    <row r="2940" spans="2:3" x14ac:dyDescent="0.2">
      <c r="B2940" s="142">
        <v>2931</v>
      </c>
      <c r="C2940" s="143"/>
    </row>
    <row r="2941" spans="2:3" x14ac:dyDescent="0.2">
      <c r="B2941" s="142">
        <v>2932</v>
      </c>
      <c r="C2941" s="143"/>
    </row>
    <row r="2942" spans="2:3" x14ac:dyDescent="0.2">
      <c r="B2942" s="142">
        <v>2933</v>
      </c>
      <c r="C2942" s="143"/>
    </row>
    <row r="2943" spans="2:3" x14ac:dyDescent="0.2">
      <c r="B2943" s="142">
        <v>2934</v>
      </c>
      <c r="C2943" s="143"/>
    </row>
    <row r="2944" spans="2:3" x14ac:dyDescent="0.2">
      <c r="B2944" s="142">
        <v>2935</v>
      </c>
      <c r="C2944" s="143"/>
    </row>
    <row r="2945" spans="2:3" x14ac:dyDescent="0.2">
      <c r="B2945" s="142">
        <v>2936</v>
      </c>
      <c r="C2945" s="143"/>
    </row>
    <row r="2946" spans="2:3" x14ac:dyDescent="0.2">
      <c r="B2946" s="142">
        <v>2937</v>
      </c>
      <c r="C2946" s="143"/>
    </row>
    <row r="2947" spans="2:3" x14ac:dyDescent="0.2">
      <c r="B2947" s="142">
        <v>2938</v>
      </c>
      <c r="C2947" s="143"/>
    </row>
    <row r="2948" spans="2:3" x14ac:dyDescent="0.2">
      <c r="B2948" s="142">
        <v>2939</v>
      </c>
      <c r="C2948" s="143"/>
    </row>
    <row r="2949" spans="2:3" x14ac:dyDescent="0.2">
      <c r="B2949" s="142">
        <v>2940</v>
      </c>
      <c r="C2949" s="143"/>
    </row>
    <row r="2950" spans="2:3" x14ac:dyDescent="0.2">
      <c r="B2950" s="142">
        <v>2941</v>
      </c>
      <c r="C2950" s="143"/>
    </row>
    <row r="2951" spans="2:3" x14ac:dyDescent="0.2">
      <c r="B2951" s="142">
        <v>2942</v>
      </c>
      <c r="C2951" s="143"/>
    </row>
    <row r="2952" spans="2:3" x14ac:dyDescent="0.2">
      <c r="B2952" s="142">
        <v>2943</v>
      </c>
      <c r="C2952" s="143"/>
    </row>
    <row r="2953" spans="2:3" x14ac:dyDescent="0.2">
      <c r="B2953" s="142">
        <v>2944</v>
      </c>
      <c r="C2953" s="143"/>
    </row>
    <row r="2954" spans="2:3" x14ac:dyDescent="0.2">
      <c r="B2954" s="142">
        <v>2945</v>
      </c>
      <c r="C2954" s="143"/>
    </row>
    <row r="2955" spans="2:3" x14ac:dyDescent="0.2">
      <c r="B2955" s="142">
        <v>2946</v>
      </c>
      <c r="C2955" s="143"/>
    </row>
    <row r="2956" spans="2:3" x14ac:dyDescent="0.2">
      <c r="B2956" s="142">
        <v>2947</v>
      </c>
      <c r="C2956" s="143"/>
    </row>
    <row r="2957" spans="2:3" x14ac:dyDescent="0.2">
      <c r="B2957" s="142">
        <v>2948</v>
      </c>
      <c r="C2957" s="143"/>
    </row>
    <row r="2958" spans="2:3" x14ac:dyDescent="0.2">
      <c r="B2958" s="142">
        <v>2949</v>
      </c>
      <c r="C2958" s="143"/>
    </row>
    <row r="2959" spans="2:3" x14ac:dyDescent="0.2">
      <c r="B2959" s="142">
        <v>2950</v>
      </c>
      <c r="C2959" s="143"/>
    </row>
    <row r="2960" spans="2:3" x14ac:dyDescent="0.2">
      <c r="B2960" s="142">
        <v>2951</v>
      </c>
      <c r="C2960" s="143"/>
    </row>
    <row r="2961" spans="2:3" x14ac:dyDescent="0.2">
      <c r="B2961" s="142">
        <v>2952</v>
      </c>
      <c r="C2961" s="143"/>
    </row>
    <row r="2962" spans="2:3" x14ac:dyDescent="0.2">
      <c r="B2962" s="142">
        <v>2953</v>
      </c>
      <c r="C2962" s="143"/>
    </row>
    <row r="2963" spans="2:3" x14ac:dyDescent="0.2">
      <c r="B2963" s="142">
        <v>2954</v>
      </c>
      <c r="C2963" s="143"/>
    </row>
    <row r="2964" spans="2:3" x14ac:dyDescent="0.2">
      <c r="B2964" s="142">
        <v>2955</v>
      </c>
      <c r="C2964" s="143"/>
    </row>
    <row r="2965" spans="2:3" x14ac:dyDescent="0.2">
      <c r="B2965" s="142">
        <v>2956</v>
      </c>
      <c r="C2965" s="143"/>
    </row>
    <row r="2966" spans="2:3" x14ac:dyDescent="0.2">
      <c r="B2966" s="142">
        <v>2957</v>
      </c>
      <c r="C2966" s="143"/>
    </row>
    <row r="2967" spans="2:3" x14ac:dyDescent="0.2">
      <c r="B2967" s="142">
        <v>2958</v>
      </c>
      <c r="C2967" s="143"/>
    </row>
    <row r="2968" spans="2:3" x14ac:dyDescent="0.2">
      <c r="B2968" s="142">
        <v>2959</v>
      </c>
      <c r="C2968" s="143"/>
    </row>
    <row r="2969" spans="2:3" x14ac:dyDescent="0.2">
      <c r="B2969" s="142">
        <v>2960</v>
      </c>
      <c r="C2969" s="143"/>
    </row>
    <row r="2970" spans="2:3" x14ac:dyDescent="0.2">
      <c r="B2970" s="142">
        <v>2961</v>
      </c>
      <c r="C2970" s="143"/>
    </row>
    <row r="2971" spans="2:3" x14ac:dyDescent="0.2">
      <c r="B2971" s="142">
        <v>2962</v>
      </c>
      <c r="C2971" s="143"/>
    </row>
    <row r="2972" spans="2:3" x14ac:dyDescent="0.2">
      <c r="B2972" s="142">
        <v>2963</v>
      </c>
      <c r="C2972" s="143"/>
    </row>
    <row r="2973" spans="2:3" x14ac:dyDescent="0.2">
      <c r="B2973" s="142">
        <v>2964</v>
      </c>
      <c r="C2973" s="143"/>
    </row>
    <row r="2974" spans="2:3" x14ac:dyDescent="0.2">
      <c r="B2974" s="142">
        <v>2965</v>
      </c>
      <c r="C2974" s="143"/>
    </row>
    <row r="2975" spans="2:3" x14ac:dyDescent="0.2">
      <c r="B2975" s="142">
        <v>2966</v>
      </c>
      <c r="C2975" s="143"/>
    </row>
    <row r="2976" spans="2:3" x14ac:dyDescent="0.2">
      <c r="B2976" s="142">
        <v>2967</v>
      </c>
      <c r="C2976" s="143"/>
    </row>
    <row r="2977" spans="2:3" x14ac:dyDescent="0.2">
      <c r="B2977" s="142">
        <v>2968</v>
      </c>
      <c r="C2977" s="143"/>
    </row>
    <row r="2978" spans="2:3" x14ac:dyDescent="0.2">
      <c r="B2978" s="142">
        <v>2969</v>
      </c>
      <c r="C2978" s="143"/>
    </row>
    <row r="2979" spans="2:3" x14ac:dyDescent="0.2">
      <c r="B2979" s="142">
        <v>2970</v>
      </c>
      <c r="C2979" s="143"/>
    </row>
    <row r="2980" spans="2:3" x14ac:dyDescent="0.2">
      <c r="B2980" s="142">
        <v>2971</v>
      </c>
      <c r="C2980" s="143"/>
    </row>
    <row r="2981" spans="2:3" x14ac:dyDescent="0.2">
      <c r="B2981" s="142">
        <v>2972</v>
      </c>
      <c r="C2981" s="143"/>
    </row>
    <row r="2982" spans="2:3" x14ac:dyDescent="0.2">
      <c r="B2982" s="142">
        <v>2973</v>
      </c>
      <c r="C2982" s="143"/>
    </row>
    <row r="2983" spans="2:3" x14ac:dyDescent="0.2">
      <c r="B2983" s="142">
        <v>2974</v>
      </c>
      <c r="C2983" s="143"/>
    </row>
    <row r="2984" spans="2:3" x14ac:dyDescent="0.2">
      <c r="B2984" s="142">
        <v>2975</v>
      </c>
      <c r="C2984" s="143"/>
    </row>
    <row r="2985" spans="2:3" x14ac:dyDescent="0.2">
      <c r="B2985" s="142">
        <v>2976</v>
      </c>
      <c r="C2985" s="143"/>
    </row>
    <row r="2986" spans="2:3" x14ac:dyDescent="0.2">
      <c r="B2986" s="142">
        <v>2977</v>
      </c>
      <c r="C2986" s="143"/>
    </row>
    <row r="2987" spans="2:3" x14ac:dyDescent="0.2">
      <c r="B2987" s="142">
        <v>2978</v>
      </c>
      <c r="C2987" s="143"/>
    </row>
    <row r="2988" spans="2:3" x14ac:dyDescent="0.2">
      <c r="B2988" s="142">
        <v>2979</v>
      </c>
      <c r="C2988" s="143"/>
    </row>
    <row r="2989" spans="2:3" x14ac:dyDescent="0.2">
      <c r="B2989" s="142">
        <v>2980</v>
      </c>
      <c r="C2989" s="143"/>
    </row>
    <row r="2990" spans="2:3" x14ac:dyDescent="0.2">
      <c r="B2990" s="142">
        <v>2981</v>
      </c>
      <c r="C2990" s="143"/>
    </row>
    <row r="2991" spans="2:3" x14ac:dyDescent="0.2">
      <c r="B2991" s="142">
        <v>2982</v>
      </c>
      <c r="C2991" s="143"/>
    </row>
    <row r="2992" spans="2:3" x14ac:dyDescent="0.2">
      <c r="B2992" s="142">
        <v>2983</v>
      </c>
      <c r="C2992" s="143"/>
    </row>
    <row r="2993" spans="2:3" x14ac:dyDescent="0.2">
      <c r="B2993" s="142">
        <v>2984</v>
      </c>
      <c r="C2993" s="143"/>
    </row>
    <row r="2994" spans="2:3" x14ac:dyDescent="0.2">
      <c r="B2994" s="142">
        <v>2985</v>
      </c>
      <c r="C2994" s="143"/>
    </row>
    <row r="2995" spans="2:3" x14ac:dyDescent="0.2">
      <c r="B2995" s="142">
        <v>2986</v>
      </c>
      <c r="C2995" s="143"/>
    </row>
    <row r="2996" spans="2:3" x14ac:dyDescent="0.2">
      <c r="B2996" s="142">
        <v>2987</v>
      </c>
      <c r="C2996" s="143"/>
    </row>
    <row r="2997" spans="2:3" x14ac:dyDescent="0.2">
      <c r="B2997" s="142">
        <v>2988</v>
      </c>
      <c r="C2997" s="143"/>
    </row>
    <row r="2998" spans="2:3" x14ac:dyDescent="0.2">
      <c r="B2998" s="142">
        <v>2989</v>
      </c>
      <c r="C2998" s="143"/>
    </row>
    <row r="2999" spans="2:3" x14ac:dyDescent="0.2">
      <c r="B2999" s="142">
        <v>2990</v>
      </c>
      <c r="C2999" s="143"/>
    </row>
    <row r="3000" spans="2:3" x14ac:dyDescent="0.2">
      <c r="B3000" s="142">
        <v>2991</v>
      </c>
      <c r="C3000" s="143"/>
    </row>
    <row r="3001" spans="2:3" x14ac:dyDescent="0.2">
      <c r="B3001" s="142">
        <v>2992</v>
      </c>
      <c r="C3001" s="143"/>
    </row>
    <row r="3002" spans="2:3" x14ac:dyDescent="0.2">
      <c r="B3002" s="142">
        <v>2993</v>
      </c>
      <c r="C3002" s="143"/>
    </row>
    <row r="3003" spans="2:3" x14ac:dyDescent="0.2">
      <c r="B3003" s="142">
        <v>2994</v>
      </c>
      <c r="C3003" s="143"/>
    </row>
    <row r="3004" spans="2:3" x14ac:dyDescent="0.2">
      <c r="B3004" s="142">
        <v>2995</v>
      </c>
      <c r="C3004" s="143"/>
    </row>
    <row r="3005" spans="2:3" x14ac:dyDescent="0.2">
      <c r="B3005" s="142">
        <v>2996</v>
      </c>
      <c r="C3005" s="143"/>
    </row>
    <row r="3006" spans="2:3" x14ac:dyDescent="0.2">
      <c r="B3006" s="142">
        <v>2997</v>
      </c>
      <c r="C3006" s="143"/>
    </row>
    <row r="3007" spans="2:3" x14ac:dyDescent="0.2">
      <c r="B3007" s="142">
        <v>2998</v>
      </c>
      <c r="C3007" s="143"/>
    </row>
    <row r="3008" spans="2:3" x14ac:dyDescent="0.2">
      <c r="B3008" s="142">
        <v>2999</v>
      </c>
      <c r="C3008" s="143"/>
    </row>
    <row r="3009" spans="2:3" x14ac:dyDescent="0.2">
      <c r="B3009" s="168">
        <v>3000</v>
      </c>
      <c r="C3009" s="169"/>
    </row>
    <row r="3010" spans="2:3" x14ac:dyDescent="0.2">
      <c r="B3010" s="166"/>
      <c r="C3010" s="167"/>
    </row>
    <row r="3011" spans="2:3" x14ac:dyDescent="0.2">
      <c r="B3011" s="166"/>
      <c r="C3011" s="167"/>
    </row>
  </sheetData>
  <phoneticPr fontId="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" r:id="rId4" name="Button 59">
              <controlPr defaultSize="0" print="0" autoFill="0" autoPict="0" macro="[0]!shtFundList.cmd_FSRC">
                <anchor moveWithCells="1">
                  <from>
                    <xdr:col>4</xdr:col>
                    <xdr:colOff>25400</xdr:colOff>
                    <xdr:row>5</xdr:row>
                    <xdr:rowOff>25400</xdr:rowOff>
                  </from>
                  <to>
                    <xdr:col>5</xdr:col>
                    <xdr:colOff>292100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" name="Button 60">
              <controlPr defaultSize="0" print="0" autoFill="0" autoPict="0" macro="[0]!shtFundList.cmdOK">
                <anchor moveWithCells="1">
                  <from>
                    <xdr:col>1</xdr:col>
                    <xdr:colOff>12700</xdr:colOff>
                    <xdr:row>5</xdr:row>
                    <xdr:rowOff>38100</xdr:rowOff>
                  </from>
                  <to>
                    <xdr:col>2</xdr:col>
                    <xdr:colOff>520700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Button 61">
              <controlPr defaultSize="0" print="0" autoFill="0" autoPict="0" macro="[0]!shtFundList.cmdClear">
                <anchor moveWithCells="1">
                  <from>
                    <xdr:col>2</xdr:col>
                    <xdr:colOff>673100</xdr:colOff>
                    <xdr:row>5</xdr:row>
                    <xdr:rowOff>38100</xdr:rowOff>
                  </from>
                  <to>
                    <xdr:col>3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AttributeMap"/>
  <dimension ref="B1:D551"/>
  <sheetViews>
    <sheetView showGridLines="0" showRowColHeaders="0" workbookViewId="0">
      <pane ySplit="8" topLeftCell="A48" activePane="bottomLeft" state="frozen"/>
      <selection pane="bottomLeft" activeCell="D87" sqref="D87"/>
    </sheetView>
  </sheetViews>
  <sheetFormatPr baseColWidth="10" defaultColWidth="9.1640625" defaultRowHeight="15" x14ac:dyDescent="0.2"/>
  <cols>
    <col min="1" max="1" width="1.6640625" customWidth="1"/>
    <col min="2" max="2" width="4.33203125" customWidth="1"/>
    <col min="3" max="4" width="35.6640625" customWidth="1"/>
    <col min="5" max="5" width="1.6640625" customWidth="1"/>
  </cols>
  <sheetData>
    <row r="1" spans="2:4" ht="5" customHeight="1" x14ac:dyDescent="0.2"/>
    <row r="2" spans="2:4" ht="15" customHeight="1" x14ac:dyDescent="0.2"/>
    <row r="3" spans="2:4" ht="15" customHeight="1" x14ac:dyDescent="0.2"/>
    <row r="4" spans="2:4" ht="15" customHeight="1" x14ac:dyDescent="0.2"/>
    <row r="5" spans="2:4" ht="5" customHeight="1" x14ac:dyDescent="0.2"/>
    <row r="8" spans="2:4" x14ac:dyDescent="0.2">
      <c r="B8" s="150"/>
      <c r="C8" s="147" t="s">
        <v>63</v>
      </c>
      <c r="D8" s="144" t="s">
        <v>64</v>
      </c>
    </row>
    <row r="9" spans="2:4" x14ac:dyDescent="0.2">
      <c r="B9" s="151">
        <v>1</v>
      </c>
      <c r="C9" s="148" t="s">
        <v>65</v>
      </c>
      <c r="D9" s="145" t="s">
        <v>70</v>
      </c>
    </row>
    <row r="10" spans="2:4" x14ac:dyDescent="0.2">
      <c r="B10" s="151">
        <v>2</v>
      </c>
      <c r="C10" s="148" t="s">
        <v>66</v>
      </c>
      <c r="D10" s="145" t="s">
        <v>70</v>
      </c>
    </row>
    <row r="11" spans="2:4" x14ac:dyDescent="0.2">
      <c r="B11" s="151">
        <v>3</v>
      </c>
      <c r="C11" s="148" t="s">
        <v>67</v>
      </c>
      <c r="D11" s="145" t="s">
        <v>71</v>
      </c>
    </row>
    <row r="12" spans="2:4" x14ac:dyDescent="0.2">
      <c r="B12" s="151">
        <v>4</v>
      </c>
      <c r="C12" s="148" t="s">
        <v>68</v>
      </c>
      <c r="D12" s="145" t="s">
        <v>71</v>
      </c>
    </row>
    <row r="13" spans="2:4" x14ac:dyDescent="0.2">
      <c r="B13" s="151">
        <v>5</v>
      </c>
      <c r="C13" s="148" t="s">
        <v>69</v>
      </c>
      <c r="D13" s="145" t="s">
        <v>71</v>
      </c>
    </row>
    <row r="14" spans="2:4" x14ac:dyDescent="0.2">
      <c r="B14" s="151">
        <v>6</v>
      </c>
      <c r="C14" s="148" t="s">
        <v>72</v>
      </c>
      <c r="D14" s="145" t="s">
        <v>71</v>
      </c>
    </row>
    <row r="15" spans="2:4" x14ac:dyDescent="0.2">
      <c r="B15" s="151">
        <v>7</v>
      </c>
      <c r="C15" s="148" t="s">
        <v>165</v>
      </c>
      <c r="D15" s="145" t="s">
        <v>201</v>
      </c>
    </row>
    <row r="16" spans="2:4" x14ac:dyDescent="0.2">
      <c r="B16" s="151">
        <v>8</v>
      </c>
      <c r="C16" s="148" t="s">
        <v>171</v>
      </c>
      <c r="D16" s="145" t="s">
        <v>202</v>
      </c>
    </row>
    <row r="17" spans="2:4" x14ac:dyDescent="0.2">
      <c r="B17" s="151">
        <v>9</v>
      </c>
      <c r="C17" s="148" t="s">
        <v>82</v>
      </c>
      <c r="D17" s="145" t="s">
        <v>82</v>
      </c>
    </row>
    <row r="18" spans="2:4" x14ac:dyDescent="0.2">
      <c r="B18" s="151">
        <v>10</v>
      </c>
      <c r="C18" s="148" t="s">
        <v>77</v>
      </c>
      <c r="D18" s="145" t="s">
        <v>82</v>
      </c>
    </row>
    <row r="19" spans="2:4" x14ac:dyDescent="0.2">
      <c r="B19" s="151">
        <v>11</v>
      </c>
      <c r="C19" s="148" t="s">
        <v>150</v>
      </c>
      <c r="D19" s="145" t="s">
        <v>82</v>
      </c>
    </row>
    <row r="20" spans="2:4" x14ac:dyDescent="0.2">
      <c r="B20" s="151">
        <v>12</v>
      </c>
      <c r="C20" s="148" t="s">
        <v>84</v>
      </c>
      <c r="D20" s="145" t="s">
        <v>82</v>
      </c>
    </row>
    <row r="21" spans="2:4" x14ac:dyDescent="0.2">
      <c r="B21" s="151">
        <v>13</v>
      </c>
      <c r="C21" s="148" t="s">
        <v>164</v>
      </c>
      <c r="D21" s="145" t="s">
        <v>82</v>
      </c>
    </row>
    <row r="22" spans="2:4" x14ac:dyDescent="0.2">
      <c r="B22" s="151">
        <v>14</v>
      </c>
      <c r="C22" s="148" t="s">
        <v>178</v>
      </c>
      <c r="D22" s="145" t="s">
        <v>173</v>
      </c>
    </row>
    <row r="23" spans="2:4" x14ac:dyDescent="0.2">
      <c r="B23" s="151">
        <v>15</v>
      </c>
      <c r="C23" s="148" t="s">
        <v>154</v>
      </c>
      <c r="D23" s="145" t="s">
        <v>173</v>
      </c>
    </row>
    <row r="24" spans="2:4" x14ac:dyDescent="0.2">
      <c r="B24" s="151">
        <v>16</v>
      </c>
      <c r="C24" s="148" t="s">
        <v>149</v>
      </c>
      <c r="D24" s="145" t="s">
        <v>173</v>
      </c>
    </row>
    <row r="25" spans="2:4" x14ac:dyDescent="0.2">
      <c r="B25" s="151">
        <v>17</v>
      </c>
      <c r="C25" s="148" t="s">
        <v>144</v>
      </c>
      <c r="D25" s="145" t="s">
        <v>206</v>
      </c>
    </row>
    <row r="26" spans="2:4" x14ac:dyDescent="0.2">
      <c r="B26" s="151">
        <v>18</v>
      </c>
      <c r="C26" s="148" t="s">
        <v>80</v>
      </c>
      <c r="D26" s="145" t="s">
        <v>206</v>
      </c>
    </row>
    <row r="27" spans="2:4" x14ac:dyDescent="0.2">
      <c r="B27" s="151">
        <v>19</v>
      </c>
      <c r="C27" s="148" t="s">
        <v>148</v>
      </c>
      <c r="D27" s="145" t="s">
        <v>206</v>
      </c>
    </row>
    <row r="28" spans="2:4" x14ac:dyDescent="0.2">
      <c r="B28" s="151">
        <v>20</v>
      </c>
      <c r="C28" s="148" t="s">
        <v>151</v>
      </c>
      <c r="D28" s="145" t="s">
        <v>206</v>
      </c>
    </row>
    <row r="29" spans="2:4" x14ac:dyDescent="0.2">
      <c r="B29" s="151">
        <v>21</v>
      </c>
      <c r="C29" s="148" t="s">
        <v>85</v>
      </c>
      <c r="D29" s="145" t="s">
        <v>81</v>
      </c>
    </row>
    <row r="30" spans="2:4" x14ac:dyDescent="0.2">
      <c r="B30" s="151">
        <v>22</v>
      </c>
      <c r="C30" s="148" t="s">
        <v>147</v>
      </c>
      <c r="D30" s="145" t="s">
        <v>81</v>
      </c>
    </row>
    <row r="31" spans="2:4" x14ac:dyDescent="0.2">
      <c r="B31" s="151">
        <v>23</v>
      </c>
      <c r="C31" s="148" t="s">
        <v>145</v>
      </c>
      <c r="D31" s="145" t="s">
        <v>81</v>
      </c>
    </row>
    <row r="32" spans="2:4" x14ac:dyDescent="0.2">
      <c r="B32" s="151">
        <v>24</v>
      </c>
      <c r="C32" s="148" t="s">
        <v>156</v>
      </c>
      <c r="D32" s="145" t="s">
        <v>81</v>
      </c>
    </row>
    <row r="33" spans="2:4" x14ac:dyDescent="0.2">
      <c r="B33" s="151">
        <v>25</v>
      </c>
      <c r="C33" s="148" t="s">
        <v>183</v>
      </c>
      <c r="D33" s="145" t="s">
        <v>81</v>
      </c>
    </row>
    <row r="34" spans="2:4" x14ac:dyDescent="0.2">
      <c r="B34" s="151">
        <v>26</v>
      </c>
      <c r="C34" s="148" t="s">
        <v>158</v>
      </c>
      <c r="D34" s="145" t="s">
        <v>90</v>
      </c>
    </row>
    <row r="35" spans="2:4" x14ac:dyDescent="0.2">
      <c r="B35" s="151">
        <v>27</v>
      </c>
      <c r="C35" s="148" t="s">
        <v>153</v>
      </c>
      <c r="D35" s="145" t="s">
        <v>90</v>
      </c>
    </row>
    <row r="36" spans="2:4" x14ac:dyDescent="0.2">
      <c r="B36" s="151">
        <v>28</v>
      </c>
      <c r="C36" s="148" t="s">
        <v>155</v>
      </c>
      <c r="D36" s="145" t="s">
        <v>90</v>
      </c>
    </row>
    <row r="37" spans="2:4" x14ac:dyDescent="0.2">
      <c r="B37" s="151">
        <v>29</v>
      </c>
      <c r="C37" s="148" t="s">
        <v>91</v>
      </c>
      <c r="D37" s="145" t="s">
        <v>90</v>
      </c>
    </row>
    <row r="38" spans="2:4" x14ac:dyDescent="0.2">
      <c r="B38" s="151">
        <v>30</v>
      </c>
      <c r="C38" s="148" t="s">
        <v>157</v>
      </c>
      <c r="D38" s="145" t="s">
        <v>90</v>
      </c>
    </row>
    <row r="39" spans="2:4" x14ac:dyDescent="0.2">
      <c r="B39" s="151">
        <v>31</v>
      </c>
      <c r="C39" s="148" t="s">
        <v>92</v>
      </c>
      <c r="D39" s="145" t="s">
        <v>90</v>
      </c>
    </row>
    <row r="40" spans="2:4" x14ac:dyDescent="0.2">
      <c r="B40" s="151">
        <v>32</v>
      </c>
      <c r="C40" s="148" t="s">
        <v>160</v>
      </c>
      <c r="D40" s="145" t="s">
        <v>90</v>
      </c>
    </row>
    <row r="41" spans="2:4" x14ac:dyDescent="0.2">
      <c r="B41" s="151">
        <v>33</v>
      </c>
      <c r="C41" s="148" t="s">
        <v>161</v>
      </c>
      <c r="D41" s="145" t="s">
        <v>90</v>
      </c>
    </row>
    <row r="42" spans="2:4" x14ac:dyDescent="0.2">
      <c r="B42" s="151">
        <v>34</v>
      </c>
      <c r="C42" s="148" t="s">
        <v>175</v>
      </c>
      <c r="D42" s="145" t="s">
        <v>90</v>
      </c>
    </row>
    <row r="43" spans="2:4" x14ac:dyDescent="0.2">
      <c r="B43" s="151">
        <v>35</v>
      </c>
      <c r="C43" s="148" t="s">
        <v>162</v>
      </c>
      <c r="D43" s="145" t="s">
        <v>90</v>
      </c>
    </row>
    <row r="44" spans="2:4" x14ac:dyDescent="0.2">
      <c r="B44" s="151">
        <v>36</v>
      </c>
      <c r="C44" s="148" t="s">
        <v>146</v>
      </c>
      <c r="D44" s="145" t="s">
        <v>78</v>
      </c>
    </row>
    <row r="45" spans="2:4" x14ac:dyDescent="0.2">
      <c r="B45" s="151">
        <v>37</v>
      </c>
      <c r="C45" s="148" t="s">
        <v>83</v>
      </c>
      <c r="D45" s="145" t="s">
        <v>78</v>
      </c>
    </row>
    <row r="46" spans="2:4" x14ac:dyDescent="0.2">
      <c r="B46" s="151">
        <v>38</v>
      </c>
      <c r="C46" s="148" t="s">
        <v>143</v>
      </c>
      <c r="D46" s="145" t="s">
        <v>78</v>
      </c>
    </row>
    <row r="47" spans="2:4" x14ac:dyDescent="0.2">
      <c r="B47" s="151">
        <v>39</v>
      </c>
      <c r="C47" s="148" t="s">
        <v>159</v>
      </c>
      <c r="D47" s="145" t="s">
        <v>78</v>
      </c>
    </row>
    <row r="48" spans="2:4" x14ac:dyDescent="0.2">
      <c r="B48" s="151">
        <v>40</v>
      </c>
      <c r="C48" s="148" t="s">
        <v>163</v>
      </c>
      <c r="D48" s="145" t="s">
        <v>78</v>
      </c>
    </row>
    <row r="49" spans="2:4" x14ac:dyDescent="0.2">
      <c r="B49" s="151">
        <v>41</v>
      </c>
      <c r="C49" s="148" t="s">
        <v>7434</v>
      </c>
      <c r="D49" s="145" t="s">
        <v>74</v>
      </c>
    </row>
    <row r="50" spans="2:4" x14ac:dyDescent="0.2">
      <c r="B50" s="151">
        <v>42</v>
      </c>
      <c r="C50" s="148" t="s">
        <v>7419</v>
      </c>
      <c r="D50" s="145" t="s">
        <v>74</v>
      </c>
    </row>
    <row r="51" spans="2:4" x14ac:dyDescent="0.2">
      <c r="B51" s="151">
        <v>43</v>
      </c>
      <c r="C51" s="148" t="s">
        <v>7435</v>
      </c>
      <c r="D51" s="145" t="s">
        <v>74</v>
      </c>
    </row>
    <row r="52" spans="2:4" x14ac:dyDescent="0.2">
      <c r="B52" s="151">
        <v>44</v>
      </c>
      <c r="C52" s="148" t="s">
        <v>7405</v>
      </c>
      <c r="D52" s="145" t="s">
        <v>74</v>
      </c>
    </row>
    <row r="53" spans="2:4" x14ac:dyDescent="0.2">
      <c r="B53" s="151">
        <v>45</v>
      </c>
      <c r="C53" s="148" t="s">
        <v>7420</v>
      </c>
      <c r="D53" s="145" t="s">
        <v>74</v>
      </c>
    </row>
    <row r="54" spans="2:4" x14ac:dyDescent="0.2">
      <c r="B54" s="151">
        <v>46</v>
      </c>
      <c r="C54" s="148" t="s">
        <v>7428</v>
      </c>
      <c r="D54" s="145" t="s">
        <v>74</v>
      </c>
    </row>
    <row r="55" spans="2:4" x14ac:dyDescent="0.2">
      <c r="B55" s="151">
        <v>47</v>
      </c>
      <c r="C55" s="148" t="s">
        <v>7421</v>
      </c>
      <c r="D55" s="145" t="s">
        <v>74</v>
      </c>
    </row>
    <row r="56" spans="2:4" x14ac:dyDescent="0.2">
      <c r="B56" s="151">
        <v>48</v>
      </c>
      <c r="C56" s="148" t="s">
        <v>7426</v>
      </c>
      <c r="D56" s="145" t="s">
        <v>74</v>
      </c>
    </row>
    <row r="57" spans="2:4" x14ac:dyDescent="0.2">
      <c r="B57" s="151">
        <v>49</v>
      </c>
      <c r="C57" s="148" t="s">
        <v>7422</v>
      </c>
      <c r="D57" s="145" t="s">
        <v>74</v>
      </c>
    </row>
    <row r="58" spans="2:4" x14ac:dyDescent="0.2">
      <c r="B58" s="151">
        <v>50</v>
      </c>
      <c r="C58" s="148" t="s">
        <v>7436</v>
      </c>
      <c r="D58" s="145" t="s">
        <v>74</v>
      </c>
    </row>
    <row r="59" spans="2:4" x14ac:dyDescent="0.2">
      <c r="B59" s="151">
        <v>51</v>
      </c>
      <c r="C59" s="148" t="s">
        <v>7423</v>
      </c>
      <c r="D59" s="145" t="s">
        <v>74</v>
      </c>
    </row>
    <row r="60" spans="2:4" x14ac:dyDescent="0.2">
      <c r="B60" s="151">
        <v>52</v>
      </c>
      <c r="C60" s="148" t="s">
        <v>7418</v>
      </c>
      <c r="D60" s="145" t="s">
        <v>74</v>
      </c>
    </row>
    <row r="61" spans="2:4" x14ac:dyDescent="0.2">
      <c r="B61" s="151">
        <v>53</v>
      </c>
      <c r="C61" s="148" t="s">
        <v>7429</v>
      </c>
      <c r="D61" s="145" t="s">
        <v>74</v>
      </c>
    </row>
    <row r="62" spans="2:4" x14ac:dyDescent="0.2">
      <c r="B62" s="151">
        <v>54</v>
      </c>
      <c r="C62" s="148" t="s">
        <v>7437</v>
      </c>
      <c r="D62" s="145" t="s">
        <v>74</v>
      </c>
    </row>
    <row r="63" spans="2:4" x14ac:dyDescent="0.2">
      <c r="B63" s="151">
        <v>55</v>
      </c>
      <c r="C63" s="148" t="s">
        <v>7425</v>
      </c>
      <c r="D63" s="145" t="s">
        <v>74</v>
      </c>
    </row>
    <row r="64" spans="2:4" x14ac:dyDescent="0.2">
      <c r="B64" s="151">
        <v>56</v>
      </c>
      <c r="C64" s="148" t="s">
        <v>7409</v>
      </c>
      <c r="D64" s="145" t="s">
        <v>74</v>
      </c>
    </row>
    <row r="65" spans="2:4" x14ac:dyDescent="0.2">
      <c r="B65" s="151">
        <v>57</v>
      </c>
      <c r="C65" s="148" t="s">
        <v>7415</v>
      </c>
      <c r="D65" s="145" t="s">
        <v>74</v>
      </c>
    </row>
    <row r="66" spans="2:4" x14ac:dyDescent="0.2">
      <c r="B66" s="151">
        <v>58</v>
      </c>
      <c r="C66" s="148" t="s">
        <v>7417</v>
      </c>
      <c r="D66" s="145" t="s">
        <v>74</v>
      </c>
    </row>
    <row r="67" spans="2:4" x14ac:dyDescent="0.2">
      <c r="B67" s="151">
        <v>59</v>
      </c>
      <c r="C67" s="148" t="s">
        <v>7438</v>
      </c>
      <c r="D67" s="145" t="s">
        <v>74</v>
      </c>
    </row>
    <row r="68" spans="2:4" x14ac:dyDescent="0.2">
      <c r="B68" s="151">
        <v>60</v>
      </c>
      <c r="C68" s="148" t="s">
        <v>7416</v>
      </c>
      <c r="D68" s="145" t="s">
        <v>74</v>
      </c>
    </row>
    <row r="69" spans="2:4" x14ac:dyDescent="0.2">
      <c r="B69" s="151">
        <v>61</v>
      </c>
      <c r="C69" s="148" t="s">
        <v>7439</v>
      </c>
      <c r="D69" s="145" t="s">
        <v>74</v>
      </c>
    </row>
    <row r="70" spans="2:4" x14ac:dyDescent="0.2">
      <c r="B70" s="151">
        <v>62</v>
      </c>
      <c r="C70" s="148" t="s">
        <v>7440</v>
      </c>
      <c r="D70" s="145" t="s">
        <v>74</v>
      </c>
    </row>
    <row r="71" spans="2:4" x14ac:dyDescent="0.2">
      <c r="B71" s="151">
        <v>63</v>
      </c>
      <c r="C71" s="148" t="s">
        <v>7441</v>
      </c>
      <c r="D71" s="145" t="s">
        <v>74</v>
      </c>
    </row>
    <row r="72" spans="2:4" x14ac:dyDescent="0.2">
      <c r="B72" s="151">
        <v>64</v>
      </c>
      <c r="C72" s="148" t="s">
        <v>7411</v>
      </c>
      <c r="D72" s="145" t="s">
        <v>74</v>
      </c>
    </row>
    <row r="73" spans="2:4" x14ac:dyDescent="0.2">
      <c r="B73" s="151">
        <v>65</v>
      </c>
      <c r="C73" s="148" t="s">
        <v>7442</v>
      </c>
      <c r="D73" s="145" t="s">
        <v>74</v>
      </c>
    </row>
    <row r="74" spans="2:4" x14ac:dyDescent="0.2">
      <c r="B74" s="151">
        <v>66</v>
      </c>
      <c r="C74" s="148" t="s">
        <v>7403</v>
      </c>
      <c r="D74" s="145" t="s">
        <v>74</v>
      </c>
    </row>
    <row r="75" spans="2:4" x14ac:dyDescent="0.2">
      <c r="B75" s="151">
        <v>67</v>
      </c>
      <c r="C75" s="148" t="s">
        <v>7414</v>
      </c>
      <c r="D75" s="145" t="s">
        <v>74</v>
      </c>
    </row>
    <row r="76" spans="2:4" x14ac:dyDescent="0.2">
      <c r="B76" s="151">
        <v>68</v>
      </c>
      <c r="C76" s="148" t="s">
        <v>7443</v>
      </c>
      <c r="D76" s="145" t="s">
        <v>74</v>
      </c>
    </row>
    <row r="77" spans="2:4" x14ac:dyDescent="0.2">
      <c r="B77" s="151">
        <v>69</v>
      </c>
      <c r="C77" s="148" t="s">
        <v>7412</v>
      </c>
      <c r="D77" s="145" t="s">
        <v>74</v>
      </c>
    </row>
    <row r="78" spans="2:4" x14ac:dyDescent="0.2">
      <c r="B78" s="151">
        <v>70</v>
      </c>
      <c r="C78" s="148" t="s">
        <v>7444</v>
      </c>
      <c r="D78" s="145" t="s">
        <v>74</v>
      </c>
    </row>
    <row r="79" spans="2:4" x14ac:dyDescent="0.2">
      <c r="B79" s="151">
        <v>71</v>
      </c>
      <c r="C79" s="148" t="s">
        <v>7413</v>
      </c>
      <c r="D79" s="145" t="s">
        <v>74</v>
      </c>
    </row>
    <row r="80" spans="2:4" x14ac:dyDescent="0.2">
      <c r="B80" s="151">
        <v>72</v>
      </c>
      <c r="C80" s="148" t="s">
        <v>7410</v>
      </c>
      <c r="D80" s="145" t="s">
        <v>74</v>
      </c>
    </row>
    <row r="81" spans="2:4" x14ac:dyDescent="0.2">
      <c r="B81" s="151">
        <v>73</v>
      </c>
      <c r="C81" s="148" t="s">
        <v>7445</v>
      </c>
      <c r="D81" s="145" t="s">
        <v>74</v>
      </c>
    </row>
    <row r="82" spans="2:4" x14ac:dyDescent="0.2">
      <c r="B82" s="151">
        <v>74</v>
      </c>
      <c r="C82" s="148" t="s">
        <v>7446</v>
      </c>
      <c r="D82" s="145" t="s">
        <v>74</v>
      </c>
    </row>
    <row r="83" spans="2:4" x14ac:dyDescent="0.2">
      <c r="B83" s="151">
        <v>75</v>
      </c>
      <c r="C83" s="148" t="s">
        <v>7427</v>
      </c>
      <c r="D83" s="145" t="s">
        <v>74</v>
      </c>
    </row>
    <row r="84" spans="2:4" x14ac:dyDescent="0.2">
      <c r="B84" s="151">
        <v>76</v>
      </c>
      <c r="C84" s="148" t="s">
        <v>7447</v>
      </c>
      <c r="D84" s="145" t="s">
        <v>74</v>
      </c>
    </row>
    <row r="85" spans="2:4" x14ac:dyDescent="0.2">
      <c r="B85" s="151">
        <v>77</v>
      </c>
      <c r="C85" s="148" t="s">
        <v>7448</v>
      </c>
      <c r="D85" s="145" t="s">
        <v>74</v>
      </c>
    </row>
    <row r="86" spans="2:4" x14ac:dyDescent="0.2">
      <c r="B86" s="151">
        <v>78</v>
      </c>
      <c r="C86" s="148" t="s">
        <v>7424</v>
      </c>
      <c r="D86" s="145" t="s">
        <v>74</v>
      </c>
    </row>
    <row r="87" spans="2:4" x14ac:dyDescent="0.2">
      <c r="B87" s="151">
        <v>79</v>
      </c>
      <c r="C87" s="148" t="s">
        <v>7449</v>
      </c>
      <c r="D87" s="145" t="s">
        <v>74</v>
      </c>
    </row>
    <row r="88" spans="2:4" x14ac:dyDescent="0.2">
      <c r="B88" s="151">
        <v>80</v>
      </c>
      <c r="C88" s="148" t="s">
        <v>7450</v>
      </c>
      <c r="D88" s="145" t="s">
        <v>74</v>
      </c>
    </row>
    <row r="89" spans="2:4" x14ac:dyDescent="0.2">
      <c r="B89" s="151">
        <v>81</v>
      </c>
      <c r="C89" s="148"/>
      <c r="D89" s="145"/>
    </row>
    <row r="90" spans="2:4" x14ac:dyDescent="0.2">
      <c r="B90" s="151">
        <v>82</v>
      </c>
      <c r="C90" s="148"/>
      <c r="D90" s="145"/>
    </row>
    <row r="91" spans="2:4" x14ac:dyDescent="0.2">
      <c r="B91" s="151">
        <v>83</v>
      </c>
      <c r="C91" s="148"/>
      <c r="D91" s="145"/>
    </row>
    <row r="92" spans="2:4" x14ac:dyDescent="0.2">
      <c r="B92" s="151">
        <v>84</v>
      </c>
      <c r="C92" s="148"/>
      <c r="D92" s="145"/>
    </row>
    <row r="93" spans="2:4" x14ac:dyDescent="0.2">
      <c r="B93" s="151">
        <v>85</v>
      </c>
      <c r="C93" s="148"/>
      <c r="D93" s="145"/>
    </row>
    <row r="94" spans="2:4" x14ac:dyDescent="0.2">
      <c r="B94" s="151">
        <v>86</v>
      </c>
      <c r="C94" s="148"/>
      <c r="D94" s="145"/>
    </row>
    <row r="95" spans="2:4" x14ac:dyDescent="0.2">
      <c r="B95" s="151">
        <v>87</v>
      </c>
      <c r="C95" s="148"/>
      <c r="D95" s="145"/>
    </row>
    <row r="96" spans="2:4" x14ac:dyDescent="0.2">
      <c r="B96" s="151">
        <v>88</v>
      </c>
      <c r="C96" s="148"/>
      <c r="D96" s="145"/>
    </row>
    <row r="97" spans="2:4" x14ac:dyDescent="0.2">
      <c r="B97" s="151">
        <v>89</v>
      </c>
      <c r="C97" s="148"/>
      <c r="D97" s="145"/>
    </row>
    <row r="98" spans="2:4" x14ac:dyDescent="0.2">
      <c r="B98" s="151">
        <v>90</v>
      </c>
      <c r="C98" s="148"/>
      <c r="D98" s="145"/>
    </row>
    <row r="99" spans="2:4" x14ac:dyDescent="0.2">
      <c r="B99" s="151">
        <v>91</v>
      </c>
      <c r="C99" s="148"/>
      <c r="D99" s="145"/>
    </row>
    <row r="100" spans="2:4" x14ac:dyDescent="0.2">
      <c r="B100" s="151">
        <v>92</v>
      </c>
      <c r="C100" s="148"/>
      <c r="D100" s="145"/>
    </row>
    <row r="101" spans="2:4" x14ac:dyDescent="0.2">
      <c r="B101" s="151">
        <v>93</v>
      </c>
      <c r="C101" s="148"/>
      <c r="D101" s="145"/>
    </row>
    <row r="102" spans="2:4" x14ac:dyDescent="0.2">
      <c r="B102" s="151">
        <v>94</v>
      </c>
      <c r="C102" s="148"/>
      <c r="D102" s="145"/>
    </row>
    <row r="103" spans="2:4" x14ac:dyDescent="0.2">
      <c r="B103" s="151">
        <v>95</v>
      </c>
      <c r="C103" s="148"/>
      <c r="D103" s="145"/>
    </row>
    <row r="104" spans="2:4" x14ac:dyDescent="0.2">
      <c r="B104" s="151">
        <v>96</v>
      </c>
      <c r="C104" s="148"/>
      <c r="D104" s="145"/>
    </row>
    <row r="105" spans="2:4" x14ac:dyDescent="0.2">
      <c r="B105" s="151">
        <v>97</v>
      </c>
      <c r="C105" s="148"/>
      <c r="D105" s="145"/>
    </row>
    <row r="106" spans="2:4" x14ac:dyDescent="0.2">
      <c r="B106" s="151">
        <v>98</v>
      </c>
      <c r="C106" s="148"/>
      <c r="D106" s="145"/>
    </row>
    <row r="107" spans="2:4" x14ac:dyDescent="0.2">
      <c r="B107" s="151">
        <v>99</v>
      </c>
      <c r="C107" s="148"/>
      <c r="D107" s="145"/>
    </row>
    <row r="108" spans="2:4" x14ac:dyDescent="0.2">
      <c r="B108" s="151">
        <v>100</v>
      </c>
      <c r="C108" s="148"/>
      <c r="D108" s="145"/>
    </row>
    <row r="109" spans="2:4" x14ac:dyDescent="0.2">
      <c r="B109" s="151">
        <v>101</v>
      </c>
      <c r="C109" s="148"/>
      <c r="D109" s="145"/>
    </row>
    <row r="110" spans="2:4" x14ac:dyDescent="0.2">
      <c r="B110" s="151">
        <v>102</v>
      </c>
      <c r="C110" s="148"/>
      <c r="D110" s="145"/>
    </row>
    <row r="111" spans="2:4" x14ac:dyDescent="0.2">
      <c r="B111" s="151">
        <v>103</v>
      </c>
      <c r="C111" s="148"/>
      <c r="D111" s="145"/>
    </row>
    <row r="112" spans="2:4" x14ac:dyDescent="0.2">
      <c r="B112" s="151">
        <v>104</v>
      </c>
      <c r="C112" s="148"/>
      <c r="D112" s="145"/>
    </row>
    <row r="113" spans="2:4" x14ac:dyDescent="0.2">
      <c r="B113" s="151">
        <v>105</v>
      </c>
      <c r="C113" s="148"/>
      <c r="D113" s="145"/>
    </row>
    <row r="114" spans="2:4" x14ac:dyDescent="0.2">
      <c r="B114" s="151">
        <v>106</v>
      </c>
      <c r="C114" s="148"/>
      <c r="D114" s="145"/>
    </row>
    <row r="115" spans="2:4" x14ac:dyDescent="0.2">
      <c r="B115" s="151">
        <v>107</v>
      </c>
      <c r="C115" s="148"/>
      <c r="D115" s="145"/>
    </row>
    <row r="116" spans="2:4" x14ac:dyDescent="0.2">
      <c r="B116" s="151">
        <v>108</v>
      </c>
      <c r="C116" s="148"/>
      <c r="D116" s="145"/>
    </row>
    <row r="117" spans="2:4" x14ac:dyDescent="0.2">
      <c r="B117" s="151">
        <v>109</v>
      </c>
      <c r="C117" s="148"/>
      <c r="D117" s="145"/>
    </row>
    <row r="118" spans="2:4" x14ac:dyDescent="0.2">
      <c r="B118" s="151">
        <v>110</v>
      </c>
      <c r="C118" s="148"/>
      <c r="D118" s="145"/>
    </row>
    <row r="119" spans="2:4" x14ac:dyDescent="0.2">
      <c r="B119" s="151">
        <v>111</v>
      </c>
      <c r="C119" s="148"/>
      <c r="D119" s="145"/>
    </row>
    <row r="120" spans="2:4" x14ac:dyDescent="0.2">
      <c r="B120" s="151">
        <v>112</v>
      </c>
      <c r="C120" s="148"/>
      <c r="D120" s="145"/>
    </row>
    <row r="121" spans="2:4" x14ac:dyDescent="0.2">
      <c r="B121" s="151">
        <v>113</v>
      </c>
      <c r="C121" s="148"/>
      <c r="D121" s="145"/>
    </row>
    <row r="122" spans="2:4" x14ac:dyDescent="0.2">
      <c r="B122" s="151">
        <v>114</v>
      </c>
      <c r="C122" s="148"/>
      <c r="D122" s="145"/>
    </row>
    <row r="123" spans="2:4" x14ac:dyDescent="0.2">
      <c r="B123" s="151">
        <v>115</v>
      </c>
      <c r="C123" s="148"/>
      <c r="D123" s="145"/>
    </row>
    <row r="124" spans="2:4" x14ac:dyDescent="0.2">
      <c r="B124" s="151">
        <v>116</v>
      </c>
      <c r="C124" s="148"/>
      <c r="D124" s="145"/>
    </row>
    <row r="125" spans="2:4" x14ac:dyDescent="0.2">
      <c r="B125" s="151">
        <v>117</v>
      </c>
      <c r="C125" s="148"/>
      <c r="D125" s="145"/>
    </row>
    <row r="126" spans="2:4" x14ac:dyDescent="0.2">
      <c r="B126" s="151">
        <v>118</v>
      </c>
      <c r="C126" s="148"/>
      <c r="D126" s="145"/>
    </row>
    <row r="127" spans="2:4" x14ac:dyDescent="0.2">
      <c r="B127" s="151">
        <v>119</v>
      </c>
      <c r="C127" s="148"/>
      <c r="D127" s="145"/>
    </row>
    <row r="128" spans="2:4" x14ac:dyDescent="0.2">
      <c r="B128" s="151">
        <v>120</v>
      </c>
      <c r="C128" s="148"/>
      <c r="D128" s="145"/>
    </row>
    <row r="129" spans="2:4" x14ac:dyDescent="0.2">
      <c r="B129" s="151">
        <v>121</v>
      </c>
      <c r="C129" s="148"/>
      <c r="D129" s="145"/>
    </row>
    <row r="130" spans="2:4" x14ac:dyDescent="0.2">
      <c r="B130" s="151">
        <v>122</v>
      </c>
      <c r="C130" s="148"/>
      <c r="D130" s="145"/>
    </row>
    <row r="131" spans="2:4" x14ac:dyDescent="0.2">
      <c r="B131" s="151">
        <v>123</v>
      </c>
      <c r="C131" s="148"/>
      <c r="D131" s="145"/>
    </row>
    <row r="132" spans="2:4" x14ac:dyDescent="0.2">
      <c r="B132" s="151">
        <v>124</v>
      </c>
      <c r="C132" s="148"/>
      <c r="D132" s="145"/>
    </row>
    <row r="133" spans="2:4" x14ac:dyDescent="0.2">
      <c r="B133" s="151">
        <v>125</v>
      </c>
      <c r="C133" s="148"/>
      <c r="D133" s="145"/>
    </row>
    <row r="134" spans="2:4" x14ac:dyDescent="0.2">
      <c r="B134" s="151">
        <v>126</v>
      </c>
      <c r="C134" s="148"/>
      <c r="D134" s="145"/>
    </row>
    <row r="135" spans="2:4" x14ac:dyDescent="0.2">
      <c r="B135" s="151">
        <v>127</v>
      </c>
      <c r="C135" s="148"/>
      <c r="D135" s="145"/>
    </row>
    <row r="136" spans="2:4" x14ac:dyDescent="0.2">
      <c r="B136" s="151">
        <v>128</v>
      </c>
      <c r="C136" s="148"/>
      <c r="D136" s="145"/>
    </row>
    <row r="137" spans="2:4" x14ac:dyDescent="0.2">
      <c r="B137" s="151">
        <v>129</v>
      </c>
      <c r="C137" s="148"/>
      <c r="D137" s="145"/>
    </row>
    <row r="138" spans="2:4" x14ac:dyDescent="0.2">
      <c r="B138" s="151">
        <v>130</v>
      </c>
      <c r="C138" s="148"/>
      <c r="D138" s="145"/>
    </row>
    <row r="139" spans="2:4" x14ac:dyDescent="0.2">
      <c r="B139" s="151">
        <v>131</v>
      </c>
      <c r="C139" s="148"/>
      <c r="D139" s="145"/>
    </row>
    <row r="140" spans="2:4" x14ac:dyDescent="0.2">
      <c r="B140" s="151">
        <v>132</v>
      </c>
      <c r="C140" s="148"/>
      <c r="D140" s="145"/>
    </row>
    <row r="141" spans="2:4" x14ac:dyDescent="0.2">
      <c r="B141" s="151">
        <v>133</v>
      </c>
      <c r="C141" s="148"/>
      <c r="D141" s="145"/>
    </row>
    <row r="142" spans="2:4" x14ac:dyDescent="0.2">
      <c r="B142" s="151">
        <v>134</v>
      </c>
      <c r="C142" s="148"/>
      <c r="D142" s="145"/>
    </row>
    <row r="143" spans="2:4" x14ac:dyDescent="0.2">
      <c r="B143" s="151">
        <v>135</v>
      </c>
      <c r="C143" s="148"/>
      <c r="D143" s="145"/>
    </row>
    <row r="144" spans="2:4" x14ac:dyDescent="0.2">
      <c r="B144" s="151">
        <v>136</v>
      </c>
      <c r="C144" s="148"/>
      <c r="D144" s="145"/>
    </row>
    <row r="145" spans="2:4" x14ac:dyDescent="0.2">
      <c r="B145" s="151">
        <v>137</v>
      </c>
      <c r="C145" s="148"/>
      <c r="D145" s="145"/>
    </row>
    <row r="146" spans="2:4" x14ac:dyDescent="0.2">
      <c r="B146" s="151">
        <v>138</v>
      </c>
      <c r="C146" s="148"/>
      <c r="D146" s="145"/>
    </row>
    <row r="147" spans="2:4" x14ac:dyDescent="0.2">
      <c r="B147" s="151">
        <v>139</v>
      </c>
      <c r="C147" s="148"/>
      <c r="D147" s="145"/>
    </row>
    <row r="148" spans="2:4" x14ac:dyDescent="0.2">
      <c r="B148" s="151">
        <v>140</v>
      </c>
      <c r="C148" s="148"/>
      <c r="D148" s="145"/>
    </row>
    <row r="149" spans="2:4" x14ac:dyDescent="0.2">
      <c r="B149" s="151">
        <v>141</v>
      </c>
      <c r="C149" s="148"/>
      <c r="D149" s="145"/>
    </row>
    <row r="150" spans="2:4" x14ac:dyDescent="0.2">
      <c r="B150" s="151">
        <v>142</v>
      </c>
      <c r="C150" s="148"/>
      <c r="D150" s="145"/>
    </row>
    <row r="151" spans="2:4" x14ac:dyDescent="0.2">
      <c r="B151" s="151">
        <v>143</v>
      </c>
      <c r="C151" s="148"/>
      <c r="D151" s="145"/>
    </row>
    <row r="152" spans="2:4" x14ac:dyDescent="0.2">
      <c r="B152" s="151">
        <v>144</v>
      </c>
      <c r="C152" s="148"/>
      <c r="D152" s="145"/>
    </row>
    <row r="153" spans="2:4" x14ac:dyDescent="0.2">
      <c r="B153" s="151">
        <v>145</v>
      </c>
      <c r="C153" s="148"/>
      <c r="D153" s="145"/>
    </row>
    <row r="154" spans="2:4" x14ac:dyDescent="0.2">
      <c r="B154" s="151">
        <v>146</v>
      </c>
      <c r="C154" s="148"/>
      <c r="D154" s="145"/>
    </row>
    <row r="155" spans="2:4" x14ac:dyDescent="0.2">
      <c r="B155" s="151">
        <v>147</v>
      </c>
      <c r="C155" s="148"/>
      <c r="D155" s="145"/>
    </row>
    <row r="156" spans="2:4" x14ac:dyDescent="0.2">
      <c r="B156" s="151">
        <v>148</v>
      </c>
      <c r="C156" s="148"/>
      <c r="D156" s="145"/>
    </row>
    <row r="157" spans="2:4" x14ac:dyDescent="0.2">
      <c r="B157" s="151">
        <v>149</v>
      </c>
      <c r="C157" s="148"/>
      <c r="D157" s="145"/>
    </row>
    <row r="158" spans="2:4" x14ac:dyDescent="0.2">
      <c r="B158" s="151">
        <v>150</v>
      </c>
      <c r="C158" s="148"/>
      <c r="D158" s="145"/>
    </row>
    <row r="159" spans="2:4" x14ac:dyDescent="0.2">
      <c r="B159" s="151">
        <v>151</v>
      </c>
      <c r="C159" s="148"/>
      <c r="D159" s="145"/>
    </row>
    <row r="160" spans="2:4" x14ac:dyDescent="0.2">
      <c r="B160" s="151">
        <v>152</v>
      </c>
      <c r="C160" s="148"/>
      <c r="D160" s="145"/>
    </row>
    <row r="161" spans="2:4" x14ac:dyDescent="0.2">
      <c r="B161" s="151">
        <v>153</v>
      </c>
      <c r="C161" s="148"/>
      <c r="D161" s="145"/>
    </row>
    <row r="162" spans="2:4" x14ac:dyDescent="0.2">
      <c r="B162" s="151">
        <v>154</v>
      </c>
      <c r="C162" s="148"/>
      <c r="D162" s="145"/>
    </row>
    <row r="163" spans="2:4" x14ac:dyDescent="0.2">
      <c r="B163" s="151">
        <v>155</v>
      </c>
      <c r="C163" s="148"/>
      <c r="D163" s="145"/>
    </row>
    <row r="164" spans="2:4" x14ac:dyDescent="0.2">
      <c r="B164" s="151">
        <v>156</v>
      </c>
      <c r="C164" s="148"/>
      <c r="D164" s="145"/>
    </row>
    <row r="165" spans="2:4" x14ac:dyDescent="0.2">
      <c r="B165" s="151">
        <v>157</v>
      </c>
      <c r="C165" s="148"/>
      <c r="D165" s="145"/>
    </row>
    <row r="166" spans="2:4" x14ac:dyDescent="0.2">
      <c r="B166" s="151">
        <v>158</v>
      </c>
      <c r="C166" s="148"/>
      <c r="D166" s="145"/>
    </row>
    <row r="167" spans="2:4" x14ac:dyDescent="0.2">
      <c r="B167" s="151">
        <v>159</v>
      </c>
      <c r="C167" s="148"/>
      <c r="D167" s="145"/>
    </row>
    <row r="168" spans="2:4" x14ac:dyDescent="0.2">
      <c r="B168" s="151">
        <v>160</v>
      </c>
      <c r="C168" s="148"/>
      <c r="D168" s="145"/>
    </row>
    <row r="169" spans="2:4" x14ac:dyDescent="0.2">
      <c r="B169" s="151">
        <v>161</v>
      </c>
      <c r="C169" s="148"/>
      <c r="D169" s="145"/>
    </row>
    <row r="170" spans="2:4" x14ac:dyDescent="0.2">
      <c r="B170" s="151">
        <v>162</v>
      </c>
      <c r="C170" s="148"/>
      <c r="D170" s="145"/>
    </row>
    <row r="171" spans="2:4" x14ac:dyDescent="0.2">
      <c r="B171" s="151">
        <v>163</v>
      </c>
      <c r="C171" s="148"/>
      <c r="D171" s="145"/>
    </row>
    <row r="172" spans="2:4" x14ac:dyDescent="0.2">
      <c r="B172" s="151">
        <v>164</v>
      </c>
      <c r="C172" s="148"/>
      <c r="D172" s="145"/>
    </row>
    <row r="173" spans="2:4" x14ac:dyDescent="0.2">
      <c r="B173" s="151">
        <v>165</v>
      </c>
      <c r="C173" s="148"/>
      <c r="D173" s="145"/>
    </row>
    <row r="174" spans="2:4" x14ac:dyDescent="0.2">
      <c r="B174" s="151">
        <v>166</v>
      </c>
      <c r="C174" s="148"/>
      <c r="D174" s="145"/>
    </row>
    <row r="175" spans="2:4" x14ac:dyDescent="0.2">
      <c r="B175" s="151">
        <v>167</v>
      </c>
      <c r="C175" s="148"/>
      <c r="D175" s="145"/>
    </row>
    <row r="176" spans="2:4" x14ac:dyDescent="0.2">
      <c r="B176" s="151">
        <v>168</v>
      </c>
      <c r="C176" s="148"/>
      <c r="D176" s="145"/>
    </row>
    <row r="177" spans="2:4" x14ac:dyDescent="0.2">
      <c r="B177" s="151">
        <v>169</v>
      </c>
      <c r="C177" s="148"/>
      <c r="D177" s="145"/>
    </row>
    <row r="178" spans="2:4" x14ac:dyDescent="0.2">
      <c r="B178" s="151">
        <v>170</v>
      </c>
      <c r="C178" s="148"/>
      <c r="D178" s="145"/>
    </row>
    <row r="179" spans="2:4" x14ac:dyDescent="0.2">
      <c r="B179" s="151">
        <v>171</v>
      </c>
      <c r="C179" s="148"/>
      <c r="D179" s="145"/>
    </row>
    <row r="180" spans="2:4" x14ac:dyDescent="0.2">
      <c r="B180" s="151">
        <v>172</v>
      </c>
      <c r="C180" s="148"/>
      <c r="D180" s="145"/>
    </row>
    <row r="181" spans="2:4" x14ac:dyDescent="0.2">
      <c r="B181" s="151">
        <v>173</v>
      </c>
      <c r="C181" s="148"/>
      <c r="D181" s="145"/>
    </row>
    <row r="182" spans="2:4" x14ac:dyDescent="0.2">
      <c r="B182" s="151">
        <v>174</v>
      </c>
      <c r="C182" s="148"/>
      <c r="D182" s="145"/>
    </row>
    <row r="183" spans="2:4" x14ac:dyDescent="0.2">
      <c r="B183" s="151">
        <v>175</v>
      </c>
      <c r="C183" s="148"/>
      <c r="D183" s="145"/>
    </row>
    <row r="184" spans="2:4" x14ac:dyDescent="0.2">
      <c r="B184" s="151">
        <v>176</v>
      </c>
      <c r="C184" s="148"/>
      <c r="D184" s="145"/>
    </row>
    <row r="185" spans="2:4" x14ac:dyDescent="0.2">
      <c r="B185" s="151">
        <v>177</v>
      </c>
      <c r="C185" s="148"/>
      <c r="D185" s="145"/>
    </row>
    <row r="186" spans="2:4" x14ac:dyDescent="0.2">
      <c r="B186" s="151">
        <v>178</v>
      </c>
      <c r="C186" s="148"/>
      <c r="D186" s="145"/>
    </row>
    <row r="187" spans="2:4" x14ac:dyDescent="0.2">
      <c r="B187" s="151">
        <v>179</v>
      </c>
      <c r="C187" s="148"/>
      <c r="D187" s="145"/>
    </row>
    <row r="188" spans="2:4" x14ac:dyDescent="0.2">
      <c r="B188" s="151">
        <v>180</v>
      </c>
      <c r="C188" s="148"/>
      <c r="D188" s="145"/>
    </row>
    <row r="189" spans="2:4" x14ac:dyDescent="0.2">
      <c r="B189" s="151">
        <v>181</v>
      </c>
      <c r="C189" s="148"/>
      <c r="D189" s="145"/>
    </row>
    <row r="190" spans="2:4" x14ac:dyDescent="0.2">
      <c r="B190" s="151">
        <v>182</v>
      </c>
      <c r="C190" s="148"/>
      <c r="D190" s="145"/>
    </row>
    <row r="191" spans="2:4" x14ac:dyDescent="0.2">
      <c r="B191" s="151">
        <v>183</v>
      </c>
      <c r="C191" s="148"/>
      <c r="D191" s="145"/>
    </row>
    <row r="192" spans="2:4" x14ac:dyDescent="0.2">
      <c r="B192" s="151">
        <v>184</v>
      </c>
      <c r="C192" s="148"/>
      <c r="D192" s="145"/>
    </row>
    <row r="193" spans="2:4" x14ac:dyDescent="0.2">
      <c r="B193" s="151">
        <v>185</v>
      </c>
      <c r="C193" s="148"/>
      <c r="D193" s="145"/>
    </row>
    <row r="194" spans="2:4" x14ac:dyDescent="0.2">
      <c r="B194" s="151">
        <v>186</v>
      </c>
      <c r="C194" s="148"/>
      <c r="D194" s="145"/>
    </row>
    <row r="195" spans="2:4" x14ac:dyDescent="0.2">
      <c r="B195" s="151">
        <v>187</v>
      </c>
      <c r="C195" s="148"/>
      <c r="D195" s="145"/>
    </row>
    <row r="196" spans="2:4" x14ac:dyDescent="0.2">
      <c r="B196" s="151">
        <v>188</v>
      </c>
      <c r="C196" s="148"/>
      <c r="D196" s="145"/>
    </row>
    <row r="197" spans="2:4" x14ac:dyDescent="0.2">
      <c r="B197" s="151">
        <v>189</v>
      </c>
      <c r="C197" s="148"/>
      <c r="D197" s="145"/>
    </row>
    <row r="198" spans="2:4" x14ac:dyDescent="0.2">
      <c r="B198" s="151">
        <v>190</v>
      </c>
      <c r="C198" s="148"/>
      <c r="D198" s="145"/>
    </row>
    <row r="199" spans="2:4" x14ac:dyDescent="0.2">
      <c r="B199" s="151">
        <v>191</v>
      </c>
      <c r="C199" s="148"/>
      <c r="D199" s="145"/>
    </row>
    <row r="200" spans="2:4" x14ac:dyDescent="0.2">
      <c r="B200" s="151">
        <v>192</v>
      </c>
      <c r="C200" s="148"/>
      <c r="D200" s="145"/>
    </row>
    <row r="201" spans="2:4" x14ac:dyDescent="0.2">
      <c r="B201" s="151">
        <v>193</v>
      </c>
      <c r="C201" s="148"/>
      <c r="D201" s="145"/>
    </row>
    <row r="202" spans="2:4" x14ac:dyDescent="0.2">
      <c r="B202" s="151">
        <v>194</v>
      </c>
      <c r="C202" s="148"/>
      <c r="D202" s="145"/>
    </row>
    <row r="203" spans="2:4" x14ac:dyDescent="0.2">
      <c r="B203" s="151">
        <v>195</v>
      </c>
      <c r="C203" s="148"/>
      <c r="D203" s="145"/>
    </row>
    <row r="204" spans="2:4" x14ac:dyDescent="0.2">
      <c r="B204" s="151">
        <v>196</v>
      </c>
      <c r="C204" s="148"/>
      <c r="D204" s="145"/>
    </row>
    <row r="205" spans="2:4" x14ac:dyDescent="0.2">
      <c r="B205" s="151">
        <v>197</v>
      </c>
      <c r="C205" s="148"/>
      <c r="D205" s="145"/>
    </row>
    <row r="206" spans="2:4" x14ac:dyDescent="0.2">
      <c r="B206" s="151">
        <v>198</v>
      </c>
      <c r="C206" s="148"/>
      <c r="D206" s="145"/>
    </row>
    <row r="207" spans="2:4" x14ac:dyDescent="0.2">
      <c r="B207" s="151">
        <v>199</v>
      </c>
      <c r="C207" s="148"/>
      <c r="D207" s="145"/>
    </row>
    <row r="208" spans="2:4" x14ac:dyDescent="0.2">
      <c r="B208" s="151">
        <v>200</v>
      </c>
      <c r="C208" s="148"/>
      <c r="D208" s="145"/>
    </row>
    <row r="209" spans="2:4" x14ac:dyDescent="0.2">
      <c r="B209" s="151">
        <v>201</v>
      </c>
      <c r="C209" s="148"/>
      <c r="D209" s="145"/>
    </row>
    <row r="210" spans="2:4" x14ac:dyDescent="0.2">
      <c r="B210" s="151">
        <v>202</v>
      </c>
      <c r="C210" s="148"/>
      <c r="D210" s="145"/>
    </row>
    <row r="211" spans="2:4" x14ac:dyDescent="0.2">
      <c r="B211" s="151">
        <v>203</v>
      </c>
      <c r="C211" s="148"/>
      <c r="D211" s="145"/>
    </row>
    <row r="212" spans="2:4" x14ac:dyDescent="0.2">
      <c r="B212" s="151">
        <v>204</v>
      </c>
      <c r="C212" s="148"/>
      <c r="D212" s="145"/>
    </row>
    <row r="213" spans="2:4" x14ac:dyDescent="0.2">
      <c r="B213" s="151">
        <v>205</v>
      </c>
      <c r="C213" s="148"/>
      <c r="D213" s="145"/>
    </row>
    <row r="214" spans="2:4" x14ac:dyDescent="0.2">
      <c r="B214" s="151">
        <v>206</v>
      </c>
      <c r="C214" s="148"/>
      <c r="D214" s="145"/>
    </row>
    <row r="215" spans="2:4" x14ac:dyDescent="0.2">
      <c r="B215" s="151">
        <v>207</v>
      </c>
      <c r="C215" s="148"/>
      <c r="D215" s="145"/>
    </row>
    <row r="216" spans="2:4" x14ac:dyDescent="0.2">
      <c r="B216" s="151">
        <v>208</v>
      </c>
      <c r="C216" s="148"/>
      <c r="D216" s="145"/>
    </row>
    <row r="217" spans="2:4" x14ac:dyDescent="0.2">
      <c r="B217" s="151">
        <v>209</v>
      </c>
      <c r="C217" s="148"/>
      <c r="D217" s="145"/>
    </row>
    <row r="218" spans="2:4" x14ac:dyDescent="0.2">
      <c r="B218" s="151">
        <v>210</v>
      </c>
      <c r="C218" s="148"/>
      <c r="D218" s="145"/>
    </row>
    <row r="219" spans="2:4" x14ac:dyDescent="0.2">
      <c r="B219" s="151">
        <v>211</v>
      </c>
      <c r="C219" s="148"/>
      <c r="D219" s="145"/>
    </row>
    <row r="220" spans="2:4" x14ac:dyDescent="0.2">
      <c r="B220" s="151">
        <v>212</v>
      </c>
      <c r="C220" s="148"/>
      <c r="D220" s="145"/>
    </row>
    <row r="221" spans="2:4" x14ac:dyDescent="0.2">
      <c r="B221" s="151">
        <v>213</v>
      </c>
      <c r="C221" s="148"/>
      <c r="D221" s="145"/>
    </row>
    <row r="222" spans="2:4" x14ac:dyDescent="0.2">
      <c r="B222" s="151">
        <v>214</v>
      </c>
      <c r="C222" s="148"/>
      <c r="D222" s="145"/>
    </row>
    <row r="223" spans="2:4" x14ac:dyDescent="0.2">
      <c r="B223" s="151">
        <v>215</v>
      </c>
      <c r="C223" s="148"/>
      <c r="D223" s="145"/>
    </row>
    <row r="224" spans="2:4" x14ac:dyDescent="0.2">
      <c r="B224" s="151">
        <v>216</v>
      </c>
      <c r="C224" s="148"/>
      <c r="D224" s="145"/>
    </row>
    <row r="225" spans="2:4" x14ac:dyDescent="0.2">
      <c r="B225" s="151">
        <v>217</v>
      </c>
      <c r="C225" s="148"/>
      <c r="D225" s="145"/>
    </row>
    <row r="226" spans="2:4" x14ac:dyDescent="0.2">
      <c r="B226" s="151">
        <v>218</v>
      </c>
      <c r="C226" s="148"/>
      <c r="D226" s="145"/>
    </row>
    <row r="227" spans="2:4" x14ac:dyDescent="0.2">
      <c r="B227" s="151">
        <v>219</v>
      </c>
      <c r="C227" s="148"/>
      <c r="D227" s="145"/>
    </row>
    <row r="228" spans="2:4" x14ac:dyDescent="0.2">
      <c r="B228" s="151">
        <v>220</v>
      </c>
      <c r="C228" s="148"/>
      <c r="D228" s="145"/>
    </row>
    <row r="229" spans="2:4" x14ac:dyDescent="0.2">
      <c r="B229" s="151">
        <v>221</v>
      </c>
      <c r="C229" s="148"/>
      <c r="D229" s="145"/>
    </row>
    <row r="230" spans="2:4" x14ac:dyDescent="0.2">
      <c r="B230" s="151">
        <v>222</v>
      </c>
      <c r="C230" s="148"/>
      <c r="D230" s="145"/>
    </row>
    <row r="231" spans="2:4" x14ac:dyDescent="0.2">
      <c r="B231" s="151">
        <v>223</v>
      </c>
      <c r="C231" s="148"/>
      <c r="D231" s="145"/>
    </row>
    <row r="232" spans="2:4" x14ac:dyDescent="0.2">
      <c r="B232" s="151">
        <v>224</v>
      </c>
      <c r="C232" s="148"/>
      <c r="D232" s="145"/>
    </row>
    <row r="233" spans="2:4" x14ac:dyDescent="0.2">
      <c r="B233" s="151">
        <v>225</v>
      </c>
      <c r="C233" s="148"/>
      <c r="D233" s="145"/>
    </row>
    <row r="234" spans="2:4" x14ac:dyDescent="0.2">
      <c r="B234" s="151">
        <v>226</v>
      </c>
      <c r="C234" s="148"/>
      <c r="D234" s="145"/>
    </row>
    <row r="235" spans="2:4" x14ac:dyDescent="0.2">
      <c r="B235" s="151">
        <v>227</v>
      </c>
      <c r="C235" s="148"/>
      <c r="D235" s="145"/>
    </row>
    <row r="236" spans="2:4" x14ac:dyDescent="0.2">
      <c r="B236" s="151">
        <v>228</v>
      </c>
      <c r="C236" s="148"/>
      <c r="D236" s="145"/>
    </row>
    <row r="237" spans="2:4" x14ac:dyDescent="0.2">
      <c r="B237" s="151">
        <v>229</v>
      </c>
      <c r="C237" s="148"/>
      <c r="D237" s="145"/>
    </row>
    <row r="238" spans="2:4" x14ac:dyDescent="0.2">
      <c r="B238" s="151">
        <v>230</v>
      </c>
      <c r="C238" s="148"/>
      <c r="D238" s="145"/>
    </row>
    <row r="239" spans="2:4" x14ac:dyDescent="0.2">
      <c r="B239" s="151">
        <v>231</v>
      </c>
      <c r="C239" s="148"/>
      <c r="D239" s="145"/>
    </row>
    <row r="240" spans="2:4" x14ac:dyDescent="0.2">
      <c r="B240" s="151">
        <v>232</v>
      </c>
      <c r="C240" s="148"/>
      <c r="D240" s="145"/>
    </row>
    <row r="241" spans="2:4" x14ac:dyDescent="0.2">
      <c r="B241" s="151">
        <v>233</v>
      </c>
      <c r="C241" s="148"/>
      <c r="D241" s="145"/>
    </row>
    <row r="242" spans="2:4" x14ac:dyDescent="0.2">
      <c r="B242" s="151">
        <v>234</v>
      </c>
      <c r="C242" s="148"/>
      <c r="D242" s="145"/>
    </row>
    <row r="243" spans="2:4" x14ac:dyDescent="0.2">
      <c r="B243" s="151">
        <v>235</v>
      </c>
      <c r="C243" s="148"/>
      <c r="D243" s="145"/>
    </row>
    <row r="244" spans="2:4" x14ac:dyDescent="0.2">
      <c r="B244" s="151">
        <v>236</v>
      </c>
      <c r="C244" s="148"/>
      <c r="D244" s="145"/>
    </row>
    <row r="245" spans="2:4" x14ac:dyDescent="0.2">
      <c r="B245" s="151">
        <v>237</v>
      </c>
      <c r="C245" s="148"/>
      <c r="D245" s="145"/>
    </row>
    <row r="246" spans="2:4" x14ac:dyDescent="0.2">
      <c r="B246" s="151">
        <v>238</v>
      </c>
      <c r="C246" s="148"/>
      <c r="D246" s="145"/>
    </row>
    <row r="247" spans="2:4" x14ac:dyDescent="0.2">
      <c r="B247" s="151">
        <v>239</v>
      </c>
      <c r="C247" s="148"/>
      <c r="D247" s="145"/>
    </row>
    <row r="248" spans="2:4" x14ac:dyDescent="0.2">
      <c r="B248" s="151">
        <v>240</v>
      </c>
      <c r="C248" s="148"/>
      <c r="D248" s="145"/>
    </row>
    <row r="249" spans="2:4" x14ac:dyDescent="0.2">
      <c r="B249" s="151">
        <v>241</v>
      </c>
      <c r="C249" s="148"/>
      <c r="D249" s="145"/>
    </row>
    <row r="250" spans="2:4" x14ac:dyDescent="0.2">
      <c r="B250" s="151">
        <v>242</v>
      </c>
      <c r="C250" s="148"/>
      <c r="D250" s="145"/>
    </row>
    <row r="251" spans="2:4" x14ac:dyDescent="0.2">
      <c r="B251" s="151">
        <v>243</v>
      </c>
      <c r="C251" s="148"/>
      <c r="D251" s="145"/>
    </row>
    <row r="252" spans="2:4" x14ac:dyDescent="0.2">
      <c r="B252" s="151">
        <v>244</v>
      </c>
      <c r="C252" s="148"/>
      <c r="D252" s="145"/>
    </row>
    <row r="253" spans="2:4" x14ac:dyDescent="0.2">
      <c r="B253" s="151">
        <v>245</v>
      </c>
      <c r="C253" s="148"/>
      <c r="D253" s="145"/>
    </row>
    <row r="254" spans="2:4" x14ac:dyDescent="0.2">
      <c r="B254" s="151">
        <v>246</v>
      </c>
      <c r="C254" s="148"/>
      <c r="D254" s="145"/>
    </row>
    <row r="255" spans="2:4" x14ac:dyDescent="0.2">
      <c r="B255" s="151">
        <v>247</v>
      </c>
      <c r="C255" s="148"/>
      <c r="D255" s="145"/>
    </row>
    <row r="256" spans="2:4" x14ac:dyDescent="0.2">
      <c r="B256" s="151">
        <v>248</v>
      </c>
      <c r="C256" s="148"/>
      <c r="D256" s="145"/>
    </row>
    <row r="257" spans="2:4" x14ac:dyDescent="0.2">
      <c r="B257" s="151">
        <v>249</v>
      </c>
      <c r="C257" s="148"/>
      <c r="D257" s="145"/>
    </row>
    <row r="258" spans="2:4" x14ac:dyDescent="0.2">
      <c r="B258" s="151">
        <v>250</v>
      </c>
      <c r="C258" s="148"/>
      <c r="D258" s="145"/>
    </row>
    <row r="259" spans="2:4" x14ac:dyDescent="0.2">
      <c r="B259" s="151">
        <v>251</v>
      </c>
      <c r="C259" s="148"/>
      <c r="D259" s="145"/>
    </row>
    <row r="260" spans="2:4" x14ac:dyDescent="0.2">
      <c r="B260" s="151">
        <v>252</v>
      </c>
      <c r="C260" s="148"/>
      <c r="D260" s="145"/>
    </row>
    <row r="261" spans="2:4" x14ac:dyDescent="0.2">
      <c r="B261" s="151">
        <v>253</v>
      </c>
      <c r="C261" s="148"/>
      <c r="D261" s="145"/>
    </row>
    <row r="262" spans="2:4" x14ac:dyDescent="0.2">
      <c r="B262" s="151">
        <v>254</v>
      </c>
      <c r="C262" s="148"/>
      <c r="D262" s="145"/>
    </row>
    <row r="263" spans="2:4" x14ac:dyDescent="0.2">
      <c r="B263" s="151">
        <v>255</v>
      </c>
      <c r="C263" s="148"/>
      <c r="D263" s="145"/>
    </row>
    <row r="264" spans="2:4" x14ac:dyDescent="0.2">
      <c r="B264" s="151">
        <v>256</v>
      </c>
      <c r="C264" s="148"/>
      <c r="D264" s="145"/>
    </row>
    <row r="265" spans="2:4" x14ac:dyDescent="0.2">
      <c r="B265" s="151">
        <v>257</v>
      </c>
      <c r="C265" s="148"/>
      <c r="D265" s="145"/>
    </row>
    <row r="266" spans="2:4" x14ac:dyDescent="0.2">
      <c r="B266" s="151">
        <v>258</v>
      </c>
      <c r="C266" s="148"/>
      <c r="D266" s="145"/>
    </row>
    <row r="267" spans="2:4" x14ac:dyDescent="0.2">
      <c r="B267" s="151">
        <v>259</v>
      </c>
      <c r="C267" s="148"/>
      <c r="D267" s="145"/>
    </row>
    <row r="268" spans="2:4" x14ac:dyDescent="0.2">
      <c r="B268" s="151">
        <v>260</v>
      </c>
      <c r="C268" s="148"/>
      <c r="D268" s="145"/>
    </row>
    <row r="269" spans="2:4" x14ac:dyDescent="0.2">
      <c r="B269" s="151">
        <v>261</v>
      </c>
      <c r="C269" s="148"/>
      <c r="D269" s="145"/>
    </row>
    <row r="270" spans="2:4" x14ac:dyDescent="0.2">
      <c r="B270" s="151">
        <v>262</v>
      </c>
      <c r="C270" s="148"/>
      <c r="D270" s="145"/>
    </row>
    <row r="271" spans="2:4" x14ac:dyDescent="0.2">
      <c r="B271" s="151">
        <v>263</v>
      </c>
      <c r="C271" s="148"/>
      <c r="D271" s="145"/>
    </row>
    <row r="272" spans="2:4" x14ac:dyDescent="0.2">
      <c r="B272" s="151">
        <v>264</v>
      </c>
      <c r="C272" s="148"/>
      <c r="D272" s="145"/>
    </row>
    <row r="273" spans="2:4" x14ac:dyDescent="0.2">
      <c r="B273" s="151">
        <v>265</v>
      </c>
      <c r="C273" s="148"/>
      <c r="D273" s="145"/>
    </row>
    <row r="274" spans="2:4" x14ac:dyDescent="0.2">
      <c r="B274" s="151">
        <v>266</v>
      </c>
      <c r="C274" s="148"/>
      <c r="D274" s="145"/>
    </row>
    <row r="275" spans="2:4" x14ac:dyDescent="0.2">
      <c r="B275" s="151">
        <v>267</v>
      </c>
      <c r="C275" s="148"/>
      <c r="D275" s="145"/>
    </row>
    <row r="276" spans="2:4" x14ac:dyDescent="0.2">
      <c r="B276" s="151">
        <v>268</v>
      </c>
      <c r="C276" s="148"/>
      <c r="D276" s="145"/>
    </row>
    <row r="277" spans="2:4" x14ac:dyDescent="0.2">
      <c r="B277" s="151">
        <v>269</v>
      </c>
      <c r="C277" s="148"/>
      <c r="D277" s="145"/>
    </row>
    <row r="278" spans="2:4" x14ac:dyDescent="0.2">
      <c r="B278" s="151">
        <v>270</v>
      </c>
      <c r="C278" s="148"/>
      <c r="D278" s="145"/>
    </row>
    <row r="279" spans="2:4" x14ac:dyDescent="0.2">
      <c r="B279" s="151">
        <v>271</v>
      </c>
      <c r="C279" s="148"/>
      <c r="D279" s="145"/>
    </row>
    <row r="280" spans="2:4" x14ac:dyDescent="0.2">
      <c r="B280" s="151">
        <v>272</v>
      </c>
      <c r="C280" s="148"/>
      <c r="D280" s="145"/>
    </row>
    <row r="281" spans="2:4" x14ac:dyDescent="0.2">
      <c r="B281" s="151">
        <v>273</v>
      </c>
      <c r="C281" s="148"/>
      <c r="D281" s="145"/>
    </row>
    <row r="282" spans="2:4" x14ac:dyDescent="0.2">
      <c r="B282" s="151">
        <v>274</v>
      </c>
      <c r="C282" s="148"/>
      <c r="D282" s="145"/>
    </row>
    <row r="283" spans="2:4" x14ac:dyDescent="0.2">
      <c r="B283" s="151">
        <v>275</v>
      </c>
      <c r="C283" s="148"/>
      <c r="D283" s="145"/>
    </row>
    <row r="284" spans="2:4" x14ac:dyDescent="0.2">
      <c r="B284" s="151">
        <v>276</v>
      </c>
      <c r="C284" s="148"/>
      <c r="D284" s="145"/>
    </row>
    <row r="285" spans="2:4" x14ac:dyDescent="0.2">
      <c r="B285" s="151">
        <v>277</v>
      </c>
      <c r="C285" s="148"/>
      <c r="D285" s="145"/>
    </row>
    <row r="286" spans="2:4" x14ac:dyDescent="0.2">
      <c r="B286" s="151">
        <v>278</v>
      </c>
      <c r="C286" s="148"/>
      <c r="D286" s="145"/>
    </row>
    <row r="287" spans="2:4" x14ac:dyDescent="0.2">
      <c r="B287" s="151">
        <v>279</v>
      </c>
      <c r="C287" s="148"/>
      <c r="D287" s="145"/>
    </row>
    <row r="288" spans="2:4" x14ac:dyDescent="0.2">
      <c r="B288" s="151">
        <v>280</v>
      </c>
      <c r="C288" s="148"/>
      <c r="D288" s="145"/>
    </row>
    <row r="289" spans="2:4" x14ac:dyDescent="0.2">
      <c r="B289" s="151">
        <v>281</v>
      </c>
      <c r="C289" s="148"/>
      <c r="D289" s="145"/>
    </row>
    <row r="290" spans="2:4" x14ac:dyDescent="0.2">
      <c r="B290" s="151">
        <v>282</v>
      </c>
      <c r="C290" s="148"/>
      <c r="D290" s="145"/>
    </row>
    <row r="291" spans="2:4" x14ac:dyDescent="0.2">
      <c r="B291" s="151">
        <v>283</v>
      </c>
      <c r="C291" s="148"/>
      <c r="D291" s="145"/>
    </row>
    <row r="292" spans="2:4" x14ac:dyDescent="0.2">
      <c r="B292" s="151">
        <v>284</v>
      </c>
      <c r="C292" s="148"/>
      <c r="D292" s="145"/>
    </row>
    <row r="293" spans="2:4" x14ac:dyDescent="0.2">
      <c r="B293" s="151">
        <v>285</v>
      </c>
      <c r="C293" s="148"/>
      <c r="D293" s="145"/>
    </row>
    <row r="294" spans="2:4" x14ac:dyDescent="0.2">
      <c r="B294" s="151">
        <v>286</v>
      </c>
      <c r="C294" s="148"/>
      <c r="D294" s="145"/>
    </row>
    <row r="295" spans="2:4" x14ac:dyDescent="0.2">
      <c r="B295" s="151">
        <v>287</v>
      </c>
      <c r="C295" s="148"/>
      <c r="D295" s="145"/>
    </row>
    <row r="296" spans="2:4" x14ac:dyDescent="0.2">
      <c r="B296" s="151">
        <v>288</v>
      </c>
      <c r="C296" s="148"/>
      <c r="D296" s="145"/>
    </row>
    <row r="297" spans="2:4" x14ac:dyDescent="0.2">
      <c r="B297" s="151">
        <v>289</v>
      </c>
      <c r="C297" s="148"/>
      <c r="D297" s="145"/>
    </row>
    <row r="298" spans="2:4" x14ac:dyDescent="0.2">
      <c r="B298" s="151">
        <v>290</v>
      </c>
      <c r="C298" s="148"/>
      <c r="D298" s="145"/>
    </row>
    <row r="299" spans="2:4" x14ac:dyDescent="0.2">
      <c r="B299" s="151">
        <v>291</v>
      </c>
      <c r="C299" s="148"/>
      <c r="D299" s="145"/>
    </row>
    <row r="300" spans="2:4" x14ac:dyDescent="0.2">
      <c r="B300" s="151">
        <v>292</v>
      </c>
      <c r="C300" s="148"/>
      <c r="D300" s="145"/>
    </row>
    <row r="301" spans="2:4" x14ac:dyDescent="0.2">
      <c r="B301" s="151">
        <v>293</v>
      </c>
      <c r="C301" s="148"/>
      <c r="D301" s="145"/>
    </row>
    <row r="302" spans="2:4" x14ac:dyDescent="0.2">
      <c r="B302" s="151">
        <v>294</v>
      </c>
      <c r="C302" s="148"/>
      <c r="D302" s="145"/>
    </row>
    <row r="303" spans="2:4" x14ac:dyDescent="0.2">
      <c r="B303" s="151">
        <v>295</v>
      </c>
      <c r="C303" s="148"/>
      <c r="D303" s="145"/>
    </row>
    <row r="304" spans="2:4" x14ac:dyDescent="0.2">
      <c r="B304" s="151">
        <v>296</v>
      </c>
      <c r="C304" s="148"/>
      <c r="D304" s="145"/>
    </row>
    <row r="305" spans="2:4" x14ac:dyDescent="0.2">
      <c r="B305" s="151">
        <v>297</v>
      </c>
      <c r="C305" s="148"/>
      <c r="D305" s="145"/>
    </row>
    <row r="306" spans="2:4" x14ac:dyDescent="0.2">
      <c r="B306" s="151">
        <v>298</v>
      </c>
      <c r="C306" s="148"/>
      <c r="D306" s="145"/>
    </row>
    <row r="307" spans="2:4" x14ac:dyDescent="0.2">
      <c r="B307" s="151">
        <v>299</v>
      </c>
      <c r="C307" s="148"/>
      <c r="D307" s="145"/>
    </row>
    <row r="308" spans="2:4" x14ac:dyDescent="0.2">
      <c r="B308" s="151">
        <v>300</v>
      </c>
      <c r="C308" s="148"/>
      <c r="D308" s="145"/>
    </row>
    <row r="309" spans="2:4" x14ac:dyDescent="0.2">
      <c r="B309" s="151">
        <v>301</v>
      </c>
      <c r="C309" s="148"/>
      <c r="D309" s="145"/>
    </row>
    <row r="310" spans="2:4" x14ac:dyDescent="0.2">
      <c r="B310" s="151">
        <v>302</v>
      </c>
      <c r="C310" s="148"/>
      <c r="D310" s="145"/>
    </row>
    <row r="311" spans="2:4" x14ac:dyDescent="0.2">
      <c r="B311" s="151">
        <v>303</v>
      </c>
      <c r="C311" s="148"/>
      <c r="D311" s="145"/>
    </row>
    <row r="312" spans="2:4" x14ac:dyDescent="0.2">
      <c r="B312" s="151">
        <v>304</v>
      </c>
      <c r="C312" s="148"/>
      <c r="D312" s="145"/>
    </row>
    <row r="313" spans="2:4" x14ac:dyDescent="0.2">
      <c r="B313" s="151">
        <v>305</v>
      </c>
      <c r="C313" s="148"/>
      <c r="D313" s="145"/>
    </row>
    <row r="314" spans="2:4" x14ac:dyDescent="0.2">
      <c r="B314" s="151">
        <v>306</v>
      </c>
      <c r="C314" s="148"/>
      <c r="D314" s="145"/>
    </row>
    <row r="315" spans="2:4" x14ac:dyDescent="0.2">
      <c r="B315" s="151">
        <v>307</v>
      </c>
      <c r="C315" s="148"/>
      <c r="D315" s="145"/>
    </row>
    <row r="316" spans="2:4" x14ac:dyDescent="0.2">
      <c r="B316" s="151">
        <v>308</v>
      </c>
      <c r="C316" s="148"/>
      <c r="D316" s="145"/>
    </row>
    <row r="317" spans="2:4" x14ac:dyDescent="0.2">
      <c r="B317" s="151">
        <v>309</v>
      </c>
      <c r="C317" s="148"/>
      <c r="D317" s="145"/>
    </row>
    <row r="318" spans="2:4" x14ac:dyDescent="0.2">
      <c r="B318" s="151">
        <v>310</v>
      </c>
      <c r="C318" s="148"/>
      <c r="D318" s="145"/>
    </row>
    <row r="319" spans="2:4" x14ac:dyDescent="0.2">
      <c r="B319" s="151">
        <v>311</v>
      </c>
      <c r="C319" s="148"/>
      <c r="D319" s="145"/>
    </row>
    <row r="320" spans="2:4" x14ac:dyDescent="0.2">
      <c r="B320" s="151">
        <v>312</v>
      </c>
      <c r="C320" s="148"/>
      <c r="D320" s="145"/>
    </row>
    <row r="321" spans="2:4" x14ac:dyDescent="0.2">
      <c r="B321" s="151">
        <v>313</v>
      </c>
      <c r="C321" s="148"/>
      <c r="D321" s="145"/>
    </row>
    <row r="322" spans="2:4" x14ac:dyDescent="0.2">
      <c r="B322" s="151">
        <v>314</v>
      </c>
      <c r="C322" s="148"/>
      <c r="D322" s="145"/>
    </row>
    <row r="323" spans="2:4" x14ac:dyDescent="0.2">
      <c r="B323" s="151">
        <v>315</v>
      </c>
      <c r="C323" s="148"/>
      <c r="D323" s="145"/>
    </row>
    <row r="324" spans="2:4" x14ac:dyDescent="0.2">
      <c r="B324" s="151">
        <v>316</v>
      </c>
      <c r="C324" s="148"/>
      <c r="D324" s="145"/>
    </row>
    <row r="325" spans="2:4" x14ac:dyDescent="0.2">
      <c r="B325" s="151">
        <v>317</v>
      </c>
      <c r="C325" s="148"/>
      <c r="D325" s="145"/>
    </row>
    <row r="326" spans="2:4" x14ac:dyDescent="0.2">
      <c r="B326" s="151">
        <v>318</v>
      </c>
      <c r="C326" s="148"/>
      <c r="D326" s="145"/>
    </row>
    <row r="327" spans="2:4" x14ac:dyDescent="0.2">
      <c r="B327" s="151">
        <v>319</v>
      </c>
      <c r="C327" s="148"/>
      <c r="D327" s="145"/>
    </row>
    <row r="328" spans="2:4" x14ac:dyDescent="0.2">
      <c r="B328" s="151">
        <v>320</v>
      </c>
      <c r="C328" s="148"/>
      <c r="D328" s="145"/>
    </row>
    <row r="329" spans="2:4" x14ac:dyDescent="0.2">
      <c r="B329" s="151">
        <v>321</v>
      </c>
      <c r="C329" s="148"/>
      <c r="D329" s="145"/>
    </row>
    <row r="330" spans="2:4" x14ac:dyDescent="0.2">
      <c r="B330" s="151">
        <v>322</v>
      </c>
      <c r="C330" s="148"/>
      <c r="D330" s="145"/>
    </row>
    <row r="331" spans="2:4" x14ac:dyDescent="0.2">
      <c r="B331" s="151">
        <v>323</v>
      </c>
      <c r="C331" s="148"/>
      <c r="D331" s="145"/>
    </row>
    <row r="332" spans="2:4" x14ac:dyDescent="0.2">
      <c r="B332" s="151">
        <v>324</v>
      </c>
      <c r="C332" s="148"/>
      <c r="D332" s="145"/>
    </row>
    <row r="333" spans="2:4" x14ac:dyDescent="0.2">
      <c r="B333" s="151">
        <v>325</v>
      </c>
      <c r="C333" s="148"/>
      <c r="D333" s="145"/>
    </row>
    <row r="334" spans="2:4" x14ac:dyDescent="0.2">
      <c r="B334" s="151">
        <v>326</v>
      </c>
      <c r="C334" s="148"/>
      <c r="D334" s="145"/>
    </row>
    <row r="335" spans="2:4" x14ac:dyDescent="0.2">
      <c r="B335" s="151">
        <v>327</v>
      </c>
      <c r="C335" s="148"/>
      <c r="D335" s="145"/>
    </row>
    <row r="336" spans="2:4" x14ac:dyDescent="0.2">
      <c r="B336" s="151">
        <v>328</v>
      </c>
      <c r="C336" s="148"/>
      <c r="D336" s="145"/>
    </row>
    <row r="337" spans="2:4" x14ac:dyDescent="0.2">
      <c r="B337" s="151">
        <v>329</v>
      </c>
      <c r="C337" s="148"/>
      <c r="D337" s="145"/>
    </row>
    <row r="338" spans="2:4" x14ac:dyDescent="0.2">
      <c r="B338" s="151">
        <v>330</v>
      </c>
      <c r="C338" s="148"/>
      <c r="D338" s="145"/>
    </row>
    <row r="339" spans="2:4" x14ac:dyDescent="0.2">
      <c r="B339" s="151">
        <v>331</v>
      </c>
      <c r="C339" s="148"/>
      <c r="D339" s="145"/>
    </row>
    <row r="340" spans="2:4" x14ac:dyDescent="0.2">
      <c r="B340" s="151">
        <v>332</v>
      </c>
      <c r="C340" s="148"/>
      <c r="D340" s="145"/>
    </row>
    <row r="341" spans="2:4" x14ac:dyDescent="0.2">
      <c r="B341" s="151">
        <v>333</v>
      </c>
      <c r="C341" s="148"/>
      <c r="D341" s="145"/>
    </row>
    <row r="342" spans="2:4" x14ac:dyDescent="0.2">
      <c r="B342" s="151">
        <v>334</v>
      </c>
      <c r="C342" s="148"/>
      <c r="D342" s="145"/>
    </row>
    <row r="343" spans="2:4" x14ac:dyDescent="0.2">
      <c r="B343" s="151">
        <v>335</v>
      </c>
      <c r="C343" s="148"/>
      <c r="D343" s="145"/>
    </row>
    <row r="344" spans="2:4" x14ac:dyDescent="0.2">
      <c r="B344" s="151">
        <v>336</v>
      </c>
      <c r="C344" s="148"/>
      <c r="D344" s="145"/>
    </row>
    <row r="345" spans="2:4" x14ac:dyDescent="0.2">
      <c r="B345" s="151">
        <v>337</v>
      </c>
      <c r="C345" s="148"/>
      <c r="D345" s="145"/>
    </row>
    <row r="346" spans="2:4" x14ac:dyDescent="0.2">
      <c r="B346" s="151">
        <v>338</v>
      </c>
      <c r="C346" s="148"/>
      <c r="D346" s="145"/>
    </row>
    <row r="347" spans="2:4" x14ac:dyDescent="0.2">
      <c r="B347" s="151">
        <v>339</v>
      </c>
      <c r="C347" s="148"/>
      <c r="D347" s="145"/>
    </row>
    <row r="348" spans="2:4" x14ac:dyDescent="0.2">
      <c r="B348" s="151">
        <v>340</v>
      </c>
      <c r="C348" s="148"/>
      <c r="D348" s="145"/>
    </row>
    <row r="349" spans="2:4" x14ac:dyDescent="0.2">
      <c r="B349" s="151">
        <v>341</v>
      </c>
      <c r="C349" s="148"/>
      <c r="D349" s="145"/>
    </row>
    <row r="350" spans="2:4" x14ac:dyDescent="0.2">
      <c r="B350" s="151">
        <v>342</v>
      </c>
      <c r="C350" s="148"/>
      <c r="D350" s="145"/>
    </row>
    <row r="351" spans="2:4" x14ac:dyDescent="0.2">
      <c r="B351" s="151">
        <v>343</v>
      </c>
      <c r="C351" s="148"/>
      <c r="D351" s="145"/>
    </row>
    <row r="352" spans="2:4" x14ac:dyDescent="0.2">
      <c r="B352" s="151">
        <v>344</v>
      </c>
      <c r="C352" s="148"/>
      <c r="D352" s="145"/>
    </row>
    <row r="353" spans="2:4" x14ac:dyDescent="0.2">
      <c r="B353" s="151">
        <v>345</v>
      </c>
      <c r="C353" s="148"/>
      <c r="D353" s="145"/>
    </row>
    <row r="354" spans="2:4" x14ac:dyDescent="0.2">
      <c r="B354" s="151">
        <v>346</v>
      </c>
      <c r="C354" s="148"/>
      <c r="D354" s="145"/>
    </row>
    <row r="355" spans="2:4" x14ac:dyDescent="0.2">
      <c r="B355" s="151">
        <v>347</v>
      </c>
      <c r="C355" s="148"/>
      <c r="D355" s="145"/>
    </row>
    <row r="356" spans="2:4" x14ac:dyDescent="0.2">
      <c r="B356" s="151">
        <v>348</v>
      </c>
      <c r="C356" s="148"/>
      <c r="D356" s="145"/>
    </row>
    <row r="357" spans="2:4" x14ac:dyDescent="0.2">
      <c r="B357" s="151">
        <v>349</v>
      </c>
      <c r="C357" s="148"/>
      <c r="D357" s="145"/>
    </row>
    <row r="358" spans="2:4" x14ac:dyDescent="0.2">
      <c r="B358" s="151">
        <v>350</v>
      </c>
      <c r="C358" s="148"/>
      <c r="D358" s="145"/>
    </row>
    <row r="359" spans="2:4" x14ac:dyDescent="0.2">
      <c r="B359" s="151">
        <v>351</v>
      </c>
      <c r="C359" s="148"/>
      <c r="D359" s="145"/>
    </row>
    <row r="360" spans="2:4" x14ac:dyDescent="0.2">
      <c r="B360" s="151">
        <v>352</v>
      </c>
      <c r="C360" s="148"/>
      <c r="D360" s="145"/>
    </row>
    <row r="361" spans="2:4" x14ac:dyDescent="0.2">
      <c r="B361" s="151">
        <v>353</v>
      </c>
      <c r="C361" s="148"/>
      <c r="D361" s="145"/>
    </row>
    <row r="362" spans="2:4" x14ac:dyDescent="0.2">
      <c r="B362" s="151">
        <v>354</v>
      </c>
      <c r="C362" s="148"/>
      <c r="D362" s="145"/>
    </row>
    <row r="363" spans="2:4" x14ac:dyDescent="0.2">
      <c r="B363" s="151">
        <v>355</v>
      </c>
      <c r="C363" s="148"/>
      <c r="D363" s="145"/>
    </row>
    <row r="364" spans="2:4" x14ac:dyDescent="0.2">
      <c r="B364" s="151">
        <v>356</v>
      </c>
      <c r="C364" s="148"/>
      <c r="D364" s="145"/>
    </row>
    <row r="365" spans="2:4" x14ac:dyDescent="0.2">
      <c r="B365" s="151">
        <v>357</v>
      </c>
      <c r="C365" s="148"/>
      <c r="D365" s="145"/>
    </row>
    <row r="366" spans="2:4" x14ac:dyDescent="0.2">
      <c r="B366" s="151">
        <v>358</v>
      </c>
      <c r="C366" s="148"/>
      <c r="D366" s="145"/>
    </row>
    <row r="367" spans="2:4" x14ac:dyDescent="0.2">
      <c r="B367" s="151">
        <v>359</v>
      </c>
      <c r="C367" s="148"/>
      <c r="D367" s="145"/>
    </row>
    <row r="368" spans="2:4" x14ac:dyDescent="0.2">
      <c r="B368" s="151">
        <v>360</v>
      </c>
      <c r="C368" s="148"/>
      <c r="D368" s="145"/>
    </row>
    <row r="369" spans="2:4" x14ac:dyDescent="0.2">
      <c r="B369" s="151">
        <v>361</v>
      </c>
      <c r="C369" s="148"/>
      <c r="D369" s="145"/>
    </row>
    <row r="370" spans="2:4" x14ac:dyDescent="0.2">
      <c r="B370" s="151">
        <v>362</v>
      </c>
      <c r="C370" s="148"/>
      <c r="D370" s="145"/>
    </row>
    <row r="371" spans="2:4" x14ac:dyDescent="0.2">
      <c r="B371" s="151">
        <v>363</v>
      </c>
      <c r="C371" s="148"/>
      <c r="D371" s="145"/>
    </row>
    <row r="372" spans="2:4" x14ac:dyDescent="0.2">
      <c r="B372" s="151">
        <v>364</v>
      </c>
      <c r="C372" s="148"/>
      <c r="D372" s="145"/>
    </row>
    <row r="373" spans="2:4" x14ac:dyDescent="0.2">
      <c r="B373" s="151">
        <v>365</v>
      </c>
      <c r="C373" s="148"/>
      <c r="D373" s="145"/>
    </row>
    <row r="374" spans="2:4" x14ac:dyDescent="0.2">
      <c r="B374" s="151">
        <v>366</v>
      </c>
      <c r="C374" s="148"/>
      <c r="D374" s="145"/>
    </row>
    <row r="375" spans="2:4" x14ac:dyDescent="0.2">
      <c r="B375" s="151">
        <v>367</v>
      </c>
      <c r="C375" s="148"/>
      <c r="D375" s="145"/>
    </row>
    <row r="376" spans="2:4" x14ac:dyDescent="0.2">
      <c r="B376" s="151">
        <v>368</v>
      </c>
      <c r="C376" s="148"/>
      <c r="D376" s="145"/>
    </row>
    <row r="377" spans="2:4" x14ac:dyDescent="0.2">
      <c r="B377" s="151">
        <v>369</v>
      </c>
      <c r="C377" s="148"/>
      <c r="D377" s="145"/>
    </row>
    <row r="378" spans="2:4" x14ac:dyDescent="0.2">
      <c r="B378" s="151">
        <v>370</v>
      </c>
      <c r="C378" s="148"/>
      <c r="D378" s="145"/>
    </row>
    <row r="379" spans="2:4" x14ac:dyDescent="0.2">
      <c r="B379" s="151">
        <v>371</v>
      </c>
      <c r="C379" s="148"/>
      <c r="D379" s="145"/>
    </row>
    <row r="380" spans="2:4" x14ac:dyDescent="0.2">
      <c r="B380" s="151">
        <v>372</v>
      </c>
      <c r="C380" s="148"/>
      <c r="D380" s="145"/>
    </row>
    <row r="381" spans="2:4" x14ac:dyDescent="0.2">
      <c r="B381" s="151">
        <v>373</v>
      </c>
      <c r="C381" s="148"/>
      <c r="D381" s="145"/>
    </row>
    <row r="382" spans="2:4" x14ac:dyDescent="0.2">
      <c r="B382" s="151">
        <v>374</v>
      </c>
      <c r="C382" s="148"/>
      <c r="D382" s="145"/>
    </row>
    <row r="383" spans="2:4" x14ac:dyDescent="0.2">
      <c r="B383" s="151">
        <v>375</v>
      </c>
      <c r="C383" s="148"/>
      <c r="D383" s="145"/>
    </row>
    <row r="384" spans="2:4" x14ac:dyDescent="0.2">
      <c r="B384" s="151">
        <v>376</v>
      </c>
      <c r="C384" s="148"/>
      <c r="D384" s="145"/>
    </row>
    <row r="385" spans="2:4" x14ac:dyDescent="0.2">
      <c r="B385" s="151">
        <v>377</v>
      </c>
      <c r="C385" s="148"/>
      <c r="D385" s="145"/>
    </row>
    <row r="386" spans="2:4" x14ac:dyDescent="0.2">
      <c r="B386" s="151">
        <v>378</v>
      </c>
      <c r="C386" s="148"/>
      <c r="D386" s="145"/>
    </row>
    <row r="387" spans="2:4" x14ac:dyDescent="0.2">
      <c r="B387" s="151">
        <v>379</v>
      </c>
      <c r="C387" s="148"/>
      <c r="D387" s="145"/>
    </row>
    <row r="388" spans="2:4" x14ac:dyDescent="0.2">
      <c r="B388" s="151">
        <v>380</v>
      </c>
      <c r="C388" s="148"/>
      <c r="D388" s="145"/>
    </row>
    <row r="389" spans="2:4" x14ac:dyDescent="0.2">
      <c r="B389" s="151">
        <v>381</v>
      </c>
      <c r="C389" s="148"/>
      <c r="D389" s="145"/>
    </row>
    <row r="390" spans="2:4" x14ac:dyDescent="0.2">
      <c r="B390" s="151">
        <v>382</v>
      </c>
      <c r="C390" s="148"/>
      <c r="D390" s="145"/>
    </row>
    <row r="391" spans="2:4" x14ac:dyDescent="0.2">
      <c r="B391" s="151">
        <v>383</v>
      </c>
      <c r="C391" s="148"/>
      <c r="D391" s="145"/>
    </row>
    <row r="392" spans="2:4" x14ac:dyDescent="0.2">
      <c r="B392" s="151">
        <v>384</v>
      </c>
      <c r="C392" s="148"/>
      <c r="D392" s="145"/>
    </row>
    <row r="393" spans="2:4" x14ac:dyDescent="0.2">
      <c r="B393" s="151">
        <v>385</v>
      </c>
      <c r="C393" s="148"/>
      <c r="D393" s="145"/>
    </row>
    <row r="394" spans="2:4" x14ac:dyDescent="0.2">
      <c r="B394" s="151">
        <v>386</v>
      </c>
      <c r="C394" s="148"/>
      <c r="D394" s="145"/>
    </row>
    <row r="395" spans="2:4" x14ac:dyDescent="0.2">
      <c r="B395" s="151">
        <v>387</v>
      </c>
      <c r="C395" s="148"/>
      <c r="D395" s="145"/>
    </row>
    <row r="396" spans="2:4" x14ac:dyDescent="0.2">
      <c r="B396" s="151">
        <v>388</v>
      </c>
      <c r="C396" s="148"/>
      <c r="D396" s="145"/>
    </row>
    <row r="397" spans="2:4" x14ac:dyDescent="0.2">
      <c r="B397" s="151">
        <v>389</v>
      </c>
      <c r="C397" s="148"/>
      <c r="D397" s="145"/>
    </row>
    <row r="398" spans="2:4" x14ac:dyDescent="0.2">
      <c r="B398" s="151">
        <v>390</v>
      </c>
      <c r="C398" s="148"/>
      <c r="D398" s="145"/>
    </row>
    <row r="399" spans="2:4" x14ac:dyDescent="0.2">
      <c r="B399" s="151">
        <v>391</v>
      </c>
      <c r="C399" s="148"/>
      <c r="D399" s="145"/>
    </row>
    <row r="400" spans="2:4" x14ac:dyDescent="0.2">
      <c r="B400" s="151">
        <v>392</v>
      </c>
      <c r="C400" s="148"/>
      <c r="D400" s="145"/>
    </row>
    <row r="401" spans="2:4" x14ac:dyDescent="0.2">
      <c r="B401" s="151">
        <v>393</v>
      </c>
      <c r="C401" s="148"/>
      <c r="D401" s="145"/>
    </row>
    <row r="402" spans="2:4" x14ac:dyDescent="0.2">
      <c r="B402" s="151">
        <v>394</v>
      </c>
      <c r="C402" s="148"/>
      <c r="D402" s="145"/>
    </row>
    <row r="403" spans="2:4" x14ac:dyDescent="0.2">
      <c r="B403" s="151">
        <v>395</v>
      </c>
      <c r="C403" s="148"/>
      <c r="D403" s="145"/>
    </row>
    <row r="404" spans="2:4" x14ac:dyDescent="0.2">
      <c r="B404" s="151">
        <v>396</v>
      </c>
      <c r="C404" s="148"/>
      <c r="D404" s="145"/>
    </row>
    <row r="405" spans="2:4" x14ac:dyDescent="0.2">
      <c r="B405" s="151">
        <v>397</v>
      </c>
      <c r="C405" s="148"/>
      <c r="D405" s="145"/>
    </row>
    <row r="406" spans="2:4" x14ac:dyDescent="0.2">
      <c r="B406" s="151">
        <v>398</v>
      </c>
      <c r="C406" s="148"/>
      <c r="D406" s="145"/>
    </row>
    <row r="407" spans="2:4" x14ac:dyDescent="0.2">
      <c r="B407" s="151">
        <v>399</v>
      </c>
      <c r="C407" s="148"/>
      <c r="D407" s="145"/>
    </row>
    <row r="408" spans="2:4" x14ac:dyDescent="0.2">
      <c r="B408" s="151">
        <v>400</v>
      </c>
      <c r="C408" s="148"/>
      <c r="D408" s="145"/>
    </row>
    <row r="409" spans="2:4" x14ac:dyDescent="0.2">
      <c r="B409" s="151">
        <v>401</v>
      </c>
      <c r="C409" s="148"/>
      <c r="D409" s="145"/>
    </row>
    <row r="410" spans="2:4" x14ac:dyDescent="0.2">
      <c r="B410" s="151">
        <v>402</v>
      </c>
      <c r="C410" s="148"/>
      <c r="D410" s="145"/>
    </row>
    <row r="411" spans="2:4" x14ac:dyDescent="0.2">
      <c r="B411" s="151">
        <v>403</v>
      </c>
      <c r="C411" s="148"/>
      <c r="D411" s="145"/>
    </row>
    <row r="412" spans="2:4" x14ac:dyDescent="0.2">
      <c r="B412" s="151">
        <v>404</v>
      </c>
      <c r="C412" s="148"/>
      <c r="D412" s="145"/>
    </row>
    <row r="413" spans="2:4" x14ac:dyDescent="0.2">
      <c r="B413" s="151">
        <v>405</v>
      </c>
      <c r="C413" s="148"/>
      <c r="D413" s="145"/>
    </row>
    <row r="414" spans="2:4" x14ac:dyDescent="0.2">
      <c r="B414" s="151">
        <v>406</v>
      </c>
      <c r="C414" s="148"/>
      <c r="D414" s="145"/>
    </row>
    <row r="415" spans="2:4" x14ac:dyDescent="0.2">
      <c r="B415" s="151">
        <v>407</v>
      </c>
      <c r="C415" s="148"/>
      <c r="D415" s="145"/>
    </row>
    <row r="416" spans="2:4" x14ac:dyDescent="0.2">
      <c r="B416" s="151">
        <v>408</v>
      </c>
      <c r="C416" s="148"/>
      <c r="D416" s="145"/>
    </row>
    <row r="417" spans="2:4" x14ac:dyDescent="0.2">
      <c r="B417" s="151">
        <v>409</v>
      </c>
      <c r="C417" s="148"/>
      <c r="D417" s="145"/>
    </row>
    <row r="418" spans="2:4" x14ac:dyDescent="0.2">
      <c r="B418" s="151">
        <v>410</v>
      </c>
      <c r="C418" s="148"/>
      <c r="D418" s="145"/>
    </row>
    <row r="419" spans="2:4" x14ac:dyDescent="0.2">
      <c r="B419" s="151">
        <v>411</v>
      </c>
      <c r="C419" s="148"/>
      <c r="D419" s="145"/>
    </row>
    <row r="420" spans="2:4" x14ac:dyDescent="0.2">
      <c r="B420" s="151">
        <v>412</v>
      </c>
      <c r="C420" s="148"/>
      <c r="D420" s="145"/>
    </row>
    <row r="421" spans="2:4" x14ac:dyDescent="0.2">
      <c r="B421" s="151">
        <v>413</v>
      </c>
      <c r="C421" s="148"/>
      <c r="D421" s="145"/>
    </row>
    <row r="422" spans="2:4" x14ac:dyDescent="0.2">
      <c r="B422" s="151">
        <v>414</v>
      </c>
      <c r="C422" s="148"/>
      <c r="D422" s="145"/>
    </row>
    <row r="423" spans="2:4" x14ac:dyDescent="0.2">
      <c r="B423" s="151">
        <v>415</v>
      </c>
      <c r="C423" s="148"/>
      <c r="D423" s="145"/>
    </row>
    <row r="424" spans="2:4" x14ac:dyDescent="0.2">
      <c r="B424" s="151">
        <v>416</v>
      </c>
      <c r="C424" s="148"/>
      <c r="D424" s="145"/>
    </row>
    <row r="425" spans="2:4" x14ac:dyDescent="0.2">
      <c r="B425" s="151">
        <v>417</v>
      </c>
      <c r="C425" s="148"/>
      <c r="D425" s="145"/>
    </row>
    <row r="426" spans="2:4" x14ac:dyDescent="0.2">
      <c r="B426" s="151">
        <v>418</v>
      </c>
      <c r="C426" s="148"/>
      <c r="D426" s="145"/>
    </row>
    <row r="427" spans="2:4" x14ac:dyDescent="0.2">
      <c r="B427" s="151">
        <v>419</v>
      </c>
      <c r="C427" s="148"/>
      <c r="D427" s="145"/>
    </row>
    <row r="428" spans="2:4" x14ac:dyDescent="0.2">
      <c r="B428" s="151">
        <v>420</v>
      </c>
      <c r="C428" s="148"/>
      <c r="D428" s="145"/>
    </row>
    <row r="429" spans="2:4" x14ac:dyDescent="0.2">
      <c r="B429" s="151">
        <v>421</v>
      </c>
      <c r="C429" s="148"/>
      <c r="D429" s="145"/>
    </row>
    <row r="430" spans="2:4" x14ac:dyDescent="0.2">
      <c r="B430" s="151">
        <v>422</v>
      </c>
      <c r="C430" s="148"/>
      <c r="D430" s="145"/>
    </row>
    <row r="431" spans="2:4" x14ac:dyDescent="0.2">
      <c r="B431" s="151">
        <v>423</v>
      </c>
      <c r="C431" s="148"/>
      <c r="D431" s="145"/>
    </row>
    <row r="432" spans="2:4" x14ac:dyDescent="0.2">
      <c r="B432" s="151">
        <v>424</v>
      </c>
      <c r="C432" s="148"/>
      <c r="D432" s="145"/>
    </row>
    <row r="433" spans="2:4" x14ac:dyDescent="0.2">
      <c r="B433" s="151">
        <v>425</v>
      </c>
      <c r="C433" s="148"/>
      <c r="D433" s="145"/>
    </row>
    <row r="434" spans="2:4" x14ac:dyDescent="0.2">
      <c r="B434" s="151">
        <v>426</v>
      </c>
      <c r="C434" s="148"/>
      <c r="D434" s="145"/>
    </row>
    <row r="435" spans="2:4" x14ac:dyDescent="0.2">
      <c r="B435" s="151">
        <v>427</v>
      </c>
      <c r="C435" s="148"/>
      <c r="D435" s="145"/>
    </row>
    <row r="436" spans="2:4" x14ac:dyDescent="0.2">
      <c r="B436" s="151">
        <v>428</v>
      </c>
      <c r="C436" s="148"/>
      <c r="D436" s="145"/>
    </row>
    <row r="437" spans="2:4" x14ac:dyDescent="0.2">
      <c r="B437" s="151">
        <v>429</v>
      </c>
      <c r="C437" s="148"/>
      <c r="D437" s="145"/>
    </row>
    <row r="438" spans="2:4" x14ac:dyDescent="0.2">
      <c r="B438" s="151">
        <v>430</v>
      </c>
      <c r="C438" s="148"/>
      <c r="D438" s="145"/>
    </row>
    <row r="439" spans="2:4" x14ac:dyDescent="0.2">
      <c r="B439" s="151">
        <v>431</v>
      </c>
      <c r="C439" s="148"/>
      <c r="D439" s="145"/>
    </row>
    <row r="440" spans="2:4" x14ac:dyDescent="0.2">
      <c r="B440" s="151">
        <v>432</v>
      </c>
      <c r="C440" s="148"/>
      <c r="D440" s="145"/>
    </row>
    <row r="441" spans="2:4" x14ac:dyDescent="0.2">
      <c r="B441" s="151">
        <v>433</v>
      </c>
      <c r="C441" s="148"/>
      <c r="D441" s="145"/>
    </row>
    <row r="442" spans="2:4" x14ac:dyDescent="0.2">
      <c r="B442" s="151">
        <v>434</v>
      </c>
      <c r="C442" s="148"/>
      <c r="D442" s="145"/>
    </row>
    <row r="443" spans="2:4" x14ac:dyDescent="0.2">
      <c r="B443" s="151">
        <v>435</v>
      </c>
      <c r="C443" s="148"/>
      <c r="D443" s="145"/>
    </row>
    <row r="444" spans="2:4" x14ac:dyDescent="0.2">
      <c r="B444" s="151">
        <v>436</v>
      </c>
      <c r="C444" s="148"/>
      <c r="D444" s="145"/>
    </row>
    <row r="445" spans="2:4" x14ac:dyDescent="0.2">
      <c r="B445" s="151">
        <v>437</v>
      </c>
      <c r="C445" s="148"/>
      <c r="D445" s="145"/>
    </row>
    <row r="446" spans="2:4" x14ac:dyDescent="0.2">
      <c r="B446" s="151">
        <v>438</v>
      </c>
      <c r="C446" s="148"/>
      <c r="D446" s="145"/>
    </row>
    <row r="447" spans="2:4" x14ac:dyDescent="0.2">
      <c r="B447" s="151">
        <v>439</v>
      </c>
      <c r="C447" s="148"/>
      <c r="D447" s="145"/>
    </row>
    <row r="448" spans="2:4" x14ac:dyDescent="0.2">
      <c r="B448" s="151">
        <v>440</v>
      </c>
      <c r="C448" s="148"/>
      <c r="D448" s="145"/>
    </row>
    <row r="449" spans="2:4" x14ac:dyDescent="0.2">
      <c r="B449" s="151">
        <v>441</v>
      </c>
      <c r="C449" s="148"/>
      <c r="D449" s="145"/>
    </row>
    <row r="450" spans="2:4" x14ac:dyDescent="0.2">
      <c r="B450" s="151">
        <v>442</v>
      </c>
      <c r="C450" s="148"/>
      <c r="D450" s="145"/>
    </row>
    <row r="451" spans="2:4" x14ac:dyDescent="0.2">
      <c r="B451" s="151">
        <v>443</v>
      </c>
      <c r="C451" s="148"/>
      <c r="D451" s="145"/>
    </row>
    <row r="452" spans="2:4" x14ac:dyDescent="0.2">
      <c r="B452" s="151">
        <v>444</v>
      </c>
      <c r="C452" s="148"/>
      <c r="D452" s="145"/>
    </row>
    <row r="453" spans="2:4" x14ac:dyDescent="0.2">
      <c r="B453" s="151">
        <v>445</v>
      </c>
      <c r="C453" s="148"/>
      <c r="D453" s="145"/>
    </row>
    <row r="454" spans="2:4" x14ac:dyDescent="0.2">
      <c r="B454" s="151">
        <v>446</v>
      </c>
      <c r="C454" s="148"/>
      <c r="D454" s="145"/>
    </row>
    <row r="455" spans="2:4" x14ac:dyDescent="0.2">
      <c r="B455" s="151">
        <v>447</v>
      </c>
      <c r="C455" s="148"/>
      <c r="D455" s="145"/>
    </row>
    <row r="456" spans="2:4" x14ac:dyDescent="0.2">
      <c r="B456" s="151">
        <v>448</v>
      </c>
      <c r="C456" s="148"/>
      <c r="D456" s="145"/>
    </row>
    <row r="457" spans="2:4" x14ac:dyDescent="0.2">
      <c r="B457" s="151">
        <v>449</v>
      </c>
      <c r="C457" s="148"/>
      <c r="D457" s="145"/>
    </row>
    <row r="458" spans="2:4" x14ac:dyDescent="0.2">
      <c r="B458" s="151">
        <v>450</v>
      </c>
      <c r="C458" s="148"/>
      <c r="D458" s="145"/>
    </row>
    <row r="459" spans="2:4" x14ac:dyDescent="0.2">
      <c r="B459" s="151">
        <v>451</v>
      </c>
      <c r="C459" s="148"/>
      <c r="D459" s="145"/>
    </row>
    <row r="460" spans="2:4" x14ac:dyDescent="0.2">
      <c r="B460" s="151">
        <v>452</v>
      </c>
      <c r="C460" s="148"/>
      <c r="D460" s="145"/>
    </row>
    <row r="461" spans="2:4" x14ac:dyDescent="0.2">
      <c r="B461" s="151">
        <v>453</v>
      </c>
      <c r="C461" s="148"/>
      <c r="D461" s="145"/>
    </row>
    <row r="462" spans="2:4" x14ac:dyDescent="0.2">
      <c r="B462" s="151">
        <v>454</v>
      </c>
      <c r="C462" s="148"/>
      <c r="D462" s="145"/>
    </row>
    <row r="463" spans="2:4" x14ac:dyDescent="0.2">
      <c r="B463" s="151">
        <v>455</v>
      </c>
      <c r="C463" s="148"/>
      <c r="D463" s="145"/>
    </row>
    <row r="464" spans="2:4" x14ac:dyDescent="0.2">
      <c r="B464" s="151">
        <v>456</v>
      </c>
      <c r="C464" s="148"/>
      <c r="D464" s="145"/>
    </row>
    <row r="465" spans="2:4" x14ac:dyDescent="0.2">
      <c r="B465" s="151">
        <v>457</v>
      </c>
      <c r="C465" s="148"/>
      <c r="D465" s="145"/>
    </row>
    <row r="466" spans="2:4" x14ac:dyDescent="0.2">
      <c r="B466" s="151">
        <v>458</v>
      </c>
      <c r="C466" s="148"/>
      <c r="D466" s="145"/>
    </row>
    <row r="467" spans="2:4" x14ac:dyDescent="0.2">
      <c r="B467" s="151">
        <v>459</v>
      </c>
      <c r="C467" s="148"/>
      <c r="D467" s="145"/>
    </row>
    <row r="468" spans="2:4" x14ac:dyDescent="0.2">
      <c r="B468" s="151">
        <v>460</v>
      </c>
      <c r="C468" s="148"/>
      <c r="D468" s="145"/>
    </row>
    <row r="469" spans="2:4" x14ac:dyDescent="0.2">
      <c r="B469" s="151">
        <v>461</v>
      </c>
      <c r="C469" s="148"/>
      <c r="D469" s="145"/>
    </row>
    <row r="470" spans="2:4" x14ac:dyDescent="0.2">
      <c r="B470" s="151">
        <v>462</v>
      </c>
      <c r="C470" s="148"/>
      <c r="D470" s="145"/>
    </row>
    <row r="471" spans="2:4" x14ac:dyDescent="0.2">
      <c r="B471" s="151">
        <v>463</v>
      </c>
      <c r="C471" s="148"/>
      <c r="D471" s="145"/>
    </row>
    <row r="472" spans="2:4" x14ac:dyDescent="0.2">
      <c r="B472" s="151">
        <v>464</v>
      </c>
      <c r="C472" s="148"/>
      <c r="D472" s="145"/>
    </row>
    <row r="473" spans="2:4" x14ac:dyDescent="0.2">
      <c r="B473" s="151">
        <v>465</v>
      </c>
      <c r="C473" s="148"/>
      <c r="D473" s="145"/>
    </row>
    <row r="474" spans="2:4" x14ac:dyDescent="0.2">
      <c r="B474" s="151">
        <v>466</v>
      </c>
      <c r="C474" s="148"/>
      <c r="D474" s="145"/>
    </row>
    <row r="475" spans="2:4" x14ac:dyDescent="0.2">
      <c r="B475" s="151">
        <v>467</v>
      </c>
      <c r="C475" s="148"/>
      <c r="D475" s="145"/>
    </row>
    <row r="476" spans="2:4" x14ac:dyDescent="0.2">
      <c r="B476" s="151">
        <v>468</v>
      </c>
      <c r="C476" s="148"/>
      <c r="D476" s="145"/>
    </row>
    <row r="477" spans="2:4" x14ac:dyDescent="0.2">
      <c r="B477" s="151">
        <v>469</v>
      </c>
      <c r="C477" s="148"/>
      <c r="D477" s="145"/>
    </row>
    <row r="478" spans="2:4" x14ac:dyDescent="0.2">
      <c r="B478" s="151">
        <v>470</v>
      </c>
      <c r="C478" s="148"/>
      <c r="D478" s="145"/>
    </row>
    <row r="479" spans="2:4" x14ac:dyDescent="0.2">
      <c r="B479" s="151">
        <v>471</v>
      </c>
      <c r="C479" s="148"/>
      <c r="D479" s="145"/>
    </row>
    <row r="480" spans="2:4" x14ac:dyDescent="0.2">
      <c r="B480" s="151">
        <v>472</v>
      </c>
      <c r="C480" s="148"/>
      <c r="D480" s="145"/>
    </row>
    <row r="481" spans="2:4" x14ac:dyDescent="0.2">
      <c r="B481" s="151">
        <v>473</v>
      </c>
      <c r="C481" s="148"/>
      <c r="D481" s="145"/>
    </row>
    <row r="482" spans="2:4" x14ac:dyDescent="0.2">
      <c r="B482" s="151">
        <v>474</v>
      </c>
      <c r="C482" s="148"/>
      <c r="D482" s="145"/>
    </row>
    <row r="483" spans="2:4" x14ac:dyDescent="0.2">
      <c r="B483" s="151">
        <v>475</v>
      </c>
      <c r="C483" s="148"/>
      <c r="D483" s="145"/>
    </row>
    <row r="484" spans="2:4" x14ac:dyDescent="0.2">
      <c r="B484" s="151">
        <v>476</v>
      </c>
      <c r="C484" s="148"/>
      <c r="D484" s="145"/>
    </row>
    <row r="485" spans="2:4" x14ac:dyDescent="0.2">
      <c r="B485" s="151">
        <v>477</v>
      </c>
      <c r="C485" s="148"/>
      <c r="D485" s="145"/>
    </row>
    <row r="486" spans="2:4" x14ac:dyDescent="0.2">
      <c r="B486" s="151">
        <v>478</v>
      </c>
      <c r="C486" s="148"/>
      <c r="D486" s="145"/>
    </row>
    <row r="487" spans="2:4" x14ac:dyDescent="0.2">
      <c r="B487" s="151">
        <v>479</v>
      </c>
      <c r="C487" s="148"/>
      <c r="D487" s="145"/>
    </row>
    <row r="488" spans="2:4" x14ac:dyDescent="0.2">
      <c r="B488" s="151">
        <v>480</v>
      </c>
      <c r="C488" s="148"/>
      <c r="D488" s="145"/>
    </row>
    <row r="489" spans="2:4" x14ac:dyDescent="0.2">
      <c r="B489" s="151">
        <v>481</v>
      </c>
      <c r="C489" s="148"/>
      <c r="D489" s="145"/>
    </row>
    <row r="490" spans="2:4" x14ac:dyDescent="0.2">
      <c r="B490" s="151">
        <v>482</v>
      </c>
      <c r="C490" s="148"/>
      <c r="D490" s="145"/>
    </row>
    <row r="491" spans="2:4" x14ac:dyDescent="0.2">
      <c r="B491" s="151">
        <v>483</v>
      </c>
      <c r="C491" s="148"/>
      <c r="D491" s="145"/>
    </row>
    <row r="492" spans="2:4" x14ac:dyDescent="0.2">
      <c r="B492" s="151">
        <v>484</v>
      </c>
      <c r="C492" s="148"/>
      <c r="D492" s="145"/>
    </row>
    <row r="493" spans="2:4" x14ac:dyDescent="0.2">
      <c r="B493" s="151">
        <v>485</v>
      </c>
      <c r="C493" s="148"/>
      <c r="D493" s="145"/>
    </row>
    <row r="494" spans="2:4" x14ac:dyDescent="0.2">
      <c r="B494" s="151">
        <v>486</v>
      </c>
      <c r="C494" s="148"/>
      <c r="D494" s="145"/>
    </row>
    <row r="495" spans="2:4" x14ac:dyDescent="0.2">
      <c r="B495" s="151">
        <v>487</v>
      </c>
      <c r="C495" s="148"/>
      <c r="D495" s="145"/>
    </row>
    <row r="496" spans="2:4" x14ac:dyDescent="0.2">
      <c r="B496" s="151">
        <v>488</v>
      </c>
      <c r="C496" s="148"/>
      <c r="D496" s="145"/>
    </row>
    <row r="497" spans="2:4" x14ac:dyDescent="0.2">
      <c r="B497" s="151">
        <v>489</v>
      </c>
      <c r="C497" s="148"/>
      <c r="D497" s="145"/>
    </row>
    <row r="498" spans="2:4" x14ac:dyDescent="0.2">
      <c r="B498" s="151">
        <v>490</v>
      </c>
      <c r="C498" s="148"/>
      <c r="D498" s="145"/>
    </row>
    <row r="499" spans="2:4" x14ac:dyDescent="0.2">
      <c r="B499" s="151">
        <v>491</v>
      </c>
      <c r="C499" s="148"/>
      <c r="D499" s="145"/>
    </row>
    <row r="500" spans="2:4" x14ac:dyDescent="0.2">
      <c r="B500" s="151">
        <v>492</v>
      </c>
      <c r="C500" s="148"/>
      <c r="D500" s="145"/>
    </row>
    <row r="501" spans="2:4" x14ac:dyDescent="0.2">
      <c r="B501" s="151">
        <v>493</v>
      </c>
      <c r="C501" s="148"/>
      <c r="D501" s="145"/>
    </row>
    <row r="502" spans="2:4" x14ac:dyDescent="0.2">
      <c r="B502" s="151">
        <v>494</v>
      </c>
      <c r="C502" s="148"/>
      <c r="D502" s="145"/>
    </row>
    <row r="503" spans="2:4" x14ac:dyDescent="0.2">
      <c r="B503" s="151">
        <v>495</v>
      </c>
      <c r="C503" s="148"/>
      <c r="D503" s="145"/>
    </row>
    <row r="504" spans="2:4" x14ac:dyDescent="0.2">
      <c r="B504" s="151">
        <v>496</v>
      </c>
      <c r="C504" s="148"/>
      <c r="D504" s="145"/>
    </row>
    <row r="505" spans="2:4" x14ac:dyDescent="0.2">
      <c r="B505" s="151">
        <v>497</v>
      </c>
      <c r="C505" s="148"/>
      <c r="D505" s="145"/>
    </row>
    <row r="506" spans="2:4" x14ac:dyDescent="0.2">
      <c r="B506" s="151">
        <v>498</v>
      </c>
      <c r="C506" s="148"/>
      <c r="D506" s="145"/>
    </row>
    <row r="507" spans="2:4" x14ac:dyDescent="0.2">
      <c r="B507" s="151">
        <v>499</v>
      </c>
      <c r="C507" s="148"/>
      <c r="D507" s="145"/>
    </row>
    <row r="508" spans="2:4" x14ac:dyDescent="0.2">
      <c r="B508" s="152">
        <v>500</v>
      </c>
      <c r="C508" s="149"/>
      <c r="D508" s="146"/>
    </row>
    <row r="509" spans="2:4" x14ac:dyDescent="0.2">
      <c r="C509" s="153"/>
      <c r="D509" s="153"/>
    </row>
    <row r="510" spans="2:4" x14ac:dyDescent="0.2">
      <c r="C510" s="154"/>
      <c r="D510" s="154"/>
    </row>
    <row r="511" spans="2:4" x14ac:dyDescent="0.2">
      <c r="C511" s="154"/>
      <c r="D511" s="154"/>
    </row>
    <row r="512" spans="2:4" x14ac:dyDescent="0.2">
      <c r="C512" s="154"/>
      <c r="D512" s="154"/>
    </row>
    <row r="513" spans="3:4" x14ac:dyDescent="0.2">
      <c r="C513" s="154"/>
      <c r="D513" s="154"/>
    </row>
    <row r="514" spans="3:4" x14ac:dyDescent="0.2">
      <c r="C514" s="154"/>
      <c r="D514" s="154"/>
    </row>
    <row r="515" spans="3:4" x14ac:dyDescent="0.2">
      <c r="C515" s="154"/>
      <c r="D515" s="154"/>
    </row>
    <row r="516" spans="3:4" x14ac:dyDescent="0.2">
      <c r="C516" s="154"/>
      <c r="D516" s="154"/>
    </row>
    <row r="517" spans="3:4" x14ac:dyDescent="0.2">
      <c r="C517" s="154"/>
      <c r="D517" s="154"/>
    </row>
    <row r="518" spans="3:4" x14ac:dyDescent="0.2">
      <c r="C518" s="154"/>
      <c r="D518" s="154"/>
    </row>
    <row r="519" spans="3:4" x14ac:dyDescent="0.2">
      <c r="C519" s="154"/>
      <c r="D519" s="154"/>
    </row>
    <row r="520" spans="3:4" x14ac:dyDescent="0.2">
      <c r="C520" s="154"/>
      <c r="D520" s="154"/>
    </row>
    <row r="521" spans="3:4" x14ac:dyDescent="0.2">
      <c r="C521" s="154"/>
      <c r="D521" s="154"/>
    </row>
    <row r="522" spans="3:4" x14ac:dyDescent="0.2">
      <c r="C522" s="154"/>
      <c r="D522" s="154"/>
    </row>
    <row r="523" spans="3:4" x14ac:dyDescent="0.2">
      <c r="C523" s="154"/>
      <c r="D523" s="154"/>
    </row>
    <row r="524" spans="3:4" x14ac:dyDescent="0.2">
      <c r="C524" s="154"/>
      <c r="D524" s="154"/>
    </row>
    <row r="525" spans="3:4" x14ac:dyDescent="0.2">
      <c r="C525" s="154"/>
      <c r="D525" s="154"/>
    </row>
    <row r="526" spans="3:4" x14ac:dyDescent="0.2">
      <c r="C526" s="154"/>
      <c r="D526" s="154"/>
    </row>
    <row r="527" spans="3:4" x14ac:dyDescent="0.2">
      <c r="C527" s="154"/>
      <c r="D527" s="154"/>
    </row>
    <row r="528" spans="3:4" x14ac:dyDescent="0.2">
      <c r="C528" s="154"/>
      <c r="D528" s="154"/>
    </row>
    <row r="529" spans="3:4" x14ac:dyDescent="0.2">
      <c r="C529" s="154"/>
      <c r="D529" s="154"/>
    </row>
    <row r="530" spans="3:4" x14ac:dyDescent="0.2">
      <c r="C530" s="154"/>
      <c r="D530" s="154"/>
    </row>
    <row r="531" spans="3:4" x14ac:dyDescent="0.2">
      <c r="C531" s="154"/>
      <c r="D531" s="154"/>
    </row>
    <row r="532" spans="3:4" x14ac:dyDescent="0.2">
      <c r="C532" s="154"/>
      <c r="D532" s="154"/>
    </row>
    <row r="533" spans="3:4" x14ac:dyDescent="0.2">
      <c r="C533" s="154"/>
      <c r="D533" s="154"/>
    </row>
    <row r="534" spans="3:4" x14ac:dyDescent="0.2">
      <c r="C534" s="154"/>
      <c r="D534" s="154"/>
    </row>
    <row r="535" spans="3:4" x14ac:dyDescent="0.2">
      <c r="C535" s="154"/>
      <c r="D535" s="154"/>
    </row>
    <row r="536" spans="3:4" x14ac:dyDescent="0.2">
      <c r="C536" s="154"/>
      <c r="D536" s="154"/>
    </row>
    <row r="537" spans="3:4" x14ac:dyDescent="0.2">
      <c r="C537" s="154"/>
      <c r="D537" s="154"/>
    </row>
    <row r="538" spans="3:4" x14ac:dyDescent="0.2">
      <c r="C538" s="154"/>
      <c r="D538" s="154"/>
    </row>
    <row r="539" spans="3:4" x14ac:dyDescent="0.2">
      <c r="C539" s="154"/>
      <c r="D539" s="154"/>
    </row>
    <row r="540" spans="3:4" x14ac:dyDescent="0.2">
      <c r="C540" s="154"/>
      <c r="D540" s="154"/>
    </row>
    <row r="541" spans="3:4" x14ac:dyDescent="0.2">
      <c r="C541" s="154"/>
      <c r="D541" s="154"/>
    </row>
    <row r="542" spans="3:4" x14ac:dyDescent="0.2">
      <c r="C542" s="154"/>
      <c r="D542" s="154"/>
    </row>
    <row r="543" spans="3:4" x14ac:dyDescent="0.2">
      <c r="C543" s="154"/>
      <c r="D543" s="154"/>
    </row>
    <row r="544" spans="3:4" x14ac:dyDescent="0.2">
      <c r="C544" s="154"/>
      <c r="D544" s="154"/>
    </row>
    <row r="545" spans="3:4" x14ac:dyDescent="0.2">
      <c r="C545" s="154"/>
      <c r="D545" s="154"/>
    </row>
    <row r="546" spans="3:4" x14ac:dyDescent="0.2">
      <c r="C546" s="154"/>
      <c r="D546" s="154"/>
    </row>
    <row r="547" spans="3:4" x14ac:dyDescent="0.2">
      <c r="C547" s="154"/>
      <c r="D547" s="154"/>
    </row>
    <row r="548" spans="3:4" x14ac:dyDescent="0.2">
      <c r="C548" s="154"/>
      <c r="D548" s="154"/>
    </row>
    <row r="549" spans="3:4" x14ac:dyDescent="0.2">
      <c r="C549" s="154"/>
      <c r="D549" s="154"/>
    </row>
    <row r="550" spans="3:4" x14ac:dyDescent="0.2">
      <c r="C550" s="154"/>
      <c r="D550" s="154"/>
    </row>
    <row r="551" spans="3:4" x14ac:dyDescent="0.2">
      <c r="C551" s="154"/>
      <c r="D551" s="154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RepTemplate"/>
  <dimension ref="B1:BK76"/>
  <sheetViews>
    <sheetView showGridLines="0" showRowColHeaders="0" zoomScaleNormal="100" workbookViewId="0">
      <pane ySplit="10" topLeftCell="A11" activePane="bottomLeft" state="frozen"/>
      <selection pane="bottomLeft" activeCell="B7" sqref="B7"/>
    </sheetView>
  </sheetViews>
  <sheetFormatPr baseColWidth="10" defaultColWidth="9.1640625" defaultRowHeight="15" x14ac:dyDescent="0.2"/>
  <cols>
    <col min="1" max="1" width="1.6640625" style="46" customWidth="1"/>
    <col min="2" max="2" width="13.33203125" style="46" customWidth="1"/>
    <col min="3" max="3" width="9.33203125" style="46" customWidth="1"/>
    <col min="4" max="4" width="11.6640625" style="46" customWidth="1"/>
    <col min="5" max="5" width="1.6640625" style="46" customWidth="1"/>
    <col min="6" max="6" width="7.6640625" style="46" customWidth="1"/>
    <col min="7" max="8" width="11.6640625" style="46" customWidth="1"/>
    <col min="9" max="9" width="10.6640625" style="46" customWidth="1"/>
    <col min="10" max="10" width="13.6640625" style="46" customWidth="1"/>
    <col min="11" max="11" width="1.6640625" style="46" customWidth="1"/>
    <col min="12" max="12" width="13.33203125" style="46" customWidth="1"/>
    <col min="13" max="13" width="8.33203125" style="46" customWidth="1"/>
    <col min="14" max="15" width="9.6640625" style="46" customWidth="1"/>
    <col min="16" max="17" width="11.6640625" style="46" customWidth="1"/>
    <col min="18" max="18" width="10.6640625" style="46" customWidth="1"/>
    <col min="19" max="19" width="13.6640625" style="46" customWidth="1"/>
    <col min="20" max="22" width="10.6640625" style="46" customWidth="1"/>
    <col min="23" max="55" width="9.1640625" style="46"/>
    <col min="56" max="56" width="25.6640625" style="46" customWidth="1"/>
    <col min="57" max="57" width="10.6640625" style="46" customWidth="1"/>
    <col min="58" max="63" width="5.6640625" style="46" customWidth="1"/>
    <col min="64" max="16384" width="9.1640625" style="46"/>
  </cols>
  <sheetData>
    <row r="1" spans="2:63" ht="5" customHeight="1" x14ac:dyDescent="0.2"/>
    <row r="2" spans="2:63" ht="15" customHeight="1" x14ac:dyDescent="0.2"/>
    <row r="3" spans="2:63" ht="15" customHeight="1" x14ac:dyDescent="0.2"/>
    <row r="4" spans="2:63" ht="15" customHeight="1" x14ac:dyDescent="0.2"/>
    <row r="5" spans="2:63" ht="5" customHeight="1" x14ac:dyDescent="0.2"/>
    <row r="6" spans="2:63" ht="5" customHeight="1" x14ac:dyDescent="0.2"/>
    <row r="7" spans="2:63" x14ac:dyDescent="0.2">
      <c r="B7" s="53" t="s">
        <v>128</v>
      </c>
      <c r="C7" s="182"/>
      <c r="D7" s="182"/>
      <c r="E7" s="182"/>
      <c r="F7" s="182"/>
      <c r="G7" s="182"/>
      <c r="H7" s="182"/>
      <c r="I7" s="183"/>
      <c r="J7" s="49"/>
      <c r="L7" s="49"/>
      <c r="M7" s="192" t="s">
        <v>7923</v>
      </c>
      <c r="N7" s="180" t="s">
        <v>134</v>
      </c>
      <c r="O7" s="177"/>
      <c r="Q7" s="53" t="s">
        <v>133</v>
      </c>
      <c r="R7" s="57"/>
    </row>
    <row r="8" spans="2:63" x14ac:dyDescent="0.2">
      <c r="B8" s="54" t="s">
        <v>130</v>
      </c>
      <c r="C8" s="184"/>
      <c r="D8" s="184"/>
      <c r="E8" s="184"/>
      <c r="F8" s="184"/>
      <c r="G8" s="184"/>
      <c r="H8" s="184"/>
      <c r="I8" s="185"/>
      <c r="L8" s="49"/>
      <c r="M8" s="193"/>
      <c r="N8" s="170" t="s">
        <v>135</v>
      </c>
      <c r="O8" s="178"/>
      <c r="Q8" s="54" t="s">
        <v>112</v>
      </c>
      <c r="R8" s="56"/>
    </row>
    <row r="9" spans="2:63" x14ac:dyDescent="0.2">
      <c r="B9" s="55" t="s">
        <v>129</v>
      </c>
      <c r="C9" s="186" t="str">
        <f>"Report ("&amp;Ccy&amp;") from "&amp;TEXT(StartDate,"dd-mmm-yyyy")&amp;" to "&amp;TEXT(EndDate,"dd-mmm-yyyy")&amp;" on "&amp;Per</f>
        <v>Report (USD) from 02-Jan-2017 to 27-Jan-2024 on Daily</v>
      </c>
      <c r="D9" s="187"/>
      <c r="E9" s="187"/>
      <c r="F9" s="187"/>
      <c r="G9" s="187"/>
      <c r="H9" s="187"/>
      <c r="I9" s="188"/>
      <c r="L9" s="49"/>
      <c r="M9" s="194"/>
      <c r="N9" s="181" t="s">
        <v>136</v>
      </c>
      <c r="O9" s="179">
        <f>SUM($O$7:$O$8)</f>
        <v>0</v>
      </c>
      <c r="Q9" s="55" t="s">
        <v>137</v>
      </c>
      <c r="R9" s="58">
        <f>$R$8/Main!$E$16</f>
        <v>0</v>
      </c>
    </row>
    <row r="10" spans="2:63" ht="5" customHeight="1" x14ac:dyDescent="0.2"/>
    <row r="11" spans="2:63" ht="5" customHeight="1" x14ac:dyDescent="0.2"/>
    <row r="12" spans="2:63" ht="15" customHeight="1" x14ac:dyDescent="0.2">
      <c r="B12" s="195" t="str">
        <f>"Breakdown Top 10 Figures (by "&amp;$BG$13&amp;")"</f>
        <v>Breakdown Top 10 Figures (by )</v>
      </c>
      <c r="C12" s="196"/>
      <c r="D12" s="197"/>
      <c r="F12" s="189">
        <f>$C$7</f>
        <v>0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1"/>
      <c r="BD12" s="48" t="s">
        <v>138</v>
      </c>
      <c r="BE12" s="48">
        <f>MAX(COUNTA($BD$14:$BD$1048576),1)</f>
        <v>1</v>
      </c>
    </row>
    <row r="13" spans="2:63" x14ac:dyDescent="0.2">
      <c r="B13" s="198"/>
      <c r="C13" s="199"/>
      <c r="D13" s="200"/>
      <c r="F13" s="62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4"/>
      <c r="BD13" s="47" t="s">
        <v>139</v>
      </c>
      <c r="BE13" s="47" t="s">
        <v>140</v>
      </c>
      <c r="BF13" s="47"/>
      <c r="BG13" s="47"/>
    </row>
    <row r="14" spans="2:63" x14ac:dyDescent="0.2">
      <c r="B14" s="206">
        <f>$BG$13</f>
        <v>0</v>
      </c>
      <c r="C14" s="207"/>
      <c r="D14" s="59" t="str">
        <f>"Flow ("&amp;PROPER([0]!Unit)&amp;")"</f>
        <v>Flow (Bln)</v>
      </c>
      <c r="F14" s="65"/>
      <c r="S14" s="66"/>
      <c r="BD14" s="50"/>
      <c r="BE14" s="51"/>
      <c r="BF14" s="52" t="e">
        <f>RANK($BE14,$BE$14:$BE$65)</f>
        <v>#N/A</v>
      </c>
      <c r="BG14" s="46">
        <v>1</v>
      </c>
      <c r="BH14" s="46" t="e">
        <f>INDEX($BD$14:$BD$65,MATCH($BG14,$BF$14:$BF$65,0))</f>
        <v>#N/A</v>
      </c>
      <c r="BI14" s="46" t="e">
        <f>INDEX($BE$14:$BE$65,MATCH($BG14,$BF$14:$BF$65,0))</f>
        <v>#N/A</v>
      </c>
      <c r="BJ14" s="46" t="e">
        <f>IF($BI14&gt;=0,$BI14,NA())</f>
        <v>#N/A</v>
      </c>
      <c r="BK14" s="46" t="e">
        <f>IF($BI14&lt;0,$BI14,NA())</f>
        <v>#N/A</v>
      </c>
    </row>
    <row r="15" spans="2:63" x14ac:dyDescent="0.2">
      <c r="B15" s="204" t="str">
        <f>IF(ISERROR($BH14),"",$BH14)</f>
        <v/>
      </c>
      <c r="C15" s="205"/>
      <c r="D15" s="60" t="str">
        <f>IF(ISERROR($BI14),"",$BI14)</f>
        <v/>
      </c>
      <c r="F15" s="65"/>
      <c r="S15" s="66"/>
      <c r="BD15" s="50"/>
      <c r="BE15" s="51"/>
      <c r="BF15" s="52" t="e">
        <f t="shared" ref="BF15:BF65" si="0">RANK($BE15,$BE$14:$BE$65)</f>
        <v>#N/A</v>
      </c>
      <c r="BG15" s="46">
        <v>2</v>
      </c>
      <c r="BH15" s="46" t="e">
        <f t="shared" ref="BH15:BH65" si="1">INDEX($BD$14:$BD$65,MATCH($BG15,$BF$14:$BF$65,0))</f>
        <v>#N/A</v>
      </c>
      <c r="BI15" s="46" t="e">
        <f t="shared" ref="BI15:BI65" si="2">INDEX($BE$14:$BE$65,MATCH($BG15,$BF$14:$BF$65,0))</f>
        <v>#N/A</v>
      </c>
      <c r="BJ15" s="46" t="e">
        <f t="shared" ref="BJ15:BJ65" si="3">IF($BI15&gt;=0,$BI15,NA())</f>
        <v>#N/A</v>
      </c>
      <c r="BK15" s="46" t="e">
        <f t="shared" ref="BK15:BK65" si="4">IF($BI15&lt;0,$BI15,NA())</f>
        <v>#N/A</v>
      </c>
    </row>
    <row r="16" spans="2:63" x14ac:dyDescent="0.2">
      <c r="B16" s="204" t="str">
        <f t="shared" ref="B16:B24" si="5">IF(ISERROR($BH15),"",$BH15)</f>
        <v/>
      </c>
      <c r="C16" s="205"/>
      <c r="D16" s="60" t="str">
        <f t="shared" ref="D16:D24" si="6">IF(ISERROR($BI15),"",$BI15)</f>
        <v/>
      </c>
      <c r="F16" s="65"/>
      <c r="S16" s="66"/>
      <c r="BD16" s="50"/>
      <c r="BE16" s="51"/>
      <c r="BF16" s="52" t="e">
        <f t="shared" si="0"/>
        <v>#N/A</v>
      </c>
      <c r="BG16" s="46">
        <v>3</v>
      </c>
      <c r="BH16" s="46" t="e">
        <f t="shared" si="1"/>
        <v>#N/A</v>
      </c>
      <c r="BI16" s="46" t="e">
        <f t="shared" si="2"/>
        <v>#N/A</v>
      </c>
      <c r="BJ16" s="46" t="e">
        <f t="shared" si="3"/>
        <v>#N/A</v>
      </c>
      <c r="BK16" s="46" t="e">
        <f t="shared" si="4"/>
        <v>#N/A</v>
      </c>
    </row>
    <row r="17" spans="2:63" x14ac:dyDescent="0.2">
      <c r="B17" s="204" t="str">
        <f t="shared" si="5"/>
        <v/>
      </c>
      <c r="C17" s="205"/>
      <c r="D17" s="60" t="str">
        <f t="shared" si="6"/>
        <v/>
      </c>
      <c r="F17" s="65"/>
      <c r="S17" s="66"/>
      <c r="BD17" s="50"/>
      <c r="BE17" s="51"/>
      <c r="BF17" s="52" t="e">
        <f t="shared" si="0"/>
        <v>#N/A</v>
      </c>
      <c r="BG17" s="46">
        <v>4</v>
      </c>
      <c r="BH17" s="46" t="e">
        <f t="shared" si="1"/>
        <v>#N/A</v>
      </c>
      <c r="BI17" s="46" t="e">
        <f t="shared" si="2"/>
        <v>#N/A</v>
      </c>
      <c r="BJ17" s="46" t="e">
        <f t="shared" si="3"/>
        <v>#N/A</v>
      </c>
      <c r="BK17" s="46" t="e">
        <f t="shared" si="4"/>
        <v>#N/A</v>
      </c>
    </row>
    <row r="18" spans="2:63" x14ac:dyDescent="0.2">
      <c r="B18" s="204" t="str">
        <f t="shared" si="5"/>
        <v/>
      </c>
      <c r="C18" s="205"/>
      <c r="D18" s="60" t="str">
        <f t="shared" si="6"/>
        <v/>
      </c>
      <c r="F18" s="65"/>
      <c r="S18" s="66"/>
      <c r="BD18" s="50"/>
      <c r="BE18" s="51"/>
      <c r="BF18" s="52" t="e">
        <f t="shared" si="0"/>
        <v>#N/A</v>
      </c>
      <c r="BG18" s="46">
        <v>5</v>
      </c>
      <c r="BH18" s="46" t="e">
        <f t="shared" si="1"/>
        <v>#N/A</v>
      </c>
      <c r="BI18" s="46" t="e">
        <f t="shared" si="2"/>
        <v>#N/A</v>
      </c>
      <c r="BJ18" s="46" t="e">
        <f t="shared" si="3"/>
        <v>#N/A</v>
      </c>
      <c r="BK18" s="46" t="e">
        <f t="shared" si="4"/>
        <v>#N/A</v>
      </c>
    </row>
    <row r="19" spans="2:63" x14ac:dyDescent="0.2">
      <c r="B19" s="204" t="str">
        <f t="shared" si="5"/>
        <v/>
      </c>
      <c r="C19" s="205"/>
      <c r="D19" s="60" t="str">
        <f t="shared" si="6"/>
        <v/>
      </c>
      <c r="F19" s="65"/>
      <c r="S19" s="66"/>
      <c r="BD19" s="50"/>
      <c r="BE19" s="51"/>
      <c r="BF19" s="52" t="e">
        <f t="shared" si="0"/>
        <v>#N/A</v>
      </c>
      <c r="BG19" s="46">
        <v>6</v>
      </c>
      <c r="BH19" s="46" t="e">
        <f t="shared" si="1"/>
        <v>#N/A</v>
      </c>
      <c r="BI19" s="46" t="e">
        <f t="shared" si="2"/>
        <v>#N/A</v>
      </c>
      <c r="BJ19" s="46" t="e">
        <f t="shared" si="3"/>
        <v>#N/A</v>
      </c>
      <c r="BK19" s="46" t="e">
        <f t="shared" si="4"/>
        <v>#N/A</v>
      </c>
    </row>
    <row r="20" spans="2:63" x14ac:dyDescent="0.2">
      <c r="B20" s="204" t="str">
        <f t="shared" si="5"/>
        <v/>
      </c>
      <c r="C20" s="205"/>
      <c r="D20" s="60" t="str">
        <f t="shared" si="6"/>
        <v/>
      </c>
      <c r="F20" s="65"/>
      <c r="S20" s="66"/>
      <c r="BD20" s="50"/>
      <c r="BE20" s="51"/>
      <c r="BF20" s="52" t="e">
        <f t="shared" si="0"/>
        <v>#N/A</v>
      </c>
      <c r="BG20" s="46">
        <v>7</v>
      </c>
      <c r="BH20" s="46" t="e">
        <f t="shared" si="1"/>
        <v>#N/A</v>
      </c>
      <c r="BI20" s="46" t="e">
        <f t="shared" si="2"/>
        <v>#N/A</v>
      </c>
      <c r="BJ20" s="46" t="e">
        <f t="shared" si="3"/>
        <v>#N/A</v>
      </c>
      <c r="BK20" s="46" t="e">
        <f t="shared" si="4"/>
        <v>#N/A</v>
      </c>
    </row>
    <row r="21" spans="2:63" x14ac:dyDescent="0.2">
      <c r="B21" s="204" t="str">
        <f t="shared" si="5"/>
        <v/>
      </c>
      <c r="C21" s="205"/>
      <c r="D21" s="60" t="str">
        <f t="shared" si="6"/>
        <v/>
      </c>
      <c r="F21" s="65"/>
      <c r="S21" s="66"/>
      <c r="BD21" s="50"/>
      <c r="BE21" s="51"/>
      <c r="BF21" s="52" t="e">
        <f t="shared" si="0"/>
        <v>#N/A</v>
      </c>
      <c r="BG21" s="46">
        <v>8</v>
      </c>
      <c r="BH21" s="46" t="e">
        <f t="shared" si="1"/>
        <v>#N/A</v>
      </c>
      <c r="BI21" s="46" t="e">
        <f t="shared" si="2"/>
        <v>#N/A</v>
      </c>
      <c r="BJ21" s="46" t="e">
        <f t="shared" si="3"/>
        <v>#N/A</v>
      </c>
      <c r="BK21" s="46" t="e">
        <f t="shared" si="4"/>
        <v>#N/A</v>
      </c>
    </row>
    <row r="22" spans="2:63" x14ac:dyDescent="0.2">
      <c r="B22" s="204" t="str">
        <f t="shared" si="5"/>
        <v/>
      </c>
      <c r="C22" s="205"/>
      <c r="D22" s="60" t="str">
        <f t="shared" si="6"/>
        <v/>
      </c>
      <c r="F22" s="65"/>
      <c r="S22" s="66"/>
      <c r="BD22" s="50"/>
      <c r="BE22" s="51"/>
      <c r="BF22" s="52" t="e">
        <f t="shared" si="0"/>
        <v>#N/A</v>
      </c>
      <c r="BG22" s="46">
        <v>9</v>
      </c>
      <c r="BH22" s="46" t="e">
        <f t="shared" si="1"/>
        <v>#N/A</v>
      </c>
      <c r="BI22" s="46" t="e">
        <f t="shared" si="2"/>
        <v>#N/A</v>
      </c>
      <c r="BJ22" s="46" t="e">
        <f t="shared" si="3"/>
        <v>#N/A</v>
      </c>
      <c r="BK22" s="46" t="e">
        <f t="shared" si="4"/>
        <v>#N/A</v>
      </c>
    </row>
    <row r="23" spans="2:63" x14ac:dyDescent="0.2">
      <c r="B23" s="204" t="str">
        <f t="shared" si="5"/>
        <v/>
      </c>
      <c r="C23" s="205"/>
      <c r="D23" s="60" t="str">
        <f t="shared" si="6"/>
        <v/>
      </c>
      <c r="F23" s="65"/>
      <c r="S23" s="66"/>
      <c r="BD23" s="50"/>
      <c r="BE23" s="51"/>
      <c r="BF23" s="52" t="e">
        <f t="shared" si="0"/>
        <v>#N/A</v>
      </c>
      <c r="BG23" s="46">
        <v>10</v>
      </c>
      <c r="BH23" s="46" t="e">
        <f t="shared" si="1"/>
        <v>#N/A</v>
      </c>
      <c r="BI23" s="46" t="e">
        <f t="shared" si="2"/>
        <v>#N/A</v>
      </c>
      <c r="BJ23" s="46" t="e">
        <f t="shared" si="3"/>
        <v>#N/A</v>
      </c>
      <c r="BK23" s="46" t="e">
        <f t="shared" si="4"/>
        <v>#N/A</v>
      </c>
    </row>
    <row r="24" spans="2:63" x14ac:dyDescent="0.2">
      <c r="B24" s="211" t="str">
        <f t="shared" si="5"/>
        <v/>
      </c>
      <c r="C24" s="212"/>
      <c r="D24" s="61" t="str">
        <f t="shared" si="6"/>
        <v/>
      </c>
      <c r="F24" s="67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9"/>
      <c r="BD24" s="50"/>
      <c r="BE24" s="51"/>
      <c r="BF24" s="52" t="e">
        <f t="shared" si="0"/>
        <v>#N/A</v>
      </c>
      <c r="BG24" s="46">
        <v>11</v>
      </c>
      <c r="BH24" s="46" t="e">
        <f t="shared" si="1"/>
        <v>#N/A</v>
      </c>
      <c r="BI24" s="46" t="e">
        <f t="shared" si="2"/>
        <v>#N/A</v>
      </c>
      <c r="BJ24" s="46" t="e">
        <f t="shared" si="3"/>
        <v>#N/A</v>
      </c>
      <c r="BK24" s="46" t="e">
        <f t="shared" si="4"/>
        <v>#N/A</v>
      </c>
    </row>
    <row r="25" spans="2:63" ht="5" customHeight="1" x14ac:dyDescent="0.2">
      <c r="BD25" s="50"/>
      <c r="BE25" s="51"/>
      <c r="BF25" s="52" t="e">
        <f t="shared" si="0"/>
        <v>#N/A</v>
      </c>
      <c r="BG25" s="46">
        <v>12</v>
      </c>
      <c r="BH25" s="46" t="e">
        <f t="shared" si="1"/>
        <v>#N/A</v>
      </c>
      <c r="BI25" s="46" t="e">
        <f t="shared" si="2"/>
        <v>#N/A</v>
      </c>
      <c r="BJ25" s="46" t="e">
        <f t="shared" si="3"/>
        <v>#N/A</v>
      </c>
      <c r="BK25" s="46" t="e">
        <f t="shared" si="4"/>
        <v>#N/A</v>
      </c>
    </row>
    <row r="26" spans="2:63" x14ac:dyDescent="0.2">
      <c r="B26" s="192" t="s">
        <v>131</v>
      </c>
      <c r="C26" s="201"/>
      <c r="D26" s="201"/>
      <c r="E26" s="201"/>
      <c r="F26" s="201"/>
      <c r="G26" s="201"/>
      <c r="H26" s="201"/>
      <c r="I26" s="201"/>
      <c r="J26" s="202"/>
      <c r="L26" s="192" t="s">
        <v>132</v>
      </c>
      <c r="M26" s="201"/>
      <c r="N26" s="201"/>
      <c r="O26" s="201"/>
      <c r="P26" s="201"/>
      <c r="Q26" s="201"/>
      <c r="R26" s="201"/>
      <c r="S26" s="202"/>
      <c r="BD26" s="50"/>
      <c r="BE26" s="51"/>
      <c r="BF26" s="52" t="e">
        <f t="shared" si="0"/>
        <v>#N/A</v>
      </c>
      <c r="BG26" s="46">
        <v>13</v>
      </c>
      <c r="BH26" s="46" t="e">
        <f t="shared" si="1"/>
        <v>#N/A</v>
      </c>
      <c r="BI26" s="46" t="e">
        <f t="shared" si="2"/>
        <v>#N/A</v>
      </c>
      <c r="BJ26" s="46" t="e">
        <f t="shared" si="3"/>
        <v>#N/A</v>
      </c>
      <c r="BK26" s="46" t="e">
        <f t="shared" si="4"/>
        <v>#N/A</v>
      </c>
    </row>
    <row r="27" spans="2:63" x14ac:dyDescent="0.2">
      <c r="B27" s="54" t="s">
        <v>50</v>
      </c>
      <c r="C27" s="203" t="s">
        <v>51</v>
      </c>
      <c r="D27" s="203"/>
      <c r="E27" s="203"/>
      <c r="F27" s="203"/>
      <c r="G27" s="70" t="str">
        <f>"Flow ("&amp;PROPER([0]!Unit)&amp;")"</f>
        <v>Flow (Bln)</v>
      </c>
      <c r="H27" s="70" t="str">
        <f>"AUM ("&amp;PROPER([0]!Unit)&amp;")"</f>
        <v>AUM (Bln)</v>
      </c>
      <c r="I27" s="70" t="s">
        <v>115</v>
      </c>
      <c r="J27" s="71">
        <f>$BG$13</f>
        <v>0</v>
      </c>
      <c r="L27" s="54" t="s">
        <v>50</v>
      </c>
      <c r="M27" s="203" t="s">
        <v>51</v>
      </c>
      <c r="N27" s="203"/>
      <c r="O27" s="203"/>
      <c r="P27" s="70" t="str">
        <f>"Flow ("&amp;PROPER([0]!Unit)&amp;")"</f>
        <v>Flow (Bln)</v>
      </c>
      <c r="Q27" s="70" t="str">
        <f>"AUM ("&amp;PROPER([0]!Unit)&amp;")"</f>
        <v>AUM (Bln)</v>
      </c>
      <c r="R27" s="70" t="s">
        <v>115</v>
      </c>
      <c r="S27" s="71">
        <f>$BG$13</f>
        <v>0</v>
      </c>
      <c r="BD27" s="50"/>
      <c r="BE27" s="51"/>
      <c r="BF27" s="52" t="e">
        <f t="shared" si="0"/>
        <v>#N/A</v>
      </c>
      <c r="BG27" s="46">
        <v>14</v>
      </c>
      <c r="BH27" s="46" t="e">
        <f t="shared" si="1"/>
        <v>#N/A</v>
      </c>
      <c r="BI27" s="46" t="e">
        <f t="shared" si="2"/>
        <v>#N/A</v>
      </c>
      <c r="BJ27" s="46" t="e">
        <f t="shared" si="3"/>
        <v>#N/A</v>
      </c>
      <c r="BK27" s="46" t="e">
        <f t="shared" si="4"/>
        <v>#N/A</v>
      </c>
    </row>
    <row r="28" spans="2:63" x14ac:dyDescent="0.2">
      <c r="B28" s="78"/>
      <c r="C28" s="209" t="str">
        <f>IF($B28="","",HYPERLINK("bbg://securities/"&amp;$B28&amp;" Equity/MHD%20?panel=1",_xll.BDP($B28&amp;" Equity","SECURITY_NAME")))</f>
        <v/>
      </c>
      <c r="D28" s="209"/>
      <c r="E28" s="209"/>
      <c r="F28" s="209"/>
      <c r="G28" s="81"/>
      <c r="H28" s="81"/>
      <c r="I28" s="72"/>
      <c r="J28" s="75" t="str">
        <f>IF($B28="","",_xll.BDP($B28&amp;" Equity",$BF$13,"fill=NA"))</f>
        <v/>
      </c>
      <c r="L28" s="78"/>
      <c r="M28" s="209" t="str">
        <f>IF($L28="","",HYPERLINK("bbg://securities/"&amp;$L28&amp;" Equity/MHD%20?panel=1",_xll.BDP($L28&amp;" Equity","SECURITY_NAME")))</f>
        <v/>
      </c>
      <c r="N28" s="209"/>
      <c r="O28" s="209"/>
      <c r="P28" s="81"/>
      <c r="Q28" s="81"/>
      <c r="R28" s="72"/>
      <c r="S28" s="75" t="str">
        <f>IF($L28="","",_xll.BDP($L28&amp;" Equity",$BF$13,"fill=NA"))</f>
        <v/>
      </c>
      <c r="BD28" s="50"/>
      <c r="BE28" s="51"/>
      <c r="BF28" s="52" t="e">
        <f t="shared" si="0"/>
        <v>#N/A</v>
      </c>
      <c r="BG28" s="46">
        <v>15</v>
      </c>
      <c r="BH28" s="46" t="e">
        <f t="shared" si="1"/>
        <v>#N/A</v>
      </c>
      <c r="BI28" s="46" t="e">
        <f t="shared" si="2"/>
        <v>#N/A</v>
      </c>
      <c r="BJ28" s="46" t="e">
        <f t="shared" si="3"/>
        <v>#N/A</v>
      </c>
      <c r="BK28" s="46" t="e">
        <f t="shared" si="4"/>
        <v>#N/A</v>
      </c>
    </row>
    <row r="29" spans="2:63" x14ac:dyDescent="0.2">
      <c r="B29" s="79"/>
      <c r="C29" s="208" t="str">
        <f>IF($B29="","",HYPERLINK("bbg://securities/"&amp;$B29&amp;" Equity/MHD%20?panel=1",_xll.BDP($B29&amp;" Equity","SECURITY_NAME")))</f>
        <v/>
      </c>
      <c r="D29" s="208"/>
      <c r="E29" s="208"/>
      <c r="F29" s="208"/>
      <c r="G29" s="82"/>
      <c r="H29" s="82"/>
      <c r="I29" s="73"/>
      <c r="J29" s="76" t="str">
        <f>IF($B29="","",_xll.BDP($B29&amp;" Equity",$BF$13,"fill=NA"))</f>
        <v/>
      </c>
      <c r="L29" s="79"/>
      <c r="M29" s="208" t="str">
        <f>IF($L29="","",HYPERLINK("bbg://securities/"&amp;$L29&amp;" Equity/MHD%20?panel=1",_xll.BDP($L29&amp;" Equity","SECURITY_NAME")))</f>
        <v/>
      </c>
      <c r="N29" s="208"/>
      <c r="O29" s="208"/>
      <c r="P29" s="82"/>
      <c r="Q29" s="82"/>
      <c r="R29" s="73"/>
      <c r="S29" s="76" t="str">
        <f>IF($L29="","",_xll.BDP($L29&amp;" Equity",$BF$13,"fill=NA"))</f>
        <v/>
      </c>
      <c r="BD29" s="50"/>
      <c r="BE29" s="51"/>
      <c r="BF29" s="52" t="e">
        <f t="shared" si="0"/>
        <v>#N/A</v>
      </c>
      <c r="BG29" s="46">
        <v>16</v>
      </c>
      <c r="BH29" s="46" t="e">
        <f t="shared" si="1"/>
        <v>#N/A</v>
      </c>
      <c r="BI29" s="46" t="e">
        <f t="shared" si="2"/>
        <v>#N/A</v>
      </c>
      <c r="BJ29" s="46" t="e">
        <f t="shared" si="3"/>
        <v>#N/A</v>
      </c>
      <c r="BK29" s="46" t="e">
        <f t="shared" si="4"/>
        <v>#N/A</v>
      </c>
    </row>
    <row r="30" spans="2:63" x14ac:dyDescent="0.2">
      <c r="B30" s="78"/>
      <c r="C30" s="209" t="str">
        <f>IF($B30="","",HYPERLINK("bbg://securities/"&amp;$B30&amp;" Equity/MHD%20?panel=1",_xll.BDP($B30&amp;" Equity","SECURITY_NAME")))</f>
        <v/>
      </c>
      <c r="D30" s="209"/>
      <c r="E30" s="209"/>
      <c r="F30" s="209"/>
      <c r="G30" s="81"/>
      <c r="H30" s="81"/>
      <c r="I30" s="72"/>
      <c r="J30" s="75" t="str">
        <f>IF($B30="","",_xll.BDP($B30&amp;" Equity",$BF$13,"fill=NA"))</f>
        <v/>
      </c>
      <c r="L30" s="78"/>
      <c r="M30" s="209" t="str">
        <f>IF($L30="","",HYPERLINK("bbg://securities/"&amp;$L30&amp;" Equity/MHD%20?panel=1",_xll.BDP($L30&amp;" Equity","SECURITY_NAME")))</f>
        <v/>
      </c>
      <c r="N30" s="209"/>
      <c r="O30" s="209"/>
      <c r="P30" s="81"/>
      <c r="Q30" s="81"/>
      <c r="R30" s="72"/>
      <c r="S30" s="75" t="str">
        <f>IF($L30="","",_xll.BDP($L30&amp;" Equity",$BF$13,"fill=NA"))</f>
        <v/>
      </c>
      <c r="BD30" s="50"/>
      <c r="BE30" s="51"/>
      <c r="BF30" s="52" t="e">
        <f t="shared" si="0"/>
        <v>#N/A</v>
      </c>
      <c r="BG30" s="46">
        <v>17</v>
      </c>
      <c r="BH30" s="46" t="e">
        <f t="shared" si="1"/>
        <v>#N/A</v>
      </c>
      <c r="BI30" s="46" t="e">
        <f t="shared" si="2"/>
        <v>#N/A</v>
      </c>
      <c r="BJ30" s="46" t="e">
        <f t="shared" si="3"/>
        <v>#N/A</v>
      </c>
      <c r="BK30" s="46" t="e">
        <f t="shared" si="4"/>
        <v>#N/A</v>
      </c>
    </row>
    <row r="31" spans="2:63" x14ac:dyDescent="0.2">
      <c r="B31" s="79"/>
      <c r="C31" s="208" t="str">
        <f>IF($B31="","",HYPERLINK("bbg://securities/"&amp;$B31&amp;" Equity/MHD%20?panel=1",_xll.BDP($B31&amp;" Equity","SECURITY_NAME")))</f>
        <v/>
      </c>
      <c r="D31" s="208"/>
      <c r="E31" s="208"/>
      <c r="F31" s="208"/>
      <c r="G31" s="82"/>
      <c r="H31" s="82"/>
      <c r="I31" s="73"/>
      <c r="J31" s="76" t="str">
        <f>IF($B31="","",_xll.BDP($B31&amp;" Equity",$BF$13,"fill=NA"))</f>
        <v/>
      </c>
      <c r="L31" s="79"/>
      <c r="M31" s="208" t="str">
        <f>IF($L31="","",HYPERLINK("bbg://securities/"&amp;$L31&amp;" Equity/MHD%20?panel=1",_xll.BDP($L31&amp;" Equity","SECURITY_NAME")))</f>
        <v/>
      </c>
      <c r="N31" s="208"/>
      <c r="O31" s="208"/>
      <c r="P31" s="82"/>
      <c r="Q31" s="82"/>
      <c r="R31" s="73"/>
      <c r="S31" s="76" t="str">
        <f>IF($L31="","",_xll.BDP($L31&amp;" Equity",$BF$13,"fill=NA"))</f>
        <v/>
      </c>
      <c r="BD31" s="50"/>
      <c r="BE31" s="51"/>
      <c r="BF31" s="52" t="e">
        <f t="shared" si="0"/>
        <v>#N/A</v>
      </c>
      <c r="BG31" s="46">
        <v>18</v>
      </c>
      <c r="BH31" s="46" t="e">
        <f t="shared" si="1"/>
        <v>#N/A</v>
      </c>
      <c r="BI31" s="46" t="e">
        <f t="shared" si="2"/>
        <v>#N/A</v>
      </c>
      <c r="BJ31" s="46" t="e">
        <f t="shared" si="3"/>
        <v>#N/A</v>
      </c>
      <c r="BK31" s="46" t="e">
        <f t="shared" si="4"/>
        <v>#N/A</v>
      </c>
    </row>
    <row r="32" spans="2:63" x14ac:dyDescent="0.2">
      <c r="B32" s="78"/>
      <c r="C32" s="209" t="str">
        <f>IF($B32="","",HYPERLINK("bbg://securities/"&amp;$B32&amp;" Equity/MHD%20?panel=1",_xll.BDP($B32&amp;" Equity","SECURITY_NAME")))</f>
        <v/>
      </c>
      <c r="D32" s="209"/>
      <c r="E32" s="209"/>
      <c r="F32" s="209"/>
      <c r="G32" s="81"/>
      <c r="H32" s="81"/>
      <c r="I32" s="72"/>
      <c r="J32" s="75" t="str">
        <f>IF($B32="","",_xll.BDP($B32&amp;" Equity",$BF$13,"fill=NA"))</f>
        <v/>
      </c>
      <c r="L32" s="78"/>
      <c r="M32" s="209" t="str">
        <f>IF($L32="","",HYPERLINK("bbg://securities/"&amp;$L32&amp;" Equity/MHD%20?panel=1",_xll.BDP($L32&amp;" Equity","SECURITY_NAME")))</f>
        <v/>
      </c>
      <c r="N32" s="209"/>
      <c r="O32" s="209"/>
      <c r="P32" s="81"/>
      <c r="Q32" s="81"/>
      <c r="R32" s="72"/>
      <c r="S32" s="75" t="str">
        <f>IF($L32="","",_xll.BDP($L32&amp;" Equity",$BF$13,"fill=NA"))</f>
        <v/>
      </c>
      <c r="BD32" s="50"/>
      <c r="BE32" s="51"/>
      <c r="BF32" s="52" t="e">
        <f t="shared" si="0"/>
        <v>#N/A</v>
      </c>
      <c r="BG32" s="46">
        <v>19</v>
      </c>
      <c r="BH32" s="46" t="e">
        <f t="shared" si="1"/>
        <v>#N/A</v>
      </c>
      <c r="BI32" s="46" t="e">
        <f t="shared" si="2"/>
        <v>#N/A</v>
      </c>
      <c r="BJ32" s="46" t="e">
        <f t="shared" si="3"/>
        <v>#N/A</v>
      </c>
      <c r="BK32" s="46" t="e">
        <f t="shared" si="4"/>
        <v>#N/A</v>
      </c>
    </row>
    <row r="33" spans="2:63" x14ac:dyDescent="0.2">
      <c r="B33" s="79"/>
      <c r="C33" s="208" t="str">
        <f>IF($B33="","",HYPERLINK("bbg://securities/"&amp;$B33&amp;" Equity/MHD%20?panel=1",_xll.BDP($B33&amp;" Equity","SECURITY_NAME")))</f>
        <v/>
      </c>
      <c r="D33" s="208"/>
      <c r="E33" s="208"/>
      <c r="F33" s="208"/>
      <c r="G33" s="82"/>
      <c r="H33" s="82"/>
      <c r="I33" s="73"/>
      <c r="J33" s="76" t="str">
        <f>IF($B33="","",_xll.BDP($B33&amp;" Equity",$BF$13,"fill=NA"))</f>
        <v/>
      </c>
      <c r="L33" s="79"/>
      <c r="M33" s="208" t="str">
        <f>IF($L33="","",HYPERLINK("bbg://securities/"&amp;$L33&amp;" Equity/MHD%20?panel=1",_xll.BDP($L33&amp;" Equity","SECURITY_NAME")))</f>
        <v/>
      </c>
      <c r="N33" s="208"/>
      <c r="O33" s="208"/>
      <c r="P33" s="82"/>
      <c r="Q33" s="82"/>
      <c r="R33" s="73"/>
      <c r="S33" s="76" t="str">
        <f>IF($L33="","",_xll.BDP($L33&amp;" Equity",$BF$13,"fill=NA"))</f>
        <v/>
      </c>
      <c r="BD33" s="50"/>
      <c r="BE33" s="51"/>
      <c r="BF33" s="52" t="e">
        <f t="shared" si="0"/>
        <v>#N/A</v>
      </c>
      <c r="BG33" s="46">
        <v>20</v>
      </c>
      <c r="BH33" s="46" t="e">
        <f t="shared" si="1"/>
        <v>#N/A</v>
      </c>
      <c r="BI33" s="46" t="e">
        <f t="shared" si="2"/>
        <v>#N/A</v>
      </c>
      <c r="BJ33" s="46" t="e">
        <f t="shared" si="3"/>
        <v>#N/A</v>
      </c>
      <c r="BK33" s="46" t="e">
        <f t="shared" si="4"/>
        <v>#N/A</v>
      </c>
    </row>
    <row r="34" spans="2:63" x14ac:dyDescent="0.2">
      <c r="B34" s="78"/>
      <c r="C34" s="209" t="str">
        <f>IF($B34="","",HYPERLINK("bbg://securities/"&amp;$B34&amp;" Equity/MHD%20?panel=1",_xll.BDP($B34&amp;" Equity","SECURITY_NAME")))</f>
        <v/>
      </c>
      <c r="D34" s="209"/>
      <c r="E34" s="209"/>
      <c r="F34" s="209"/>
      <c r="G34" s="81"/>
      <c r="H34" s="81"/>
      <c r="I34" s="72"/>
      <c r="J34" s="75" t="str">
        <f>IF($B34="","",_xll.BDP($B34&amp;" Equity",$BF$13,"fill=NA"))</f>
        <v/>
      </c>
      <c r="L34" s="78"/>
      <c r="M34" s="209" t="str">
        <f>IF($L34="","",HYPERLINK("bbg://securities/"&amp;$L34&amp;" Equity/MHD%20?panel=1",_xll.BDP($L34&amp;" Equity","SECURITY_NAME")))</f>
        <v/>
      </c>
      <c r="N34" s="209"/>
      <c r="O34" s="209"/>
      <c r="P34" s="81"/>
      <c r="Q34" s="81"/>
      <c r="R34" s="72"/>
      <c r="S34" s="75" t="str">
        <f>IF($L34="","",_xll.BDP($L34&amp;" Equity",$BF$13,"fill=NA"))</f>
        <v/>
      </c>
      <c r="BD34" s="50"/>
      <c r="BE34" s="51"/>
      <c r="BF34" s="52" t="e">
        <f t="shared" si="0"/>
        <v>#N/A</v>
      </c>
      <c r="BG34" s="46">
        <v>21</v>
      </c>
      <c r="BH34" s="46" t="e">
        <f t="shared" si="1"/>
        <v>#N/A</v>
      </c>
      <c r="BI34" s="46" t="e">
        <f t="shared" si="2"/>
        <v>#N/A</v>
      </c>
      <c r="BJ34" s="46" t="e">
        <f t="shared" si="3"/>
        <v>#N/A</v>
      </c>
      <c r="BK34" s="46" t="e">
        <f t="shared" si="4"/>
        <v>#N/A</v>
      </c>
    </row>
    <row r="35" spans="2:63" x14ac:dyDescent="0.2">
      <c r="B35" s="79"/>
      <c r="C35" s="208" t="str">
        <f>IF($B35="","",HYPERLINK("bbg://securities/"&amp;$B35&amp;" Equity/MHD%20?panel=1",_xll.BDP($B35&amp;" Equity","SECURITY_NAME")))</f>
        <v/>
      </c>
      <c r="D35" s="208"/>
      <c r="E35" s="208"/>
      <c r="F35" s="208"/>
      <c r="G35" s="82"/>
      <c r="H35" s="82"/>
      <c r="I35" s="73"/>
      <c r="J35" s="76" t="str">
        <f>IF($B35="","",_xll.BDP($B35&amp;" Equity",$BF$13,"fill=NA"))</f>
        <v/>
      </c>
      <c r="L35" s="79"/>
      <c r="M35" s="208" t="str">
        <f>IF($L35="","",HYPERLINK("bbg://securities/"&amp;$L35&amp;" Equity/MHD%20?panel=1",_xll.BDP($L35&amp;" Equity","SECURITY_NAME")))</f>
        <v/>
      </c>
      <c r="N35" s="208"/>
      <c r="O35" s="208"/>
      <c r="P35" s="82"/>
      <c r="Q35" s="82"/>
      <c r="R35" s="73"/>
      <c r="S35" s="76" t="str">
        <f>IF($L35="","",_xll.BDP($L35&amp;" Equity",$BF$13,"fill=NA"))</f>
        <v/>
      </c>
      <c r="BD35" s="50"/>
      <c r="BE35" s="51"/>
      <c r="BF35" s="52" t="e">
        <f t="shared" si="0"/>
        <v>#N/A</v>
      </c>
      <c r="BG35" s="46">
        <v>22</v>
      </c>
      <c r="BH35" s="46" t="e">
        <f t="shared" si="1"/>
        <v>#N/A</v>
      </c>
      <c r="BI35" s="46" t="e">
        <f t="shared" si="2"/>
        <v>#N/A</v>
      </c>
      <c r="BJ35" s="46" t="e">
        <f t="shared" si="3"/>
        <v>#N/A</v>
      </c>
      <c r="BK35" s="46" t="e">
        <f t="shared" si="4"/>
        <v>#N/A</v>
      </c>
    </row>
    <row r="36" spans="2:63" x14ac:dyDescent="0.2">
      <c r="B36" s="78"/>
      <c r="C36" s="209" t="str">
        <f>IF($B36="","",HYPERLINK("bbg://securities/"&amp;$B36&amp;" Equity/MHD%20?panel=1",_xll.BDP($B36&amp;" Equity","SECURITY_NAME")))</f>
        <v/>
      </c>
      <c r="D36" s="209"/>
      <c r="E36" s="209"/>
      <c r="F36" s="209"/>
      <c r="G36" s="81"/>
      <c r="H36" s="81"/>
      <c r="I36" s="72"/>
      <c r="J36" s="75" t="str">
        <f>IF($B36="","",_xll.BDP($B36&amp;" Equity",$BF$13,"fill=NA"))</f>
        <v/>
      </c>
      <c r="L36" s="78"/>
      <c r="M36" s="209" t="str">
        <f>IF($L36="","",HYPERLINK("bbg://securities/"&amp;$L36&amp;" Equity/MHD%20?panel=1",_xll.BDP($L36&amp;" Equity","SECURITY_NAME")))</f>
        <v/>
      </c>
      <c r="N36" s="209"/>
      <c r="O36" s="209"/>
      <c r="P36" s="81"/>
      <c r="Q36" s="81"/>
      <c r="R36" s="72"/>
      <c r="S36" s="75" t="str">
        <f>IF($L36="","",_xll.BDP($L36&amp;" Equity",$BF$13,"fill=NA"))</f>
        <v/>
      </c>
      <c r="BD36" s="50"/>
      <c r="BE36" s="51"/>
      <c r="BF36" s="52" t="e">
        <f t="shared" si="0"/>
        <v>#N/A</v>
      </c>
      <c r="BG36" s="46">
        <v>23</v>
      </c>
      <c r="BH36" s="46" t="e">
        <f t="shared" si="1"/>
        <v>#N/A</v>
      </c>
      <c r="BI36" s="46" t="e">
        <f t="shared" si="2"/>
        <v>#N/A</v>
      </c>
      <c r="BJ36" s="46" t="e">
        <f t="shared" si="3"/>
        <v>#N/A</v>
      </c>
      <c r="BK36" s="46" t="e">
        <f t="shared" si="4"/>
        <v>#N/A</v>
      </c>
    </row>
    <row r="37" spans="2:63" x14ac:dyDescent="0.2">
      <c r="B37" s="80"/>
      <c r="C37" s="210" t="str">
        <f>IF($B37="","",HYPERLINK("bbg://securities/"&amp;$B37&amp;" Equity/MHD%20?panel=1",_xll.BDP($B37&amp;" Equity","SECURITY_NAME")))</f>
        <v/>
      </c>
      <c r="D37" s="210"/>
      <c r="E37" s="210"/>
      <c r="F37" s="210"/>
      <c r="G37" s="83"/>
      <c r="H37" s="83"/>
      <c r="I37" s="74"/>
      <c r="J37" s="77" t="str">
        <f>IF($B37="","",_xll.BDP($B37&amp;" Equity",$BF$13,"fill=NA"))</f>
        <v/>
      </c>
      <c r="L37" s="80"/>
      <c r="M37" s="210" t="str">
        <f>IF($L37="","",HYPERLINK("bbg://securities/"&amp;$L37&amp;" Equity/MHD%20?panel=1",_xll.BDP($L37&amp;" Equity","SECURITY_NAME")))</f>
        <v/>
      </c>
      <c r="N37" s="210"/>
      <c r="O37" s="210"/>
      <c r="P37" s="83"/>
      <c r="Q37" s="83"/>
      <c r="R37" s="74"/>
      <c r="S37" s="77" t="str">
        <f>IF($L37="","",_xll.BDP($L37&amp;" Equity",$BF$13,"fill=NA"))</f>
        <v/>
      </c>
      <c r="BD37" s="50"/>
      <c r="BE37" s="51"/>
      <c r="BF37" s="52" t="e">
        <f t="shared" si="0"/>
        <v>#N/A</v>
      </c>
      <c r="BG37" s="46">
        <v>24</v>
      </c>
      <c r="BH37" s="46" t="e">
        <f t="shared" si="1"/>
        <v>#N/A</v>
      </c>
      <c r="BI37" s="46" t="e">
        <f t="shared" si="2"/>
        <v>#N/A</v>
      </c>
      <c r="BJ37" s="46" t="e">
        <f t="shared" si="3"/>
        <v>#N/A</v>
      </c>
      <c r="BK37" s="46" t="e">
        <f t="shared" si="4"/>
        <v>#N/A</v>
      </c>
    </row>
    <row r="38" spans="2:63" ht="5" customHeight="1" x14ac:dyDescent="0.2">
      <c r="BD38" s="50"/>
      <c r="BE38" s="51"/>
      <c r="BF38" s="52" t="e">
        <f t="shared" si="0"/>
        <v>#N/A</v>
      </c>
      <c r="BG38" s="46">
        <v>25</v>
      </c>
      <c r="BH38" s="46" t="e">
        <f t="shared" si="1"/>
        <v>#N/A</v>
      </c>
      <c r="BI38" s="46" t="e">
        <f t="shared" si="2"/>
        <v>#N/A</v>
      </c>
      <c r="BJ38" s="46" t="e">
        <f t="shared" si="3"/>
        <v>#N/A</v>
      </c>
      <c r="BK38" s="46" t="e">
        <f t="shared" si="4"/>
        <v>#N/A</v>
      </c>
    </row>
    <row r="39" spans="2:63" x14ac:dyDescent="0.2">
      <c r="B39" s="192" t="s">
        <v>209</v>
      </c>
      <c r="C39" s="201"/>
      <c r="D39" s="201"/>
      <c r="E39" s="201"/>
      <c r="F39" s="201"/>
      <c r="G39" s="201"/>
      <c r="H39" s="201"/>
      <c r="I39" s="201"/>
      <c r="J39" s="202"/>
      <c r="L39" s="192" t="s">
        <v>210</v>
      </c>
      <c r="M39" s="201"/>
      <c r="N39" s="201"/>
      <c r="O39" s="201"/>
      <c r="P39" s="201"/>
      <c r="Q39" s="201"/>
      <c r="R39" s="201"/>
      <c r="S39" s="202"/>
      <c r="BD39" s="50"/>
      <c r="BE39" s="51"/>
      <c r="BF39" s="52" t="e">
        <f t="shared" si="0"/>
        <v>#N/A</v>
      </c>
      <c r="BG39" s="46">
        <v>26</v>
      </c>
      <c r="BH39" s="46" t="e">
        <f t="shared" si="1"/>
        <v>#N/A</v>
      </c>
      <c r="BI39" s="46" t="e">
        <f t="shared" si="2"/>
        <v>#N/A</v>
      </c>
      <c r="BJ39" s="46" t="e">
        <f t="shared" si="3"/>
        <v>#N/A</v>
      </c>
      <c r="BK39" s="46" t="e">
        <f t="shared" si="4"/>
        <v>#N/A</v>
      </c>
    </row>
    <row r="40" spans="2:63" x14ac:dyDescent="0.2">
      <c r="B40" s="54" t="s">
        <v>50</v>
      </c>
      <c r="C40" s="203" t="s">
        <v>51</v>
      </c>
      <c r="D40" s="203"/>
      <c r="E40" s="203"/>
      <c r="F40" s="203"/>
      <c r="G40" s="70" t="s">
        <v>207</v>
      </c>
      <c r="H40" s="70" t="s">
        <v>208</v>
      </c>
      <c r="I40" s="70" t="s">
        <v>115</v>
      </c>
      <c r="J40" s="71">
        <f>$BG$13</f>
        <v>0</v>
      </c>
      <c r="L40" s="54" t="s">
        <v>50</v>
      </c>
      <c r="M40" s="203" t="s">
        <v>51</v>
      </c>
      <c r="N40" s="203"/>
      <c r="O40" s="203"/>
      <c r="P40" s="70" t="s">
        <v>207</v>
      </c>
      <c r="Q40" s="70" t="s">
        <v>208</v>
      </c>
      <c r="R40" s="70" t="s">
        <v>115</v>
      </c>
      <c r="S40" s="71">
        <f>$BG$13</f>
        <v>0</v>
      </c>
      <c r="BD40" s="50"/>
      <c r="BE40" s="51"/>
      <c r="BF40" s="52" t="e">
        <f t="shared" si="0"/>
        <v>#N/A</v>
      </c>
      <c r="BG40" s="46">
        <v>27</v>
      </c>
      <c r="BH40" s="46" t="e">
        <f t="shared" si="1"/>
        <v>#N/A</v>
      </c>
      <c r="BI40" s="46" t="e">
        <f t="shared" si="2"/>
        <v>#N/A</v>
      </c>
      <c r="BJ40" s="46" t="e">
        <f t="shared" si="3"/>
        <v>#N/A</v>
      </c>
      <c r="BK40" s="46" t="e">
        <f t="shared" si="4"/>
        <v>#N/A</v>
      </c>
    </row>
    <row r="41" spans="2:63" x14ac:dyDescent="0.2">
      <c r="B41" s="78"/>
      <c r="C41" s="209" t="str">
        <f>IF($B41="","",HYPERLINK("bbg://securities/"&amp;$B41&amp;" Equity/MHD%20?panel=1",_xll.BDP($B41&amp;" Equity","SECURITY_NAME")))</f>
        <v/>
      </c>
      <c r="D41" s="209"/>
      <c r="E41" s="209"/>
      <c r="F41" s="209"/>
      <c r="G41" s="81"/>
      <c r="H41" s="81"/>
      <c r="I41" s="72"/>
      <c r="J41" s="75" t="str">
        <f>IF($B41="","",_xll.BDP($B41&amp;" Equity",$BF$13,"fill=NA"))</f>
        <v/>
      </c>
      <c r="L41" s="78"/>
      <c r="M41" s="209" t="str">
        <f>IF($L41="","",HYPERLINK("bbg://securities/"&amp;$L41&amp;" Equity/MHD%20?panel=1",_xll.BDP($L41&amp;" Equity","SECURITY_NAME")))</f>
        <v/>
      </c>
      <c r="N41" s="209"/>
      <c r="O41" s="209"/>
      <c r="P41" s="81"/>
      <c r="Q41" s="81"/>
      <c r="R41" s="72"/>
      <c r="S41" s="75" t="str">
        <f>IF($L41="","",_xll.BDP($L41&amp;" Equity",$BF$13,"fill=NA"))</f>
        <v/>
      </c>
      <c r="BD41" s="50"/>
      <c r="BE41" s="51"/>
      <c r="BF41" s="52" t="e">
        <f t="shared" si="0"/>
        <v>#N/A</v>
      </c>
      <c r="BG41" s="46">
        <v>28</v>
      </c>
      <c r="BH41" s="46" t="e">
        <f t="shared" si="1"/>
        <v>#N/A</v>
      </c>
      <c r="BI41" s="46" t="e">
        <f t="shared" si="2"/>
        <v>#N/A</v>
      </c>
      <c r="BJ41" s="46" t="e">
        <f t="shared" si="3"/>
        <v>#N/A</v>
      </c>
      <c r="BK41" s="46" t="e">
        <f t="shared" si="4"/>
        <v>#N/A</v>
      </c>
    </row>
    <row r="42" spans="2:63" x14ac:dyDescent="0.2">
      <c r="B42" s="79"/>
      <c r="C42" s="208" t="str">
        <f>IF($B42="","",HYPERLINK("bbg://securities/"&amp;$B42&amp;" Equity/MHD%20?panel=1",_xll.BDP($B42&amp;" Equity","SECURITY_NAME")))</f>
        <v/>
      </c>
      <c r="D42" s="208"/>
      <c r="E42" s="208"/>
      <c r="F42" s="208"/>
      <c r="G42" s="82"/>
      <c r="H42" s="82"/>
      <c r="I42" s="73"/>
      <c r="J42" s="76" t="str">
        <f>IF($B42="","",_xll.BDP($B42&amp;" Equity",$BF$13,"fill=NA"))</f>
        <v/>
      </c>
      <c r="L42" s="79"/>
      <c r="M42" s="208" t="str">
        <f>IF($L42="","",HYPERLINK("bbg://securities/"&amp;$L42&amp;" Equity/MHD%20?panel=1",_xll.BDP($L42&amp;" Equity","SECURITY_NAME")))</f>
        <v/>
      </c>
      <c r="N42" s="208"/>
      <c r="O42" s="208"/>
      <c r="P42" s="82"/>
      <c r="Q42" s="82"/>
      <c r="R42" s="73"/>
      <c r="S42" s="76" t="str">
        <f>IF($L42="","",_xll.BDP($L42&amp;" Equity",$BF$13,"fill=NA"))</f>
        <v/>
      </c>
      <c r="BD42" s="50"/>
      <c r="BE42" s="51"/>
      <c r="BF42" s="52" t="e">
        <f t="shared" si="0"/>
        <v>#N/A</v>
      </c>
      <c r="BG42" s="46">
        <v>29</v>
      </c>
      <c r="BH42" s="46" t="e">
        <f t="shared" si="1"/>
        <v>#N/A</v>
      </c>
      <c r="BI42" s="46" t="e">
        <f t="shared" si="2"/>
        <v>#N/A</v>
      </c>
      <c r="BJ42" s="46" t="e">
        <f t="shared" si="3"/>
        <v>#N/A</v>
      </c>
      <c r="BK42" s="46" t="e">
        <f t="shared" si="4"/>
        <v>#N/A</v>
      </c>
    </row>
    <row r="43" spans="2:63" x14ac:dyDescent="0.2">
      <c r="B43" s="78"/>
      <c r="C43" s="209" t="str">
        <f>IF($B43="","",HYPERLINK("bbg://securities/"&amp;$B43&amp;" Equity/MHD%20?panel=1",_xll.BDP($B43&amp;" Equity","SECURITY_NAME")))</f>
        <v/>
      </c>
      <c r="D43" s="209"/>
      <c r="E43" s="209"/>
      <c r="F43" s="209"/>
      <c r="G43" s="81"/>
      <c r="H43" s="81"/>
      <c r="I43" s="72"/>
      <c r="J43" s="75" t="str">
        <f>IF($B43="","",_xll.BDP($B43&amp;" Equity",$BF$13,"fill=NA"))</f>
        <v/>
      </c>
      <c r="L43" s="78"/>
      <c r="M43" s="209" t="str">
        <f>IF($L43="","",HYPERLINK("bbg://securities/"&amp;$L43&amp;" Equity/MHD%20?panel=1",_xll.BDP($L43&amp;" Equity","SECURITY_NAME")))</f>
        <v/>
      </c>
      <c r="N43" s="209"/>
      <c r="O43" s="209"/>
      <c r="P43" s="81"/>
      <c r="Q43" s="81"/>
      <c r="R43" s="72"/>
      <c r="S43" s="75" t="str">
        <f>IF($L43="","",_xll.BDP($L43&amp;" Equity",$BF$13,"fill=NA"))</f>
        <v/>
      </c>
      <c r="BD43" s="50"/>
      <c r="BE43" s="51"/>
      <c r="BF43" s="52" t="e">
        <f t="shared" si="0"/>
        <v>#N/A</v>
      </c>
      <c r="BG43" s="46">
        <v>30</v>
      </c>
      <c r="BH43" s="46" t="e">
        <f t="shared" si="1"/>
        <v>#N/A</v>
      </c>
      <c r="BI43" s="46" t="e">
        <f t="shared" si="2"/>
        <v>#N/A</v>
      </c>
      <c r="BJ43" s="46" t="e">
        <f t="shared" si="3"/>
        <v>#N/A</v>
      </c>
      <c r="BK43" s="46" t="e">
        <f t="shared" si="4"/>
        <v>#N/A</v>
      </c>
    </row>
    <row r="44" spans="2:63" x14ac:dyDescent="0.2">
      <c r="B44" s="79"/>
      <c r="C44" s="208" t="str">
        <f>IF($B44="","",HYPERLINK("bbg://securities/"&amp;$B44&amp;" Equity/MHD%20?panel=1",_xll.BDP($B44&amp;" Equity","SECURITY_NAME")))</f>
        <v/>
      </c>
      <c r="D44" s="208"/>
      <c r="E44" s="208"/>
      <c r="F44" s="208"/>
      <c r="G44" s="82"/>
      <c r="H44" s="82"/>
      <c r="I44" s="73"/>
      <c r="J44" s="76" t="str">
        <f>IF($B44="","",_xll.BDP($B44&amp;" Equity",$BF$13,"fill=NA"))</f>
        <v/>
      </c>
      <c r="L44" s="79"/>
      <c r="M44" s="208" t="str">
        <f>IF($L44="","",HYPERLINK("bbg://securities/"&amp;$L44&amp;" Equity/MHD%20?panel=1",_xll.BDP($L44&amp;" Equity","SECURITY_NAME")))</f>
        <v/>
      </c>
      <c r="N44" s="208"/>
      <c r="O44" s="208"/>
      <c r="P44" s="82"/>
      <c r="Q44" s="82"/>
      <c r="R44" s="73"/>
      <c r="S44" s="76" t="str">
        <f>IF($L44="","",_xll.BDP($L44&amp;" Equity",$BF$13,"fill=NA"))</f>
        <v/>
      </c>
      <c r="BD44" s="50"/>
      <c r="BE44" s="51"/>
      <c r="BF44" s="52" t="e">
        <f t="shared" si="0"/>
        <v>#N/A</v>
      </c>
      <c r="BG44" s="46">
        <v>31</v>
      </c>
      <c r="BH44" s="46" t="e">
        <f t="shared" si="1"/>
        <v>#N/A</v>
      </c>
      <c r="BI44" s="46" t="e">
        <f t="shared" si="2"/>
        <v>#N/A</v>
      </c>
      <c r="BJ44" s="46" t="e">
        <f t="shared" si="3"/>
        <v>#N/A</v>
      </c>
      <c r="BK44" s="46" t="e">
        <f t="shared" si="4"/>
        <v>#N/A</v>
      </c>
    </row>
    <row r="45" spans="2:63" x14ac:dyDescent="0.2">
      <c r="B45" s="78"/>
      <c r="C45" s="209" t="str">
        <f>IF($B45="","",HYPERLINK("bbg://securities/"&amp;$B45&amp;" Equity/MHD%20?panel=1",_xll.BDP($B45&amp;" Equity","SECURITY_NAME")))</f>
        <v/>
      </c>
      <c r="D45" s="209"/>
      <c r="E45" s="209"/>
      <c r="F45" s="209"/>
      <c r="G45" s="81"/>
      <c r="H45" s="81"/>
      <c r="I45" s="72"/>
      <c r="J45" s="75" t="str">
        <f>IF($B45="","",_xll.BDP($B45&amp;" Equity",$BF$13,"fill=NA"))</f>
        <v/>
      </c>
      <c r="L45" s="78"/>
      <c r="M45" s="209" t="str">
        <f>IF($L45="","",HYPERLINK("bbg://securities/"&amp;$L45&amp;" Equity/MHD%20?panel=1",_xll.BDP($L45&amp;" Equity","SECURITY_NAME")))</f>
        <v/>
      </c>
      <c r="N45" s="209"/>
      <c r="O45" s="209"/>
      <c r="P45" s="81"/>
      <c r="Q45" s="81"/>
      <c r="R45" s="72"/>
      <c r="S45" s="75" t="str">
        <f>IF($L45="","",_xll.BDP($L45&amp;" Equity",$BF$13,"fill=NA"))</f>
        <v/>
      </c>
      <c r="BD45" s="50"/>
      <c r="BE45" s="51"/>
      <c r="BF45" s="52" t="e">
        <f t="shared" si="0"/>
        <v>#N/A</v>
      </c>
      <c r="BG45" s="46">
        <v>32</v>
      </c>
      <c r="BH45" s="46" t="e">
        <f t="shared" si="1"/>
        <v>#N/A</v>
      </c>
      <c r="BI45" s="46" t="e">
        <f t="shared" si="2"/>
        <v>#N/A</v>
      </c>
      <c r="BJ45" s="46" t="e">
        <f t="shared" si="3"/>
        <v>#N/A</v>
      </c>
      <c r="BK45" s="46" t="e">
        <f t="shared" si="4"/>
        <v>#N/A</v>
      </c>
    </row>
    <row r="46" spans="2:63" x14ac:dyDescent="0.2">
      <c r="B46" s="79"/>
      <c r="C46" s="208" t="str">
        <f>IF($B46="","",HYPERLINK("bbg://securities/"&amp;$B46&amp;" Equity/MHD%20?panel=1",_xll.BDP($B46&amp;" Equity","SECURITY_NAME")))</f>
        <v/>
      </c>
      <c r="D46" s="208"/>
      <c r="E46" s="208"/>
      <c r="F46" s="208"/>
      <c r="G46" s="82"/>
      <c r="H46" s="82"/>
      <c r="I46" s="73"/>
      <c r="J46" s="76" t="str">
        <f>IF($B46="","",_xll.BDP($B46&amp;" Equity",$BF$13,"fill=NA"))</f>
        <v/>
      </c>
      <c r="L46" s="79"/>
      <c r="M46" s="208" t="str">
        <f>IF($L46="","",HYPERLINK("bbg://securities/"&amp;$L46&amp;" Equity/MHD%20?panel=1",_xll.BDP($L46&amp;" Equity","SECURITY_NAME")))</f>
        <v/>
      </c>
      <c r="N46" s="208"/>
      <c r="O46" s="208"/>
      <c r="P46" s="82"/>
      <c r="Q46" s="82"/>
      <c r="R46" s="73"/>
      <c r="S46" s="76" t="str">
        <f>IF($L46="","",_xll.BDP($L46&amp;" Equity",$BF$13,"fill=NA"))</f>
        <v/>
      </c>
      <c r="BD46" s="50"/>
      <c r="BE46" s="51"/>
      <c r="BF46" s="52" t="e">
        <f t="shared" si="0"/>
        <v>#N/A</v>
      </c>
      <c r="BG46" s="46">
        <v>33</v>
      </c>
      <c r="BH46" s="46" t="e">
        <f t="shared" si="1"/>
        <v>#N/A</v>
      </c>
      <c r="BI46" s="46" t="e">
        <f t="shared" si="2"/>
        <v>#N/A</v>
      </c>
      <c r="BJ46" s="46" t="e">
        <f t="shared" si="3"/>
        <v>#N/A</v>
      </c>
      <c r="BK46" s="46" t="e">
        <f t="shared" si="4"/>
        <v>#N/A</v>
      </c>
    </row>
    <row r="47" spans="2:63" x14ac:dyDescent="0.2">
      <c r="B47" s="78"/>
      <c r="C47" s="209" t="str">
        <f>IF($B47="","",HYPERLINK("bbg://securities/"&amp;$B47&amp;" Equity/MHD%20?panel=1",_xll.BDP($B47&amp;" Equity","SECURITY_NAME")))</f>
        <v/>
      </c>
      <c r="D47" s="209"/>
      <c r="E47" s="209"/>
      <c r="F47" s="209"/>
      <c r="G47" s="81"/>
      <c r="H47" s="81"/>
      <c r="I47" s="72"/>
      <c r="J47" s="75" t="str">
        <f>IF($B47="","",_xll.BDP($B47&amp;" Equity",$BF$13,"fill=NA"))</f>
        <v/>
      </c>
      <c r="L47" s="78"/>
      <c r="M47" s="209" t="str">
        <f>IF($L47="","",HYPERLINK("bbg://securities/"&amp;$L47&amp;" Equity/MHD%20?panel=1",_xll.BDP($L47&amp;" Equity","SECURITY_NAME")))</f>
        <v/>
      </c>
      <c r="N47" s="209"/>
      <c r="O47" s="209"/>
      <c r="P47" s="81"/>
      <c r="Q47" s="81"/>
      <c r="R47" s="72"/>
      <c r="S47" s="75" t="str">
        <f>IF($L47="","",_xll.BDP($L47&amp;" Equity",$BF$13,"fill=NA"))</f>
        <v/>
      </c>
      <c r="BD47" s="50"/>
      <c r="BE47" s="51"/>
      <c r="BF47" s="52" t="e">
        <f t="shared" si="0"/>
        <v>#N/A</v>
      </c>
      <c r="BG47" s="46">
        <v>34</v>
      </c>
      <c r="BH47" s="46" t="e">
        <f t="shared" si="1"/>
        <v>#N/A</v>
      </c>
      <c r="BI47" s="46" t="e">
        <f t="shared" si="2"/>
        <v>#N/A</v>
      </c>
      <c r="BJ47" s="46" t="e">
        <f t="shared" si="3"/>
        <v>#N/A</v>
      </c>
      <c r="BK47" s="46" t="e">
        <f t="shared" si="4"/>
        <v>#N/A</v>
      </c>
    </row>
    <row r="48" spans="2:63" x14ac:dyDescent="0.2">
      <c r="B48" s="79"/>
      <c r="C48" s="208" t="str">
        <f>IF($B48="","",HYPERLINK("bbg://securities/"&amp;$B48&amp;" Equity/MHD%20?panel=1",_xll.BDP($B48&amp;" Equity","SECURITY_NAME")))</f>
        <v/>
      </c>
      <c r="D48" s="208"/>
      <c r="E48" s="208"/>
      <c r="F48" s="208"/>
      <c r="G48" s="82"/>
      <c r="H48" s="82"/>
      <c r="I48" s="73"/>
      <c r="J48" s="76" t="str">
        <f>IF($B48="","",_xll.BDP($B48&amp;" Equity",$BF$13,"fill=NA"))</f>
        <v/>
      </c>
      <c r="L48" s="79"/>
      <c r="M48" s="208" t="str">
        <f>IF($L48="","",HYPERLINK("bbg://securities/"&amp;$L48&amp;" Equity/MHD%20?panel=1",_xll.BDP($L48&amp;" Equity","SECURITY_NAME")))</f>
        <v/>
      </c>
      <c r="N48" s="208"/>
      <c r="O48" s="208"/>
      <c r="P48" s="82"/>
      <c r="Q48" s="82"/>
      <c r="R48" s="73"/>
      <c r="S48" s="76" t="str">
        <f>IF($L48="","",_xll.BDP($L48&amp;" Equity",$BF$13,"fill=NA"))</f>
        <v/>
      </c>
      <c r="BD48" s="50"/>
      <c r="BE48" s="51"/>
      <c r="BF48" s="52" t="e">
        <f t="shared" si="0"/>
        <v>#N/A</v>
      </c>
      <c r="BG48" s="46">
        <v>35</v>
      </c>
      <c r="BH48" s="46" t="e">
        <f t="shared" si="1"/>
        <v>#N/A</v>
      </c>
      <c r="BI48" s="46" t="e">
        <f t="shared" si="2"/>
        <v>#N/A</v>
      </c>
      <c r="BJ48" s="46" t="e">
        <f t="shared" si="3"/>
        <v>#N/A</v>
      </c>
      <c r="BK48" s="46" t="e">
        <f t="shared" si="4"/>
        <v>#N/A</v>
      </c>
    </row>
    <row r="49" spans="2:63" x14ac:dyDescent="0.2">
      <c r="B49" s="78"/>
      <c r="C49" s="209" t="str">
        <f>IF($B49="","",HYPERLINK("bbg://securities/"&amp;$B49&amp;" Equity/MHD%20?panel=1",_xll.BDP($B49&amp;" Equity","SECURITY_NAME")))</f>
        <v/>
      </c>
      <c r="D49" s="209"/>
      <c r="E49" s="209"/>
      <c r="F49" s="209"/>
      <c r="G49" s="81"/>
      <c r="H49" s="81"/>
      <c r="I49" s="72"/>
      <c r="J49" s="75" t="str">
        <f>IF($B49="","",_xll.BDP($B49&amp;" Equity",$BF$13,"fill=NA"))</f>
        <v/>
      </c>
      <c r="L49" s="78"/>
      <c r="M49" s="209" t="str">
        <f>IF($L49="","",HYPERLINK("bbg://securities/"&amp;$L49&amp;" Equity/MHD%20?panel=1",_xll.BDP($L49&amp;" Equity","SECURITY_NAME")))</f>
        <v/>
      </c>
      <c r="N49" s="209"/>
      <c r="O49" s="209"/>
      <c r="P49" s="81"/>
      <c r="Q49" s="81"/>
      <c r="R49" s="72"/>
      <c r="S49" s="75" t="str">
        <f>IF($L49="","",_xll.BDP($L49&amp;" Equity",$BF$13,"fill=NA"))</f>
        <v/>
      </c>
      <c r="BD49" s="50"/>
      <c r="BE49" s="51"/>
      <c r="BF49" s="52" t="e">
        <f t="shared" si="0"/>
        <v>#N/A</v>
      </c>
      <c r="BG49" s="46">
        <v>36</v>
      </c>
      <c r="BH49" s="46" t="e">
        <f t="shared" si="1"/>
        <v>#N/A</v>
      </c>
      <c r="BI49" s="46" t="e">
        <f t="shared" si="2"/>
        <v>#N/A</v>
      </c>
      <c r="BJ49" s="46" t="e">
        <f t="shared" si="3"/>
        <v>#N/A</v>
      </c>
      <c r="BK49" s="46" t="e">
        <f t="shared" si="4"/>
        <v>#N/A</v>
      </c>
    </row>
    <row r="50" spans="2:63" x14ac:dyDescent="0.2">
      <c r="B50" s="80"/>
      <c r="C50" s="210" t="str">
        <f>IF($B50="","",HYPERLINK("bbg://securities/"&amp;$B50&amp;" Equity/MHD%20?panel=1",_xll.BDP($B50&amp;" Equity","SECURITY_NAME")))</f>
        <v/>
      </c>
      <c r="D50" s="210"/>
      <c r="E50" s="210"/>
      <c r="F50" s="210"/>
      <c r="G50" s="83"/>
      <c r="H50" s="83"/>
      <c r="I50" s="74"/>
      <c r="J50" s="77" t="str">
        <f>IF($B50="","",_xll.BDP($B50&amp;" Equity",$BF$13,"fill=NA"))</f>
        <v/>
      </c>
      <c r="L50" s="80"/>
      <c r="M50" s="210" t="str">
        <f>IF($L50="","",HYPERLINK("bbg://securities/"&amp;$L50&amp;" Equity/MHD%20?panel=1",_xll.BDP($L50&amp;" Equity","SECURITY_NAME")))</f>
        <v/>
      </c>
      <c r="N50" s="210"/>
      <c r="O50" s="210"/>
      <c r="P50" s="83"/>
      <c r="Q50" s="83"/>
      <c r="R50" s="74"/>
      <c r="S50" s="77" t="str">
        <f>IF($L50="","",_xll.BDP($L50&amp;" Equity",$BF$13,"fill=NA"))</f>
        <v/>
      </c>
      <c r="BD50" s="50"/>
      <c r="BE50" s="51"/>
      <c r="BF50" s="52" t="e">
        <f t="shared" si="0"/>
        <v>#N/A</v>
      </c>
      <c r="BG50" s="46">
        <v>37</v>
      </c>
      <c r="BH50" s="46" t="e">
        <f t="shared" si="1"/>
        <v>#N/A</v>
      </c>
      <c r="BI50" s="46" t="e">
        <f t="shared" si="2"/>
        <v>#N/A</v>
      </c>
      <c r="BJ50" s="46" t="e">
        <f t="shared" si="3"/>
        <v>#N/A</v>
      </c>
      <c r="BK50" s="46" t="e">
        <f t="shared" si="4"/>
        <v>#N/A</v>
      </c>
    </row>
    <row r="51" spans="2:63" ht="5" customHeight="1" x14ac:dyDescent="0.2">
      <c r="BD51" s="50"/>
      <c r="BE51" s="51"/>
      <c r="BF51" s="52" t="e">
        <f t="shared" si="0"/>
        <v>#N/A</v>
      </c>
      <c r="BG51" s="46">
        <v>38</v>
      </c>
      <c r="BH51" s="46" t="e">
        <f t="shared" si="1"/>
        <v>#N/A</v>
      </c>
      <c r="BI51" s="46" t="e">
        <f t="shared" si="2"/>
        <v>#N/A</v>
      </c>
      <c r="BJ51" s="46" t="e">
        <f t="shared" si="3"/>
        <v>#N/A</v>
      </c>
      <c r="BK51" s="46" t="e">
        <f t="shared" si="4"/>
        <v>#N/A</v>
      </c>
    </row>
    <row r="52" spans="2:63" x14ac:dyDescent="0.2">
      <c r="B52" s="192" t="s">
        <v>204</v>
      </c>
      <c r="C52" s="201"/>
      <c r="D52" s="201"/>
      <c r="E52" s="201"/>
      <c r="F52" s="201"/>
      <c r="G52" s="201"/>
      <c r="H52" s="201"/>
      <c r="I52" s="201"/>
      <c r="J52" s="202"/>
      <c r="L52" s="192" t="s">
        <v>205</v>
      </c>
      <c r="M52" s="201"/>
      <c r="N52" s="201"/>
      <c r="O52" s="201"/>
      <c r="P52" s="201"/>
      <c r="Q52" s="201"/>
      <c r="R52" s="201"/>
      <c r="S52" s="202"/>
      <c r="BD52" s="50"/>
      <c r="BE52" s="51"/>
      <c r="BF52" s="52" t="e">
        <f t="shared" si="0"/>
        <v>#N/A</v>
      </c>
      <c r="BG52" s="46">
        <v>39</v>
      </c>
      <c r="BH52" s="46" t="e">
        <f t="shared" si="1"/>
        <v>#N/A</v>
      </c>
      <c r="BI52" s="46" t="e">
        <f t="shared" si="2"/>
        <v>#N/A</v>
      </c>
      <c r="BJ52" s="46" t="e">
        <f t="shared" si="3"/>
        <v>#N/A</v>
      </c>
      <c r="BK52" s="46" t="e">
        <f t="shared" si="4"/>
        <v>#N/A</v>
      </c>
    </row>
    <row r="53" spans="2:63" x14ac:dyDescent="0.2">
      <c r="B53" s="54" t="s">
        <v>50</v>
      </c>
      <c r="C53" s="203" t="s">
        <v>51</v>
      </c>
      <c r="D53" s="203"/>
      <c r="E53" s="203"/>
      <c r="F53" s="203"/>
      <c r="G53" s="70" t="str">
        <f>"Flow ("&amp;PROPER([0]!Unit)&amp;")"</f>
        <v>Flow (Bln)</v>
      </c>
      <c r="H53" s="70" t="str">
        <f>"AUM ("&amp;PROPER([0]!Unit)&amp;")"</f>
        <v>AUM (Bln)</v>
      </c>
      <c r="I53" s="70" t="s">
        <v>115</v>
      </c>
      <c r="J53" s="71">
        <f>$BG$13</f>
        <v>0</v>
      </c>
      <c r="L53" s="54" t="s">
        <v>50</v>
      </c>
      <c r="M53" s="203" t="s">
        <v>51</v>
      </c>
      <c r="N53" s="203"/>
      <c r="O53" s="203"/>
      <c r="P53" s="70" t="str">
        <f>"Flow ("&amp;PROPER([0]!Unit)&amp;")"</f>
        <v>Flow (Bln)</v>
      </c>
      <c r="Q53" s="70" t="str">
        <f>"AUM ("&amp;PROPER([0]!Unit)&amp;")"</f>
        <v>AUM (Bln)</v>
      </c>
      <c r="R53" s="70" t="s">
        <v>115</v>
      </c>
      <c r="S53" s="71">
        <f>$BG$13</f>
        <v>0</v>
      </c>
      <c r="BD53" s="50"/>
      <c r="BE53" s="51"/>
      <c r="BF53" s="52" t="e">
        <f t="shared" si="0"/>
        <v>#N/A</v>
      </c>
      <c r="BG53" s="46">
        <v>40</v>
      </c>
      <c r="BH53" s="46" t="e">
        <f t="shared" si="1"/>
        <v>#N/A</v>
      </c>
      <c r="BI53" s="46" t="e">
        <f t="shared" si="2"/>
        <v>#N/A</v>
      </c>
      <c r="BJ53" s="46" t="e">
        <f t="shared" si="3"/>
        <v>#N/A</v>
      </c>
      <c r="BK53" s="46" t="e">
        <f t="shared" si="4"/>
        <v>#N/A</v>
      </c>
    </row>
    <row r="54" spans="2:63" x14ac:dyDescent="0.2">
      <c r="B54" s="78"/>
      <c r="C54" s="209" t="str">
        <f>IF($B54="","",HYPERLINK("bbg://securities/"&amp;$B54&amp;" Equity/MHD%20?panel=1",_xll.BDP($B54&amp;" Equity","SECURITY_NAME")))</f>
        <v/>
      </c>
      <c r="D54" s="209"/>
      <c r="E54" s="209"/>
      <c r="F54" s="209"/>
      <c r="G54" s="81"/>
      <c r="H54" s="81"/>
      <c r="I54" s="72"/>
      <c r="J54" s="75" t="str">
        <f>IF($B54="","",_xll.BDP($B54&amp;" Equity",$BF$13,"fill=NA"))</f>
        <v/>
      </c>
      <c r="L54" s="78"/>
      <c r="M54" s="209" t="str">
        <f>IF($L54="","",HYPERLINK("bbg://securities/"&amp;$L54&amp;" Equity/MHD%20?panel=1",_xll.BDP($L54&amp;" Equity","SECURITY_NAME")))</f>
        <v/>
      </c>
      <c r="N54" s="209"/>
      <c r="O54" s="209"/>
      <c r="P54" s="81"/>
      <c r="Q54" s="81"/>
      <c r="R54" s="72"/>
      <c r="S54" s="75" t="str">
        <f>IF($L54="","",_xll.BDP($L54&amp;" Equity",$BF$13,"fill=NA"))</f>
        <v/>
      </c>
      <c r="BD54" s="50"/>
      <c r="BE54" s="51"/>
      <c r="BF54" s="52" t="e">
        <f t="shared" si="0"/>
        <v>#N/A</v>
      </c>
      <c r="BG54" s="46">
        <v>41</v>
      </c>
      <c r="BH54" s="46" t="e">
        <f t="shared" si="1"/>
        <v>#N/A</v>
      </c>
      <c r="BI54" s="46" t="e">
        <f t="shared" si="2"/>
        <v>#N/A</v>
      </c>
      <c r="BJ54" s="46" t="e">
        <f t="shared" si="3"/>
        <v>#N/A</v>
      </c>
      <c r="BK54" s="46" t="e">
        <f t="shared" si="4"/>
        <v>#N/A</v>
      </c>
    </row>
    <row r="55" spans="2:63" x14ac:dyDescent="0.2">
      <c r="B55" s="79"/>
      <c r="C55" s="208" t="str">
        <f>IF($B55="","",HYPERLINK("bbg://securities/"&amp;$B55&amp;" Equity/MHD%20?panel=1",_xll.BDP($B55&amp;" Equity","SECURITY_NAME")))</f>
        <v/>
      </c>
      <c r="D55" s="208"/>
      <c r="E55" s="208"/>
      <c r="F55" s="208"/>
      <c r="G55" s="82"/>
      <c r="H55" s="82"/>
      <c r="I55" s="73"/>
      <c r="J55" s="76" t="str">
        <f>IF($B55="","",_xll.BDP($B55&amp;" Equity",$BF$13,"fill=NA"))</f>
        <v/>
      </c>
      <c r="L55" s="79"/>
      <c r="M55" s="208" t="str">
        <f>IF($L55="","",HYPERLINK("bbg://securities/"&amp;$L55&amp;" Equity/MHD%20?panel=1",_xll.BDP($L55&amp;" Equity","SECURITY_NAME")))</f>
        <v/>
      </c>
      <c r="N55" s="208"/>
      <c r="O55" s="208"/>
      <c r="P55" s="82"/>
      <c r="Q55" s="82"/>
      <c r="R55" s="73"/>
      <c r="S55" s="76" t="str">
        <f>IF($L55="","",_xll.BDP($L55&amp;" Equity",$BF$13,"fill=NA"))</f>
        <v/>
      </c>
      <c r="BD55" s="50"/>
      <c r="BE55" s="51"/>
      <c r="BF55" s="52" t="e">
        <f t="shared" si="0"/>
        <v>#N/A</v>
      </c>
      <c r="BG55" s="46">
        <v>42</v>
      </c>
      <c r="BH55" s="46" t="e">
        <f t="shared" si="1"/>
        <v>#N/A</v>
      </c>
      <c r="BI55" s="46" t="e">
        <f t="shared" si="2"/>
        <v>#N/A</v>
      </c>
      <c r="BJ55" s="46" t="e">
        <f t="shared" si="3"/>
        <v>#N/A</v>
      </c>
      <c r="BK55" s="46" t="e">
        <f t="shared" si="4"/>
        <v>#N/A</v>
      </c>
    </row>
    <row r="56" spans="2:63" x14ac:dyDescent="0.2">
      <c r="B56" s="78"/>
      <c r="C56" s="209" t="str">
        <f>IF($B56="","",HYPERLINK("bbg://securities/"&amp;$B56&amp;" Equity/MHD%20?panel=1",_xll.BDP($B56&amp;" Equity","SECURITY_NAME")))</f>
        <v/>
      </c>
      <c r="D56" s="209"/>
      <c r="E56" s="209"/>
      <c r="F56" s="209"/>
      <c r="G56" s="81"/>
      <c r="H56" s="81"/>
      <c r="I56" s="72"/>
      <c r="J56" s="75" t="str">
        <f>IF($B56="","",_xll.BDP($B56&amp;" Equity",$BF$13,"fill=NA"))</f>
        <v/>
      </c>
      <c r="L56" s="78"/>
      <c r="M56" s="209" t="str">
        <f>IF($L56="","",HYPERLINK("bbg://securities/"&amp;$L56&amp;" Equity/MHD%20?panel=1",_xll.BDP($L56&amp;" Equity","SECURITY_NAME")))</f>
        <v/>
      </c>
      <c r="N56" s="209"/>
      <c r="O56" s="209"/>
      <c r="P56" s="81"/>
      <c r="Q56" s="81"/>
      <c r="R56" s="72"/>
      <c r="S56" s="75" t="str">
        <f>IF($L56="","",_xll.BDP($L56&amp;" Equity",$BF$13,"fill=NA"))</f>
        <v/>
      </c>
      <c r="BD56" s="50"/>
      <c r="BE56" s="51"/>
      <c r="BF56" s="52" t="e">
        <f t="shared" si="0"/>
        <v>#N/A</v>
      </c>
      <c r="BG56" s="46">
        <v>43</v>
      </c>
      <c r="BH56" s="46" t="e">
        <f t="shared" si="1"/>
        <v>#N/A</v>
      </c>
      <c r="BI56" s="46" t="e">
        <f t="shared" si="2"/>
        <v>#N/A</v>
      </c>
      <c r="BJ56" s="46" t="e">
        <f t="shared" si="3"/>
        <v>#N/A</v>
      </c>
      <c r="BK56" s="46" t="e">
        <f t="shared" si="4"/>
        <v>#N/A</v>
      </c>
    </row>
    <row r="57" spans="2:63" x14ac:dyDescent="0.2">
      <c r="B57" s="79"/>
      <c r="C57" s="208" t="str">
        <f>IF($B57="","",HYPERLINK("bbg://securities/"&amp;$B57&amp;" Equity/MHD%20?panel=1",_xll.BDP($B57&amp;" Equity","SECURITY_NAME")))</f>
        <v/>
      </c>
      <c r="D57" s="208"/>
      <c r="E57" s="208"/>
      <c r="F57" s="208"/>
      <c r="G57" s="82"/>
      <c r="H57" s="82"/>
      <c r="I57" s="73"/>
      <c r="J57" s="76" t="str">
        <f>IF($B57="","",_xll.BDP($B57&amp;" Equity",$BF$13,"fill=NA"))</f>
        <v/>
      </c>
      <c r="L57" s="79"/>
      <c r="M57" s="208" t="str">
        <f>IF($L57="","",HYPERLINK("bbg://securities/"&amp;$L57&amp;" Equity/MHD%20?panel=1",_xll.BDP($L57&amp;" Equity","SECURITY_NAME")))</f>
        <v/>
      </c>
      <c r="N57" s="208"/>
      <c r="O57" s="208"/>
      <c r="P57" s="82"/>
      <c r="Q57" s="82"/>
      <c r="R57" s="73"/>
      <c r="S57" s="76" t="str">
        <f>IF($L57="","",_xll.BDP($L57&amp;" Equity",$BF$13,"fill=NA"))</f>
        <v/>
      </c>
      <c r="BD57" s="50"/>
      <c r="BE57" s="51"/>
      <c r="BF57" s="52" t="e">
        <f t="shared" si="0"/>
        <v>#N/A</v>
      </c>
      <c r="BG57" s="46">
        <v>44</v>
      </c>
      <c r="BH57" s="46" t="e">
        <f t="shared" si="1"/>
        <v>#N/A</v>
      </c>
      <c r="BI57" s="46" t="e">
        <f t="shared" si="2"/>
        <v>#N/A</v>
      </c>
      <c r="BJ57" s="46" t="e">
        <f t="shared" si="3"/>
        <v>#N/A</v>
      </c>
      <c r="BK57" s="46" t="e">
        <f t="shared" si="4"/>
        <v>#N/A</v>
      </c>
    </row>
    <row r="58" spans="2:63" x14ac:dyDescent="0.2">
      <c r="B58" s="78"/>
      <c r="C58" s="209" t="str">
        <f>IF($B58="","",HYPERLINK("bbg://securities/"&amp;$B58&amp;" Equity/MHD%20?panel=1",_xll.BDP($B58&amp;" Equity","SECURITY_NAME")))</f>
        <v/>
      </c>
      <c r="D58" s="209"/>
      <c r="E58" s="209"/>
      <c r="F58" s="209"/>
      <c r="G58" s="81"/>
      <c r="H58" s="81"/>
      <c r="I58" s="72"/>
      <c r="J58" s="75" t="str">
        <f>IF($B58="","",_xll.BDP($B58&amp;" Equity",$BF$13,"fill=NA"))</f>
        <v/>
      </c>
      <c r="L58" s="78"/>
      <c r="M58" s="209" t="str">
        <f>IF($L58="","",HYPERLINK("bbg://securities/"&amp;$L58&amp;" Equity/MHD%20?panel=1",_xll.BDP($L58&amp;" Equity","SECURITY_NAME")))</f>
        <v/>
      </c>
      <c r="N58" s="209"/>
      <c r="O58" s="209"/>
      <c r="P58" s="81"/>
      <c r="Q58" s="81"/>
      <c r="R58" s="72"/>
      <c r="S58" s="75" t="str">
        <f>IF($L58="","",_xll.BDP($L58&amp;" Equity",$BF$13,"fill=NA"))</f>
        <v/>
      </c>
      <c r="BD58" s="50"/>
      <c r="BE58" s="51"/>
      <c r="BF58" s="52" t="e">
        <f t="shared" si="0"/>
        <v>#N/A</v>
      </c>
      <c r="BG58" s="46">
        <v>45</v>
      </c>
      <c r="BH58" s="46" t="e">
        <f t="shared" si="1"/>
        <v>#N/A</v>
      </c>
      <c r="BI58" s="46" t="e">
        <f t="shared" si="2"/>
        <v>#N/A</v>
      </c>
      <c r="BJ58" s="46" t="e">
        <f t="shared" si="3"/>
        <v>#N/A</v>
      </c>
      <c r="BK58" s="46" t="e">
        <f t="shared" si="4"/>
        <v>#N/A</v>
      </c>
    </row>
    <row r="59" spans="2:63" x14ac:dyDescent="0.2">
      <c r="B59" s="79"/>
      <c r="C59" s="208" t="str">
        <f>IF($B59="","",HYPERLINK("bbg://securities/"&amp;$B59&amp;" Equity/MHD%20?panel=1",_xll.BDP($B59&amp;" Equity","SECURITY_NAME")))</f>
        <v/>
      </c>
      <c r="D59" s="208"/>
      <c r="E59" s="208"/>
      <c r="F59" s="208"/>
      <c r="G59" s="82"/>
      <c r="H59" s="82"/>
      <c r="I59" s="73"/>
      <c r="J59" s="76" t="str">
        <f>IF($B59="","",_xll.BDP($B59&amp;" Equity",$BF$13,"fill=NA"))</f>
        <v/>
      </c>
      <c r="L59" s="79"/>
      <c r="M59" s="208" t="str">
        <f>IF($L59="","",HYPERLINK("bbg://securities/"&amp;$L59&amp;" Equity/MHD%20?panel=1",_xll.BDP($L59&amp;" Equity","SECURITY_NAME")))</f>
        <v/>
      </c>
      <c r="N59" s="208"/>
      <c r="O59" s="208"/>
      <c r="P59" s="82"/>
      <c r="Q59" s="82"/>
      <c r="R59" s="73"/>
      <c r="S59" s="76" t="str">
        <f>IF($L59="","",_xll.BDP($L59&amp;" Equity",$BF$13,"fill=NA"))</f>
        <v/>
      </c>
      <c r="BD59" s="50"/>
      <c r="BE59" s="51"/>
      <c r="BF59" s="52" t="e">
        <f t="shared" si="0"/>
        <v>#N/A</v>
      </c>
      <c r="BG59" s="46">
        <v>46</v>
      </c>
      <c r="BH59" s="46" t="e">
        <f t="shared" si="1"/>
        <v>#N/A</v>
      </c>
      <c r="BI59" s="46" t="e">
        <f t="shared" si="2"/>
        <v>#N/A</v>
      </c>
      <c r="BJ59" s="46" t="e">
        <f t="shared" si="3"/>
        <v>#N/A</v>
      </c>
      <c r="BK59" s="46" t="e">
        <f t="shared" si="4"/>
        <v>#N/A</v>
      </c>
    </row>
    <row r="60" spans="2:63" x14ac:dyDescent="0.2">
      <c r="B60" s="78"/>
      <c r="C60" s="209" t="str">
        <f>IF($B60="","",HYPERLINK("bbg://securities/"&amp;$B60&amp;" Equity/MHD%20?panel=1",_xll.BDP($B60&amp;" Equity","SECURITY_NAME")))</f>
        <v/>
      </c>
      <c r="D60" s="209"/>
      <c r="E60" s="209"/>
      <c r="F60" s="209"/>
      <c r="G60" s="81"/>
      <c r="H60" s="81"/>
      <c r="I60" s="72"/>
      <c r="J60" s="75" t="str">
        <f>IF($B60="","",_xll.BDP($B60&amp;" Equity",$BF$13,"fill=NA"))</f>
        <v/>
      </c>
      <c r="L60" s="78"/>
      <c r="M60" s="209" t="str">
        <f>IF($L60="","",HYPERLINK("bbg://securities/"&amp;$L60&amp;" Equity/MHD%20?panel=1",_xll.BDP($L60&amp;" Equity","SECURITY_NAME")))</f>
        <v/>
      </c>
      <c r="N60" s="209"/>
      <c r="O60" s="209"/>
      <c r="P60" s="81"/>
      <c r="Q60" s="81"/>
      <c r="R60" s="72"/>
      <c r="S60" s="75" t="str">
        <f>IF($L60="","",_xll.BDP($L60&amp;" Equity",$BF$13,"fill=NA"))</f>
        <v/>
      </c>
      <c r="BD60" s="50"/>
      <c r="BE60" s="51"/>
      <c r="BF60" s="52" t="e">
        <f t="shared" si="0"/>
        <v>#N/A</v>
      </c>
      <c r="BG60" s="46">
        <v>47</v>
      </c>
      <c r="BH60" s="46" t="e">
        <f t="shared" si="1"/>
        <v>#N/A</v>
      </c>
      <c r="BI60" s="46" t="e">
        <f t="shared" si="2"/>
        <v>#N/A</v>
      </c>
      <c r="BJ60" s="46" t="e">
        <f t="shared" si="3"/>
        <v>#N/A</v>
      </c>
      <c r="BK60" s="46" t="e">
        <f t="shared" si="4"/>
        <v>#N/A</v>
      </c>
    </row>
    <row r="61" spans="2:63" x14ac:dyDescent="0.2">
      <c r="B61" s="79"/>
      <c r="C61" s="208" t="str">
        <f>IF($B61="","",HYPERLINK("bbg://securities/"&amp;$B61&amp;" Equity/MHD%20?panel=1",_xll.BDP($B61&amp;" Equity","SECURITY_NAME")))</f>
        <v/>
      </c>
      <c r="D61" s="208"/>
      <c r="E61" s="208"/>
      <c r="F61" s="208"/>
      <c r="G61" s="82"/>
      <c r="H61" s="82"/>
      <c r="I61" s="73"/>
      <c r="J61" s="76" t="str">
        <f>IF($B61="","",_xll.BDP($B61&amp;" Equity",$BF$13,"fill=NA"))</f>
        <v/>
      </c>
      <c r="L61" s="79"/>
      <c r="M61" s="208" t="str">
        <f>IF($L61="","",HYPERLINK("bbg://securities/"&amp;$L61&amp;" Equity/MHD%20?panel=1",_xll.BDP($L61&amp;" Equity","SECURITY_NAME")))</f>
        <v/>
      </c>
      <c r="N61" s="208"/>
      <c r="O61" s="208"/>
      <c r="P61" s="82"/>
      <c r="Q61" s="82"/>
      <c r="R61" s="73"/>
      <c r="S61" s="76" t="str">
        <f>IF($L61="","",_xll.BDP($L61&amp;" Equity",$BF$13,"fill=NA"))</f>
        <v/>
      </c>
      <c r="BD61" s="50"/>
      <c r="BE61" s="51"/>
      <c r="BF61" s="52" t="e">
        <f t="shared" si="0"/>
        <v>#N/A</v>
      </c>
      <c r="BG61" s="46">
        <v>48</v>
      </c>
      <c r="BH61" s="46" t="e">
        <f t="shared" si="1"/>
        <v>#N/A</v>
      </c>
      <c r="BI61" s="46" t="e">
        <f t="shared" si="2"/>
        <v>#N/A</v>
      </c>
      <c r="BJ61" s="46" t="e">
        <f t="shared" si="3"/>
        <v>#N/A</v>
      </c>
      <c r="BK61" s="46" t="e">
        <f t="shared" si="4"/>
        <v>#N/A</v>
      </c>
    </row>
    <row r="62" spans="2:63" x14ac:dyDescent="0.2">
      <c r="B62" s="78"/>
      <c r="C62" s="209" t="str">
        <f>IF($B62="","",HYPERLINK("bbg://securities/"&amp;$B62&amp;" Equity/MHD%20?panel=1",_xll.BDP($B62&amp;" Equity","SECURITY_NAME")))</f>
        <v/>
      </c>
      <c r="D62" s="209"/>
      <c r="E62" s="209"/>
      <c r="F62" s="209"/>
      <c r="G62" s="81"/>
      <c r="H62" s="81"/>
      <c r="I62" s="72"/>
      <c r="J62" s="75" t="str">
        <f>IF($B62="","",_xll.BDP($B62&amp;" Equity",$BF$13,"fill=NA"))</f>
        <v/>
      </c>
      <c r="L62" s="78"/>
      <c r="M62" s="209" t="str">
        <f>IF($L62="","",HYPERLINK("bbg://securities/"&amp;$L62&amp;" Equity/MHD%20?panel=1",_xll.BDP($L62&amp;" Equity","SECURITY_NAME")))</f>
        <v/>
      </c>
      <c r="N62" s="209"/>
      <c r="O62" s="209"/>
      <c r="P62" s="81"/>
      <c r="Q62" s="81"/>
      <c r="R62" s="72"/>
      <c r="S62" s="75" t="str">
        <f>IF($L62="","",_xll.BDP($L62&amp;" Equity",$BF$13,"fill=NA"))</f>
        <v/>
      </c>
      <c r="BD62" s="50"/>
      <c r="BE62" s="51"/>
      <c r="BF62" s="52" t="e">
        <f t="shared" si="0"/>
        <v>#N/A</v>
      </c>
      <c r="BG62" s="46">
        <v>49</v>
      </c>
      <c r="BH62" s="46" t="e">
        <f t="shared" si="1"/>
        <v>#N/A</v>
      </c>
      <c r="BI62" s="46" t="e">
        <f t="shared" si="2"/>
        <v>#N/A</v>
      </c>
      <c r="BJ62" s="46" t="e">
        <f t="shared" si="3"/>
        <v>#N/A</v>
      </c>
      <c r="BK62" s="46" t="e">
        <f t="shared" si="4"/>
        <v>#N/A</v>
      </c>
    </row>
    <row r="63" spans="2:63" x14ac:dyDescent="0.2">
      <c r="B63" s="80"/>
      <c r="C63" s="210" t="str">
        <f>IF($B63="","",HYPERLINK("bbg://securities/"&amp;$B63&amp;" Equity/MHD%20?panel=1",_xll.BDP($B63&amp;" Equity","SECURITY_NAME")))</f>
        <v/>
      </c>
      <c r="D63" s="210"/>
      <c r="E63" s="210"/>
      <c r="F63" s="210"/>
      <c r="G63" s="83"/>
      <c r="H63" s="83"/>
      <c r="I63" s="74"/>
      <c r="J63" s="77" t="str">
        <f>IF($B63="","",_xll.BDP($B63&amp;" Equity",$BF$13,"fill=NA"))</f>
        <v/>
      </c>
      <c r="L63" s="80"/>
      <c r="M63" s="210" t="str">
        <f>IF($L63="","",HYPERLINK("bbg://securities/"&amp;$L63&amp;" Equity/MHD%20?panel=1",_xll.BDP($L63&amp;" Equity","SECURITY_NAME")))</f>
        <v/>
      </c>
      <c r="N63" s="210"/>
      <c r="O63" s="210"/>
      <c r="P63" s="83"/>
      <c r="Q63" s="83"/>
      <c r="R63" s="74"/>
      <c r="S63" s="77" t="str">
        <f>IF($L63="","",_xll.BDP($L63&amp;" Equity",$BF$13,"fill=NA"))</f>
        <v/>
      </c>
      <c r="BD63" s="50"/>
      <c r="BE63" s="51"/>
      <c r="BF63" s="52" t="e">
        <f t="shared" si="0"/>
        <v>#N/A</v>
      </c>
      <c r="BG63" s="46">
        <v>50</v>
      </c>
      <c r="BH63" s="46" t="e">
        <f t="shared" si="1"/>
        <v>#N/A</v>
      </c>
      <c r="BI63" s="46" t="e">
        <f t="shared" si="2"/>
        <v>#N/A</v>
      </c>
      <c r="BJ63" s="46" t="e">
        <f t="shared" si="3"/>
        <v>#N/A</v>
      </c>
      <c r="BK63" s="46" t="e">
        <f t="shared" si="4"/>
        <v>#N/A</v>
      </c>
    </row>
    <row r="64" spans="2:63" ht="5" customHeight="1" x14ac:dyDescent="0.2">
      <c r="BD64" s="50"/>
      <c r="BE64" s="51"/>
      <c r="BF64" s="52" t="e">
        <f t="shared" si="0"/>
        <v>#N/A</v>
      </c>
      <c r="BG64" s="46">
        <v>51</v>
      </c>
      <c r="BH64" s="46" t="e">
        <f t="shared" si="1"/>
        <v>#N/A</v>
      </c>
      <c r="BI64" s="46" t="e">
        <f t="shared" si="2"/>
        <v>#N/A</v>
      </c>
      <c r="BJ64" s="46" t="e">
        <f t="shared" si="3"/>
        <v>#N/A</v>
      </c>
      <c r="BK64" s="46" t="e">
        <f t="shared" si="4"/>
        <v>#N/A</v>
      </c>
    </row>
    <row r="65" spans="2:63" x14ac:dyDescent="0.2">
      <c r="B65" s="192" t="s">
        <v>211</v>
      </c>
      <c r="C65" s="201"/>
      <c r="D65" s="201"/>
      <c r="E65" s="201"/>
      <c r="F65" s="201"/>
      <c r="G65" s="201"/>
      <c r="H65" s="201"/>
      <c r="I65" s="201"/>
      <c r="J65" s="202"/>
      <c r="L65" s="192" t="s">
        <v>212</v>
      </c>
      <c r="M65" s="201"/>
      <c r="N65" s="201"/>
      <c r="O65" s="201"/>
      <c r="P65" s="201"/>
      <c r="Q65" s="201"/>
      <c r="R65" s="201"/>
      <c r="S65" s="202"/>
      <c r="BD65" s="50"/>
      <c r="BE65" s="51"/>
      <c r="BF65" s="52" t="e">
        <f t="shared" si="0"/>
        <v>#N/A</v>
      </c>
      <c r="BG65" s="46">
        <v>52</v>
      </c>
      <c r="BH65" s="46" t="e">
        <f t="shared" si="1"/>
        <v>#N/A</v>
      </c>
      <c r="BI65" s="46" t="e">
        <f t="shared" si="2"/>
        <v>#N/A</v>
      </c>
      <c r="BJ65" s="46" t="e">
        <f t="shared" si="3"/>
        <v>#N/A</v>
      </c>
      <c r="BK65" s="46" t="e">
        <f t="shared" si="4"/>
        <v>#N/A</v>
      </c>
    </row>
    <row r="66" spans="2:63" x14ac:dyDescent="0.2">
      <c r="B66" s="54" t="s">
        <v>50</v>
      </c>
      <c r="C66" s="203" t="s">
        <v>51</v>
      </c>
      <c r="D66" s="203"/>
      <c r="E66" s="203"/>
      <c r="F66" s="203"/>
      <c r="G66" s="70" t="s">
        <v>207</v>
      </c>
      <c r="H66" s="70" t="s">
        <v>208</v>
      </c>
      <c r="I66" s="70" t="s">
        <v>115</v>
      </c>
      <c r="J66" s="71">
        <f>$BG$13</f>
        <v>0</v>
      </c>
      <c r="L66" s="54" t="s">
        <v>50</v>
      </c>
      <c r="M66" s="203" t="s">
        <v>51</v>
      </c>
      <c r="N66" s="203"/>
      <c r="O66" s="203"/>
      <c r="P66" s="70" t="s">
        <v>207</v>
      </c>
      <c r="Q66" s="70" t="s">
        <v>208</v>
      </c>
      <c r="R66" s="70" t="s">
        <v>115</v>
      </c>
      <c r="S66" s="71">
        <f>$BG$13</f>
        <v>0</v>
      </c>
    </row>
    <row r="67" spans="2:63" x14ac:dyDescent="0.2">
      <c r="B67" s="78"/>
      <c r="C67" s="209" t="str">
        <f>IF($B67="","",HYPERLINK("bbg://securities/"&amp;$B67&amp;" Equity/MHD%20?panel=1",_xll.BDP($B67&amp;" Equity","SECURITY_NAME")))</f>
        <v/>
      </c>
      <c r="D67" s="209"/>
      <c r="E67" s="209"/>
      <c r="F67" s="209"/>
      <c r="G67" s="81"/>
      <c r="H67" s="81"/>
      <c r="I67" s="72"/>
      <c r="J67" s="75" t="str">
        <f>IF($B67="","",_xll.BDP($B67&amp;" Equity",$BF$13,"fill=NA"))</f>
        <v/>
      </c>
      <c r="L67" s="78"/>
      <c r="M67" s="209" t="str">
        <f>IF($L67="","",HYPERLINK("bbg://securities/"&amp;$L67&amp;" Equity/MHD%20?panel=1",_xll.BDP($L67&amp;" Equity","SECURITY_NAME")))</f>
        <v/>
      </c>
      <c r="N67" s="209"/>
      <c r="O67" s="209"/>
      <c r="P67" s="81"/>
      <c r="Q67" s="81"/>
      <c r="R67" s="72"/>
      <c r="S67" s="75" t="str">
        <f>IF($L67="","",_xll.BDP($L67&amp;" Equity",$BF$13,"fill=NA"))</f>
        <v/>
      </c>
    </row>
    <row r="68" spans="2:63" x14ac:dyDescent="0.2">
      <c r="B68" s="79"/>
      <c r="C68" s="208" t="str">
        <f>IF($B68="","",HYPERLINK("bbg://securities/"&amp;$B68&amp;" Equity/MHD%20?panel=1",_xll.BDP($B68&amp;" Equity","SECURITY_NAME")))</f>
        <v/>
      </c>
      <c r="D68" s="208"/>
      <c r="E68" s="208"/>
      <c r="F68" s="208"/>
      <c r="G68" s="82"/>
      <c r="H68" s="82"/>
      <c r="I68" s="73"/>
      <c r="J68" s="76" t="str">
        <f>IF($B68="","",_xll.BDP($B68&amp;" Equity",$BF$13,"fill=NA"))</f>
        <v/>
      </c>
      <c r="L68" s="79"/>
      <c r="M68" s="208" t="str">
        <f>IF($L68="","",HYPERLINK("bbg://securities/"&amp;$L68&amp;" Equity/MHD%20?panel=1",_xll.BDP($L68&amp;" Equity","SECURITY_NAME")))</f>
        <v/>
      </c>
      <c r="N68" s="208"/>
      <c r="O68" s="208"/>
      <c r="P68" s="82"/>
      <c r="Q68" s="82"/>
      <c r="R68" s="73"/>
      <c r="S68" s="76" t="str">
        <f>IF($L68="","",_xll.BDP($L68&amp;" Equity",$BF$13,"fill=NA"))</f>
        <v/>
      </c>
    </row>
    <row r="69" spans="2:63" x14ac:dyDescent="0.2">
      <c r="B69" s="78"/>
      <c r="C69" s="209" t="str">
        <f>IF($B69="","",HYPERLINK("bbg://securities/"&amp;$B69&amp;" Equity/MHD%20?panel=1",_xll.BDP($B69&amp;" Equity","SECURITY_NAME")))</f>
        <v/>
      </c>
      <c r="D69" s="209"/>
      <c r="E69" s="209"/>
      <c r="F69" s="209"/>
      <c r="G69" s="81"/>
      <c r="H69" s="81"/>
      <c r="I69" s="72"/>
      <c r="J69" s="75" t="str">
        <f>IF($B69="","",_xll.BDP($B69&amp;" Equity",$BF$13,"fill=NA"))</f>
        <v/>
      </c>
      <c r="L69" s="78"/>
      <c r="M69" s="209" t="str">
        <f>IF($L69="","",HYPERLINK("bbg://securities/"&amp;$L69&amp;" Equity/MHD%20?panel=1",_xll.BDP($L69&amp;" Equity","SECURITY_NAME")))</f>
        <v/>
      </c>
      <c r="N69" s="209"/>
      <c r="O69" s="209"/>
      <c r="P69" s="81"/>
      <c r="Q69" s="81"/>
      <c r="R69" s="72"/>
      <c r="S69" s="75" t="str">
        <f>IF($L69="","",_xll.BDP($L69&amp;" Equity",$BF$13,"fill=NA"))</f>
        <v/>
      </c>
    </row>
    <row r="70" spans="2:63" x14ac:dyDescent="0.2">
      <c r="B70" s="79"/>
      <c r="C70" s="208" t="str">
        <f>IF($B70="","",HYPERLINK("bbg://securities/"&amp;$B70&amp;" Equity/MHD%20?panel=1",_xll.BDP($B70&amp;" Equity","SECURITY_NAME")))</f>
        <v/>
      </c>
      <c r="D70" s="208"/>
      <c r="E70" s="208"/>
      <c r="F70" s="208"/>
      <c r="G70" s="82"/>
      <c r="H70" s="82"/>
      <c r="I70" s="73"/>
      <c r="J70" s="76" t="str">
        <f>IF($B70="","",_xll.BDP($B70&amp;" Equity",$BF$13,"fill=NA"))</f>
        <v/>
      </c>
      <c r="L70" s="79"/>
      <c r="M70" s="208" t="str">
        <f>IF($L70="","",HYPERLINK("bbg://securities/"&amp;$L70&amp;" Equity/MHD%20?panel=1",_xll.BDP($L70&amp;" Equity","SECURITY_NAME")))</f>
        <v/>
      </c>
      <c r="N70" s="208"/>
      <c r="O70" s="208"/>
      <c r="P70" s="82"/>
      <c r="Q70" s="82"/>
      <c r="R70" s="73"/>
      <c r="S70" s="76" t="str">
        <f>IF($L70="","",_xll.BDP($L70&amp;" Equity",$BF$13,"fill=NA"))</f>
        <v/>
      </c>
    </row>
    <row r="71" spans="2:63" x14ac:dyDescent="0.2">
      <c r="B71" s="78"/>
      <c r="C71" s="209" t="str">
        <f>IF($B71="","",HYPERLINK("bbg://securities/"&amp;$B71&amp;" Equity/MHD%20?panel=1",_xll.BDP($B71&amp;" Equity","SECURITY_NAME")))</f>
        <v/>
      </c>
      <c r="D71" s="209"/>
      <c r="E71" s="209"/>
      <c r="F71" s="209"/>
      <c r="G71" s="81"/>
      <c r="H71" s="81"/>
      <c r="I71" s="72"/>
      <c r="J71" s="75" t="str">
        <f>IF($B71="","",_xll.BDP($B71&amp;" Equity",$BF$13,"fill=NA"))</f>
        <v/>
      </c>
      <c r="L71" s="78"/>
      <c r="M71" s="209" t="str">
        <f>IF($L71="","",HYPERLINK("bbg://securities/"&amp;$L71&amp;" Equity/MHD%20?panel=1",_xll.BDP($L71&amp;" Equity","SECURITY_NAME")))</f>
        <v/>
      </c>
      <c r="N71" s="209"/>
      <c r="O71" s="209"/>
      <c r="P71" s="81"/>
      <c r="Q71" s="81"/>
      <c r="R71" s="72"/>
      <c r="S71" s="75" t="str">
        <f>IF($L71="","",_xll.BDP($L71&amp;" Equity",$BF$13,"fill=NA"))</f>
        <v/>
      </c>
    </row>
    <row r="72" spans="2:63" x14ac:dyDescent="0.2">
      <c r="B72" s="79"/>
      <c r="C72" s="208" t="str">
        <f>IF($B72="","",HYPERLINK("bbg://securities/"&amp;$B72&amp;" Equity/MHD%20?panel=1",_xll.BDP($B72&amp;" Equity","SECURITY_NAME")))</f>
        <v/>
      </c>
      <c r="D72" s="208"/>
      <c r="E72" s="208"/>
      <c r="F72" s="208"/>
      <c r="G72" s="82"/>
      <c r="H72" s="82"/>
      <c r="I72" s="73"/>
      <c r="J72" s="76" t="str">
        <f>IF($B72="","",_xll.BDP($B72&amp;" Equity",$BF$13,"fill=NA"))</f>
        <v/>
      </c>
      <c r="L72" s="79"/>
      <c r="M72" s="208" t="str">
        <f>IF($L72="","",HYPERLINK("bbg://securities/"&amp;$L72&amp;" Equity/MHD%20?panel=1",_xll.BDP($L72&amp;" Equity","SECURITY_NAME")))</f>
        <v/>
      </c>
      <c r="N72" s="208"/>
      <c r="O72" s="208"/>
      <c r="P72" s="82"/>
      <c r="Q72" s="82"/>
      <c r="R72" s="73"/>
      <c r="S72" s="76" t="str">
        <f>IF($L72="","",_xll.BDP($L72&amp;" Equity",$BF$13,"fill=NA"))</f>
        <v/>
      </c>
    </row>
    <row r="73" spans="2:63" x14ac:dyDescent="0.2">
      <c r="B73" s="78"/>
      <c r="C73" s="209" t="str">
        <f>IF($B73="","",HYPERLINK("bbg://securities/"&amp;$B73&amp;" Equity/MHD%20?panel=1",_xll.BDP($B73&amp;" Equity","SECURITY_NAME")))</f>
        <v/>
      </c>
      <c r="D73" s="209"/>
      <c r="E73" s="209"/>
      <c r="F73" s="209"/>
      <c r="G73" s="81"/>
      <c r="H73" s="81"/>
      <c r="I73" s="72"/>
      <c r="J73" s="75" t="str">
        <f>IF($B73="","",_xll.BDP($B73&amp;" Equity",$BF$13,"fill=NA"))</f>
        <v/>
      </c>
      <c r="L73" s="78"/>
      <c r="M73" s="209" t="str">
        <f>IF($L73="","",HYPERLINK("bbg://securities/"&amp;$L73&amp;" Equity/MHD%20?panel=1",_xll.BDP($L73&amp;" Equity","SECURITY_NAME")))</f>
        <v/>
      </c>
      <c r="N73" s="209"/>
      <c r="O73" s="209"/>
      <c r="P73" s="81"/>
      <c r="Q73" s="81"/>
      <c r="R73" s="72"/>
      <c r="S73" s="75" t="str">
        <f>IF($L73="","",_xll.BDP($L73&amp;" Equity",$BF$13,"fill=NA"))</f>
        <v/>
      </c>
    </row>
    <row r="74" spans="2:63" x14ac:dyDescent="0.2">
      <c r="B74" s="79"/>
      <c r="C74" s="208" t="str">
        <f>IF($B74="","",HYPERLINK("bbg://securities/"&amp;$B74&amp;" Equity/MHD%20?panel=1",_xll.BDP($B74&amp;" Equity","SECURITY_NAME")))</f>
        <v/>
      </c>
      <c r="D74" s="208"/>
      <c r="E74" s="208"/>
      <c r="F74" s="208"/>
      <c r="G74" s="82"/>
      <c r="H74" s="82"/>
      <c r="I74" s="73"/>
      <c r="J74" s="76" t="str">
        <f>IF($B74="","",_xll.BDP($B74&amp;" Equity",$BF$13,"fill=NA"))</f>
        <v/>
      </c>
      <c r="L74" s="79"/>
      <c r="M74" s="208" t="str">
        <f>IF($L74="","",HYPERLINK("bbg://securities/"&amp;$L74&amp;" Equity/MHD%20?panel=1",_xll.BDP($L74&amp;" Equity","SECURITY_NAME")))</f>
        <v/>
      </c>
      <c r="N74" s="208"/>
      <c r="O74" s="208"/>
      <c r="P74" s="82"/>
      <c r="Q74" s="82"/>
      <c r="R74" s="73"/>
      <c r="S74" s="76" t="str">
        <f>IF($L74="","",_xll.BDP($L74&amp;" Equity",$BF$13,"fill=NA"))</f>
        <v/>
      </c>
    </row>
    <row r="75" spans="2:63" x14ac:dyDescent="0.2">
      <c r="B75" s="78"/>
      <c r="C75" s="209" t="str">
        <f>IF($B75="","",HYPERLINK("bbg://securities/"&amp;$B75&amp;" Equity/MHD%20?panel=1",_xll.BDP($B75&amp;" Equity","SECURITY_NAME")))</f>
        <v/>
      </c>
      <c r="D75" s="209"/>
      <c r="E75" s="209"/>
      <c r="F75" s="209"/>
      <c r="G75" s="81"/>
      <c r="H75" s="81"/>
      <c r="I75" s="72"/>
      <c r="J75" s="75" t="str">
        <f>IF($B75="","",_xll.BDP($B75&amp;" Equity",$BF$13,"fill=NA"))</f>
        <v/>
      </c>
      <c r="L75" s="78"/>
      <c r="M75" s="209" t="str">
        <f>IF($L75="","",HYPERLINK("bbg://securities/"&amp;$L75&amp;" Equity/MHD%20?panel=1",_xll.BDP($L75&amp;" Equity","SECURITY_NAME")))</f>
        <v/>
      </c>
      <c r="N75" s="209"/>
      <c r="O75" s="209"/>
      <c r="P75" s="81"/>
      <c r="Q75" s="81"/>
      <c r="R75" s="72"/>
      <c r="S75" s="75" t="str">
        <f>IF($L75="","",_xll.BDP($L75&amp;" Equity",$BF$13,"fill=NA"))</f>
        <v/>
      </c>
    </row>
    <row r="76" spans="2:63" x14ac:dyDescent="0.2">
      <c r="B76" s="80"/>
      <c r="C76" s="210" t="str">
        <f>IF($B76="","",HYPERLINK("bbg://securities/"&amp;$B76&amp;" Equity/MHD%20?panel=1",_xll.BDP($B76&amp;" Equity","SECURITY_NAME")))</f>
        <v/>
      </c>
      <c r="D76" s="210"/>
      <c r="E76" s="210"/>
      <c r="F76" s="210"/>
      <c r="G76" s="83"/>
      <c r="H76" s="83"/>
      <c r="I76" s="74"/>
      <c r="J76" s="77" t="str">
        <f>IF($B76="","",_xll.BDP($B76&amp;" Equity",$BF$13,"fill=NA"))</f>
        <v/>
      </c>
      <c r="L76" s="80"/>
      <c r="M76" s="210" t="str">
        <f>IF($L76="","",HYPERLINK("bbg://securities/"&amp;$L76&amp;" Equity/MHD%20?panel=1",_xll.BDP($L76&amp;" Equity","SECURITY_NAME")))</f>
        <v/>
      </c>
      <c r="N76" s="210"/>
      <c r="O76" s="210"/>
      <c r="P76" s="83"/>
      <c r="Q76" s="83"/>
      <c r="R76" s="74"/>
      <c r="S76" s="77" t="str">
        <f>IF($L76="","",_xll.BDP($L76&amp;" Equity",$BF$13,"fill=NA"))</f>
        <v/>
      </c>
    </row>
  </sheetData>
  <mergeCells count="113">
    <mergeCell ref="C27:F27"/>
    <mergeCell ref="M27:O27"/>
    <mergeCell ref="M28:O28"/>
    <mergeCell ref="M29:O29"/>
    <mergeCell ref="M30:O30"/>
    <mergeCell ref="M31:O31"/>
    <mergeCell ref="M32:O32"/>
    <mergeCell ref="M33:O33"/>
    <mergeCell ref="M34:O34"/>
    <mergeCell ref="M35:O35"/>
    <mergeCell ref="M36:O36"/>
    <mergeCell ref="B19:C19"/>
    <mergeCell ref="B20:C20"/>
    <mergeCell ref="C41:F41"/>
    <mergeCell ref="C42:F42"/>
    <mergeCell ref="C43:F43"/>
    <mergeCell ref="C44:F44"/>
    <mergeCell ref="C45:F45"/>
    <mergeCell ref="L26:S26"/>
    <mergeCell ref="B26:J26"/>
    <mergeCell ref="B39:J39"/>
    <mergeCell ref="L39:S39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40:F40"/>
    <mergeCell ref="B24:C24"/>
    <mergeCell ref="M45:O45"/>
    <mergeCell ref="C48:F48"/>
    <mergeCell ref="C49:F49"/>
    <mergeCell ref="C50:F50"/>
    <mergeCell ref="M55:O55"/>
    <mergeCell ref="L52:S52"/>
    <mergeCell ref="M56:O56"/>
    <mergeCell ref="M53:O53"/>
    <mergeCell ref="M37:O37"/>
    <mergeCell ref="M41:O41"/>
    <mergeCell ref="M42:O42"/>
    <mergeCell ref="M43:O43"/>
    <mergeCell ref="M44:O44"/>
    <mergeCell ref="M47:O47"/>
    <mergeCell ref="M48:O48"/>
    <mergeCell ref="M49:O49"/>
    <mergeCell ref="C46:F46"/>
    <mergeCell ref="C47:F47"/>
    <mergeCell ref="M40:O40"/>
    <mergeCell ref="C56:F56"/>
    <mergeCell ref="M46:O46"/>
    <mergeCell ref="C70:F70"/>
    <mergeCell ref="C71:F71"/>
    <mergeCell ref="C72:F72"/>
    <mergeCell ref="C73:F73"/>
    <mergeCell ref="C63:F63"/>
    <mergeCell ref="C67:F67"/>
    <mergeCell ref="B65:J65"/>
    <mergeCell ref="C68:F68"/>
    <mergeCell ref="C69:F69"/>
    <mergeCell ref="C66:F66"/>
    <mergeCell ref="C75:F75"/>
    <mergeCell ref="C76:F76"/>
    <mergeCell ref="C74:F74"/>
    <mergeCell ref="C57:F57"/>
    <mergeCell ref="C53:F53"/>
    <mergeCell ref="M74:O74"/>
    <mergeCell ref="M75:O75"/>
    <mergeCell ref="M76:O76"/>
    <mergeCell ref="M69:O69"/>
    <mergeCell ref="M70:O70"/>
    <mergeCell ref="M71:O71"/>
    <mergeCell ref="M72:O72"/>
    <mergeCell ref="M73:O73"/>
    <mergeCell ref="M62:O62"/>
    <mergeCell ref="M63:O63"/>
    <mergeCell ref="M67:O67"/>
    <mergeCell ref="M68:O68"/>
    <mergeCell ref="C58:F58"/>
    <mergeCell ref="C59:F59"/>
    <mergeCell ref="C60:F60"/>
    <mergeCell ref="C61:F61"/>
    <mergeCell ref="C62:F62"/>
    <mergeCell ref="C54:F54"/>
    <mergeCell ref="C55:F55"/>
    <mergeCell ref="C7:I7"/>
    <mergeCell ref="C8:I8"/>
    <mergeCell ref="C9:I9"/>
    <mergeCell ref="F12:S12"/>
    <mergeCell ref="M7:M9"/>
    <mergeCell ref="B12:D13"/>
    <mergeCell ref="L65:S65"/>
    <mergeCell ref="M66:O66"/>
    <mergeCell ref="B21:C21"/>
    <mergeCell ref="B22:C22"/>
    <mergeCell ref="B23:C23"/>
    <mergeCell ref="B14:C14"/>
    <mergeCell ref="B15:C15"/>
    <mergeCell ref="B16:C16"/>
    <mergeCell ref="B17:C17"/>
    <mergeCell ref="B18:C18"/>
    <mergeCell ref="M57:O57"/>
    <mergeCell ref="M58:O58"/>
    <mergeCell ref="M59:O59"/>
    <mergeCell ref="M60:O60"/>
    <mergeCell ref="M61:O61"/>
    <mergeCell ref="M50:O50"/>
    <mergeCell ref="M54:O54"/>
    <mergeCell ref="B52:J5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Main"/>
  <dimension ref="B1:T1516"/>
  <sheetViews>
    <sheetView showGridLines="0" showRowColHeaders="0" tabSelected="1" zoomScaleNormal="100" workbookViewId="0">
      <pane ySplit="16" topLeftCell="A17" activePane="bottomLeft" state="frozen"/>
      <selection pane="bottomLeft" activeCell="D24" sqref="D24"/>
    </sheetView>
  </sheetViews>
  <sheetFormatPr baseColWidth="10" defaultColWidth="9.1640625" defaultRowHeight="15" x14ac:dyDescent="0.2"/>
  <cols>
    <col min="1" max="1" width="1.6640625" style="90" customWidth="1"/>
    <col min="2" max="2" width="13.6640625" style="90" customWidth="1"/>
    <col min="3" max="3" width="10.6640625" style="90" customWidth="1"/>
    <col min="4" max="4" width="12.6640625" style="91" customWidth="1"/>
    <col min="5" max="5" width="12.6640625" style="92" customWidth="1"/>
    <col min="6" max="6" width="12.6640625" style="93" customWidth="1"/>
    <col min="7" max="7" width="12.6640625" style="94" customWidth="1"/>
    <col min="8" max="8" width="1.6640625" style="90" customWidth="1"/>
    <col min="9" max="17" width="10.6640625" style="90" customWidth="1"/>
    <col min="18" max="18" width="3.5" style="90" customWidth="1"/>
    <col min="19" max="19" width="10.6640625" style="90" customWidth="1"/>
    <col min="20" max="20" width="10.6640625" style="90" hidden="1" customWidth="1"/>
    <col min="21" max="22" width="10.6640625" style="90" customWidth="1"/>
    <col min="23" max="16384" width="9.1640625" style="90"/>
  </cols>
  <sheetData>
    <row r="1" spans="2:20" ht="5" customHeight="1" x14ac:dyDescent="0.2"/>
    <row r="2" spans="2:20" ht="15" customHeight="1" x14ac:dyDescent="0.2"/>
    <row r="3" spans="2:20" ht="15" customHeight="1" x14ac:dyDescent="0.2"/>
    <row r="4" spans="2:20" ht="15" customHeight="1" x14ac:dyDescent="0.2">
      <c r="B4" s="95"/>
      <c r="D4" s="90"/>
      <c r="E4" s="90"/>
      <c r="F4" s="90"/>
      <c r="G4" s="90"/>
    </row>
    <row r="5" spans="2:20" ht="5" customHeight="1" x14ac:dyDescent="0.2">
      <c r="B5" s="95"/>
      <c r="D5" s="90"/>
      <c r="E5" s="90"/>
      <c r="F5" s="90"/>
      <c r="G5" s="90"/>
    </row>
    <row r="6" spans="2:20" x14ac:dyDescent="0.2">
      <c r="B6" s="96"/>
      <c r="C6" s="97"/>
      <c r="D6" s="98"/>
      <c r="E6" s="99"/>
      <c r="F6" s="90"/>
      <c r="G6" s="90"/>
    </row>
    <row r="7" spans="2:20" x14ac:dyDescent="0.2">
      <c r="B7" s="95"/>
      <c r="D7" s="90"/>
      <c r="E7" s="90"/>
      <c r="F7" s="90"/>
      <c r="G7" s="90"/>
      <c r="I7" s="218" t="s">
        <v>7402</v>
      </c>
      <c r="J7" s="219"/>
      <c r="K7" s="215" t="s">
        <v>43</v>
      </c>
      <c r="L7" s="216"/>
      <c r="M7" s="216"/>
      <c r="N7" s="216"/>
      <c r="O7" s="216"/>
      <c r="P7" s="216"/>
      <c r="Q7" s="216"/>
      <c r="R7" s="217"/>
    </row>
    <row r="8" spans="2:20" ht="5" customHeight="1" x14ac:dyDescent="0.2">
      <c r="B8" s="95"/>
      <c r="D8" s="90"/>
      <c r="E8" s="90"/>
      <c r="F8" s="90"/>
      <c r="G8" s="90"/>
    </row>
    <row r="9" spans="2:20" x14ac:dyDescent="0.2">
      <c r="B9" s="227" t="s">
        <v>113</v>
      </c>
      <c r="C9" s="228"/>
      <c r="D9" s="107">
        <f>Original</f>
        <v>364</v>
      </c>
      <c r="E9" s="86" t="s">
        <v>11</v>
      </c>
      <c r="F9" s="87">
        <f>StartDate</f>
        <v>42737</v>
      </c>
      <c r="G9" s="90"/>
      <c r="I9" s="224" t="s">
        <v>7401</v>
      </c>
      <c r="J9" s="225"/>
      <c r="K9" s="225"/>
      <c r="L9" s="225"/>
      <c r="M9" s="225"/>
      <c r="N9" s="225"/>
      <c r="O9" s="225"/>
      <c r="P9" s="225"/>
      <c r="Q9" s="225"/>
      <c r="R9" s="226"/>
    </row>
    <row r="10" spans="2:20" x14ac:dyDescent="0.2">
      <c r="B10" s="229" t="s">
        <v>114</v>
      </c>
      <c r="C10" s="230"/>
      <c r="D10" s="108">
        <f>ExDataFund</f>
        <v>359</v>
      </c>
      <c r="E10" s="88" t="s">
        <v>12</v>
      </c>
      <c r="F10" s="89">
        <f>EndDate</f>
        <v>45318</v>
      </c>
      <c r="G10" s="90"/>
      <c r="I10" s="102"/>
      <c r="R10" s="103"/>
    </row>
    <row r="11" spans="2:20" ht="5" customHeight="1" x14ac:dyDescent="0.2">
      <c r="D11" s="100"/>
      <c r="E11" s="101"/>
      <c r="F11" s="90"/>
      <c r="G11" s="90"/>
      <c r="I11" s="102"/>
      <c r="R11" s="103"/>
    </row>
    <row r="12" spans="2:20" x14ac:dyDescent="0.2">
      <c r="B12" s="231" t="e">
        <f ca="1">"Breakdown: "&amp;getViewStructure(ViewName)</f>
        <v>#NAME?</v>
      </c>
      <c r="C12" s="231"/>
      <c r="D12" s="231"/>
      <c r="E12" s="231"/>
      <c r="F12" s="231"/>
      <c r="G12" s="231"/>
      <c r="I12" s="102"/>
      <c r="R12" s="103"/>
      <c r="S12" s="101"/>
    </row>
    <row r="13" spans="2:20" ht="5" customHeight="1" x14ac:dyDescent="0.2">
      <c r="D13" s="100"/>
      <c r="E13" s="101"/>
      <c r="F13" s="90"/>
      <c r="G13" s="90"/>
      <c r="I13" s="102"/>
      <c r="R13" s="103"/>
      <c r="S13" s="101"/>
    </row>
    <row r="14" spans="2:20" x14ac:dyDescent="0.2">
      <c r="B14" s="220" t="s">
        <v>116</v>
      </c>
      <c r="C14" s="221"/>
      <c r="D14" s="222" t="s">
        <v>31</v>
      </c>
      <c r="E14" s="223"/>
      <c r="F14" s="232"/>
      <c r="G14" s="233"/>
      <c r="I14" s="102"/>
      <c r="R14" s="103"/>
    </row>
    <row r="15" spans="2:20" x14ac:dyDescent="0.2">
      <c r="B15" s="213" t="s">
        <v>139</v>
      </c>
      <c r="C15" s="214"/>
      <c r="D15" s="141" t="str">
        <f>"Flow ("&amp;[0]!Unit&amp;")"</f>
        <v>Flow (BLN)</v>
      </c>
      <c r="E15" s="138" t="str">
        <f>"AUM ("&amp;[0]!Unit&amp;")"</f>
        <v>AUM (BLN)</v>
      </c>
      <c r="F15" s="137" t="s">
        <v>115</v>
      </c>
      <c r="G15" s="139" t="s">
        <v>117</v>
      </c>
      <c r="I15" s="102"/>
      <c r="R15" s="103"/>
      <c r="T15" s="90" t="s">
        <v>7858</v>
      </c>
    </row>
    <row r="16" spans="2:20" x14ac:dyDescent="0.2">
      <c r="B16" s="234" t="s">
        <v>43</v>
      </c>
      <c r="C16" s="238"/>
      <c r="D16" s="113">
        <v>2439.7926332999982</v>
      </c>
      <c r="E16" s="113">
        <v>2765.9616127232007</v>
      </c>
      <c r="F16" s="114">
        <v>0.88207754658529913</v>
      </c>
      <c r="G16" s="115">
        <v>359</v>
      </c>
      <c r="I16" s="104"/>
      <c r="J16" s="105"/>
      <c r="K16" s="105"/>
      <c r="L16" s="105"/>
      <c r="M16" s="105"/>
      <c r="N16" s="105"/>
      <c r="O16" s="105"/>
      <c r="P16" s="105"/>
      <c r="Q16" s="105"/>
      <c r="R16" s="106"/>
      <c r="T16" s="90">
        <v>1</v>
      </c>
    </row>
    <row r="17" spans="2:7" x14ac:dyDescent="0.2">
      <c r="B17" s="234" t="s">
        <v>7474</v>
      </c>
      <c r="C17" s="235"/>
      <c r="D17" s="116">
        <v>1766.7799757000016</v>
      </c>
      <c r="E17" s="116">
        <v>2221.8982094232006</v>
      </c>
      <c r="F17" s="117">
        <v>0.79516692898305785</v>
      </c>
      <c r="G17" s="118">
        <v>263</v>
      </c>
    </row>
    <row r="18" spans="2:7" x14ac:dyDescent="0.2">
      <c r="B18" s="236" t="s">
        <v>7475</v>
      </c>
      <c r="C18" s="237"/>
      <c r="D18" s="119">
        <v>1447.6108388000018</v>
      </c>
      <c r="E18" s="119">
        <v>1758.1774303999989</v>
      </c>
      <c r="F18" s="120">
        <v>0.82335878835087717</v>
      </c>
      <c r="G18" s="121">
        <v>205</v>
      </c>
    </row>
    <row r="19" spans="2:7" x14ac:dyDescent="0.2">
      <c r="B19" s="236" t="s">
        <v>7477</v>
      </c>
      <c r="C19" s="237"/>
      <c r="D19" s="122">
        <v>193.9028853999996</v>
      </c>
      <c r="E19" s="122">
        <v>234.69007579999996</v>
      </c>
      <c r="F19" s="123">
        <v>0.82620828656274881</v>
      </c>
      <c r="G19" s="124">
        <v>29</v>
      </c>
    </row>
    <row r="20" spans="2:7" x14ac:dyDescent="0.2">
      <c r="B20" s="236" t="s">
        <v>7476</v>
      </c>
      <c r="C20" s="237"/>
      <c r="D20" s="119">
        <v>125.2662515</v>
      </c>
      <c r="E20" s="119">
        <v>229.03070322320184</v>
      </c>
      <c r="F20" s="120">
        <v>0.54694086747802451</v>
      </c>
      <c r="G20" s="121">
        <v>29</v>
      </c>
    </row>
    <row r="21" spans="2:7" x14ac:dyDescent="0.2">
      <c r="B21" s="234" t="s">
        <v>7478</v>
      </c>
      <c r="C21" s="235"/>
      <c r="D21" s="116">
        <v>637.61610289999817</v>
      </c>
      <c r="E21" s="116">
        <v>456.45395519999994</v>
      </c>
      <c r="F21" s="117">
        <v>1.3968903010614075</v>
      </c>
      <c r="G21" s="118">
        <v>80</v>
      </c>
    </row>
    <row r="22" spans="2:7" x14ac:dyDescent="0.2">
      <c r="B22" s="236" t="s">
        <v>7480</v>
      </c>
      <c r="C22" s="237"/>
      <c r="D22" s="119">
        <v>259.76280150000019</v>
      </c>
      <c r="E22" s="119">
        <v>138.98717829999993</v>
      </c>
      <c r="F22" s="120">
        <v>1.8689695314146855</v>
      </c>
      <c r="G22" s="121">
        <v>17</v>
      </c>
    </row>
    <row r="23" spans="2:7" x14ac:dyDescent="0.2">
      <c r="B23" s="236" t="s">
        <v>7481</v>
      </c>
      <c r="C23" s="237"/>
      <c r="D23" s="119">
        <v>188.43012829999998</v>
      </c>
      <c r="E23" s="119">
        <v>82.889967199999987</v>
      </c>
      <c r="F23" s="120">
        <v>2.2732561571094458</v>
      </c>
      <c r="G23" s="121">
        <v>23</v>
      </c>
    </row>
    <row r="24" spans="2:7" x14ac:dyDescent="0.2">
      <c r="B24" s="236" t="s">
        <v>7479</v>
      </c>
      <c r="C24" s="237"/>
      <c r="D24" s="119">
        <v>90.116595699999991</v>
      </c>
      <c r="E24" s="119">
        <v>140.84540930000003</v>
      </c>
      <c r="F24" s="120">
        <v>0.63982629002875124</v>
      </c>
      <c r="G24" s="121">
        <v>23</v>
      </c>
    </row>
    <row r="25" spans="2:7" x14ac:dyDescent="0.2">
      <c r="B25" s="236" t="s">
        <v>7485</v>
      </c>
      <c r="C25" s="237"/>
      <c r="D25" s="119">
        <v>39.136217099999975</v>
      </c>
      <c r="E25" s="119">
        <v>12.18066</v>
      </c>
      <c r="F25" s="120">
        <v>3.2129800109353659</v>
      </c>
      <c r="G25" s="121">
        <v>2</v>
      </c>
    </row>
    <row r="26" spans="2:7" x14ac:dyDescent="0.2">
      <c r="B26" s="236" t="s">
        <v>7483</v>
      </c>
      <c r="C26" s="237"/>
      <c r="D26" s="119">
        <v>33.266883799999967</v>
      </c>
      <c r="E26" s="119">
        <v>15.350794</v>
      </c>
      <c r="F26" s="120">
        <v>2.1671116034779678</v>
      </c>
      <c r="G26" s="121">
        <v>4</v>
      </c>
    </row>
    <row r="27" spans="2:7" x14ac:dyDescent="0.2">
      <c r="B27" s="236" t="s">
        <v>7484</v>
      </c>
      <c r="C27" s="237"/>
      <c r="D27" s="119">
        <v>22.034084700000054</v>
      </c>
      <c r="E27" s="119">
        <v>31.195691400000001</v>
      </c>
      <c r="F27" s="120">
        <v>0.7063182032888059</v>
      </c>
      <c r="G27" s="121">
        <v>5</v>
      </c>
    </row>
    <row r="28" spans="2:7" x14ac:dyDescent="0.2">
      <c r="B28" s="236" t="s">
        <v>7482</v>
      </c>
      <c r="C28" s="237"/>
      <c r="D28" s="119">
        <v>6.6598412000000042</v>
      </c>
      <c r="E28" s="119">
        <v>23.958190000000002</v>
      </c>
      <c r="F28" s="120">
        <v>0.27797764355320681</v>
      </c>
      <c r="G28" s="121">
        <v>4</v>
      </c>
    </row>
    <row r="29" spans="2:7" x14ac:dyDescent="0.2">
      <c r="B29" s="236" t="s">
        <v>7487</v>
      </c>
      <c r="C29" s="237"/>
      <c r="D29" s="119">
        <v>-0.63043490000000924</v>
      </c>
      <c r="E29" s="119">
        <v>7.9190399999999999</v>
      </c>
      <c r="F29" s="120">
        <v>-7.9610015860509517E-2</v>
      </c>
      <c r="G29" s="121">
        <v>1</v>
      </c>
    </row>
    <row r="30" spans="2:7" x14ac:dyDescent="0.2">
      <c r="B30" s="236" t="s">
        <v>7486</v>
      </c>
      <c r="C30" s="237"/>
      <c r="D30" s="119">
        <v>-1.1600144999999986</v>
      </c>
      <c r="E30" s="119">
        <v>3.1270250000000002</v>
      </c>
      <c r="F30" s="120">
        <v>-0.37096425516265413</v>
      </c>
      <c r="G30" s="121">
        <v>1</v>
      </c>
    </row>
    <row r="31" spans="2:7" x14ac:dyDescent="0.2">
      <c r="B31" s="234" t="s">
        <v>7488</v>
      </c>
      <c r="C31" s="235"/>
      <c r="D31" s="116">
        <v>19.890980699999933</v>
      </c>
      <c r="E31" s="116">
        <v>70.204131799999999</v>
      </c>
      <c r="F31" s="117">
        <v>0.28333062727228159</v>
      </c>
      <c r="G31" s="118">
        <v>12</v>
      </c>
    </row>
    <row r="32" spans="2:7" x14ac:dyDescent="0.2">
      <c r="B32" s="236" t="s">
        <v>7491</v>
      </c>
      <c r="C32" s="237"/>
      <c r="D32" s="119">
        <v>24.608042699999981</v>
      </c>
      <c r="E32" s="119">
        <v>64.526871799999995</v>
      </c>
      <c r="F32" s="120">
        <v>0.38136116029725126</v>
      </c>
      <c r="G32" s="121">
        <v>10</v>
      </c>
    </row>
    <row r="33" spans="2:20" x14ac:dyDescent="0.2">
      <c r="B33" s="236" t="s">
        <v>7490</v>
      </c>
      <c r="C33" s="237"/>
      <c r="D33" s="119">
        <v>-1.6754406000000006</v>
      </c>
      <c r="E33" s="119">
        <v>2.5597399999999997</v>
      </c>
      <c r="F33" s="120">
        <v>-0.65453546063272083</v>
      </c>
      <c r="G33" s="121">
        <v>1</v>
      </c>
    </row>
    <row r="34" spans="2:20" x14ac:dyDescent="0.2">
      <c r="B34" s="236" t="s">
        <v>7489</v>
      </c>
      <c r="C34" s="237"/>
      <c r="D34" s="119">
        <v>-3.0416213999999959</v>
      </c>
      <c r="E34" s="119">
        <v>3.1175199999999998</v>
      </c>
      <c r="F34" s="120">
        <v>-0.97565417383047937</v>
      </c>
      <c r="G34" s="121">
        <v>1</v>
      </c>
    </row>
    <row r="35" spans="2:20" x14ac:dyDescent="0.2">
      <c r="B35" s="234" t="s">
        <v>7505</v>
      </c>
      <c r="C35" s="235"/>
      <c r="D35" s="116">
        <v>14.135949100000028</v>
      </c>
      <c r="E35" s="116">
        <v>15.6595963</v>
      </c>
      <c r="F35" s="117">
        <v>0.90270201282264395</v>
      </c>
      <c r="G35" s="118">
        <v>3</v>
      </c>
    </row>
    <row r="36" spans="2:20" x14ac:dyDescent="0.2">
      <c r="B36" s="236" t="s">
        <v>7507</v>
      </c>
      <c r="C36" s="237"/>
      <c r="D36" s="119">
        <v>14.135949100000028</v>
      </c>
      <c r="E36" s="119">
        <v>15.6595963</v>
      </c>
      <c r="F36" s="120">
        <v>0.90270201282264395</v>
      </c>
      <c r="G36" s="121">
        <v>3</v>
      </c>
    </row>
    <row r="37" spans="2:20" x14ac:dyDescent="0.2">
      <c r="B37" s="234" t="s">
        <v>7926</v>
      </c>
      <c r="C37" s="235"/>
      <c r="D37" s="116">
        <v>1.3696248999999989</v>
      </c>
      <c r="E37" s="116">
        <v>1.7457199999999999</v>
      </c>
      <c r="F37" s="117">
        <v>0.78456161354627263</v>
      </c>
      <c r="G37" s="118">
        <v>1</v>
      </c>
    </row>
    <row r="38" spans="2:20" x14ac:dyDescent="0.2">
      <c r="B38" s="236" t="s">
        <v>7927</v>
      </c>
      <c r="C38" s="237"/>
      <c r="D38" s="119">
        <v>1.3696248999999989</v>
      </c>
      <c r="E38" s="119">
        <v>1.7457199999999999</v>
      </c>
      <c r="F38" s="120">
        <v>0.78456161354627263</v>
      </c>
      <c r="G38" s="121">
        <v>1</v>
      </c>
      <c r="T38" s="90">
        <v>1</v>
      </c>
    </row>
    <row r="39" spans="2:20" x14ac:dyDescent="0.2">
      <c r="B39" s="239"/>
      <c r="C39" s="240"/>
      <c r="D39" s="171"/>
      <c r="E39" s="171"/>
      <c r="F39" s="172"/>
      <c r="G39" s="173"/>
    </row>
    <row r="40" spans="2:20" x14ac:dyDescent="0.2">
      <c r="B40" s="239"/>
      <c r="C40" s="240"/>
      <c r="D40" s="171"/>
      <c r="E40" s="171"/>
      <c r="F40" s="172"/>
      <c r="G40" s="173"/>
    </row>
    <row r="41" spans="2:20" x14ac:dyDescent="0.2">
      <c r="B41" s="243"/>
      <c r="C41" s="244"/>
      <c r="D41" s="174"/>
      <c r="E41" s="174"/>
      <c r="F41" s="175"/>
      <c r="G41" s="176"/>
    </row>
    <row r="42" spans="2:20" x14ac:dyDescent="0.2">
      <c r="B42" s="239"/>
      <c r="C42" s="240"/>
      <c r="D42" s="126"/>
      <c r="E42" s="126"/>
      <c r="F42" s="127"/>
      <c r="G42" s="128"/>
    </row>
    <row r="43" spans="2:20" x14ac:dyDescent="0.2">
      <c r="B43" s="239"/>
      <c r="C43" s="240"/>
      <c r="D43" s="126"/>
      <c r="E43" s="126"/>
      <c r="F43" s="127"/>
      <c r="G43" s="128"/>
    </row>
    <row r="44" spans="2:20" x14ac:dyDescent="0.2">
      <c r="B44" s="239"/>
      <c r="C44" s="240"/>
      <c r="D44" s="126"/>
      <c r="E44" s="126"/>
      <c r="F44" s="127"/>
      <c r="G44" s="128"/>
    </row>
    <row r="45" spans="2:20" x14ac:dyDescent="0.2">
      <c r="B45" s="243"/>
      <c r="C45" s="244"/>
      <c r="D45" s="129"/>
      <c r="E45" s="129"/>
      <c r="F45" s="130"/>
      <c r="G45" s="131"/>
    </row>
    <row r="46" spans="2:20" x14ac:dyDescent="0.2">
      <c r="B46" s="239"/>
      <c r="C46" s="240"/>
      <c r="D46" s="126"/>
      <c r="E46" s="126"/>
      <c r="F46" s="127"/>
      <c r="G46" s="128"/>
    </row>
    <row r="47" spans="2:20" x14ac:dyDescent="0.2">
      <c r="B47" s="243"/>
      <c r="C47" s="244"/>
      <c r="D47" s="129"/>
      <c r="E47" s="129"/>
      <c r="F47" s="130"/>
      <c r="G47" s="131"/>
    </row>
    <row r="48" spans="2:20" x14ac:dyDescent="0.2">
      <c r="B48" s="239"/>
      <c r="C48" s="240"/>
      <c r="D48" s="126"/>
      <c r="E48" s="126"/>
      <c r="F48" s="127"/>
      <c r="G48" s="128"/>
    </row>
    <row r="49" spans="2:7" x14ac:dyDescent="0.2">
      <c r="B49" s="239"/>
      <c r="C49" s="240"/>
      <c r="D49" s="126"/>
      <c r="E49" s="126"/>
      <c r="F49" s="127"/>
      <c r="G49" s="128"/>
    </row>
    <row r="50" spans="2:7" x14ac:dyDescent="0.2">
      <c r="B50" s="239"/>
      <c r="C50" s="240"/>
      <c r="D50" s="126"/>
      <c r="E50" s="126"/>
      <c r="F50" s="127"/>
      <c r="G50" s="128"/>
    </row>
    <row r="51" spans="2:7" x14ac:dyDescent="0.2">
      <c r="B51" s="239"/>
      <c r="C51" s="240"/>
      <c r="D51" s="126"/>
      <c r="E51" s="126"/>
      <c r="F51" s="127"/>
      <c r="G51" s="128"/>
    </row>
    <row r="52" spans="2:7" x14ac:dyDescent="0.2">
      <c r="B52" s="239"/>
      <c r="C52" s="240"/>
      <c r="D52" s="126"/>
      <c r="E52" s="126"/>
      <c r="F52" s="127"/>
      <c r="G52" s="128"/>
    </row>
    <row r="53" spans="2:7" x14ac:dyDescent="0.2">
      <c r="B53" s="241"/>
      <c r="C53" s="242"/>
      <c r="D53" s="132"/>
      <c r="E53" s="132"/>
      <c r="F53" s="133"/>
      <c r="G53" s="134"/>
    </row>
    <row r="54" spans="2:7" x14ac:dyDescent="0.2">
      <c r="B54" s="239"/>
      <c r="C54" s="240"/>
      <c r="D54" s="126"/>
      <c r="E54" s="126"/>
      <c r="F54" s="127"/>
      <c r="G54" s="128"/>
    </row>
    <row r="55" spans="2:7" x14ac:dyDescent="0.2">
      <c r="B55" s="241"/>
      <c r="C55" s="242"/>
      <c r="D55" s="132"/>
      <c r="E55" s="132"/>
      <c r="F55" s="133"/>
      <c r="G55" s="134"/>
    </row>
    <row r="56" spans="2:7" x14ac:dyDescent="0.2">
      <c r="B56" s="239"/>
      <c r="C56" s="240"/>
      <c r="D56" s="126"/>
      <c r="E56" s="126"/>
      <c r="F56" s="127"/>
      <c r="G56" s="128"/>
    </row>
    <row r="57" spans="2:7" x14ac:dyDescent="0.2">
      <c r="B57" s="241"/>
      <c r="C57" s="242"/>
      <c r="D57" s="132"/>
      <c r="E57" s="132"/>
      <c r="F57" s="133"/>
      <c r="G57" s="134"/>
    </row>
    <row r="58" spans="2:7" collapsed="1" x14ac:dyDescent="0.2">
      <c r="B58" s="239"/>
      <c r="C58" s="240"/>
      <c r="D58" s="126"/>
      <c r="E58" s="126"/>
      <c r="F58" s="127"/>
      <c r="G58" s="128"/>
    </row>
    <row r="59" spans="2:7" x14ac:dyDescent="0.2">
      <c r="B59" s="241"/>
      <c r="C59" s="242"/>
      <c r="D59" s="132"/>
      <c r="E59" s="132"/>
      <c r="F59" s="133"/>
      <c r="G59" s="134"/>
    </row>
    <row r="60" spans="2:7" x14ac:dyDescent="0.2">
      <c r="B60" s="239"/>
      <c r="C60" s="240"/>
      <c r="D60" s="126"/>
      <c r="E60" s="126"/>
      <c r="F60" s="127"/>
      <c r="G60" s="128"/>
    </row>
    <row r="61" spans="2:7" x14ac:dyDescent="0.2">
      <c r="B61" s="241"/>
      <c r="C61" s="242"/>
      <c r="D61" s="132"/>
      <c r="E61" s="132"/>
      <c r="F61" s="133"/>
      <c r="G61" s="134"/>
    </row>
    <row r="62" spans="2:7" x14ac:dyDescent="0.2">
      <c r="B62" s="239"/>
      <c r="C62" s="240"/>
      <c r="D62" s="126"/>
      <c r="E62" s="126"/>
      <c r="F62" s="127"/>
      <c r="G62" s="128"/>
    </row>
    <row r="63" spans="2:7" x14ac:dyDescent="0.2">
      <c r="B63" s="241"/>
      <c r="C63" s="242"/>
      <c r="D63" s="132"/>
      <c r="E63" s="132"/>
      <c r="F63" s="133"/>
      <c r="G63" s="134"/>
    </row>
    <row r="64" spans="2:7" x14ac:dyDescent="0.2">
      <c r="B64" s="243"/>
      <c r="C64" s="244"/>
      <c r="D64" s="129"/>
      <c r="E64" s="129"/>
      <c r="F64" s="130"/>
      <c r="G64" s="131"/>
    </row>
    <row r="65" spans="2:7" x14ac:dyDescent="0.2">
      <c r="B65" s="239"/>
      <c r="C65" s="240"/>
      <c r="D65" s="126"/>
      <c r="E65" s="126"/>
      <c r="F65" s="127"/>
      <c r="G65" s="128"/>
    </row>
    <row r="66" spans="2:7" x14ac:dyDescent="0.2">
      <c r="B66" s="241"/>
      <c r="C66" s="242"/>
      <c r="D66" s="132"/>
      <c r="E66" s="132"/>
      <c r="F66" s="133"/>
      <c r="G66" s="134"/>
    </row>
    <row r="67" spans="2:7" x14ac:dyDescent="0.2">
      <c r="B67" s="241"/>
      <c r="C67" s="242"/>
      <c r="D67" s="132"/>
      <c r="E67" s="132"/>
      <c r="F67" s="133"/>
      <c r="G67" s="134"/>
    </row>
    <row r="68" spans="2:7" x14ac:dyDescent="0.2">
      <c r="B68" s="241"/>
      <c r="C68" s="242"/>
      <c r="D68" s="132"/>
      <c r="E68" s="132"/>
      <c r="F68" s="133"/>
      <c r="G68" s="134"/>
    </row>
    <row r="69" spans="2:7" x14ac:dyDescent="0.2">
      <c r="B69" s="239"/>
      <c r="C69" s="240"/>
      <c r="D69" s="126"/>
      <c r="E69" s="126"/>
      <c r="F69" s="127"/>
      <c r="G69" s="128"/>
    </row>
    <row r="70" spans="2:7" x14ac:dyDescent="0.2">
      <c r="B70" s="241"/>
      <c r="C70" s="242"/>
      <c r="D70" s="132"/>
      <c r="E70" s="132"/>
      <c r="F70" s="133"/>
      <c r="G70" s="134"/>
    </row>
    <row r="71" spans="2:7" x14ac:dyDescent="0.2">
      <c r="B71" s="241"/>
      <c r="C71" s="242"/>
      <c r="D71" s="132"/>
      <c r="E71" s="132"/>
      <c r="F71" s="133"/>
      <c r="G71" s="134"/>
    </row>
    <row r="72" spans="2:7" x14ac:dyDescent="0.2">
      <c r="B72" s="241"/>
      <c r="C72" s="242"/>
      <c r="D72" s="132"/>
      <c r="E72" s="132"/>
      <c r="F72" s="133"/>
      <c r="G72" s="134"/>
    </row>
    <row r="73" spans="2:7" x14ac:dyDescent="0.2">
      <c r="B73" s="239"/>
      <c r="C73" s="240"/>
      <c r="D73" s="126"/>
      <c r="E73" s="126"/>
      <c r="F73" s="127"/>
      <c r="G73" s="128"/>
    </row>
    <row r="74" spans="2:7" x14ac:dyDescent="0.2">
      <c r="B74" s="241"/>
      <c r="C74" s="242"/>
      <c r="D74" s="132"/>
      <c r="E74" s="132"/>
      <c r="F74" s="133"/>
      <c r="G74" s="134"/>
    </row>
    <row r="75" spans="2:7" x14ac:dyDescent="0.2">
      <c r="B75" s="239"/>
      <c r="C75" s="240"/>
      <c r="D75" s="126"/>
      <c r="E75" s="126"/>
      <c r="F75" s="127"/>
      <c r="G75" s="128"/>
    </row>
    <row r="76" spans="2:7" x14ac:dyDescent="0.2">
      <c r="B76" s="241"/>
      <c r="C76" s="242"/>
      <c r="D76" s="132"/>
      <c r="E76" s="132"/>
      <c r="F76" s="133"/>
      <c r="G76" s="134"/>
    </row>
    <row r="77" spans="2:7" x14ac:dyDescent="0.2">
      <c r="B77" s="241"/>
      <c r="C77" s="242"/>
      <c r="D77" s="132"/>
      <c r="E77" s="132"/>
      <c r="F77" s="133"/>
      <c r="G77" s="134"/>
    </row>
    <row r="78" spans="2:7" x14ac:dyDescent="0.2">
      <c r="B78" s="239"/>
      <c r="C78" s="240"/>
      <c r="D78" s="126"/>
      <c r="E78" s="126"/>
      <c r="F78" s="127"/>
      <c r="G78" s="128"/>
    </row>
    <row r="79" spans="2:7" x14ac:dyDescent="0.2">
      <c r="B79" s="241"/>
      <c r="C79" s="242"/>
      <c r="D79" s="132"/>
      <c r="E79" s="132"/>
      <c r="F79" s="133"/>
      <c r="G79" s="134"/>
    </row>
    <row r="80" spans="2:7" x14ac:dyDescent="0.2">
      <c r="B80" s="241"/>
      <c r="C80" s="242"/>
      <c r="D80" s="132"/>
      <c r="E80" s="132"/>
      <c r="F80" s="133"/>
      <c r="G80" s="134"/>
    </row>
    <row r="81" spans="2:7" x14ac:dyDescent="0.2">
      <c r="B81" s="239"/>
      <c r="C81" s="240"/>
      <c r="D81" s="126"/>
      <c r="E81" s="126"/>
      <c r="F81" s="127"/>
      <c r="G81" s="128"/>
    </row>
    <row r="82" spans="2:7" x14ac:dyDescent="0.2">
      <c r="B82" s="241"/>
      <c r="C82" s="242"/>
      <c r="D82" s="132"/>
      <c r="E82" s="132"/>
      <c r="F82" s="133"/>
      <c r="G82" s="134"/>
    </row>
    <row r="83" spans="2:7" x14ac:dyDescent="0.2">
      <c r="B83" s="241"/>
      <c r="C83" s="242"/>
      <c r="D83" s="132"/>
      <c r="E83" s="132"/>
      <c r="F83" s="133"/>
      <c r="G83" s="134"/>
    </row>
    <row r="84" spans="2:7" x14ac:dyDescent="0.2">
      <c r="B84" s="241"/>
      <c r="C84" s="242"/>
      <c r="D84" s="132"/>
      <c r="E84" s="132"/>
      <c r="F84" s="133"/>
      <c r="G84" s="134"/>
    </row>
    <row r="85" spans="2:7" x14ac:dyDescent="0.2">
      <c r="B85" s="239"/>
      <c r="C85" s="240"/>
      <c r="D85" s="126"/>
      <c r="E85" s="126"/>
      <c r="F85" s="127"/>
      <c r="G85" s="128"/>
    </row>
    <row r="86" spans="2:7" x14ac:dyDescent="0.2">
      <c r="B86" s="241"/>
      <c r="C86" s="242"/>
      <c r="D86" s="132"/>
      <c r="E86" s="132"/>
      <c r="F86" s="133"/>
      <c r="G86" s="134"/>
    </row>
    <row r="87" spans="2:7" x14ac:dyDescent="0.2">
      <c r="B87" s="241"/>
      <c r="C87" s="242"/>
      <c r="D87" s="132"/>
      <c r="E87" s="132"/>
      <c r="F87" s="133"/>
      <c r="G87" s="134"/>
    </row>
    <row r="88" spans="2:7" x14ac:dyDescent="0.2">
      <c r="B88" s="241"/>
      <c r="C88" s="242"/>
      <c r="D88" s="132"/>
      <c r="E88" s="132"/>
      <c r="F88" s="133"/>
      <c r="G88" s="134"/>
    </row>
    <row r="89" spans="2:7" x14ac:dyDescent="0.2">
      <c r="B89" s="239"/>
      <c r="C89" s="240"/>
      <c r="D89" s="126"/>
      <c r="E89" s="126"/>
      <c r="F89" s="127"/>
      <c r="G89" s="128"/>
    </row>
    <row r="90" spans="2:7" x14ac:dyDescent="0.2">
      <c r="B90" s="241"/>
      <c r="C90" s="242"/>
      <c r="D90" s="132"/>
      <c r="E90" s="132"/>
      <c r="F90" s="133"/>
      <c r="G90" s="134"/>
    </row>
    <row r="91" spans="2:7" x14ac:dyDescent="0.2">
      <c r="B91" s="239"/>
      <c r="C91" s="240"/>
      <c r="D91" s="126"/>
      <c r="E91" s="126"/>
      <c r="F91" s="127"/>
      <c r="G91" s="128"/>
    </row>
    <row r="92" spans="2:7" x14ac:dyDescent="0.2">
      <c r="B92" s="241"/>
      <c r="C92" s="242"/>
      <c r="D92" s="132"/>
      <c r="E92" s="132"/>
      <c r="F92" s="133"/>
      <c r="G92" s="134"/>
    </row>
    <row r="93" spans="2:7" x14ac:dyDescent="0.2">
      <c r="B93" s="239"/>
      <c r="C93" s="240"/>
      <c r="D93" s="126"/>
      <c r="E93" s="126"/>
      <c r="F93" s="127"/>
      <c r="G93" s="128"/>
    </row>
    <row r="94" spans="2:7" x14ac:dyDescent="0.2">
      <c r="B94" s="241"/>
      <c r="C94" s="242"/>
      <c r="D94" s="132"/>
      <c r="E94" s="132"/>
      <c r="F94" s="133"/>
      <c r="G94" s="134"/>
    </row>
    <row r="95" spans="2:7" x14ac:dyDescent="0.2">
      <c r="B95" s="239"/>
      <c r="C95" s="240"/>
      <c r="D95" s="126"/>
      <c r="E95" s="126"/>
      <c r="F95" s="127"/>
      <c r="G95" s="128"/>
    </row>
    <row r="96" spans="2:7" x14ac:dyDescent="0.2">
      <c r="B96" s="241"/>
      <c r="C96" s="242"/>
      <c r="D96" s="132"/>
      <c r="E96" s="132"/>
      <c r="F96" s="133"/>
      <c r="G96" s="134"/>
    </row>
    <row r="97" spans="2:7" x14ac:dyDescent="0.2">
      <c r="B97" s="239"/>
      <c r="C97" s="240"/>
      <c r="D97" s="126"/>
      <c r="E97" s="126"/>
      <c r="F97" s="127"/>
      <c r="G97" s="128"/>
    </row>
    <row r="98" spans="2:7" x14ac:dyDescent="0.2">
      <c r="B98" s="241"/>
      <c r="C98" s="242"/>
      <c r="D98" s="132"/>
      <c r="E98" s="132"/>
      <c r="F98" s="133"/>
      <c r="G98" s="134"/>
    </row>
    <row r="99" spans="2:7" x14ac:dyDescent="0.2">
      <c r="B99" s="239"/>
      <c r="C99" s="240"/>
      <c r="D99" s="126"/>
      <c r="E99" s="126"/>
      <c r="F99" s="127"/>
      <c r="G99" s="128"/>
    </row>
    <row r="100" spans="2:7" x14ac:dyDescent="0.2">
      <c r="B100" s="241"/>
      <c r="C100" s="242"/>
      <c r="D100" s="132"/>
      <c r="E100" s="132"/>
      <c r="F100" s="133"/>
      <c r="G100" s="134"/>
    </row>
    <row r="101" spans="2:7" x14ac:dyDescent="0.2">
      <c r="B101" s="239"/>
      <c r="C101" s="240"/>
      <c r="D101" s="126"/>
      <c r="E101" s="126"/>
      <c r="F101" s="127"/>
      <c r="G101" s="128"/>
    </row>
    <row r="102" spans="2:7" x14ac:dyDescent="0.2">
      <c r="B102" s="241"/>
      <c r="C102" s="242"/>
      <c r="D102" s="132"/>
      <c r="E102" s="132"/>
      <c r="F102" s="133"/>
      <c r="G102" s="134"/>
    </row>
    <row r="103" spans="2:7" x14ac:dyDescent="0.2">
      <c r="B103" s="239"/>
      <c r="C103" s="240"/>
      <c r="D103" s="126"/>
      <c r="E103" s="126"/>
      <c r="F103" s="127"/>
      <c r="G103" s="128"/>
    </row>
    <row r="104" spans="2:7" x14ac:dyDescent="0.2">
      <c r="B104" s="241"/>
      <c r="C104" s="242"/>
      <c r="D104" s="132"/>
      <c r="E104" s="132"/>
      <c r="F104" s="133"/>
      <c r="G104" s="134"/>
    </row>
    <row r="105" spans="2:7" x14ac:dyDescent="0.2">
      <c r="B105" s="239"/>
      <c r="C105" s="240"/>
      <c r="D105" s="126"/>
      <c r="E105" s="126"/>
      <c r="F105" s="127"/>
      <c r="G105" s="128"/>
    </row>
    <row r="106" spans="2:7" x14ac:dyDescent="0.2">
      <c r="B106" s="241"/>
      <c r="C106" s="242"/>
      <c r="D106" s="132"/>
      <c r="E106" s="132"/>
      <c r="F106" s="133"/>
      <c r="G106" s="134"/>
    </row>
    <row r="107" spans="2:7" x14ac:dyDescent="0.2">
      <c r="B107" s="239"/>
      <c r="C107" s="240"/>
      <c r="D107" s="126"/>
      <c r="E107" s="126"/>
      <c r="F107" s="127"/>
      <c r="G107" s="128"/>
    </row>
    <row r="108" spans="2:7" x14ac:dyDescent="0.2">
      <c r="B108" s="241"/>
      <c r="C108" s="242"/>
      <c r="D108" s="132"/>
      <c r="E108" s="132"/>
      <c r="F108" s="133"/>
      <c r="G108" s="134"/>
    </row>
    <row r="109" spans="2:7" x14ac:dyDescent="0.2">
      <c r="B109" s="239"/>
      <c r="C109" s="240"/>
      <c r="D109" s="126"/>
      <c r="E109" s="126"/>
      <c r="F109" s="127"/>
      <c r="G109" s="128"/>
    </row>
    <row r="110" spans="2:7" x14ac:dyDescent="0.2">
      <c r="B110" s="241"/>
      <c r="C110" s="242"/>
      <c r="D110" s="132"/>
      <c r="E110" s="132"/>
      <c r="F110" s="133"/>
      <c r="G110" s="134"/>
    </row>
    <row r="111" spans="2:7" x14ac:dyDescent="0.2">
      <c r="B111" s="239"/>
      <c r="C111" s="240"/>
      <c r="D111" s="126"/>
      <c r="E111" s="126"/>
      <c r="F111" s="127"/>
      <c r="G111" s="128"/>
    </row>
    <row r="112" spans="2:7" x14ac:dyDescent="0.2">
      <c r="B112" s="241"/>
      <c r="C112" s="242"/>
      <c r="D112" s="132"/>
      <c r="E112" s="132"/>
      <c r="F112" s="133"/>
      <c r="G112" s="134"/>
    </row>
    <row r="113" spans="2:7" x14ac:dyDescent="0.2">
      <c r="B113" s="239"/>
      <c r="C113" s="240"/>
      <c r="D113" s="126"/>
      <c r="E113" s="126"/>
      <c r="F113" s="127"/>
      <c r="G113" s="128"/>
    </row>
    <row r="114" spans="2:7" x14ac:dyDescent="0.2">
      <c r="B114" s="241"/>
      <c r="C114" s="242"/>
      <c r="D114" s="132"/>
      <c r="E114" s="132"/>
      <c r="F114" s="133"/>
      <c r="G114" s="134"/>
    </row>
    <row r="115" spans="2:7" x14ac:dyDescent="0.2">
      <c r="B115" s="239"/>
      <c r="C115" s="240"/>
      <c r="D115" s="126"/>
      <c r="E115" s="126"/>
      <c r="F115" s="127"/>
      <c r="G115" s="128"/>
    </row>
    <row r="116" spans="2:7" x14ac:dyDescent="0.2">
      <c r="B116" s="241"/>
      <c r="C116" s="242"/>
      <c r="D116" s="132"/>
      <c r="E116" s="132"/>
      <c r="F116" s="133"/>
      <c r="G116" s="134"/>
    </row>
    <row r="117" spans="2:7" x14ac:dyDescent="0.2">
      <c r="B117" s="239"/>
      <c r="C117" s="240"/>
      <c r="D117" s="126"/>
      <c r="E117" s="126"/>
      <c r="F117" s="127"/>
      <c r="G117" s="128"/>
    </row>
    <row r="118" spans="2:7" x14ac:dyDescent="0.2">
      <c r="B118" s="241"/>
      <c r="C118" s="242"/>
      <c r="D118" s="132"/>
      <c r="E118" s="132"/>
      <c r="F118" s="133"/>
      <c r="G118" s="134"/>
    </row>
    <row r="119" spans="2:7" x14ac:dyDescent="0.2">
      <c r="B119" s="239"/>
      <c r="C119" s="240"/>
      <c r="D119" s="126"/>
      <c r="E119" s="126"/>
      <c r="F119" s="127"/>
      <c r="G119" s="128"/>
    </row>
    <row r="120" spans="2:7" x14ac:dyDescent="0.2">
      <c r="B120" s="241"/>
      <c r="C120" s="242"/>
      <c r="D120" s="132"/>
      <c r="E120" s="132"/>
      <c r="F120" s="133"/>
      <c r="G120" s="134"/>
    </row>
    <row r="121" spans="2:7" x14ac:dyDescent="0.2">
      <c r="B121" s="239"/>
      <c r="C121" s="240"/>
      <c r="D121" s="126"/>
      <c r="E121" s="126"/>
      <c r="F121" s="127"/>
      <c r="G121" s="128"/>
    </row>
    <row r="122" spans="2:7" x14ac:dyDescent="0.2">
      <c r="B122" s="241"/>
      <c r="C122" s="242"/>
      <c r="D122" s="132"/>
      <c r="E122" s="132"/>
      <c r="F122" s="133"/>
      <c r="G122" s="134"/>
    </row>
    <row r="123" spans="2:7" x14ac:dyDescent="0.2">
      <c r="B123" s="239"/>
      <c r="C123" s="240"/>
      <c r="D123" s="126"/>
      <c r="E123" s="126"/>
      <c r="F123" s="127"/>
      <c r="G123" s="128"/>
    </row>
    <row r="124" spans="2:7" x14ac:dyDescent="0.2">
      <c r="B124" s="241"/>
      <c r="C124" s="242"/>
      <c r="D124" s="132"/>
      <c r="E124" s="132"/>
      <c r="F124" s="133"/>
      <c r="G124" s="134"/>
    </row>
    <row r="125" spans="2:7" x14ac:dyDescent="0.2">
      <c r="B125" s="239"/>
      <c r="C125" s="240"/>
      <c r="D125" s="126"/>
      <c r="E125" s="126"/>
      <c r="F125" s="127"/>
      <c r="G125" s="128"/>
    </row>
    <row r="126" spans="2:7" x14ac:dyDescent="0.2">
      <c r="B126" s="241"/>
      <c r="C126" s="242"/>
      <c r="D126" s="132"/>
      <c r="E126" s="132"/>
      <c r="F126" s="133"/>
      <c r="G126" s="134"/>
    </row>
    <row r="127" spans="2:7" x14ac:dyDescent="0.2">
      <c r="B127" s="241"/>
      <c r="C127" s="242"/>
      <c r="D127" s="132"/>
      <c r="E127" s="132"/>
      <c r="F127" s="133"/>
      <c r="G127" s="134"/>
    </row>
    <row r="128" spans="2:7" x14ac:dyDescent="0.2">
      <c r="B128" s="239"/>
      <c r="C128" s="240"/>
      <c r="D128" s="126"/>
      <c r="E128" s="126"/>
      <c r="F128" s="127"/>
      <c r="G128" s="128"/>
    </row>
    <row r="129" spans="2:7" x14ac:dyDescent="0.2">
      <c r="B129" s="241"/>
      <c r="C129" s="242"/>
      <c r="D129" s="132"/>
      <c r="E129" s="132"/>
      <c r="F129" s="133"/>
      <c r="G129" s="134"/>
    </row>
    <row r="130" spans="2:7" x14ac:dyDescent="0.2">
      <c r="B130" s="241"/>
      <c r="C130" s="242"/>
      <c r="D130" s="132"/>
      <c r="E130" s="132"/>
      <c r="F130" s="133"/>
      <c r="G130" s="134"/>
    </row>
    <row r="131" spans="2:7" x14ac:dyDescent="0.2">
      <c r="B131" s="239"/>
      <c r="C131" s="240"/>
      <c r="D131" s="126"/>
      <c r="E131" s="126"/>
      <c r="F131" s="127"/>
      <c r="G131" s="128"/>
    </row>
    <row r="132" spans="2:7" x14ac:dyDescent="0.2">
      <c r="B132" s="241"/>
      <c r="C132" s="242"/>
      <c r="D132" s="132"/>
      <c r="E132" s="132"/>
      <c r="F132" s="133"/>
      <c r="G132" s="134"/>
    </row>
    <row r="133" spans="2:7" x14ac:dyDescent="0.2">
      <c r="B133" s="239"/>
      <c r="C133" s="240"/>
      <c r="D133" s="126"/>
      <c r="E133" s="126"/>
      <c r="F133" s="127"/>
      <c r="G133" s="128"/>
    </row>
    <row r="134" spans="2:7" x14ac:dyDescent="0.2">
      <c r="B134" s="241"/>
      <c r="C134" s="242"/>
      <c r="D134" s="132"/>
      <c r="E134" s="132"/>
      <c r="F134" s="133"/>
      <c r="G134" s="134"/>
    </row>
    <row r="135" spans="2:7" x14ac:dyDescent="0.2">
      <c r="B135" s="241"/>
      <c r="C135" s="242"/>
      <c r="D135" s="132"/>
      <c r="E135" s="132"/>
      <c r="F135" s="133"/>
      <c r="G135" s="134"/>
    </row>
    <row r="136" spans="2:7" x14ac:dyDescent="0.2">
      <c r="B136" s="239"/>
      <c r="C136" s="240"/>
      <c r="D136" s="126"/>
      <c r="E136" s="126"/>
      <c r="F136" s="127"/>
      <c r="G136" s="128"/>
    </row>
    <row r="137" spans="2:7" x14ac:dyDescent="0.2">
      <c r="B137" s="241"/>
      <c r="C137" s="242"/>
      <c r="D137" s="132"/>
      <c r="E137" s="132"/>
      <c r="F137" s="133"/>
      <c r="G137" s="134"/>
    </row>
    <row r="138" spans="2:7" x14ac:dyDescent="0.2">
      <c r="B138" s="241"/>
      <c r="C138" s="242"/>
      <c r="D138" s="132"/>
      <c r="E138" s="132"/>
      <c r="F138" s="133"/>
      <c r="G138" s="134"/>
    </row>
    <row r="139" spans="2:7" x14ac:dyDescent="0.2">
      <c r="B139" s="241"/>
      <c r="C139" s="242"/>
      <c r="D139" s="132"/>
      <c r="E139" s="132"/>
      <c r="F139" s="133"/>
      <c r="G139" s="134"/>
    </row>
    <row r="140" spans="2:7" x14ac:dyDescent="0.2">
      <c r="B140" s="241"/>
      <c r="C140" s="242"/>
      <c r="D140" s="132"/>
      <c r="E140" s="132"/>
      <c r="F140" s="133"/>
      <c r="G140" s="134"/>
    </row>
    <row r="141" spans="2:7" x14ac:dyDescent="0.2">
      <c r="B141" s="239"/>
      <c r="C141" s="240"/>
      <c r="D141" s="126"/>
      <c r="E141" s="126"/>
      <c r="F141" s="127"/>
      <c r="G141" s="128"/>
    </row>
    <row r="142" spans="2:7" x14ac:dyDescent="0.2">
      <c r="B142" s="241"/>
      <c r="C142" s="242"/>
      <c r="D142" s="132"/>
      <c r="E142" s="132"/>
      <c r="F142" s="133"/>
      <c r="G142" s="134"/>
    </row>
    <row r="143" spans="2:7" x14ac:dyDescent="0.2">
      <c r="B143" s="241"/>
      <c r="C143" s="242"/>
      <c r="D143" s="132"/>
      <c r="E143" s="132"/>
      <c r="F143" s="133"/>
      <c r="G143" s="134"/>
    </row>
    <row r="144" spans="2:7" x14ac:dyDescent="0.2">
      <c r="B144" s="243"/>
      <c r="C144" s="244"/>
      <c r="D144" s="129"/>
      <c r="E144" s="129"/>
      <c r="F144" s="130"/>
      <c r="G144" s="131"/>
    </row>
    <row r="145" spans="2:7" x14ac:dyDescent="0.2">
      <c r="B145" s="239"/>
      <c r="C145" s="240"/>
      <c r="D145" s="126"/>
      <c r="E145" s="126"/>
      <c r="F145" s="127"/>
      <c r="G145" s="128"/>
    </row>
    <row r="146" spans="2:7" x14ac:dyDescent="0.2">
      <c r="B146" s="241"/>
      <c r="C146" s="242"/>
      <c r="D146" s="132"/>
      <c r="E146" s="132"/>
      <c r="F146" s="133"/>
      <c r="G146" s="134"/>
    </row>
    <row r="147" spans="2:7" x14ac:dyDescent="0.2">
      <c r="B147" s="241"/>
      <c r="C147" s="242"/>
      <c r="D147" s="132"/>
      <c r="E147" s="132"/>
      <c r="F147" s="133"/>
      <c r="G147" s="134"/>
    </row>
    <row r="148" spans="2:7" x14ac:dyDescent="0.2">
      <c r="B148" s="241"/>
      <c r="C148" s="242"/>
      <c r="D148" s="132"/>
      <c r="E148" s="132"/>
      <c r="F148" s="133"/>
      <c r="G148" s="134"/>
    </row>
    <row r="149" spans="2:7" x14ac:dyDescent="0.2">
      <c r="B149" s="241"/>
      <c r="C149" s="242"/>
      <c r="D149" s="132"/>
      <c r="E149" s="132"/>
      <c r="F149" s="133"/>
      <c r="G149" s="134"/>
    </row>
    <row r="150" spans="2:7" x14ac:dyDescent="0.2">
      <c r="B150" s="239"/>
      <c r="C150" s="240"/>
      <c r="D150" s="126"/>
      <c r="E150" s="126"/>
      <c r="F150" s="127"/>
      <c r="G150" s="128"/>
    </row>
    <row r="151" spans="2:7" x14ac:dyDescent="0.2">
      <c r="B151" s="241"/>
      <c r="C151" s="242"/>
      <c r="D151" s="132"/>
      <c r="E151" s="132"/>
      <c r="F151" s="133"/>
      <c r="G151" s="134"/>
    </row>
    <row r="152" spans="2:7" x14ac:dyDescent="0.2">
      <c r="B152" s="241"/>
      <c r="C152" s="242"/>
      <c r="D152" s="132"/>
      <c r="E152" s="132"/>
      <c r="F152" s="133"/>
      <c r="G152" s="134"/>
    </row>
    <row r="153" spans="2:7" x14ac:dyDescent="0.2">
      <c r="B153" s="239"/>
      <c r="C153" s="240"/>
      <c r="D153" s="126"/>
      <c r="E153" s="126"/>
      <c r="F153" s="127"/>
      <c r="G153" s="128"/>
    </row>
    <row r="154" spans="2:7" x14ac:dyDescent="0.2">
      <c r="B154" s="241"/>
      <c r="C154" s="242"/>
      <c r="D154" s="132"/>
      <c r="E154" s="132"/>
      <c r="F154" s="133"/>
      <c r="G154" s="134"/>
    </row>
    <row r="155" spans="2:7" x14ac:dyDescent="0.2">
      <c r="B155" s="239"/>
      <c r="C155" s="240"/>
      <c r="D155" s="126"/>
      <c r="E155" s="126"/>
      <c r="F155" s="127"/>
      <c r="G155" s="128"/>
    </row>
    <row r="156" spans="2:7" x14ac:dyDescent="0.2">
      <c r="B156" s="241"/>
      <c r="C156" s="242"/>
      <c r="D156" s="132"/>
      <c r="E156" s="132"/>
      <c r="F156" s="133"/>
      <c r="G156" s="134"/>
    </row>
    <row r="157" spans="2:7" x14ac:dyDescent="0.2">
      <c r="B157" s="239"/>
      <c r="C157" s="240"/>
      <c r="D157" s="126"/>
      <c r="E157" s="126"/>
      <c r="F157" s="127"/>
      <c r="G157" s="128"/>
    </row>
    <row r="158" spans="2:7" x14ac:dyDescent="0.2">
      <c r="B158" s="241"/>
      <c r="C158" s="242"/>
      <c r="D158" s="132"/>
      <c r="E158" s="132"/>
      <c r="F158" s="133"/>
      <c r="G158" s="134"/>
    </row>
    <row r="159" spans="2:7" x14ac:dyDescent="0.2">
      <c r="B159" s="239"/>
      <c r="C159" s="240"/>
      <c r="D159" s="126"/>
      <c r="E159" s="126"/>
      <c r="F159" s="127"/>
      <c r="G159" s="128"/>
    </row>
    <row r="160" spans="2:7" x14ac:dyDescent="0.2">
      <c r="B160" s="241"/>
      <c r="C160" s="242"/>
      <c r="D160" s="132"/>
      <c r="E160" s="132"/>
      <c r="F160" s="133"/>
      <c r="G160" s="134"/>
    </row>
    <row r="161" spans="2:7" x14ac:dyDescent="0.2">
      <c r="B161" s="243"/>
      <c r="C161" s="244"/>
      <c r="D161" s="129"/>
      <c r="E161" s="129"/>
      <c r="F161" s="130"/>
      <c r="G161" s="131"/>
    </row>
    <row r="162" spans="2:7" x14ac:dyDescent="0.2">
      <c r="B162" s="239"/>
      <c r="C162" s="240"/>
      <c r="D162" s="126"/>
      <c r="E162" s="126"/>
      <c r="F162" s="127"/>
      <c r="G162" s="128"/>
    </row>
    <row r="163" spans="2:7" x14ac:dyDescent="0.2">
      <c r="B163" s="241"/>
      <c r="C163" s="242"/>
      <c r="D163" s="132"/>
      <c r="E163" s="132"/>
      <c r="F163" s="133"/>
      <c r="G163" s="134"/>
    </row>
    <row r="164" spans="2:7" x14ac:dyDescent="0.2">
      <c r="B164" s="241"/>
      <c r="C164" s="242"/>
      <c r="D164" s="132"/>
      <c r="E164" s="132"/>
      <c r="F164" s="133"/>
      <c r="G164" s="134"/>
    </row>
    <row r="165" spans="2:7" x14ac:dyDescent="0.2">
      <c r="B165" s="239"/>
      <c r="C165" s="240"/>
      <c r="D165" s="126"/>
      <c r="E165" s="126"/>
      <c r="F165" s="127"/>
      <c r="G165" s="128"/>
    </row>
    <row r="166" spans="2:7" x14ac:dyDescent="0.2">
      <c r="B166" s="241"/>
      <c r="C166" s="242"/>
      <c r="D166" s="132"/>
      <c r="E166" s="132"/>
      <c r="F166" s="133"/>
      <c r="G166" s="134"/>
    </row>
    <row r="167" spans="2:7" x14ac:dyDescent="0.2">
      <c r="B167" s="239"/>
      <c r="C167" s="240"/>
      <c r="D167" s="126"/>
      <c r="E167" s="126"/>
      <c r="F167" s="127"/>
      <c r="G167" s="128"/>
    </row>
    <row r="168" spans="2:7" x14ac:dyDescent="0.2">
      <c r="B168" s="241"/>
      <c r="C168" s="242"/>
      <c r="D168" s="132"/>
      <c r="E168" s="132"/>
      <c r="F168" s="133"/>
      <c r="G168" s="134"/>
    </row>
    <row r="169" spans="2:7" x14ac:dyDescent="0.2">
      <c r="B169" s="239"/>
      <c r="C169" s="240"/>
      <c r="D169" s="126"/>
      <c r="E169" s="126"/>
      <c r="F169" s="127"/>
      <c r="G169" s="128"/>
    </row>
    <row r="170" spans="2:7" x14ac:dyDescent="0.2">
      <c r="B170" s="241"/>
      <c r="C170" s="242"/>
      <c r="D170" s="132"/>
      <c r="E170" s="132"/>
      <c r="F170" s="133"/>
      <c r="G170" s="134"/>
    </row>
    <row r="171" spans="2:7" x14ac:dyDescent="0.2">
      <c r="B171" s="239"/>
      <c r="C171" s="240"/>
      <c r="D171" s="126"/>
      <c r="E171" s="126"/>
      <c r="F171" s="127"/>
      <c r="G171" s="128"/>
    </row>
    <row r="172" spans="2:7" x14ac:dyDescent="0.2">
      <c r="B172" s="241"/>
      <c r="C172" s="242"/>
      <c r="D172" s="132"/>
      <c r="E172" s="132"/>
      <c r="F172" s="133"/>
      <c r="G172" s="134"/>
    </row>
    <row r="173" spans="2:7" x14ac:dyDescent="0.2">
      <c r="B173" s="243"/>
      <c r="C173" s="244"/>
      <c r="D173" s="129"/>
      <c r="E173" s="129"/>
      <c r="F173" s="130"/>
      <c r="G173" s="131"/>
    </row>
    <row r="174" spans="2:7" x14ac:dyDescent="0.2">
      <c r="B174" s="239"/>
      <c r="C174" s="240"/>
      <c r="D174" s="126"/>
      <c r="E174" s="126"/>
      <c r="F174" s="127"/>
      <c r="G174" s="128"/>
    </row>
    <row r="175" spans="2:7" x14ac:dyDescent="0.2">
      <c r="B175" s="241"/>
      <c r="C175" s="242"/>
      <c r="D175" s="132"/>
      <c r="E175" s="132"/>
      <c r="F175" s="133"/>
      <c r="G175" s="134"/>
    </row>
    <row r="176" spans="2:7" x14ac:dyDescent="0.2">
      <c r="B176" s="239"/>
      <c r="C176" s="240"/>
      <c r="D176" s="126"/>
      <c r="E176" s="126"/>
      <c r="F176" s="127"/>
      <c r="G176" s="128"/>
    </row>
    <row r="177" spans="2:7" x14ac:dyDescent="0.2">
      <c r="B177" s="241"/>
      <c r="C177" s="242"/>
      <c r="D177" s="132"/>
      <c r="E177" s="132"/>
      <c r="F177" s="133"/>
      <c r="G177" s="134"/>
    </row>
    <row r="178" spans="2:7" x14ac:dyDescent="0.2">
      <c r="B178" s="239"/>
      <c r="C178" s="240"/>
      <c r="D178" s="126"/>
      <c r="E178" s="126"/>
      <c r="F178" s="127"/>
      <c r="G178" s="128"/>
    </row>
    <row r="179" spans="2:7" x14ac:dyDescent="0.2">
      <c r="B179" s="241"/>
      <c r="C179" s="242"/>
      <c r="D179" s="132"/>
      <c r="E179" s="132"/>
      <c r="F179" s="133"/>
      <c r="G179" s="134"/>
    </row>
    <row r="180" spans="2:7" x14ac:dyDescent="0.2">
      <c r="B180" s="243"/>
      <c r="C180" s="244"/>
      <c r="D180" s="129"/>
      <c r="E180" s="129"/>
      <c r="F180" s="130"/>
      <c r="G180" s="131"/>
    </row>
    <row r="181" spans="2:7" x14ac:dyDescent="0.2">
      <c r="B181" s="239"/>
      <c r="C181" s="240"/>
      <c r="D181" s="126"/>
      <c r="E181" s="126"/>
      <c r="F181" s="127"/>
      <c r="G181" s="128"/>
    </row>
    <row r="182" spans="2:7" x14ac:dyDescent="0.2">
      <c r="B182" s="241"/>
      <c r="C182" s="242"/>
      <c r="D182" s="132"/>
      <c r="E182" s="132"/>
      <c r="F182" s="133"/>
      <c r="G182" s="134"/>
    </row>
    <row r="183" spans="2:7" x14ac:dyDescent="0.2">
      <c r="B183" s="239"/>
      <c r="C183" s="240"/>
      <c r="D183" s="126"/>
      <c r="E183" s="126"/>
      <c r="F183" s="127"/>
      <c r="G183" s="128"/>
    </row>
    <row r="184" spans="2:7" x14ac:dyDescent="0.2">
      <c r="B184" s="241"/>
      <c r="C184" s="242"/>
      <c r="D184" s="132"/>
      <c r="E184" s="132"/>
      <c r="F184" s="133"/>
      <c r="G184" s="134"/>
    </row>
    <row r="185" spans="2:7" x14ac:dyDescent="0.2">
      <c r="B185" s="243"/>
      <c r="C185" s="244"/>
      <c r="D185" s="129"/>
      <c r="E185" s="129"/>
      <c r="F185" s="130"/>
      <c r="G185" s="131"/>
    </row>
    <row r="186" spans="2:7" x14ac:dyDescent="0.2">
      <c r="B186" s="239"/>
      <c r="C186" s="240"/>
      <c r="D186" s="126"/>
      <c r="E186" s="126"/>
      <c r="F186" s="127"/>
      <c r="G186" s="128"/>
    </row>
    <row r="187" spans="2:7" x14ac:dyDescent="0.2">
      <c r="B187" s="241"/>
      <c r="C187" s="242"/>
      <c r="D187" s="132"/>
      <c r="E187" s="132"/>
      <c r="F187" s="133"/>
      <c r="G187" s="134"/>
    </row>
    <row r="188" spans="2:7" x14ac:dyDescent="0.2">
      <c r="B188" s="239"/>
      <c r="C188" s="240"/>
      <c r="D188" s="126"/>
      <c r="E188" s="126"/>
      <c r="F188" s="127"/>
      <c r="G188" s="128"/>
    </row>
    <row r="189" spans="2:7" x14ac:dyDescent="0.2">
      <c r="B189" s="241"/>
      <c r="C189" s="242"/>
      <c r="D189" s="132"/>
      <c r="E189" s="132"/>
      <c r="F189" s="133"/>
      <c r="G189" s="134"/>
    </row>
    <row r="190" spans="2:7" x14ac:dyDescent="0.2">
      <c r="B190" s="241"/>
      <c r="C190" s="242"/>
      <c r="D190" s="132"/>
      <c r="E190" s="132"/>
      <c r="F190" s="133"/>
      <c r="G190" s="134"/>
    </row>
    <row r="191" spans="2:7" x14ac:dyDescent="0.2">
      <c r="B191" s="239"/>
      <c r="C191" s="240"/>
      <c r="D191" s="126"/>
      <c r="E191" s="126"/>
      <c r="F191" s="127"/>
      <c r="G191" s="128"/>
    </row>
    <row r="192" spans="2:7" x14ac:dyDescent="0.2">
      <c r="B192" s="241"/>
      <c r="C192" s="242"/>
      <c r="D192" s="132"/>
      <c r="E192" s="132"/>
      <c r="F192" s="133"/>
      <c r="G192" s="134"/>
    </row>
    <row r="193" spans="2:7" x14ac:dyDescent="0.2">
      <c r="B193" s="241"/>
      <c r="C193" s="242"/>
      <c r="D193" s="132"/>
      <c r="E193" s="132"/>
      <c r="F193" s="133"/>
      <c r="G193" s="134"/>
    </row>
    <row r="194" spans="2:7" x14ac:dyDescent="0.2">
      <c r="B194" s="241"/>
      <c r="C194" s="242"/>
      <c r="D194" s="132"/>
      <c r="E194" s="132"/>
      <c r="F194" s="133"/>
      <c r="G194" s="134"/>
    </row>
    <row r="195" spans="2:7" x14ac:dyDescent="0.2">
      <c r="B195" s="241"/>
      <c r="C195" s="242"/>
      <c r="D195" s="132"/>
      <c r="E195" s="132"/>
      <c r="F195" s="133"/>
      <c r="G195" s="134"/>
    </row>
    <row r="196" spans="2:7" x14ac:dyDescent="0.2">
      <c r="B196" s="239"/>
      <c r="C196" s="240"/>
      <c r="D196" s="126"/>
      <c r="E196" s="126"/>
      <c r="F196" s="127"/>
      <c r="G196" s="128"/>
    </row>
    <row r="197" spans="2:7" x14ac:dyDescent="0.2">
      <c r="B197" s="239"/>
      <c r="C197" s="240"/>
      <c r="D197" s="126"/>
      <c r="E197" s="126"/>
      <c r="F197" s="127"/>
      <c r="G197" s="128"/>
    </row>
    <row r="198" spans="2:7" x14ac:dyDescent="0.2">
      <c r="B198" s="239"/>
      <c r="C198" s="240"/>
      <c r="D198" s="126"/>
      <c r="E198" s="126"/>
      <c r="F198" s="127"/>
      <c r="G198" s="128"/>
    </row>
    <row r="199" spans="2:7" x14ac:dyDescent="0.2">
      <c r="B199" s="239"/>
      <c r="C199" s="240"/>
      <c r="D199" s="126"/>
      <c r="E199" s="126"/>
      <c r="F199" s="127"/>
      <c r="G199" s="128"/>
    </row>
    <row r="200" spans="2:7" x14ac:dyDescent="0.2">
      <c r="B200" s="243"/>
      <c r="C200" s="244"/>
      <c r="D200" s="129"/>
      <c r="E200" s="129"/>
      <c r="F200" s="130"/>
      <c r="G200" s="131"/>
    </row>
    <row r="201" spans="2:7" x14ac:dyDescent="0.2">
      <c r="B201" s="239"/>
      <c r="C201" s="240"/>
      <c r="D201" s="126"/>
      <c r="E201" s="126"/>
      <c r="F201" s="127"/>
      <c r="G201" s="128"/>
    </row>
    <row r="202" spans="2:7" x14ac:dyDescent="0.2">
      <c r="B202" s="239"/>
      <c r="C202" s="240"/>
      <c r="D202" s="126"/>
      <c r="E202" s="126"/>
      <c r="F202" s="127"/>
      <c r="G202" s="128"/>
    </row>
    <row r="203" spans="2:7" x14ac:dyDescent="0.2">
      <c r="B203" s="243"/>
      <c r="C203" s="244"/>
      <c r="D203" s="129"/>
      <c r="E203" s="129"/>
      <c r="F203" s="130"/>
      <c r="G203" s="131"/>
    </row>
    <row r="204" spans="2:7" x14ac:dyDescent="0.2">
      <c r="B204" s="239"/>
      <c r="C204" s="240"/>
      <c r="D204" s="126"/>
      <c r="E204" s="126"/>
      <c r="F204" s="127"/>
      <c r="G204" s="128"/>
    </row>
    <row r="205" spans="2:7" x14ac:dyDescent="0.2">
      <c r="B205" s="239"/>
      <c r="C205" s="240"/>
      <c r="D205" s="126"/>
      <c r="E205" s="126"/>
      <c r="F205" s="127"/>
      <c r="G205" s="128"/>
    </row>
    <row r="206" spans="2:7" x14ac:dyDescent="0.2">
      <c r="B206" s="239"/>
      <c r="C206" s="240"/>
      <c r="D206" s="126"/>
      <c r="E206" s="126"/>
      <c r="F206" s="127"/>
      <c r="G206" s="128"/>
    </row>
    <row r="207" spans="2:7" x14ac:dyDescent="0.2">
      <c r="B207" s="239"/>
      <c r="C207" s="240"/>
      <c r="D207" s="126"/>
      <c r="E207" s="126"/>
      <c r="F207" s="127"/>
      <c r="G207" s="128"/>
    </row>
    <row r="208" spans="2:7" x14ac:dyDescent="0.2">
      <c r="B208" s="239"/>
      <c r="C208" s="240"/>
      <c r="D208" s="126"/>
      <c r="E208" s="126"/>
      <c r="F208" s="127"/>
      <c r="G208" s="128"/>
    </row>
    <row r="209" spans="2:7" x14ac:dyDescent="0.2">
      <c r="B209" s="239"/>
      <c r="C209" s="240"/>
      <c r="D209" s="126"/>
      <c r="E209" s="126"/>
      <c r="F209" s="127"/>
      <c r="G209" s="128"/>
    </row>
    <row r="210" spans="2:7" x14ac:dyDescent="0.2">
      <c r="B210" s="241"/>
      <c r="C210" s="242"/>
      <c r="D210" s="132"/>
      <c r="E210" s="132"/>
      <c r="F210" s="133"/>
      <c r="G210" s="134"/>
    </row>
    <row r="211" spans="2:7" x14ac:dyDescent="0.2">
      <c r="B211" s="239"/>
      <c r="C211" s="240"/>
      <c r="D211" s="126"/>
      <c r="E211" s="126"/>
      <c r="F211" s="127"/>
      <c r="G211" s="128"/>
    </row>
    <row r="212" spans="2:7" x14ac:dyDescent="0.2">
      <c r="B212" s="241"/>
      <c r="C212" s="242"/>
      <c r="D212" s="132"/>
      <c r="E212" s="132"/>
      <c r="F212" s="133"/>
      <c r="G212" s="134"/>
    </row>
    <row r="213" spans="2:7" x14ac:dyDescent="0.2">
      <c r="B213" s="239"/>
      <c r="C213" s="240"/>
      <c r="D213" s="126"/>
      <c r="E213" s="126"/>
      <c r="F213" s="127"/>
      <c r="G213" s="128"/>
    </row>
    <row r="214" spans="2:7" x14ac:dyDescent="0.2">
      <c r="B214" s="241"/>
      <c r="C214" s="242"/>
      <c r="D214" s="132"/>
      <c r="E214" s="132"/>
      <c r="F214" s="133"/>
      <c r="G214" s="134"/>
    </row>
    <row r="215" spans="2:7" x14ac:dyDescent="0.2">
      <c r="B215" s="239"/>
      <c r="C215" s="240"/>
      <c r="D215" s="126"/>
      <c r="E215" s="126"/>
      <c r="F215" s="127"/>
      <c r="G215" s="128"/>
    </row>
    <row r="216" spans="2:7" x14ac:dyDescent="0.2">
      <c r="B216" s="241"/>
      <c r="C216" s="242"/>
      <c r="D216" s="132"/>
      <c r="E216" s="132"/>
      <c r="F216" s="133"/>
      <c r="G216" s="134"/>
    </row>
    <row r="217" spans="2:7" x14ac:dyDescent="0.2">
      <c r="B217" s="239"/>
      <c r="C217" s="240"/>
      <c r="D217" s="126"/>
      <c r="E217" s="126"/>
      <c r="F217" s="127"/>
      <c r="G217" s="128"/>
    </row>
    <row r="218" spans="2:7" x14ac:dyDescent="0.2">
      <c r="B218" s="241"/>
      <c r="C218" s="242"/>
      <c r="D218" s="132"/>
      <c r="E218" s="132"/>
      <c r="F218" s="133"/>
      <c r="G218" s="134"/>
    </row>
    <row r="219" spans="2:7" x14ac:dyDescent="0.2">
      <c r="B219" s="239"/>
      <c r="C219" s="240"/>
      <c r="D219" s="126"/>
      <c r="E219" s="126"/>
      <c r="F219" s="127"/>
      <c r="G219" s="128"/>
    </row>
    <row r="220" spans="2:7" x14ac:dyDescent="0.2">
      <c r="B220" s="241"/>
      <c r="C220" s="242"/>
      <c r="D220" s="132"/>
      <c r="E220" s="132"/>
      <c r="F220" s="133"/>
      <c r="G220" s="134"/>
    </row>
    <row r="221" spans="2:7" x14ac:dyDescent="0.2">
      <c r="B221" s="239"/>
      <c r="C221" s="240"/>
      <c r="D221" s="126"/>
      <c r="E221" s="126"/>
      <c r="F221" s="127"/>
      <c r="G221" s="128"/>
    </row>
    <row r="222" spans="2:7" x14ac:dyDescent="0.2">
      <c r="B222" s="241"/>
      <c r="C222" s="242"/>
      <c r="D222" s="132"/>
      <c r="E222" s="132"/>
      <c r="F222" s="133"/>
      <c r="G222" s="134"/>
    </row>
    <row r="223" spans="2:7" x14ac:dyDescent="0.2">
      <c r="B223" s="239"/>
      <c r="C223" s="240"/>
      <c r="D223" s="126"/>
      <c r="E223" s="126"/>
      <c r="F223" s="127"/>
      <c r="G223" s="128"/>
    </row>
    <row r="224" spans="2:7" x14ac:dyDescent="0.2">
      <c r="B224" s="241"/>
      <c r="C224" s="242"/>
      <c r="D224" s="132"/>
      <c r="E224" s="132"/>
      <c r="F224" s="133"/>
      <c r="G224" s="134"/>
    </row>
    <row r="225" spans="2:7" x14ac:dyDescent="0.2">
      <c r="B225" s="239"/>
      <c r="C225" s="240"/>
      <c r="D225" s="126"/>
      <c r="E225" s="126"/>
      <c r="F225" s="127"/>
      <c r="G225" s="128"/>
    </row>
    <row r="226" spans="2:7" x14ac:dyDescent="0.2">
      <c r="B226" s="241"/>
      <c r="C226" s="242"/>
      <c r="D226" s="132"/>
      <c r="E226" s="132"/>
      <c r="F226" s="133"/>
      <c r="G226" s="134"/>
    </row>
    <row r="227" spans="2:7" x14ac:dyDescent="0.2">
      <c r="B227" s="239"/>
      <c r="C227" s="240"/>
      <c r="D227" s="126"/>
      <c r="E227" s="126"/>
      <c r="F227" s="127"/>
      <c r="G227" s="128"/>
    </row>
    <row r="228" spans="2:7" x14ac:dyDescent="0.2">
      <c r="B228" s="241"/>
      <c r="C228" s="242"/>
      <c r="D228" s="132"/>
      <c r="E228" s="132"/>
      <c r="F228" s="133"/>
      <c r="G228" s="134"/>
    </row>
    <row r="229" spans="2:7" x14ac:dyDescent="0.2">
      <c r="B229" s="243"/>
      <c r="C229" s="244"/>
      <c r="D229" s="129"/>
      <c r="E229" s="129"/>
      <c r="F229" s="130"/>
      <c r="G229" s="131"/>
    </row>
    <row r="230" spans="2:7" x14ac:dyDescent="0.2">
      <c r="B230" s="239"/>
      <c r="C230" s="240"/>
      <c r="D230" s="126"/>
      <c r="E230" s="126"/>
      <c r="F230" s="127"/>
      <c r="G230" s="128"/>
    </row>
    <row r="231" spans="2:7" x14ac:dyDescent="0.2">
      <c r="B231" s="241"/>
      <c r="C231" s="242"/>
      <c r="D231" s="132"/>
      <c r="E231" s="132"/>
      <c r="F231" s="133"/>
      <c r="G231" s="134"/>
    </row>
    <row r="232" spans="2:7" x14ac:dyDescent="0.2">
      <c r="B232" s="243"/>
      <c r="C232" s="244"/>
      <c r="D232" s="129"/>
      <c r="E232" s="129"/>
      <c r="F232" s="130"/>
      <c r="G232" s="131"/>
    </row>
    <row r="233" spans="2:7" x14ac:dyDescent="0.2">
      <c r="B233" s="239"/>
      <c r="C233" s="240"/>
      <c r="D233" s="126"/>
      <c r="E233" s="126"/>
      <c r="F233" s="127"/>
      <c r="G233" s="128"/>
    </row>
    <row r="234" spans="2:7" x14ac:dyDescent="0.2">
      <c r="B234" s="241"/>
      <c r="C234" s="242"/>
      <c r="D234" s="132"/>
      <c r="E234" s="132"/>
      <c r="F234" s="133"/>
      <c r="G234" s="134"/>
    </row>
    <row r="235" spans="2:7" x14ac:dyDescent="0.2">
      <c r="B235" s="243"/>
      <c r="C235" s="244"/>
      <c r="D235" s="129"/>
      <c r="E235" s="129"/>
      <c r="F235" s="130"/>
      <c r="G235" s="131"/>
    </row>
    <row r="236" spans="2:7" x14ac:dyDescent="0.2">
      <c r="B236" s="239"/>
      <c r="C236" s="240"/>
      <c r="D236" s="126"/>
      <c r="E236" s="126"/>
      <c r="F236" s="127"/>
      <c r="G236" s="128"/>
    </row>
    <row r="237" spans="2:7" x14ac:dyDescent="0.2">
      <c r="B237" s="241"/>
      <c r="C237" s="242"/>
      <c r="D237" s="132"/>
      <c r="E237" s="132"/>
      <c r="F237" s="133"/>
      <c r="G237" s="134"/>
    </row>
    <row r="238" spans="2:7" x14ac:dyDescent="0.2">
      <c r="B238" s="243"/>
      <c r="C238" s="244"/>
      <c r="D238" s="129"/>
      <c r="E238" s="129"/>
      <c r="F238" s="130"/>
      <c r="G238" s="131"/>
    </row>
    <row r="239" spans="2:7" x14ac:dyDescent="0.2">
      <c r="B239" s="239"/>
      <c r="C239" s="240"/>
      <c r="D239" s="126"/>
      <c r="E239" s="126"/>
      <c r="F239" s="127"/>
      <c r="G239" s="128"/>
    </row>
    <row r="240" spans="2:7" x14ac:dyDescent="0.2">
      <c r="B240" s="241"/>
      <c r="C240" s="242"/>
      <c r="D240" s="132"/>
      <c r="E240" s="132"/>
      <c r="F240" s="133"/>
      <c r="G240" s="134"/>
    </row>
    <row r="241" spans="2:7" x14ac:dyDescent="0.2">
      <c r="B241" s="239"/>
      <c r="C241" s="240"/>
      <c r="D241" s="126"/>
      <c r="E241" s="126"/>
      <c r="F241" s="127"/>
      <c r="G241" s="128"/>
    </row>
    <row r="242" spans="2:7" x14ac:dyDescent="0.2">
      <c r="B242" s="241"/>
      <c r="C242" s="242"/>
      <c r="D242" s="132"/>
      <c r="E242" s="132"/>
      <c r="F242" s="133"/>
      <c r="G242" s="134"/>
    </row>
    <row r="243" spans="2:7" x14ac:dyDescent="0.2">
      <c r="B243" s="243"/>
      <c r="C243" s="244"/>
      <c r="D243" s="129"/>
      <c r="E243" s="129"/>
      <c r="F243" s="130"/>
      <c r="G243" s="131"/>
    </row>
    <row r="244" spans="2:7" x14ac:dyDescent="0.2">
      <c r="B244" s="239"/>
      <c r="C244" s="240"/>
      <c r="D244" s="126"/>
      <c r="E244" s="126"/>
      <c r="F244" s="127"/>
      <c r="G244" s="128"/>
    </row>
    <row r="245" spans="2:7" x14ac:dyDescent="0.2">
      <c r="B245" s="241"/>
      <c r="C245" s="242"/>
      <c r="D245" s="132"/>
      <c r="E245" s="132"/>
      <c r="F245" s="133"/>
      <c r="G245" s="134"/>
    </row>
    <row r="246" spans="2:7" x14ac:dyDescent="0.2">
      <c r="B246" s="239"/>
      <c r="C246" s="240"/>
      <c r="D246" s="126"/>
      <c r="E246" s="126"/>
      <c r="F246" s="127"/>
      <c r="G246" s="128"/>
    </row>
    <row r="247" spans="2:7" x14ac:dyDescent="0.2">
      <c r="B247" s="241"/>
      <c r="C247" s="242"/>
      <c r="D247" s="132"/>
      <c r="E247" s="132"/>
      <c r="F247" s="133"/>
      <c r="G247" s="134"/>
    </row>
    <row r="248" spans="2:7" x14ac:dyDescent="0.2">
      <c r="B248" s="243"/>
      <c r="C248" s="244"/>
      <c r="D248" s="129"/>
      <c r="E248" s="129"/>
      <c r="F248" s="130"/>
      <c r="G248" s="131"/>
    </row>
    <row r="249" spans="2:7" x14ac:dyDescent="0.2">
      <c r="B249" s="239"/>
      <c r="C249" s="240"/>
      <c r="D249" s="126"/>
      <c r="E249" s="126"/>
      <c r="F249" s="127"/>
      <c r="G249" s="128"/>
    </row>
    <row r="250" spans="2:7" x14ac:dyDescent="0.2">
      <c r="B250" s="241"/>
      <c r="C250" s="242"/>
      <c r="D250" s="132"/>
      <c r="E250" s="132"/>
      <c r="F250" s="133"/>
      <c r="G250" s="134"/>
    </row>
    <row r="251" spans="2:7" x14ac:dyDescent="0.2">
      <c r="B251" s="243"/>
      <c r="C251" s="244"/>
      <c r="D251" s="129"/>
      <c r="E251" s="129"/>
      <c r="F251" s="130"/>
      <c r="G251" s="131"/>
    </row>
    <row r="252" spans="2:7" x14ac:dyDescent="0.2">
      <c r="B252" s="239"/>
      <c r="C252" s="240"/>
      <c r="D252" s="126"/>
      <c r="E252" s="126"/>
      <c r="F252" s="127"/>
      <c r="G252" s="128"/>
    </row>
    <row r="253" spans="2:7" x14ac:dyDescent="0.2">
      <c r="B253" s="241"/>
      <c r="C253" s="242"/>
      <c r="D253" s="132"/>
      <c r="E253" s="132"/>
      <c r="F253" s="133"/>
      <c r="G253" s="134"/>
    </row>
    <row r="254" spans="2:7" x14ac:dyDescent="0.2">
      <c r="B254" s="239"/>
      <c r="C254" s="240"/>
      <c r="D254" s="126"/>
      <c r="E254" s="126"/>
      <c r="F254" s="127"/>
      <c r="G254" s="128"/>
    </row>
    <row r="255" spans="2:7" x14ac:dyDescent="0.2">
      <c r="B255" s="241"/>
      <c r="C255" s="242"/>
      <c r="D255" s="132"/>
      <c r="E255" s="132"/>
      <c r="F255" s="133"/>
      <c r="G255" s="134"/>
    </row>
    <row r="256" spans="2:7" x14ac:dyDescent="0.2">
      <c r="B256" s="243"/>
      <c r="C256" s="244"/>
      <c r="D256" s="129"/>
      <c r="E256" s="129"/>
      <c r="F256" s="130"/>
      <c r="G256" s="131"/>
    </row>
    <row r="257" spans="2:7" x14ac:dyDescent="0.2">
      <c r="B257" s="239"/>
      <c r="C257" s="240"/>
      <c r="D257" s="126"/>
      <c r="E257" s="126"/>
      <c r="F257" s="127"/>
      <c r="G257" s="128"/>
    </row>
    <row r="258" spans="2:7" x14ac:dyDescent="0.2">
      <c r="B258" s="241"/>
      <c r="C258" s="242"/>
      <c r="D258" s="132"/>
      <c r="E258" s="132"/>
      <c r="F258" s="133"/>
      <c r="G258" s="134"/>
    </row>
    <row r="259" spans="2:7" x14ac:dyDescent="0.2">
      <c r="B259" s="243"/>
      <c r="C259" s="244"/>
      <c r="D259" s="129"/>
      <c r="E259" s="129"/>
      <c r="F259" s="130"/>
      <c r="G259" s="131"/>
    </row>
    <row r="260" spans="2:7" x14ac:dyDescent="0.2">
      <c r="B260" s="239"/>
      <c r="C260" s="240"/>
      <c r="D260" s="126"/>
      <c r="E260" s="126"/>
      <c r="F260" s="127"/>
      <c r="G260" s="128"/>
    </row>
    <row r="261" spans="2:7" x14ac:dyDescent="0.2">
      <c r="B261" s="241"/>
      <c r="C261" s="242"/>
      <c r="D261" s="132"/>
      <c r="E261" s="132"/>
      <c r="F261" s="133"/>
      <c r="G261" s="134"/>
    </row>
    <row r="262" spans="2:7" x14ac:dyDescent="0.2">
      <c r="B262" s="243"/>
      <c r="C262" s="244"/>
      <c r="D262" s="129"/>
      <c r="E262" s="129"/>
      <c r="F262" s="130"/>
      <c r="G262" s="131"/>
    </row>
    <row r="263" spans="2:7" x14ac:dyDescent="0.2">
      <c r="B263" s="239"/>
      <c r="C263" s="240"/>
      <c r="D263" s="126"/>
      <c r="E263" s="126"/>
      <c r="F263" s="127"/>
      <c r="G263" s="128"/>
    </row>
    <row r="264" spans="2:7" x14ac:dyDescent="0.2">
      <c r="B264" s="241"/>
      <c r="C264" s="242"/>
      <c r="D264" s="132"/>
      <c r="E264" s="132"/>
      <c r="F264" s="133"/>
      <c r="G264" s="134"/>
    </row>
    <row r="265" spans="2:7" x14ac:dyDescent="0.2">
      <c r="B265" s="243"/>
      <c r="C265" s="244"/>
      <c r="D265" s="129"/>
      <c r="E265" s="129"/>
      <c r="F265" s="130"/>
      <c r="G265" s="131"/>
    </row>
    <row r="266" spans="2:7" x14ac:dyDescent="0.2">
      <c r="B266" s="239"/>
      <c r="C266" s="240"/>
      <c r="D266" s="126"/>
      <c r="E266" s="126"/>
      <c r="F266" s="127"/>
      <c r="G266" s="128"/>
    </row>
    <row r="267" spans="2:7" x14ac:dyDescent="0.2">
      <c r="B267" s="241"/>
      <c r="C267" s="242"/>
      <c r="D267" s="132"/>
      <c r="E267" s="132"/>
      <c r="F267" s="133"/>
      <c r="G267" s="134"/>
    </row>
    <row r="268" spans="2:7" x14ac:dyDescent="0.2">
      <c r="B268" s="243"/>
      <c r="C268" s="244"/>
      <c r="D268" s="129"/>
      <c r="E268" s="129"/>
      <c r="F268" s="130"/>
      <c r="G268" s="131"/>
    </row>
    <row r="269" spans="2:7" x14ac:dyDescent="0.2">
      <c r="B269" s="239"/>
      <c r="C269" s="240"/>
      <c r="D269" s="126"/>
      <c r="E269" s="126"/>
      <c r="F269" s="127"/>
      <c r="G269" s="128"/>
    </row>
    <row r="270" spans="2:7" x14ac:dyDescent="0.2">
      <c r="B270" s="241"/>
      <c r="C270" s="242"/>
      <c r="D270" s="132"/>
      <c r="E270" s="132"/>
      <c r="F270" s="133"/>
      <c r="G270" s="134"/>
    </row>
    <row r="271" spans="2:7" x14ac:dyDescent="0.2">
      <c r="B271" s="243"/>
      <c r="C271" s="244"/>
      <c r="D271" s="129"/>
      <c r="E271" s="129"/>
      <c r="F271" s="130"/>
      <c r="G271" s="131"/>
    </row>
    <row r="272" spans="2:7" x14ac:dyDescent="0.2">
      <c r="B272" s="239"/>
      <c r="C272" s="240"/>
      <c r="D272" s="126"/>
      <c r="E272" s="126"/>
      <c r="F272" s="127"/>
      <c r="G272" s="128"/>
    </row>
    <row r="273" spans="2:7" x14ac:dyDescent="0.2">
      <c r="B273" s="241"/>
      <c r="C273" s="242"/>
      <c r="D273" s="132"/>
      <c r="E273" s="132"/>
      <c r="F273" s="133"/>
      <c r="G273" s="134"/>
    </row>
    <row r="274" spans="2:7" x14ac:dyDescent="0.2">
      <c r="B274" s="243"/>
      <c r="C274" s="244"/>
      <c r="D274" s="129"/>
      <c r="E274" s="129"/>
      <c r="F274" s="130"/>
      <c r="G274" s="131"/>
    </row>
    <row r="275" spans="2:7" x14ac:dyDescent="0.2">
      <c r="B275" s="239"/>
      <c r="C275" s="240"/>
      <c r="D275" s="126"/>
      <c r="E275" s="126"/>
      <c r="F275" s="127"/>
      <c r="G275" s="128"/>
    </row>
    <row r="276" spans="2:7" x14ac:dyDescent="0.2">
      <c r="B276" s="241"/>
      <c r="C276" s="242"/>
      <c r="D276" s="132"/>
      <c r="E276" s="132"/>
      <c r="F276" s="133"/>
      <c r="G276" s="134"/>
    </row>
    <row r="277" spans="2:7" x14ac:dyDescent="0.2">
      <c r="B277" s="239"/>
      <c r="C277" s="240"/>
      <c r="D277" s="126"/>
      <c r="E277" s="126"/>
      <c r="F277" s="127"/>
      <c r="G277" s="128"/>
    </row>
    <row r="278" spans="2:7" x14ac:dyDescent="0.2">
      <c r="B278" s="241"/>
      <c r="C278" s="242"/>
      <c r="D278" s="132"/>
      <c r="E278" s="132"/>
      <c r="F278" s="133"/>
      <c r="G278" s="134"/>
    </row>
    <row r="279" spans="2:7" x14ac:dyDescent="0.2">
      <c r="B279" s="243"/>
      <c r="C279" s="244"/>
      <c r="D279" s="129"/>
      <c r="E279" s="129"/>
      <c r="F279" s="130"/>
      <c r="G279" s="131"/>
    </row>
    <row r="280" spans="2:7" x14ac:dyDescent="0.2">
      <c r="B280" s="239"/>
      <c r="C280" s="240"/>
      <c r="D280" s="126"/>
      <c r="E280" s="126"/>
      <c r="F280" s="127"/>
      <c r="G280" s="128"/>
    </row>
    <row r="281" spans="2:7" x14ac:dyDescent="0.2">
      <c r="B281" s="241"/>
      <c r="C281" s="242"/>
      <c r="D281" s="132"/>
      <c r="E281" s="132"/>
      <c r="F281" s="133"/>
      <c r="G281" s="134"/>
    </row>
    <row r="282" spans="2:7" x14ac:dyDescent="0.2">
      <c r="B282" s="239"/>
      <c r="C282" s="240"/>
      <c r="D282" s="126"/>
      <c r="E282" s="126"/>
      <c r="F282" s="127"/>
      <c r="G282" s="128"/>
    </row>
    <row r="283" spans="2:7" x14ac:dyDescent="0.2">
      <c r="B283" s="241"/>
      <c r="C283" s="242"/>
      <c r="D283" s="132"/>
      <c r="E283" s="132"/>
      <c r="F283" s="133"/>
      <c r="G283" s="134"/>
    </row>
    <row r="284" spans="2:7" x14ac:dyDescent="0.2">
      <c r="B284" s="243"/>
      <c r="C284" s="244"/>
      <c r="D284" s="129"/>
      <c r="E284" s="129"/>
      <c r="F284" s="130"/>
      <c r="G284" s="131"/>
    </row>
    <row r="285" spans="2:7" x14ac:dyDescent="0.2">
      <c r="B285" s="239"/>
      <c r="C285" s="240"/>
      <c r="D285" s="126"/>
      <c r="E285" s="126"/>
      <c r="F285" s="127"/>
      <c r="G285" s="128"/>
    </row>
    <row r="286" spans="2:7" x14ac:dyDescent="0.2">
      <c r="B286" s="241"/>
      <c r="C286" s="242"/>
      <c r="D286" s="132"/>
      <c r="E286" s="132"/>
      <c r="F286" s="133"/>
      <c r="G286" s="134"/>
    </row>
    <row r="287" spans="2:7" x14ac:dyDescent="0.2">
      <c r="B287" s="243"/>
      <c r="C287" s="244"/>
      <c r="D287" s="129"/>
      <c r="E287" s="129"/>
      <c r="F287" s="130"/>
      <c r="G287" s="131"/>
    </row>
    <row r="288" spans="2:7" x14ac:dyDescent="0.2">
      <c r="B288" s="239"/>
      <c r="C288" s="240"/>
      <c r="D288" s="126"/>
      <c r="E288" s="126"/>
      <c r="F288" s="127"/>
      <c r="G288" s="128"/>
    </row>
    <row r="289" spans="2:7" x14ac:dyDescent="0.2">
      <c r="B289" s="241"/>
      <c r="C289" s="242"/>
      <c r="D289" s="132"/>
      <c r="E289" s="132"/>
      <c r="F289" s="133"/>
      <c r="G289" s="134"/>
    </row>
    <row r="290" spans="2:7" x14ac:dyDescent="0.2">
      <c r="B290" s="239"/>
      <c r="C290" s="240"/>
      <c r="D290" s="126"/>
      <c r="E290" s="126"/>
      <c r="F290" s="127"/>
      <c r="G290" s="128"/>
    </row>
    <row r="291" spans="2:7" x14ac:dyDescent="0.2">
      <c r="B291" s="241"/>
      <c r="C291" s="242"/>
      <c r="D291" s="132"/>
      <c r="E291" s="132"/>
      <c r="F291" s="133"/>
      <c r="G291" s="134"/>
    </row>
    <row r="292" spans="2:7" x14ac:dyDescent="0.2">
      <c r="B292" s="243"/>
      <c r="C292" s="244"/>
      <c r="D292" s="129"/>
      <c r="E292" s="129"/>
      <c r="F292" s="130"/>
      <c r="G292" s="131"/>
    </row>
    <row r="293" spans="2:7" x14ac:dyDescent="0.2">
      <c r="B293" s="239"/>
      <c r="C293" s="240"/>
      <c r="D293" s="126"/>
      <c r="E293" s="126"/>
      <c r="F293" s="127"/>
      <c r="G293" s="128"/>
    </row>
    <row r="294" spans="2:7" x14ac:dyDescent="0.2">
      <c r="B294" s="241"/>
      <c r="C294" s="242"/>
      <c r="D294" s="132"/>
      <c r="E294" s="132"/>
      <c r="F294" s="133"/>
      <c r="G294" s="134"/>
    </row>
    <row r="295" spans="2:7" x14ac:dyDescent="0.2">
      <c r="B295" s="239"/>
      <c r="C295" s="240"/>
      <c r="D295" s="126"/>
      <c r="E295" s="126"/>
      <c r="F295" s="127"/>
      <c r="G295" s="128"/>
    </row>
    <row r="296" spans="2:7" x14ac:dyDescent="0.2">
      <c r="B296" s="241"/>
      <c r="C296" s="242"/>
      <c r="D296" s="132"/>
      <c r="E296" s="132"/>
      <c r="F296" s="133"/>
      <c r="G296" s="134"/>
    </row>
    <row r="297" spans="2:7" x14ac:dyDescent="0.2">
      <c r="B297" s="243"/>
      <c r="C297" s="244"/>
      <c r="D297" s="129"/>
      <c r="E297" s="129"/>
      <c r="F297" s="130"/>
      <c r="G297" s="131"/>
    </row>
    <row r="298" spans="2:7" x14ac:dyDescent="0.2">
      <c r="B298" s="239"/>
      <c r="C298" s="240"/>
      <c r="D298" s="126"/>
      <c r="E298" s="126"/>
      <c r="F298" s="127"/>
      <c r="G298" s="128"/>
    </row>
    <row r="299" spans="2:7" x14ac:dyDescent="0.2">
      <c r="B299" s="241"/>
      <c r="C299" s="242"/>
      <c r="D299" s="132"/>
      <c r="E299" s="132"/>
      <c r="F299" s="133"/>
      <c r="G299" s="134"/>
    </row>
    <row r="300" spans="2:7" x14ac:dyDescent="0.2">
      <c r="B300" s="239"/>
      <c r="C300" s="240"/>
      <c r="D300" s="126"/>
      <c r="E300" s="126"/>
      <c r="F300" s="127"/>
      <c r="G300" s="128"/>
    </row>
    <row r="301" spans="2:7" x14ac:dyDescent="0.2">
      <c r="B301" s="241"/>
      <c r="C301" s="242"/>
      <c r="D301" s="132"/>
      <c r="E301" s="132"/>
      <c r="F301" s="133"/>
      <c r="G301" s="134"/>
    </row>
    <row r="302" spans="2:7" x14ac:dyDescent="0.2">
      <c r="B302" s="243"/>
      <c r="C302" s="244"/>
      <c r="D302" s="129"/>
      <c r="E302" s="129"/>
      <c r="F302" s="130"/>
      <c r="G302" s="131"/>
    </row>
    <row r="303" spans="2:7" x14ac:dyDescent="0.2">
      <c r="B303" s="239"/>
      <c r="C303" s="240"/>
      <c r="D303" s="126"/>
      <c r="E303" s="126"/>
      <c r="F303" s="127"/>
      <c r="G303" s="128"/>
    </row>
    <row r="304" spans="2:7" x14ac:dyDescent="0.2">
      <c r="B304" s="241"/>
      <c r="C304" s="242"/>
      <c r="D304" s="132"/>
      <c r="E304" s="132"/>
      <c r="F304" s="133"/>
      <c r="G304" s="134"/>
    </row>
    <row r="305" spans="2:7" x14ac:dyDescent="0.2">
      <c r="B305" s="243"/>
      <c r="C305" s="244"/>
      <c r="D305" s="129"/>
      <c r="E305" s="129"/>
      <c r="F305" s="130"/>
      <c r="G305" s="131"/>
    </row>
    <row r="306" spans="2:7" x14ac:dyDescent="0.2">
      <c r="B306" s="239"/>
      <c r="C306" s="240"/>
      <c r="D306" s="126"/>
      <c r="E306" s="126"/>
      <c r="F306" s="127"/>
      <c r="G306" s="128"/>
    </row>
    <row r="307" spans="2:7" x14ac:dyDescent="0.2">
      <c r="B307" s="241"/>
      <c r="C307" s="242"/>
      <c r="D307" s="132"/>
      <c r="E307" s="132"/>
      <c r="F307" s="133"/>
      <c r="G307" s="134"/>
    </row>
    <row r="308" spans="2:7" x14ac:dyDescent="0.2">
      <c r="B308" s="245"/>
      <c r="C308" s="246"/>
      <c r="D308" s="109"/>
      <c r="E308" s="109"/>
      <c r="F308" s="110"/>
      <c r="G308" s="112"/>
    </row>
    <row r="309" spans="2:7" x14ac:dyDescent="0.2">
      <c r="B309" s="245"/>
      <c r="C309" s="246"/>
      <c r="D309" s="109"/>
      <c r="E309" s="109"/>
      <c r="F309" s="110"/>
      <c r="G309" s="112"/>
    </row>
    <row r="310" spans="2:7" x14ac:dyDescent="0.2">
      <c r="B310" s="245"/>
      <c r="C310" s="246"/>
      <c r="D310" s="109"/>
      <c r="E310" s="109"/>
      <c r="F310" s="110"/>
      <c r="G310" s="112"/>
    </row>
    <row r="311" spans="2:7" x14ac:dyDescent="0.2">
      <c r="B311" s="245"/>
      <c r="C311" s="246"/>
      <c r="D311" s="109"/>
      <c r="E311" s="109"/>
      <c r="F311" s="110"/>
      <c r="G311" s="112"/>
    </row>
    <row r="312" spans="2:7" x14ac:dyDescent="0.2">
      <c r="B312" s="245"/>
      <c r="C312" s="246"/>
      <c r="D312" s="109"/>
      <c r="E312" s="109"/>
      <c r="F312" s="110"/>
      <c r="G312" s="112"/>
    </row>
    <row r="313" spans="2:7" x14ac:dyDescent="0.2">
      <c r="B313" s="245"/>
      <c r="C313" s="246"/>
      <c r="D313" s="109"/>
      <c r="E313" s="109"/>
      <c r="F313" s="110"/>
      <c r="G313" s="112"/>
    </row>
    <row r="314" spans="2:7" x14ac:dyDescent="0.2">
      <c r="B314" s="245"/>
      <c r="C314" s="246"/>
      <c r="D314" s="109"/>
      <c r="E314" s="109"/>
      <c r="F314" s="110"/>
      <c r="G314" s="112"/>
    </row>
    <row r="315" spans="2:7" x14ac:dyDescent="0.2">
      <c r="B315" s="245"/>
      <c r="C315" s="246"/>
      <c r="D315" s="109"/>
      <c r="E315" s="109"/>
      <c r="F315" s="110"/>
      <c r="G315" s="112"/>
    </row>
    <row r="316" spans="2:7" x14ac:dyDescent="0.2">
      <c r="B316" s="245"/>
      <c r="C316" s="246"/>
      <c r="D316" s="109"/>
      <c r="E316" s="109"/>
      <c r="F316" s="110"/>
      <c r="G316" s="112"/>
    </row>
    <row r="317" spans="2:7" x14ac:dyDescent="0.2">
      <c r="B317" s="245"/>
      <c r="C317" s="246"/>
      <c r="D317" s="109"/>
      <c r="E317" s="109"/>
      <c r="F317" s="110"/>
      <c r="G317" s="112"/>
    </row>
    <row r="318" spans="2:7" x14ac:dyDescent="0.2">
      <c r="B318" s="245"/>
      <c r="C318" s="246"/>
      <c r="D318" s="109"/>
      <c r="E318" s="109"/>
      <c r="F318" s="110"/>
      <c r="G318" s="112"/>
    </row>
    <row r="319" spans="2:7" x14ac:dyDescent="0.2">
      <c r="B319" s="245"/>
      <c r="C319" s="246"/>
      <c r="D319" s="109"/>
      <c r="E319" s="109"/>
      <c r="F319" s="110"/>
      <c r="G319" s="112"/>
    </row>
    <row r="320" spans="2:7" x14ac:dyDescent="0.2">
      <c r="B320" s="245"/>
      <c r="C320" s="246"/>
      <c r="D320" s="109"/>
      <c r="E320" s="109"/>
      <c r="F320" s="110"/>
      <c r="G320" s="112"/>
    </row>
    <row r="321" spans="2:7" x14ac:dyDescent="0.2">
      <c r="B321" s="245"/>
      <c r="C321" s="246"/>
      <c r="D321" s="109"/>
      <c r="E321" s="109"/>
      <c r="F321" s="110"/>
      <c r="G321" s="112"/>
    </row>
    <row r="322" spans="2:7" x14ac:dyDescent="0.2">
      <c r="B322" s="245"/>
      <c r="C322" s="246"/>
      <c r="D322" s="109"/>
      <c r="E322" s="109"/>
      <c r="F322" s="110"/>
      <c r="G322" s="112"/>
    </row>
    <row r="323" spans="2:7" x14ac:dyDescent="0.2">
      <c r="B323" s="245"/>
      <c r="C323" s="246"/>
      <c r="D323" s="109"/>
      <c r="E323" s="109"/>
      <c r="F323" s="110"/>
      <c r="G323" s="112"/>
    </row>
    <row r="324" spans="2:7" x14ac:dyDescent="0.2">
      <c r="B324" s="245"/>
      <c r="C324" s="246"/>
      <c r="D324" s="109"/>
      <c r="E324" s="109"/>
      <c r="F324" s="110"/>
      <c r="G324" s="112"/>
    </row>
    <row r="325" spans="2:7" x14ac:dyDescent="0.2">
      <c r="B325" s="245"/>
      <c r="C325" s="246"/>
      <c r="D325" s="109"/>
      <c r="E325" s="109"/>
      <c r="F325" s="110"/>
      <c r="G325" s="112"/>
    </row>
    <row r="326" spans="2:7" x14ac:dyDescent="0.2">
      <c r="B326" s="245"/>
      <c r="C326" s="246"/>
      <c r="D326" s="109"/>
      <c r="E326" s="109"/>
      <c r="F326" s="110"/>
      <c r="G326" s="112"/>
    </row>
    <row r="327" spans="2:7" x14ac:dyDescent="0.2">
      <c r="B327" s="245"/>
      <c r="C327" s="246"/>
      <c r="D327" s="109"/>
      <c r="E327" s="109"/>
      <c r="F327" s="110"/>
      <c r="G327" s="112"/>
    </row>
    <row r="328" spans="2:7" x14ac:dyDescent="0.2">
      <c r="B328" s="245"/>
      <c r="C328" s="246"/>
      <c r="D328" s="109"/>
      <c r="E328" s="109"/>
      <c r="F328" s="110"/>
      <c r="G328" s="112"/>
    </row>
    <row r="329" spans="2:7" x14ac:dyDescent="0.2">
      <c r="B329" s="245"/>
      <c r="C329" s="246"/>
      <c r="D329" s="109"/>
      <c r="E329" s="109"/>
      <c r="F329" s="110"/>
      <c r="G329" s="112"/>
    </row>
    <row r="330" spans="2:7" x14ac:dyDescent="0.2">
      <c r="B330" s="245"/>
      <c r="C330" s="246"/>
      <c r="D330" s="109"/>
      <c r="E330" s="109"/>
      <c r="F330" s="110"/>
      <c r="G330" s="112"/>
    </row>
    <row r="331" spans="2:7" x14ac:dyDescent="0.2">
      <c r="B331" s="245"/>
      <c r="C331" s="246"/>
      <c r="D331" s="109"/>
      <c r="E331" s="109"/>
      <c r="F331" s="110"/>
      <c r="G331" s="112"/>
    </row>
    <row r="332" spans="2:7" x14ac:dyDescent="0.2">
      <c r="B332" s="245"/>
      <c r="C332" s="246"/>
      <c r="D332" s="109"/>
      <c r="E332" s="109"/>
      <c r="F332" s="110"/>
      <c r="G332" s="112"/>
    </row>
    <row r="333" spans="2:7" x14ac:dyDescent="0.2">
      <c r="B333" s="245"/>
      <c r="C333" s="246"/>
      <c r="D333" s="109"/>
      <c r="E333" s="109"/>
      <c r="F333" s="110"/>
      <c r="G333" s="112"/>
    </row>
    <row r="334" spans="2:7" x14ac:dyDescent="0.2">
      <c r="B334" s="245"/>
      <c r="C334" s="246"/>
      <c r="D334" s="109"/>
      <c r="E334" s="109"/>
      <c r="F334" s="110"/>
      <c r="G334" s="112"/>
    </row>
    <row r="335" spans="2:7" x14ac:dyDescent="0.2">
      <c r="B335" s="245"/>
      <c r="C335" s="246"/>
      <c r="D335" s="109"/>
      <c r="E335" s="109"/>
      <c r="F335" s="110"/>
      <c r="G335" s="112"/>
    </row>
    <row r="336" spans="2:7" x14ac:dyDescent="0.2">
      <c r="B336" s="245"/>
      <c r="C336" s="246"/>
      <c r="D336" s="109"/>
      <c r="E336" s="109"/>
      <c r="F336" s="110"/>
      <c r="G336" s="112"/>
    </row>
    <row r="337" spans="2:7" x14ac:dyDescent="0.2">
      <c r="B337" s="245"/>
      <c r="C337" s="246"/>
      <c r="D337" s="109"/>
      <c r="E337" s="109"/>
      <c r="F337" s="110"/>
      <c r="G337" s="112"/>
    </row>
    <row r="338" spans="2:7" x14ac:dyDescent="0.2">
      <c r="B338" s="245"/>
      <c r="C338" s="246"/>
      <c r="D338" s="109"/>
      <c r="E338" s="109"/>
      <c r="F338" s="110"/>
      <c r="G338" s="112"/>
    </row>
    <row r="339" spans="2:7" x14ac:dyDescent="0.2">
      <c r="B339" s="245"/>
      <c r="C339" s="246"/>
      <c r="D339" s="109"/>
      <c r="E339" s="109"/>
      <c r="F339" s="110"/>
      <c r="G339" s="112"/>
    </row>
    <row r="340" spans="2:7" x14ac:dyDescent="0.2">
      <c r="B340" s="245"/>
      <c r="C340" s="246"/>
      <c r="D340" s="109"/>
      <c r="E340" s="109"/>
      <c r="F340" s="110"/>
      <c r="G340" s="112"/>
    </row>
    <row r="341" spans="2:7" x14ac:dyDescent="0.2">
      <c r="B341" s="245"/>
      <c r="C341" s="246"/>
      <c r="D341" s="109"/>
      <c r="E341" s="109"/>
      <c r="F341" s="110"/>
      <c r="G341" s="112"/>
    </row>
    <row r="342" spans="2:7" x14ac:dyDescent="0.2">
      <c r="B342" s="245"/>
      <c r="C342" s="246"/>
      <c r="D342" s="109"/>
      <c r="E342" s="109"/>
      <c r="F342" s="110"/>
      <c r="G342" s="112"/>
    </row>
    <row r="343" spans="2:7" x14ac:dyDescent="0.2">
      <c r="B343" s="245"/>
      <c r="C343" s="246"/>
      <c r="D343" s="109"/>
      <c r="E343" s="109"/>
      <c r="F343" s="110"/>
      <c r="G343" s="112"/>
    </row>
    <row r="344" spans="2:7" x14ac:dyDescent="0.2">
      <c r="B344" s="245"/>
      <c r="C344" s="246"/>
      <c r="D344" s="109"/>
      <c r="E344" s="109"/>
      <c r="F344" s="110"/>
      <c r="G344" s="112"/>
    </row>
    <row r="345" spans="2:7" x14ac:dyDescent="0.2">
      <c r="B345" s="245"/>
      <c r="C345" s="246"/>
      <c r="D345" s="109"/>
      <c r="E345" s="109"/>
      <c r="F345" s="110"/>
      <c r="G345" s="112"/>
    </row>
    <row r="346" spans="2:7" x14ac:dyDescent="0.2">
      <c r="B346" s="245"/>
      <c r="C346" s="246"/>
      <c r="D346" s="109"/>
      <c r="E346" s="109"/>
      <c r="F346" s="110"/>
      <c r="G346" s="112"/>
    </row>
    <row r="347" spans="2:7" x14ac:dyDescent="0.2">
      <c r="B347" s="245"/>
      <c r="C347" s="246"/>
      <c r="D347" s="109"/>
      <c r="E347" s="109"/>
      <c r="F347" s="110"/>
      <c r="G347" s="112"/>
    </row>
    <row r="348" spans="2:7" x14ac:dyDescent="0.2">
      <c r="B348" s="245"/>
      <c r="C348" s="246"/>
      <c r="D348" s="109"/>
      <c r="E348" s="109"/>
      <c r="F348" s="110"/>
      <c r="G348" s="112"/>
    </row>
    <row r="349" spans="2:7" x14ac:dyDescent="0.2">
      <c r="B349" s="245"/>
      <c r="C349" s="246"/>
      <c r="D349" s="109"/>
      <c r="E349" s="109"/>
      <c r="F349" s="110"/>
      <c r="G349" s="112"/>
    </row>
    <row r="350" spans="2:7" x14ac:dyDescent="0.2">
      <c r="B350" s="245"/>
      <c r="C350" s="246"/>
      <c r="D350" s="109"/>
      <c r="E350" s="109"/>
      <c r="F350" s="110"/>
      <c r="G350" s="112"/>
    </row>
    <row r="351" spans="2:7" x14ac:dyDescent="0.2">
      <c r="B351" s="245"/>
      <c r="C351" s="246"/>
      <c r="D351" s="109"/>
      <c r="E351" s="109"/>
      <c r="F351" s="110"/>
      <c r="G351" s="112"/>
    </row>
    <row r="352" spans="2:7" x14ac:dyDescent="0.2">
      <c r="B352" s="245"/>
      <c r="C352" s="246"/>
      <c r="D352" s="109"/>
      <c r="E352" s="109"/>
      <c r="F352" s="110"/>
      <c r="G352" s="112"/>
    </row>
    <row r="353" spans="2:7" x14ac:dyDescent="0.2">
      <c r="B353" s="245"/>
      <c r="C353" s="246"/>
      <c r="D353" s="109"/>
      <c r="E353" s="109"/>
      <c r="F353" s="110"/>
      <c r="G353" s="112"/>
    </row>
    <row r="354" spans="2:7" x14ac:dyDescent="0.2">
      <c r="B354" s="245"/>
      <c r="C354" s="246"/>
      <c r="D354" s="109"/>
      <c r="E354" s="109"/>
      <c r="F354" s="110"/>
      <c r="G354" s="112"/>
    </row>
    <row r="355" spans="2:7" x14ac:dyDescent="0.2">
      <c r="B355" s="245"/>
      <c r="C355" s="246"/>
      <c r="D355" s="109"/>
      <c r="E355" s="109"/>
      <c r="F355" s="110"/>
      <c r="G355" s="112"/>
    </row>
    <row r="356" spans="2:7" x14ac:dyDescent="0.2">
      <c r="B356" s="245"/>
      <c r="C356" s="246"/>
      <c r="D356" s="109"/>
      <c r="E356" s="109"/>
      <c r="F356" s="110"/>
      <c r="G356" s="112"/>
    </row>
    <row r="357" spans="2:7" x14ac:dyDescent="0.2">
      <c r="B357" s="245"/>
      <c r="C357" s="246"/>
      <c r="D357" s="109"/>
      <c r="E357" s="109"/>
      <c r="F357" s="110"/>
      <c r="G357" s="112"/>
    </row>
    <row r="358" spans="2:7" x14ac:dyDescent="0.2">
      <c r="B358" s="245"/>
      <c r="C358" s="246"/>
      <c r="D358" s="109"/>
      <c r="E358" s="109"/>
      <c r="F358" s="110"/>
      <c r="G358" s="112"/>
    </row>
    <row r="359" spans="2:7" x14ac:dyDescent="0.2">
      <c r="B359" s="245"/>
      <c r="C359" s="246"/>
      <c r="D359" s="109"/>
      <c r="E359" s="109"/>
      <c r="F359" s="110"/>
      <c r="G359" s="112"/>
    </row>
    <row r="360" spans="2:7" x14ac:dyDescent="0.2">
      <c r="B360" s="245"/>
      <c r="C360" s="246"/>
      <c r="D360" s="109"/>
      <c r="E360" s="109"/>
      <c r="F360" s="110"/>
      <c r="G360" s="112"/>
    </row>
    <row r="361" spans="2:7" x14ac:dyDescent="0.2">
      <c r="B361" s="245"/>
      <c r="C361" s="246"/>
      <c r="D361" s="109"/>
      <c r="E361" s="109"/>
      <c r="F361" s="110"/>
      <c r="G361" s="112"/>
    </row>
    <row r="362" spans="2:7" x14ac:dyDescent="0.2">
      <c r="B362" s="245"/>
      <c r="C362" s="246"/>
      <c r="D362" s="109"/>
      <c r="E362" s="109"/>
      <c r="F362" s="110"/>
      <c r="G362" s="112"/>
    </row>
    <row r="363" spans="2:7" x14ac:dyDescent="0.2">
      <c r="B363" s="245"/>
      <c r="C363" s="246"/>
      <c r="D363" s="109"/>
      <c r="E363" s="109"/>
      <c r="F363" s="110"/>
      <c r="G363" s="112"/>
    </row>
    <row r="364" spans="2:7" x14ac:dyDescent="0.2">
      <c r="B364" s="245"/>
      <c r="C364" s="246"/>
      <c r="D364" s="109"/>
      <c r="E364" s="109"/>
      <c r="F364" s="110"/>
      <c r="G364" s="112"/>
    </row>
    <row r="365" spans="2:7" x14ac:dyDescent="0.2">
      <c r="B365" s="245"/>
      <c r="C365" s="246"/>
      <c r="D365" s="109"/>
      <c r="E365" s="109"/>
      <c r="F365" s="110"/>
      <c r="G365" s="112"/>
    </row>
    <row r="366" spans="2:7" x14ac:dyDescent="0.2">
      <c r="B366" s="245"/>
      <c r="C366" s="246"/>
      <c r="D366" s="109"/>
      <c r="E366" s="109"/>
      <c r="F366" s="110"/>
      <c r="G366" s="112"/>
    </row>
    <row r="367" spans="2:7" x14ac:dyDescent="0.2">
      <c r="B367" s="245"/>
      <c r="C367" s="246"/>
      <c r="D367" s="109"/>
      <c r="E367" s="109"/>
      <c r="F367" s="110"/>
      <c r="G367" s="112"/>
    </row>
    <row r="368" spans="2:7" x14ac:dyDescent="0.2">
      <c r="B368" s="245"/>
      <c r="C368" s="246"/>
      <c r="D368" s="109"/>
      <c r="E368" s="109"/>
      <c r="F368" s="110"/>
      <c r="G368" s="112"/>
    </row>
    <row r="369" spans="2:7" x14ac:dyDescent="0.2">
      <c r="B369" s="245"/>
      <c r="C369" s="246"/>
      <c r="D369" s="109"/>
      <c r="E369" s="109"/>
      <c r="F369" s="110"/>
      <c r="G369" s="112"/>
    </row>
    <row r="370" spans="2:7" x14ac:dyDescent="0.2">
      <c r="B370" s="245"/>
      <c r="C370" s="246"/>
      <c r="D370" s="109"/>
      <c r="E370" s="109"/>
      <c r="F370" s="110"/>
      <c r="G370" s="112"/>
    </row>
    <row r="371" spans="2:7" x14ac:dyDescent="0.2">
      <c r="B371" s="245"/>
      <c r="C371" s="246"/>
      <c r="D371" s="109"/>
      <c r="E371" s="109"/>
      <c r="F371" s="110"/>
      <c r="G371" s="112"/>
    </row>
    <row r="372" spans="2:7" x14ac:dyDescent="0.2">
      <c r="B372" s="245"/>
      <c r="C372" s="246"/>
      <c r="D372" s="109"/>
      <c r="E372" s="109"/>
      <c r="F372" s="110"/>
      <c r="G372" s="112"/>
    </row>
    <row r="373" spans="2:7" x14ac:dyDescent="0.2">
      <c r="B373" s="245"/>
      <c r="C373" s="246"/>
      <c r="D373" s="109"/>
      <c r="E373" s="109"/>
      <c r="F373" s="110"/>
      <c r="G373" s="112"/>
    </row>
    <row r="374" spans="2:7" x14ac:dyDescent="0.2">
      <c r="B374" s="245"/>
      <c r="C374" s="246"/>
      <c r="D374" s="109"/>
      <c r="E374" s="109"/>
      <c r="F374" s="110"/>
      <c r="G374" s="112"/>
    </row>
    <row r="375" spans="2:7" x14ac:dyDescent="0.2">
      <c r="B375" s="245"/>
      <c r="C375" s="246"/>
      <c r="D375" s="109"/>
      <c r="E375" s="109"/>
      <c r="F375" s="110"/>
      <c r="G375" s="112"/>
    </row>
    <row r="376" spans="2:7" x14ac:dyDescent="0.2">
      <c r="B376" s="245"/>
      <c r="C376" s="246"/>
      <c r="D376" s="109"/>
      <c r="E376" s="109"/>
      <c r="F376" s="110"/>
      <c r="G376" s="112"/>
    </row>
    <row r="377" spans="2:7" x14ac:dyDescent="0.2">
      <c r="B377" s="245"/>
      <c r="C377" s="246"/>
      <c r="D377" s="109"/>
      <c r="E377" s="109"/>
      <c r="F377" s="110"/>
      <c r="G377" s="112"/>
    </row>
    <row r="378" spans="2:7" x14ac:dyDescent="0.2">
      <c r="B378" s="245"/>
      <c r="C378" s="246"/>
      <c r="D378" s="109"/>
      <c r="E378" s="109"/>
      <c r="F378" s="110"/>
      <c r="G378" s="112"/>
    </row>
    <row r="379" spans="2:7" x14ac:dyDescent="0.2">
      <c r="B379" s="245"/>
      <c r="C379" s="246"/>
      <c r="D379" s="109"/>
      <c r="E379" s="109"/>
      <c r="F379" s="110"/>
      <c r="G379" s="112"/>
    </row>
    <row r="380" spans="2:7" x14ac:dyDescent="0.2">
      <c r="B380" s="245"/>
      <c r="C380" s="246"/>
      <c r="D380" s="109"/>
      <c r="E380" s="109"/>
      <c r="F380" s="110"/>
      <c r="G380" s="112"/>
    </row>
    <row r="381" spans="2:7" x14ac:dyDescent="0.2">
      <c r="B381" s="245"/>
      <c r="C381" s="246"/>
      <c r="D381" s="109"/>
      <c r="E381" s="109"/>
      <c r="F381" s="110"/>
      <c r="G381" s="112"/>
    </row>
    <row r="382" spans="2:7" x14ac:dyDescent="0.2">
      <c r="B382" s="245"/>
      <c r="C382" s="246"/>
      <c r="D382" s="109"/>
      <c r="E382" s="109"/>
      <c r="F382" s="110"/>
      <c r="G382" s="112"/>
    </row>
    <row r="383" spans="2:7" x14ac:dyDescent="0.2">
      <c r="B383" s="245"/>
      <c r="C383" s="246"/>
      <c r="D383" s="109"/>
      <c r="E383" s="109"/>
      <c r="F383" s="110"/>
      <c r="G383" s="112"/>
    </row>
    <row r="384" spans="2:7" x14ac:dyDescent="0.2">
      <c r="B384" s="245"/>
      <c r="C384" s="246"/>
      <c r="D384" s="109"/>
      <c r="E384" s="109"/>
      <c r="F384" s="110"/>
      <c r="G384" s="112"/>
    </row>
    <row r="385" spans="2:7" x14ac:dyDescent="0.2">
      <c r="B385" s="245"/>
      <c r="C385" s="246"/>
      <c r="D385" s="109"/>
      <c r="E385" s="109"/>
      <c r="F385" s="110"/>
      <c r="G385" s="112"/>
    </row>
    <row r="386" spans="2:7" x14ac:dyDescent="0.2">
      <c r="B386" s="245"/>
      <c r="C386" s="246"/>
      <c r="D386" s="109"/>
      <c r="E386" s="109"/>
      <c r="F386" s="110"/>
      <c r="G386" s="112"/>
    </row>
    <row r="387" spans="2:7" x14ac:dyDescent="0.2">
      <c r="B387" s="245"/>
      <c r="C387" s="246"/>
      <c r="D387" s="109"/>
      <c r="E387" s="109"/>
      <c r="F387" s="110"/>
      <c r="G387" s="112"/>
    </row>
    <row r="388" spans="2:7" x14ac:dyDescent="0.2">
      <c r="B388" s="245"/>
      <c r="C388" s="246"/>
      <c r="D388" s="109"/>
      <c r="E388" s="109"/>
      <c r="F388" s="110"/>
      <c r="G388" s="112"/>
    </row>
    <row r="389" spans="2:7" x14ac:dyDescent="0.2">
      <c r="B389" s="245"/>
      <c r="C389" s="246"/>
      <c r="D389" s="109"/>
      <c r="E389" s="109"/>
      <c r="F389" s="110"/>
      <c r="G389" s="112"/>
    </row>
    <row r="390" spans="2:7" x14ac:dyDescent="0.2">
      <c r="B390" s="245"/>
      <c r="C390" s="246"/>
      <c r="D390" s="109"/>
      <c r="E390" s="109"/>
      <c r="F390" s="110"/>
      <c r="G390" s="112"/>
    </row>
    <row r="391" spans="2:7" x14ac:dyDescent="0.2">
      <c r="B391" s="245"/>
      <c r="C391" s="246"/>
      <c r="D391" s="109"/>
      <c r="E391" s="109"/>
      <c r="F391" s="110"/>
      <c r="G391" s="112"/>
    </row>
    <row r="392" spans="2:7" x14ac:dyDescent="0.2">
      <c r="B392" s="245"/>
      <c r="C392" s="246"/>
      <c r="D392" s="109"/>
      <c r="E392" s="109"/>
      <c r="F392" s="110"/>
      <c r="G392" s="112"/>
    </row>
    <row r="393" spans="2:7" x14ac:dyDescent="0.2">
      <c r="B393" s="245"/>
      <c r="C393" s="246"/>
      <c r="D393" s="109"/>
      <c r="E393" s="109"/>
      <c r="F393" s="110"/>
      <c r="G393" s="112"/>
    </row>
    <row r="394" spans="2:7" x14ac:dyDescent="0.2">
      <c r="B394" s="245"/>
      <c r="C394" s="246"/>
      <c r="D394" s="109"/>
      <c r="E394" s="109"/>
      <c r="F394" s="110"/>
      <c r="G394" s="112"/>
    </row>
    <row r="395" spans="2:7" x14ac:dyDescent="0.2">
      <c r="B395" s="245"/>
      <c r="C395" s="246"/>
      <c r="D395" s="109"/>
      <c r="E395" s="109"/>
      <c r="F395" s="110"/>
      <c r="G395" s="112"/>
    </row>
    <row r="396" spans="2:7" x14ac:dyDescent="0.2">
      <c r="B396" s="245"/>
      <c r="C396" s="246"/>
      <c r="D396" s="109"/>
      <c r="E396" s="109"/>
      <c r="F396" s="110"/>
      <c r="G396" s="112"/>
    </row>
    <row r="397" spans="2:7" x14ac:dyDescent="0.2">
      <c r="B397" s="245"/>
      <c r="C397" s="246"/>
      <c r="D397" s="109"/>
      <c r="E397" s="109"/>
      <c r="F397" s="110"/>
      <c r="G397" s="112"/>
    </row>
    <row r="398" spans="2:7" x14ac:dyDescent="0.2">
      <c r="B398" s="245"/>
      <c r="C398" s="246"/>
      <c r="D398" s="109"/>
      <c r="E398" s="109"/>
      <c r="F398" s="110"/>
      <c r="G398" s="112"/>
    </row>
    <row r="399" spans="2:7" x14ac:dyDescent="0.2">
      <c r="B399" s="245"/>
      <c r="C399" s="246"/>
      <c r="D399" s="109"/>
      <c r="E399" s="109"/>
      <c r="F399" s="110"/>
      <c r="G399" s="112"/>
    </row>
    <row r="400" spans="2:7" x14ac:dyDescent="0.2">
      <c r="B400" s="245"/>
      <c r="C400" s="246"/>
      <c r="D400" s="109"/>
      <c r="E400" s="109"/>
      <c r="F400" s="110"/>
      <c r="G400" s="112"/>
    </row>
    <row r="401" spans="2:7" x14ac:dyDescent="0.2">
      <c r="B401" s="245"/>
      <c r="C401" s="246"/>
      <c r="D401" s="109"/>
      <c r="E401" s="109"/>
      <c r="F401" s="110"/>
      <c r="G401" s="112"/>
    </row>
    <row r="402" spans="2:7" x14ac:dyDescent="0.2">
      <c r="B402" s="245"/>
      <c r="C402" s="246"/>
      <c r="D402" s="109"/>
      <c r="E402" s="109"/>
      <c r="F402" s="110"/>
      <c r="G402" s="112"/>
    </row>
    <row r="403" spans="2:7" x14ac:dyDescent="0.2">
      <c r="B403" s="245"/>
      <c r="C403" s="246"/>
      <c r="D403" s="109"/>
      <c r="E403" s="109"/>
      <c r="F403" s="110"/>
      <c r="G403" s="112"/>
    </row>
    <row r="404" spans="2:7" x14ac:dyDescent="0.2">
      <c r="B404" s="245"/>
      <c r="C404" s="246"/>
      <c r="D404" s="109"/>
      <c r="E404" s="109"/>
      <c r="F404" s="110"/>
      <c r="G404" s="112"/>
    </row>
    <row r="405" spans="2:7" x14ac:dyDescent="0.2">
      <c r="B405" s="245"/>
      <c r="C405" s="246"/>
      <c r="D405" s="109"/>
      <c r="E405" s="109"/>
      <c r="F405" s="110"/>
      <c r="G405" s="112"/>
    </row>
    <row r="406" spans="2:7" x14ac:dyDescent="0.2">
      <c r="B406" s="245"/>
      <c r="C406" s="246"/>
      <c r="D406" s="109"/>
      <c r="E406" s="109"/>
      <c r="F406" s="110"/>
      <c r="G406" s="112"/>
    </row>
    <row r="407" spans="2:7" x14ac:dyDescent="0.2">
      <c r="B407" s="245"/>
      <c r="C407" s="246"/>
      <c r="D407" s="109"/>
      <c r="E407" s="109"/>
      <c r="F407" s="110"/>
      <c r="G407" s="112"/>
    </row>
    <row r="408" spans="2:7" x14ac:dyDescent="0.2">
      <c r="B408" s="245"/>
      <c r="C408" s="246"/>
      <c r="D408" s="109"/>
      <c r="E408" s="109"/>
      <c r="F408" s="110"/>
      <c r="G408" s="112"/>
    </row>
    <row r="409" spans="2:7" x14ac:dyDescent="0.2">
      <c r="B409" s="245"/>
      <c r="C409" s="246"/>
      <c r="D409" s="109"/>
      <c r="E409" s="109"/>
      <c r="F409" s="110"/>
      <c r="G409" s="112"/>
    </row>
    <row r="410" spans="2:7" x14ac:dyDescent="0.2">
      <c r="B410" s="245"/>
      <c r="C410" s="246"/>
      <c r="D410" s="109"/>
      <c r="E410" s="109"/>
      <c r="F410" s="110"/>
      <c r="G410" s="112"/>
    </row>
    <row r="411" spans="2:7" x14ac:dyDescent="0.2">
      <c r="B411" s="245"/>
      <c r="C411" s="246"/>
      <c r="D411" s="109"/>
      <c r="E411" s="109"/>
      <c r="F411" s="110"/>
      <c r="G411" s="112"/>
    </row>
    <row r="412" spans="2:7" x14ac:dyDescent="0.2">
      <c r="B412" s="245"/>
      <c r="C412" s="246"/>
      <c r="D412" s="109"/>
      <c r="E412" s="109"/>
      <c r="F412" s="110"/>
      <c r="G412" s="112"/>
    </row>
    <row r="413" spans="2:7" x14ac:dyDescent="0.2">
      <c r="B413" s="245"/>
      <c r="C413" s="246"/>
      <c r="D413" s="109"/>
      <c r="E413" s="109"/>
      <c r="F413" s="110"/>
      <c r="G413" s="112"/>
    </row>
    <row r="414" spans="2:7" x14ac:dyDescent="0.2">
      <c r="B414" s="245"/>
      <c r="C414" s="246"/>
      <c r="D414" s="109"/>
      <c r="E414" s="109"/>
      <c r="F414" s="110"/>
      <c r="G414" s="112"/>
    </row>
    <row r="415" spans="2:7" x14ac:dyDescent="0.2">
      <c r="B415" s="245"/>
      <c r="C415" s="246"/>
      <c r="D415" s="109"/>
      <c r="E415" s="109"/>
      <c r="F415" s="110"/>
      <c r="G415" s="112"/>
    </row>
    <row r="416" spans="2:7" x14ac:dyDescent="0.2">
      <c r="B416" s="245"/>
      <c r="C416" s="246"/>
      <c r="D416" s="109"/>
      <c r="E416" s="109"/>
      <c r="F416" s="110"/>
      <c r="G416" s="112"/>
    </row>
    <row r="417" spans="2:7" x14ac:dyDescent="0.2">
      <c r="B417" s="245"/>
      <c r="C417" s="246"/>
      <c r="D417" s="109"/>
      <c r="E417" s="109"/>
      <c r="F417" s="110"/>
      <c r="G417" s="112"/>
    </row>
    <row r="418" spans="2:7" x14ac:dyDescent="0.2">
      <c r="B418" s="245"/>
      <c r="C418" s="246"/>
      <c r="D418" s="109"/>
      <c r="E418" s="109"/>
      <c r="F418" s="110"/>
      <c r="G418" s="112"/>
    </row>
    <row r="419" spans="2:7" x14ac:dyDescent="0.2">
      <c r="B419" s="245"/>
      <c r="C419" s="246"/>
      <c r="D419" s="109"/>
      <c r="E419" s="109"/>
      <c r="F419" s="110"/>
      <c r="G419" s="112"/>
    </row>
    <row r="420" spans="2:7" x14ac:dyDescent="0.2">
      <c r="B420" s="245"/>
      <c r="C420" s="246"/>
      <c r="D420" s="109"/>
      <c r="E420" s="109"/>
      <c r="F420" s="110"/>
      <c r="G420" s="112"/>
    </row>
    <row r="421" spans="2:7" x14ac:dyDescent="0.2">
      <c r="B421" s="245"/>
      <c r="C421" s="246"/>
      <c r="D421" s="109"/>
      <c r="E421" s="109"/>
      <c r="F421" s="110"/>
      <c r="G421" s="112"/>
    </row>
    <row r="422" spans="2:7" x14ac:dyDescent="0.2">
      <c r="B422" s="245"/>
      <c r="C422" s="246"/>
      <c r="D422" s="109"/>
      <c r="E422" s="109"/>
      <c r="F422" s="110"/>
      <c r="G422" s="112"/>
    </row>
    <row r="423" spans="2:7" x14ac:dyDescent="0.2">
      <c r="B423" s="245"/>
      <c r="C423" s="246"/>
      <c r="D423" s="109"/>
      <c r="E423" s="109"/>
      <c r="F423" s="110"/>
      <c r="G423" s="112"/>
    </row>
    <row r="424" spans="2:7" x14ac:dyDescent="0.2">
      <c r="B424" s="245"/>
      <c r="C424" s="246"/>
      <c r="D424" s="109"/>
      <c r="E424" s="109"/>
      <c r="F424" s="110"/>
      <c r="G424" s="112"/>
    </row>
    <row r="425" spans="2:7" x14ac:dyDescent="0.2">
      <c r="B425" s="245"/>
      <c r="C425" s="246"/>
      <c r="D425" s="109"/>
      <c r="E425" s="109"/>
      <c r="F425" s="110"/>
      <c r="G425" s="112"/>
    </row>
    <row r="426" spans="2:7" x14ac:dyDescent="0.2">
      <c r="B426" s="245"/>
      <c r="C426" s="246"/>
      <c r="D426" s="109"/>
      <c r="E426" s="109"/>
      <c r="F426" s="110"/>
      <c r="G426" s="112"/>
    </row>
    <row r="427" spans="2:7" x14ac:dyDescent="0.2">
      <c r="B427" s="245"/>
      <c r="C427" s="246"/>
      <c r="D427" s="109"/>
      <c r="E427" s="109"/>
      <c r="F427" s="110"/>
      <c r="G427" s="112"/>
    </row>
    <row r="428" spans="2:7" x14ac:dyDescent="0.2">
      <c r="B428" s="245"/>
      <c r="C428" s="246"/>
      <c r="D428" s="109"/>
      <c r="E428" s="109"/>
      <c r="F428" s="110"/>
      <c r="G428" s="112"/>
    </row>
    <row r="429" spans="2:7" x14ac:dyDescent="0.2">
      <c r="B429" s="245"/>
      <c r="C429" s="246"/>
      <c r="D429" s="109"/>
      <c r="E429" s="109"/>
      <c r="F429" s="110"/>
      <c r="G429" s="112"/>
    </row>
    <row r="430" spans="2:7" x14ac:dyDescent="0.2">
      <c r="B430" s="245"/>
      <c r="C430" s="246"/>
      <c r="D430" s="109"/>
      <c r="E430" s="109"/>
      <c r="F430" s="110"/>
      <c r="G430" s="112"/>
    </row>
    <row r="431" spans="2:7" x14ac:dyDescent="0.2">
      <c r="B431" s="245"/>
      <c r="C431" s="246"/>
      <c r="D431" s="109"/>
      <c r="E431" s="109"/>
      <c r="F431" s="110"/>
      <c r="G431" s="112"/>
    </row>
    <row r="432" spans="2:7" x14ac:dyDescent="0.2">
      <c r="B432" s="245"/>
      <c r="C432" s="246"/>
      <c r="D432" s="109"/>
      <c r="E432" s="109"/>
      <c r="F432" s="110"/>
      <c r="G432" s="112"/>
    </row>
    <row r="433" spans="2:7" x14ac:dyDescent="0.2">
      <c r="B433" s="245"/>
      <c r="C433" s="246"/>
      <c r="D433" s="109"/>
      <c r="E433" s="109"/>
      <c r="F433" s="110"/>
      <c r="G433" s="112"/>
    </row>
    <row r="434" spans="2:7" x14ac:dyDescent="0.2">
      <c r="B434" s="245"/>
      <c r="C434" s="246"/>
      <c r="D434" s="109"/>
      <c r="E434" s="109"/>
      <c r="F434" s="110"/>
      <c r="G434" s="112"/>
    </row>
    <row r="435" spans="2:7" x14ac:dyDescent="0.2">
      <c r="B435" s="245"/>
      <c r="C435" s="246"/>
      <c r="D435" s="109"/>
      <c r="E435" s="109"/>
      <c r="F435" s="110"/>
      <c r="G435" s="112"/>
    </row>
    <row r="436" spans="2:7" x14ac:dyDescent="0.2">
      <c r="B436" s="245"/>
      <c r="C436" s="246"/>
      <c r="D436" s="109"/>
      <c r="E436" s="109"/>
      <c r="F436" s="110"/>
      <c r="G436" s="112"/>
    </row>
    <row r="437" spans="2:7" x14ac:dyDescent="0.2">
      <c r="B437" s="245"/>
      <c r="C437" s="246"/>
      <c r="D437" s="109"/>
      <c r="E437" s="109"/>
      <c r="F437" s="110"/>
      <c r="G437" s="112"/>
    </row>
    <row r="438" spans="2:7" x14ac:dyDescent="0.2">
      <c r="B438" s="245"/>
      <c r="C438" s="246"/>
      <c r="D438" s="109"/>
      <c r="E438" s="109"/>
      <c r="F438" s="110"/>
      <c r="G438" s="112"/>
    </row>
    <row r="439" spans="2:7" x14ac:dyDescent="0.2">
      <c r="B439" s="245"/>
      <c r="C439" s="246"/>
      <c r="D439" s="109"/>
      <c r="E439" s="109"/>
      <c r="F439" s="110"/>
      <c r="G439" s="112"/>
    </row>
    <row r="440" spans="2:7" x14ac:dyDescent="0.2">
      <c r="B440" s="245"/>
      <c r="C440" s="246"/>
      <c r="D440" s="109"/>
      <c r="E440" s="109"/>
      <c r="F440" s="110"/>
      <c r="G440" s="112"/>
    </row>
    <row r="441" spans="2:7" x14ac:dyDescent="0.2">
      <c r="B441" s="245"/>
      <c r="C441" s="246"/>
      <c r="D441" s="109"/>
      <c r="E441" s="109"/>
      <c r="F441" s="110"/>
      <c r="G441" s="112"/>
    </row>
    <row r="442" spans="2:7" x14ac:dyDescent="0.2">
      <c r="B442" s="245"/>
      <c r="C442" s="246"/>
      <c r="D442" s="109"/>
      <c r="E442" s="109"/>
      <c r="F442" s="110"/>
      <c r="G442" s="112"/>
    </row>
    <row r="443" spans="2:7" x14ac:dyDescent="0.2">
      <c r="B443" s="245"/>
      <c r="C443" s="246"/>
      <c r="D443" s="109"/>
      <c r="E443" s="109"/>
      <c r="F443" s="110"/>
      <c r="G443" s="112"/>
    </row>
    <row r="444" spans="2:7" x14ac:dyDescent="0.2">
      <c r="B444" s="245"/>
      <c r="C444" s="246"/>
      <c r="D444" s="109"/>
      <c r="E444" s="109"/>
      <c r="F444" s="110"/>
      <c r="G444" s="112"/>
    </row>
    <row r="445" spans="2:7" x14ac:dyDescent="0.2">
      <c r="B445" s="245"/>
      <c r="C445" s="246"/>
      <c r="D445" s="109"/>
      <c r="E445" s="109"/>
      <c r="F445" s="110"/>
      <c r="G445" s="112"/>
    </row>
    <row r="446" spans="2:7" x14ac:dyDescent="0.2">
      <c r="B446" s="245"/>
      <c r="C446" s="246"/>
      <c r="D446" s="109"/>
      <c r="E446" s="109"/>
      <c r="F446" s="110"/>
      <c r="G446" s="112"/>
    </row>
    <row r="447" spans="2:7" x14ac:dyDescent="0.2">
      <c r="B447" s="245"/>
      <c r="C447" s="246"/>
      <c r="D447" s="109"/>
      <c r="E447" s="109"/>
      <c r="F447" s="110"/>
      <c r="G447" s="112"/>
    </row>
    <row r="448" spans="2:7" x14ac:dyDescent="0.2">
      <c r="B448" s="245"/>
      <c r="C448" s="246"/>
      <c r="D448" s="109"/>
      <c r="E448" s="109"/>
      <c r="F448" s="110"/>
      <c r="G448" s="112"/>
    </row>
    <row r="449" spans="2:7" x14ac:dyDescent="0.2">
      <c r="B449" s="245"/>
      <c r="C449" s="246"/>
      <c r="D449" s="109"/>
      <c r="E449" s="109"/>
      <c r="F449" s="110"/>
      <c r="G449" s="112"/>
    </row>
    <row r="450" spans="2:7" x14ac:dyDescent="0.2">
      <c r="B450" s="245"/>
      <c r="C450" s="246"/>
      <c r="D450" s="109"/>
      <c r="E450" s="109"/>
      <c r="F450" s="110"/>
      <c r="G450" s="112"/>
    </row>
    <row r="451" spans="2:7" x14ac:dyDescent="0.2">
      <c r="B451" s="245"/>
      <c r="C451" s="246"/>
      <c r="D451" s="109"/>
      <c r="E451" s="109"/>
      <c r="F451" s="110"/>
      <c r="G451" s="112"/>
    </row>
    <row r="452" spans="2:7" x14ac:dyDescent="0.2">
      <c r="B452" s="245"/>
      <c r="C452" s="246"/>
      <c r="D452" s="109"/>
      <c r="E452" s="109"/>
      <c r="F452" s="110"/>
      <c r="G452" s="112"/>
    </row>
    <row r="453" spans="2:7" x14ac:dyDescent="0.2">
      <c r="B453" s="245"/>
      <c r="C453" s="246"/>
      <c r="D453" s="109"/>
      <c r="E453" s="109"/>
      <c r="F453" s="110"/>
      <c r="G453" s="112"/>
    </row>
    <row r="454" spans="2:7" x14ac:dyDescent="0.2">
      <c r="B454" s="245"/>
      <c r="C454" s="246"/>
      <c r="D454" s="109"/>
      <c r="E454" s="109"/>
      <c r="F454" s="110"/>
      <c r="G454" s="112"/>
    </row>
    <row r="455" spans="2:7" x14ac:dyDescent="0.2">
      <c r="B455" s="245"/>
      <c r="C455" s="246"/>
      <c r="D455" s="109"/>
      <c r="E455" s="109"/>
      <c r="F455" s="110"/>
      <c r="G455" s="112"/>
    </row>
    <row r="456" spans="2:7" x14ac:dyDescent="0.2">
      <c r="B456" s="245"/>
      <c r="C456" s="246"/>
      <c r="D456" s="109"/>
      <c r="E456" s="109"/>
      <c r="F456" s="110"/>
      <c r="G456" s="112"/>
    </row>
    <row r="457" spans="2:7" x14ac:dyDescent="0.2">
      <c r="B457" s="245"/>
      <c r="C457" s="246"/>
      <c r="D457" s="109"/>
      <c r="E457" s="109"/>
      <c r="F457" s="110"/>
      <c r="G457" s="112"/>
    </row>
    <row r="458" spans="2:7" x14ac:dyDescent="0.2">
      <c r="B458" s="245"/>
      <c r="C458" s="246"/>
      <c r="D458" s="109"/>
      <c r="E458" s="109"/>
      <c r="F458" s="110"/>
      <c r="G458" s="112"/>
    </row>
    <row r="459" spans="2:7" x14ac:dyDescent="0.2">
      <c r="B459" s="245"/>
      <c r="C459" s="246"/>
      <c r="D459" s="109"/>
      <c r="E459" s="109"/>
      <c r="F459" s="110"/>
      <c r="G459" s="112"/>
    </row>
    <row r="460" spans="2:7" x14ac:dyDescent="0.2">
      <c r="B460" s="245"/>
      <c r="C460" s="246"/>
      <c r="D460" s="109"/>
      <c r="E460" s="109"/>
      <c r="F460" s="110"/>
      <c r="G460" s="112"/>
    </row>
    <row r="461" spans="2:7" x14ac:dyDescent="0.2">
      <c r="B461" s="245"/>
      <c r="C461" s="246"/>
      <c r="D461" s="109"/>
      <c r="E461" s="109"/>
      <c r="F461" s="110"/>
      <c r="G461" s="112"/>
    </row>
    <row r="462" spans="2:7" x14ac:dyDescent="0.2">
      <c r="B462" s="245"/>
      <c r="C462" s="246"/>
      <c r="D462" s="109"/>
      <c r="E462" s="109"/>
      <c r="F462" s="110"/>
      <c r="G462" s="112"/>
    </row>
    <row r="463" spans="2:7" x14ac:dyDescent="0.2">
      <c r="B463" s="245"/>
      <c r="C463" s="246"/>
      <c r="D463" s="109"/>
      <c r="E463" s="109"/>
      <c r="F463" s="110"/>
      <c r="G463" s="112"/>
    </row>
    <row r="464" spans="2:7" x14ac:dyDescent="0.2">
      <c r="B464" s="245"/>
      <c r="C464" s="246"/>
      <c r="D464" s="109"/>
      <c r="E464" s="109"/>
      <c r="F464" s="110"/>
      <c r="G464" s="112"/>
    </row>
    <row r="465" spans="2:7" x14ac:dyDescent="0.2">
      <c r="B465" s="245"/>
      <c r="C465" s="246"/>
      <c r="D465" s="109"/>
      <c r="E465" s="109"/>
      <c r="F465" s="110"/>
      <c r="G465" s="112"/>
    </row>
    <row r="466" spans="2:7" x14ac:dyDescent="0.2">
      <c r="B466" s="245"/>
      <c r="C466" s="246"/>
      <c r="D466" s="109"/>
      <c r="E466" s="109"/>
      <c r="F466" s="110"/>
      <c r="G466" s="112"/>
    </row>
    <row r="467" spans="2:7" x14ac:dyDescent="0.2">
      <c r="B467" s="245"/>
      <c r="C467" s="246"/>
      <c r="D467" s="109"/>
      <c r="E467" s="109"/>
      <c r="F467" s="110"/>
      <c r="G467" s="112"/>
    </row>
    <row r="468" spans="2:7" x14ac:dyDescent="0.2">
      <c r="B468" s="245"/>
      <c r="C468" s="246"/>
      <c r="D468" s="109"/>
      <c r="E468" s="109"/>
      <c r="F468" s="110"/>
      <c r="G468" s="112"/>
    </row>
    <row r="469" spans="2:7" x14ac:dyDescent="0.2">
      <c r="B469" s="245"/>
      <c r="C469" s="246"/>
      <c r="D469" s="109"/>
      <c r="E469" s="109"/>
      <c r="F469" s="110"/>
      <c r="G469" s="112"/>
    </row>
    <row r="470" spans="2:7" x14ac:dyDescent="0.2">
      <c r="B470" s="245"/>
      <c r="C470" s="246"/>
      <c r="D470" s="109"/>
      <c r="E470" s="109"/>
      <c r="F470" s="110"/>
      <c r="G470" s="112"/>
    </row>
    <row r="471" spans="2:7" x14ac:dyDescent="0.2">
      <c r="B471" s="245"/>
      <c r="C471" s="246"/>
      <c r="D471" s="109"/>
      <c r="E471" s="109"/>
      <c r="F471" s="110"/>
      <c r="G471" s="112"/>
    </row>
    <row r="472" spans="2:7" x14ac:dyDescent="0.2">
      <c r="B472" s="245"/>
      <c r="C472" s="246"/>
      <c r="D472" s="109"/>
      <c r="E472" s="109"/>
      <c r="F472" s="110"/>
      <c r="G472" s="112"/>
    </row>
    <row r="473" spans="2:7" x14ac:dyDescent="0.2">
      <c r="B473" s="245"/>
      <c r="C473" s="246"/>
      <c r="D473" s="109"/>
      <c r="E473" s="109"/>
      <c r="F473" s="110"/>
      <c r="G473" s="112"/>
    </row>
    <row r="474" spans="2:7" x14ac:dyDescent="0.2">
      <c r="B474" s="245"/>
      <c r="C474" s="246"/>
      <c r="D474" s="109"/>
      <c r="E474" s="109"/>
      <c r="F474" s="110"/>
      <c r="G474" s="112"/>
    </row>
    <row r="475" spans="2:7" x14ac:dyDescent="0.2">
      <c r="B475" s="245"/>
      <c r="C475" s="246"/>
      <c r="D475" s="109"/>
      <c r="E475" s="109"/>
      <c r="F475" s="110"/>
      <c r="G475" s="112"/>
    </row>
    <row r="476" spans="2:7" x14ac:dyDescent="0.2">
      <c r="B476" s="245"/>
      <c r="C476" s="246"/>
      <c r="D476" s="109"/>
      <c r="E476" s="109"/>
      <c r="F476" s="110"/>
      <c r="G476" s="112"/>
    </row>
    <row r="477" spans="2:7" x14ac:dyDescent="0.2">
      <c r="B477" s="245"/>
      <c r="C477" s="246"/>
      <c r="D477" s="109"/>
      <c r="E477" s="109"/>
      <c r="F477" s="110"/>
      <c r="G477" s="112"/>
    </row>
    <row r="478" spans="2:7" x14ac:dyDescent="0.2">
      <c r="B478" s="245"/>
      <c r="C478" s="246"/>
      <c r="D478" s="109"/>
      <c r="E478" s="109"/>
      <c r="F478" s="110"/>
      <c r="G478" s="112"/>
    </row>
    <row r="479" spans="2:7" x14ac:dyDescent="0.2">
      <c r="B479" s="245"/>
      <c r="C479" s="246"/>
      <c r="D479" s="109"/>
      <c r="E479" s="109"/>
      <c r="F479" s="110"/>
      <c r="G479" s="112"/>
    </row>
    <row r="480" spans="2:7" x14ac:dyDescent="0.2">
      <c r="B480" s="245"/>
      <c r="C480" s="246"/>
      <c r="D480" s="109"/>
      <c r="E480" s="109"/>
      <c r="F480" s="110"/>
      <c r="G480" s="112"/>
    </row>
    <row r="481" spans="2:7" x14ac:dyDescent="0.2">
      <c r="B481" s="245"/>
      <c r="C481" s="246"/>
      <c r="D481" s="109"/>
      <c r="E481" s="109"/>
      <c r="F481" s="110"/>
      <c r="G481" s="112"/>
    </row>
    <row r="482" spans="2:7" x14ac:dyDescent="0.2">
      <c r="B482" s="245"/>
      <c r="C482" s="246"/>
      <c r="D482" s="109"/>
      <c r="E482" s="109"/>
      <c r="F482" s="110"/>
      <c r="G482" s="112"/>
    </row>
    <row r="483" spans="2:7" x14ac:dyDescent="0.2">
      <c r="B483" s="245"/>
      <c r="C483" s="246"/>
      <c r="D483" s="109"/>
      <c r="E483" s="109"/>
      <c r="F483" s="110"/>
      <c r="G483" s="112"/>
    </row>
    <row r="484" spans="2:7" x14ac:dyDescent="0.2">
      <c r="B484" s="245"/>
      <c r="C484" s="246"/>
      <c r="D484" s="109"/>
      <c r="E484" s="109"/>
      <c r="F484" s="110"/>
      <c r="G484" s="112"/>
    </row>
    <row r="485" spans="2:7" x14ac:dyDescent="0.2">
      <c r="B485" s="245"/>
      <c r="C485" s="246"/>
      <c r="D485" s="109"/>
      <c r="E485" s="109"/>
      <c r="F485" s="110"/>
      <c r="G485" s="112"/>
    </row>
    <row r="486" spans="2:7" x14ac:dyDescent="0.2">
      <c r="B486" s="245"/>
      <c r="C486" s="246"/>
      <c r="D486" s="109"/>
      <c r="E486" s="109"/>
      <c r="F486" s="110"/>
      <c r="G486" s="112"/>
    </row>
    <row r="487" spans="2:7" x14ac:dyDescent="0.2">
      <c r="B487" s="245"/>
      <c r="C487" s="246"/>
      <c r="D487" s="109"/>
      <c r="E487" s="109"/>
      <c r="F487" s="110"/>
      <c r="G487" s="112"/>
    </row>
    <row r="488" spans="2:7" x14ac:dyDescent="0.2">
      <c r="B488" s="245"/>
      <c r="C488" s="246"/>
      <c r="D488" s="109"/>
      <c r="E488" s="109"/>
      <c r="F488" s="110"/>
      <c r="G488" s="112"/>
    </row>
    <row r="489" spans="2:7" x14ac:dyDescent="0.2">
      <c r="B489" s="245"/>
      <c r="C489" s="246"/>
      <c r="D489" s="109"/>
      <c r="E489" s="109"/>
      <c r="F489" s="110"/>
      <c r="G489" s="112"/>
    </row>
    <row r="490" spans="2:7" x14ac:dyDescent="0.2">
      <c r="B490" s="245"/>
      <c r="C490" s="246"/>
      <c r="D490" s="109"/>
      <c r="E490" s="109"/>
      <c r="F490" s="110"/>
      <c r="G490" s="112"/>
    </row>
    <row r="491" spans="2:7" x14ac:dyDescent="0.2">
      <c r="B491" s="245"/>
      <c r="C491" s="246"/>
      <c r="D491" s="109"/>
      <c r="E491" s="109"/>
      <c r="F491" s="110"/>
      <c r="G491" s="112"/>
    </row>
    <row r="492" spans="2:7" x14ac:dyDescent="0.2">
      <c r="B492" s="245"/>
      <c r="C492" s="246"/>
      <c r="D492" s="109"/>
      <c r="E492" s="109"/>
      <c r="F492" s="110"/>
      <c r="G492" s="112"/>
    </row>
    <row r="493" spans="2:7" x14ac:dyDescent="0.2">
      <c r="B493" s="245"/>
      <c r="C493" s="246"/>
      <c r="D493" s="109"/>
      <c r="E493" s="109"/>
      <c r="F493" s="110"/>
      <c r="G493" s="112"/>
    </row>
    <row r="494" spans="2:7" x14ac:dyDescent="0.2">
      <c r="B494" s="245"/>
      <c r="C494" s="246"/>
      <c r="D494" s="109"/>
      <c r="E494" s="109"/>
      <c r="F494" s="110"/>
      <c r="G494" s="112"/>
    </row>
    <row r="495" spans="2:7" x14ac:dyDescent="0.2">
      <c r="B495" s="245"/>
      <c r="C495" s="246"/>
      <c r="D495" s="109"/>
      <c r="E495" s="109"/>
      <c r="F495" s="110"/>
      <c r="G495" s="112"/>
    </row>
    <row r="496" spans="2:7" x14ac:dyDescent="0.2">
      <c r="B496" s="245"/>
      <c r="C496" s="246"/>
      <c r="D496" s="109"/>
      <c r="E496" s="109"/>
      <c r="F496" s="110"/>
      <c r="G496" s="112"/>
    </row>
    <row r="497" spans="2:7" x14ac:dyDescent="0.2">
      <c r="B497" s="245"/>
      <c r="C497" s="246"/>
      <c r="D497" s="109"/>
      <c r="E497" s="109"/>
      <c r="F497" s="110"/>
      <c r="G497" s="112"/>
    </row>
    <row r="498" spans="2:7" x14ac:dyDescent="0.2">
      <c r="B498" s="245"/>
      <c r="C498" s="246"/>
      <c r="D498" s="109"/>
      <c r="E498" s="109"/>
      <c r="F498" s="110"/>
      <c r="G498" s="112"/>
    </row>
    <row r="499" spans="2:7" x14ac:dyDescent="0.2">
      <c r="B499" s="245"/>
      <c r="C499" s="246"/>
      <c r="D499" s="109"/>
      <c r="E499" s="109"/>
      <c r="F499" s="110"/>
      <c r="G499" s="112"/>
    </row>
    <row r="500" spans="2:7" x14ac:dyDescent="0.2">
      <c r="B500" s="245"/>
      <c r="C500" s="246"/>
      <c r="D500" s="109"/>
      <c r="E500" s="109"/>
      <c r="F500" s="110"/>
      <c r="G500" s="112"/>
    </row>
    <row r="501" spans="2:7" x14ac:dyDescent="0.2">
      <c r="B501" s="245"/>
      <c r="C501" s="246"/>
      <c r="D501" s="109"/>
      <c r="E501" s="109"/>
      <c r="F501" s="110"/>
      <c r="G501" s="112"/>
    </row>
    <row r="502" spans="2:7" x14ac:dyDescent="0.2">
      <c r="B502" s="245"/>
      <c r="C502" s="246"/>
      <c r="D502" s="109"/>
      <c r="E502" s="109"/>
      <c r="F502" s="110"/>
      <c r="G502" s="112"/>
    </row>
    <row r="503" spans="2:7" x14ac:dyDescent="0.2">
      <c r="B503" s="245"/>
      <c r="C503" s="246"/>
      <c r="D503" s="109"/>
      <c r="E503" s="109"/>
      <c r="F503" s="110"/>
      <c r="G503" s="112"/>
    </row>
    <row r="504" spans="2:7" x14ac:dyDescent="0.2">
      <c r="B504" s="245"/>
      <c r="C504" s="246"/>
      <c r="D504" s="109"/>
      <c r="E504" s="109"/>
      <c r="F504" s="110"/>
      <c r="G504" s="112"/>
    </row>
    <row r="505" spans="2:7" x14ac:dyDescent="0.2">
      <c r="B505" s="245"/>
      <c r="C505" s="246"/>
      <c r="D505" s="109"/>
      <c r="E505" s="109"/>
      <c r="F505" s="110"/>
      <c r="G505" s="112"/>
    </row>
    <row r="506" spans="2:7" x14ac:dyDescent="0.2">
      <c r="B506" s="245"/>
      <c r="C506" s="246"/>
      <c r="D506" s="109"/>
      <c r="E506" s="109"/>
      <c r="F506" s="110"/>
      <c r="G506" s="112"/>
    </row>
    <row r="507" spans="2:7" x14ac:dyDescent="0.2">
      <c r="B507" s="245"/>
      <c r="C507" s="246"/>
      <c r="D507" s="109"/>
      <c r="E507" s="109"/>
      <c r="F507" s="110"/>
      <c r="G507" s="112"/>
    </row>
    <row r="508" spans="2:7" x14ac:dyDescent="0.2">
      <c r="B508" s="245"/>
      <c r="C508" s="246"/>
      <c r="D508" s="109"/>
      <c r="E508" s="109"/>
      <c r="F508" s="110"/>
      <c r="G508" s="112"/>
    </row>
    <row r="509" spans="2:7" x14ac:dyDescent="0.2">
      <c r="B509" s="245"/>
      <c r="C509" s="246"/>
      <c r="D509" s="109"/>
      <c r="E509" s="109"/>
      <c r="F509" s="110"/>
      <c r="G509" s="112"/>
    </row>
    <row r="510" spans="2:7" x14ac:dyDescent="0.2">
      <c r="B510" s="245"/>
      <c r="C510" s="246"/>
      <c r="D510" s="109"/>
      <c r="E510" s="109"/>
      <c r="F510" s="110"/>
      <c r="G510" s="112"/>
    </row>
    <row r="511" spans="2:7" x14ac:dyDescent="0.2">
      <c r="B511" s="245"/>
      <c r="C511" s="246"/>
      <c r="D511" s="109"/>
      <c r="E511" s="109"/>
      <c r="F511" s="110"/>
      <c r="G511" s="112"/>
    </row>
    <row r="512" spans="2:7" x14ac:dyDescent="0.2">
      <c r="B512" s="245"/>
      <c r="C512" s="246"/>
      <c r="D512" s="109"/>
      <c r="E512" s="109"/>
      <c r="F512" s="110"/>
      <c r="G512" s="112"/>
    </row>
    <row r="513" spans="2:7" x14ac:dyDescent="0.2">
      <c r="B513" s="245"/>
      <c r="C513" s="246"/>
      <c r="D513" s="109"/>
      <c r="E513" s="109"/>
      <c r="F513" s="110"/>
      <c r="G513" s="112"/>
    </row>
    <row r="514" spans="2:7" x14ac:dyDescent="0.2">
      <c r="B514" s="245"/>
      <c r="C514" s="246"/>
      <c r="D514" s="109"/>
      <c r="E514" s="109"/>
      <c r="F514" s="110"/>
      <c r="G514" s="112"/>
    </row>
    <row r="515" spans="2:7" x14ac:dyDescent="0.2">
      <c r="B515" s="245"/>
      <c r="C515" s="246"/>
      <c r="D515" s="109"/>
      <c r="E515" s="109"/>
      <c r="F515" s="110"/>
      <c r="G515" s="112"/>
    </row>
    <row r="516" spans="2:7" x14ac:dyDescent="0.2">
      <c r="B516" s="245"/>
      <c r="C516" s="246"/>
      <c r="D516" s="109"/>
      <c r="E516" s="109"/>
      <c r="F516" s="110"/>
      <c r="G516" s="112"/>
    </row>
    <row r="517" spans="2:7" x14ac:dyDescent="0.2">
      <c r="B517" s="245"/>
      <c r="C517" s="246"/>
      <c r="D517" s="109"/>
      <c r="E517" s="109"/>
      <c r="F517" s="110"/>
      <c r="G517" s="112"/>
    </row>
    <row r="518" spans="2:7" x14ac:dyDescent="0.2">
      <c r="B518" s="245"/>
      <c r="C518" s="246"/>
      <c r="D518" s="109"/>
      <c r="E518" s="109"/>
      <c r="F518" s="110"/>
      <c r="G518" s="112"/>
    </row>
    <row r="519" spans="2:7" x14ac:dyDescent="0.2">
      <c r="B519" s="245"/>
      <c r="C519" s="246"/>
      <c r="D519" s="109"/>
      <c r="E519" s="109"/>
      <c r="F519" s="110"/>
      <c r="G519" s="112"/>
    </row>
    <row r="520" spans="2:7" x14ac:dyDescent="0.2">
      <c r="B520" s="245"/>
      <c r="C520" s="246"/>
      <c r="D520" s="109"/>
      <c r="E520" s="109"/>
      <c r="F520" s="110"/>
      <c r="G520" s="112"/>
    </row>
    <row r="521" spans="2:7" x14ac:dyDescent="0.2">
      <c r="B521" s="245"/>
      <c r="C521" s="246"/>
      <c r="D521" s="109"/>
      <c r="E521" s="109"/>
      <c r="F521" s="110"/>
      <c r="G521" s="112"/>
    </row>
    <row r="522" spans="2:7" x14ac:dyDescent="0.2">
      <c r="B522" s="245"/>
      <c r="C522" s="246"/>
      <c r="D522" s="109"/>
      <c r="E522" s="109"/>
      <c r="F522" s="110"/>
      <c r="G522" s="112"/>
    </row>
    <row r="523" spans="2:7" x14ac:dyDescent="0.2">
      <c r="B523" s="245"/>
      <c r="C523" s="246"/>
      <c r="D523" s="109"/>
      <c r="E523" s="109"/>
      <c r="F523" s="110"/>
      <c r="G523" s="112"/>
    </row>
    <row r="524" spans="2:7" x14ac:dyDescent="0.2">
      <c r="B524" s="245"/>
      <c r="C524" s="246"/>
      <c r="D524" s="109"/>
      <c r="E524" s="109"/>
      <c r="F524" s="110"/>
      <c r="G524" s="112"/>
    </row>
    <row r="525" spans="2:7" x14ac:dyDescent="0.2">
      <c r="B525" s="245"/>
      <c r="C525" s="246"/>
      <c r="D525" s="109"/>
      <c r="E525" s="109"/>
      <c r="F525" s="110"/>
      <c r="G525" s="112"/>
    </row>
    <row r="526" spans="2:7" x14ac:dyDescent="0.2">
      <c r="B526" s="245"/>
      <c r="C526" s="246"/>
      <c r="D526" s="109"/>
      <c r="E526" s="109"/>
      <c r="F526" s="110"/>
      <c r="G526" s="112"/>
    </row>
    <row r="527" spans="2:7" x14ac:dyDescent="0.2">
      <c r="B527" s="245"/>
      <c r="C527" s="246"/>
      <c r="D527" s="109"/>
      <c r="E527" s="109"/>
      <c r="F527" s="110"/>
      <c r="G527" s="112"/>
    </row>
    <row r="528" spans="2:7" x14ac:dyDescent="0.2">
      <c r="B528" s="245"/>
      <c r="C528" s="246"/>
      <c r="D528" s="109"/>
      <c r="E528" s="109"/>
      <c r="F528" s="110"/>
      <c r="G528" s="112"/>
    </row>
    <row r="529" spans="2:7" x14ac:dyDescent="0.2">
      <c r="B529" s="245"/>
      <c r="C529" s="246"/>
      <c r="D529" s="109"/>
      <c r="E529" s="109"/>
      <c r="F529" s="110"/>
      <c r="G529" s="112"/>
    </row>
    <row r="530" spans="2:7" x14ac:dyDescent="0.2">
      <c r="B530" s="245"/>
      <c r="C530" s="246"/>
      <c r="D530" s="109"/>
      <c r="E530" s="109"/>
      <c r="F530" s="110"/>
      <c r="G530" s="112"/>
    </row>
    <row r="531" spans="2:7" x14ac:dyDescent="0.2">
      <c r="B531" s="245"/>
      <c r="C531" s="246"/>
      <c r="D531" s="109"/>
      <c r="E531" s="109"/>
      <c r="F531" s="110"/>
      <c r="G531" s="112"/>
    </row>
    <row r="532" spans="2:7" x14ac:dyDescent="0.2">
      <c r="B532" s="245"/>
      <c r="C532" s="246"/>
      <c r="D532" s="109"/>
      <c r="E532" s="109"/>
      <c r="F532" s="110"/>
      <c r="G532" s="112"/>
    </row>
    <row r="533" spans="2:7" x14ac:dyDescent="0.2">
      <c r="B533" s="245"/>
      <c r="C533" s="246"/>
      <c r="D533" s="109"/>
      <c r="E533" s="109"/>
      <c r="F533" s="110"/>
      <c r="G533" s="112"/>
    </row>
    <row r="534" spans="2:7" x14ac:dyDescent="0.2">
      <c r="B534" s="245"/>
      <c r="C534" s="246"/>
      <c r="D534" s="109"/>
      <c r="E534" s="109"/>
      <c r="F534" s="110"/>
      <c r="G534" s="112"/>
    </row>
    <row r="535" spans="2:7" x14ac:dyDescent="0.2">
      <c r="B535" s="245"/>
      <c r="C535" s="246"/>
      <c r="D535" s="109"/>
      <c r="E535" s="109"/>
      <c r="F535" s="110"/>
      <c r="G535" s="112"/>
    </row>
    <row r="536" spans="2:7" x14ac:dyDescent="0.2">
      <c r="B536" s="245"/>
      <c r="C536" s="246"/>
      <c r="D536" s="109"/>
      <c r="E536" s="109"/>
      <c r="F536" s="110"/>
      <c r="G536" s="112"/>
    </row>
    <row r="537" spans="2:7" x14ac:dyDescent="0.2">
      <c r="B537" s="245"/>
      <c r="C537" s="246"/>
      <c r="D537" s="109"/>
      <c r="E537" s="109"/>
      <c r="F537" s="110"/>
      <c r="G537" s="112"/>
    </row>
    <row r="538" spans="2:7" x14ac:dyDescent="0.2">
      <c r="B538" s="245"/>
      <c r="C538" s="246"/>
      <c r="D538" s="109"/>
      <c r="E538" s="109"/>
      <c r="F538" s="110"/>
      <c r="G538" s="112"/>
    </row>
    <row r="539" spans="2:7" x14ac:dyDescent="0.2">
      <c r="B539" s="245"/>
      <c r="C539" s="246"/>
      <c r="D539" s="109"/>
      <c r="E539" s="109"/>
      <c r="F539" s="110"/>
      <c r="G539" s="112"/>
    </row>
    <row r="540" spans="2:7" x14ac:dyDescent="0.2">
      <c r="B540" s="245"/>
      <c r="C540" s="246"/>
      <c r="D540" s="109"/>
      <c r="E540" s="109"/>
      <c r="F540" s="110"/>
      <c r="G540" s="112"/>
    </row>
    <row r="541" spans="2:7" x14ac:dyDescent="0.2">
      <c r="B541" s="245"/>
      <c r="C541" s="246"/>
      <c r="D541" s="109"/>
      <c r="E541" s="109"/>
      <c r="F541" s="110"/>
      <c r="G541" s="112"/>
    </row>
    <row r="542" spans="2:7" x14ac:dyDescent="0.2">
      <c r="B542" s="245"/>
      <c r="C542" s="246"/>
      <c r="D542" s="109"/>
      <c r="E542" s="109"/>
      <c r="F542" s="110"/>
      <c r="G542" s="112"/>
    </row>
    <row r="543" spans="2:7" x14ac:dyDescent="0.2">
      <c r="B543" s="245"/>
      <c r="C543" s="246"/>
      <c r="D543" s="109"/>
      <c r="E543" s="109"/>
      <c r="F543" s="110"/>
      <c r="G543" s="112"/>
    </row>
    <row r="544" spans="2:7" x14ac:dyDescent="0.2">
      <c r="B544" s="245"/>
      <c r="C544" s="246"/>
      <c r="D544" s="109"/>
      <c r="E544" s="109"/>
      <c r="F544" s="110"/>
      <c r="G544" s="112"/>
    </row>
    <row r="545" spans="2:7" x14ac:dyDescent="0.2">
      <c r="B545" s="245"/>
      <c r="C545" s="246"/>
      <c r="D545" s="109"/>
      <c r="E545" s="109"/>
      <c r="F545" s="110"/>
      <c r="G545" s="112"/>
    </row>
    <row r="546" spans="2:7" x14ac:dyDescent="0.2">
      <c r="B546" s="245"/>
      <c r="C546" s="246"/>
      <c r="D546" s="109"/>
      <c r="E546" s="109"/>
      <c r="F546" s="110"/>
      <c r="G546" s="112"/>
    </row>
    <row r="547" spans="2:7" x14ac:dyDescent="0.2">
      <c r="B547" s="245"/>
      <c r="C547" s="246"/>
      <c r="D547" s="109"/>
      <c r="E547" s="109"/>
      <c r="F547" s="110"/>
      <c r="G547" s="112"/>
    </row>
    <row r="548" spans="2:7" x14ac:dyDescent="0.2">
      <c r="B548" s="245"/>
      <c r="C548" s="246"/>
      <c r="D548" s="109"/>
      <c r="E548" s="109"/>
      <c r="F548" s="110"/>
      <c r="G548" s="112"/>
    </row>
    <row r="549" spans="2:7" x14ac:dyDescent="0.2">
      <c r="B549" s="245"/>
      <c r="C549" s="246"/>
      <c r="D549" s="109"/>
      <c r="E549" s="109"/>
      <c r="F549" s="110"/>
      <c r="G549" s="112"/>
    </row>
    <row r="550" spans="2:7" x14ac:dyDescent="0.2">
      <c r="B550" s="245"/>
      <c r="C550" s="246"/>
      <c r="D550" s="109"/>
      <c r="E550" s="109"/>
      <c r="F550" s="110"/>
      <c r="G550" s="112"/>
    </row>
    <row r="551" spans="2:7" x14ac:dyDescent="0.2">
      <c r="B551" s="245"/>
      <c r="C551" s="246"/>
      <c r="D551" s="109"/>
      <c r="E551" s="109"/>
      <c r="F551" s="110"/>
      <c r="G551" s="112"/>
    </row>
    <row r="552" spans="2:7" x14ac:dyDescent="0.2">
      <c r="B552" s="245"/>
      <c r="C552" s="246"/>
      <c r="D552" s="109"/>
      <c r="E552" s="109"/>
      <c r="F552" s="110"/>
      <c r="G552" s="112"/>
    </row>
    <row r="553" spans="2:7" x14ac:dyDescent="0.2">
      <c r="B553" s="245"/>
      <c r="C553" s="246"/>
      <c r="D553" s="109"/>
      <c r="E553" s="109"/>
      <c r="F553" s="110"/>
      <c r="G553" s="112"/>
    </row>
    <row r="554" spans="2:7" x14ac:dyDescent="0.2">
      <c r="B554" s="245"/>
      <c r="C554" s="246"/>
      <c r="D554" s="109"/>
      <c r="E554" s="109"/>
      <c r="F554" s="110"/>
      <c r="G554" s="112"/>
    </row>
    <row r="555" spans="2:7" x14ac:dyDescent="0.2">
      <c r="B555" s="245"/>
      <c r="C555" s="246"/>
      <c r="D555" s="109"/>
      <c r="E555" s="109"/>
      <c r="F555" s="110"/>
      <c r="G555" s="112"/>
    </row>
    <row r="556" spans="2:7" x14ac:dyDescent="0.2">
      <c r="B556" s="245"/>
      <c r="C556" s="246"/>
      <c r="D556" s="109"/>
      <c r="E556" s="109"/>
      <c r="F556" s="110"/>
      <c r="G556" s="112"/>
    </row>
    <row r="557" spans="2:7" x14ac:dyDescent="0.2">
      <c r="B557" s="245"/>
      <c r="C557" s="246"/>
      <c r="D557" s="109"/>
      <c r="E557" s="109"/>
      <c r="F557" s="110"/>
      <c r="G557" s="112"/>
    </row>
    <row r="558" spans="2:7" x14ac:dyDescent="0.2">
      <c r="B558" s="245"/>
      <c r="C558" s="246"/>
      <c r="D558" s="109"/>
      <c r="E558" s="109"/>
      <c r="F558" s="110"/>
      <c r="G558" s="112"/>
    </row>
    <row r="559" spans="2:7" x14ac:dyDescent="0.2">
      <c r="B559" s="245"/>
      <c r="C559" s="246"/>
      <c r="D559" s="109"/>
      <c r="E559" s="109"/>
      <c r="F559" s="110"/>
      <c r="G559" s="112"/>
    </row>
    <row r="560" spans="2:7" x14ac:dyDescent="0.2">
      <c r="B560" s="245"/>
      <c r="C560" s="246"/>
      <c r="D560" s="109"/>
      <c r="E560" s="109"/>
      <c r="F560" s="110"/>
      <c r="G560" s="112"/>
    </row>
    <row r="561" spans="2:7" x14ac:dyDescent="0.2">
      <c r="B561" s="245"/>
      <c r="C561" s="246"/>
      <c r="D561" s="109"/>
      <c r="E561" s="109"/>
      <c r="F561" s="110"/>
      <c r="G561" s="112"/>
    </row>
    <row r="562" spans="2:7" x14ac:dyDescent="0.2">
      <c r="B562" s="245"/>
      <c r="C562" s="246"/>
      <c r="D562" s="109"/>
      <c r="E562" s="109"/>
      <c r="F562" s="110"/>
      <c r="G562" s="112"/>
    </row>
    <row r="563" spans="2:7" x14ac:dyDescent="0.2">
      <c r="B563" s="245"/>
      <c r="C563" s="246"/>
      <c r="D563" s="109"/>
      <c r="E563" s="109"/>
      <c r="F563" s="110"/>
      <c r="G563" s="112"/>
    </row>
    <row r="564" spans="2:7" x14ac:dyDescent="0.2">
      <c r="B564" s="245"/>
      <c r="C564" s="246"/>
      <c r="D564" s="109"/>
      <c r="E564" s="109"/>
      <c r="F564" s="110"/>
      <c r="G564" s="112"/>
    </row>
    <row r="565" spans="2:7" x14ac:dyDescent="0.2">
      <c r="B565" s="245"/>
      <c r="C565" s="246"/>
      <c r="D565" s="109"/>
      <c r="E565" s="109"/>
      <c r="F565" s="110"/>
      <c r="G565" s="112"/>
    </row>
    <row r="566" spans="2:7" x14ac:dyDescent="0.2">
      <c r="B566" s="245"/>
      <c r="C566" s="246"/>
      <c r="D566" s="109"/>
      <c r="E566" s="109"/>
      <c r="F566" s="110"/>
      <c r="G566" s="112"/>
    </row>
    <row r="567" spans="2:7" x14ac:dyDescent="0.2">
      <c r="B567" s="245"/>
      <c r="C567" s="246"/>
      <c r="D567" s="109"/>
      <c r="E567" s="109"/>
      <c r="F567" s="110"/>
      <c r="G567" s="112"/>
    </row>
    <row r="568" spans="2:7" x14ac:dyDescent="0.2">
      <c r="B568" s="245"/>
      <c r="C568" s="246"/>
      <c r="D568" s="109"/>
      <c r="E568" s="109"/>
      <c r="F568" s="110"/>
      <c r="G568" s="112"/>
    </row>
    <row r="569" spans="2:7" x14ac:dyDescent="0.2">
      <c r="B569" s="245"/>
      <c r="C569" s="246"/>
      <c r="D569" s="109"/>
      <c r="E569" s="109"/>
      <c r="F569" s="110"/>
      <c r="G569" s="112"/>
    </row>
    <row r="570" spans="2:7" x14ac:dyDescent="0.2">
      <c r="B570" s="245"/>
      <c r="C570" s="246"/>
      <c r="D570" s="109"/>
      <c r="E570" s="109"/>
      <c r="F570" s="110"/>
      <c r="G570" s="112"/>
    </row>
    <row r="571" spans="2:7" x14ac:dyDescent="0.2">
      <c r="B571" s="245"/>
      <c r="C571" s="246"/>
      <c r="D571" s="109"/>
      <c r="E571" s="109"/>
      <c r="F571" s="110"/>
      <c r="G571" s="112"/>
    </row>
    <row r="572" spans="2:7" x14ac:dyDescent="0.2">
      <c r="B572" s="245"/>
      <c r="C572" s="246"/>
      <c r="D572" s="109"/>
      <c r="E572" s="109"/>
      <c r="F572" s="110"/>
      <c r="G572" s="112"/>
    </row>
    <row r="573" spans="2:7" x14ac:dyDescent="0.2">
      <c r="B573" s="245"/>
      <c r="C573" s="246"/>
      <c r="D573" s="109"/>
      <c r="E573" s="109"/>
      <c r="F573" s="110"/>
      <c r="G573" s="112"/>
    </row>
    <row r="574" spans="2:7" x14ac:dyDescent="0.2">
      <c r="B574" s="245"/>
      <c r="C574" s="246"/>
      <c r="D574" s="109"/>
      <c r="E574" s="109"/>
      <c r="F574" s="110"/>
      <c r="G574" s="112"/>
    </row>
    <row r="575" spans="2:7" x14ac:dyDescent="0.2">
      <c r="B575" s="245"/>
      <c r="C575" s="246"/>
      <c r="D575" s="109"/>
      <c r="E575" s="109"/>
      <c r="F575" s="110"/>
      <c r="G575" s="112"/>
    </row>
    <row r="576" spans="2:7" x14ac:dyDescent="0.2">
      <c r="B576" s="245"/>
      <c r="C576" s="246"/>
      <c r="D576" s="109"/>
      <c r="E576" s="109"/>
      <c r="F576" s="110"/>
      <c r="G576" s="112"/>
    </row>
    <row r="577" spans="2:7" x14ac:dyDescent="0.2">
      <c r="B577" s="245"/>
      <c r="C577" s="246"/>
      <c r="D577" s="109"/>
      <c r="E577" s="109"/>
      <c r="F577" s="110"/>
      <c r="G577" s="112"/>
    </row>
    <row r="578" spans="2:7" x14ac:dyDescent="0.2">
      <c r="B578" s="245"/>
      <c r="C578" s="246"/>
      <c r="D578" s="109"/>
      <c r="E578" s="109"/>
      <c r="F578" s="110"/>
      <c r="G578" s="112"/>
    </row>
    <row r="579" spans="2:7" x14ac:dyDescent="0.2">
      <c r="B579" s="245"/>
      <c r="C579" s="246"/>
      <c r="D579" s="109"/>
      <c r="E579" s="109"/>
      <c r="F579" s="110"/>
      <c r="G579" s="112"/>
    </row>
    <row r="580" spans="2:7" x14ac:dyDescent="0.2">
      <c r="B580" s="245"/>
      <c r="C580" s="246"/>
      <c r="D580" s="109"/>
      <c r="E580" s="109"/>
      <c r="F580" s="110"/>
      <c r="G580" s="112"/>
    </row>
    <row r="581" spans="2:7" x14ac:dyDescent="0.2">
      <c r="B581" s="245"/>
      <c r="C581" s="246"/>
      <c r="D581" s="109"/>
      <c r="E581" s="109"/>
      <c r="F581" s="110"/>
      <c r="G581" s="112"/>
    </row>
    <row r="582" spans="2:7" x14ac:dyDescent="0.2">
      <c r="B582" s="245"/>
      <c r="C582" s="246"/>
      <c r="D582" s="109"/>
      <c r="E582" s="109"/>
      <c r="F582" s="110"/>
      <c r="G582" s="112"/>
    </row>
    <row r="583" spans="2:7" x14ac:dyDescent="0.2">
      <c r="B583" s="245"/>
      <c r="C583" s="246"/>
      <c r="D583" s="109"/>
      <c r="E583" s="109"/>
      <c r="F583" s="110"/>
      <c r="G583" s="112"/>
    </row>
    <row r="584" spans="2:7" x14ac:dyDescent="0.2">
      <c r="B584" s="245"/>
      <c r="C584" s="246"/>
      <c r="D584" s="109"/>
      <c r="E584" s="109"/>
      <c r="F584" s="110"/>
      <c r="G584" s="112"/>
    </row>
    <row r="585" spans="2:7" x14ac:dyDescent="0.2">
      <c r="B585" s="245"/>
      <c r="C585" s="246"/>
      <c r="D585" s="109"/>
      <c r="E585" s="109"/>
      <c r="F585" s="110"/>
      <c r="G585" s="112"/>
    </row>
    <row r="586" spans="2:7" x14ac:dyDescent="0.2">
      <c r="B586" s="245"/>
      <c r="C586" s="246"/>
      <c r="D586" s="109"/>
      <c r="E586" s="109"/>
      <c r="F586" s="110"/>
      <c r="G586" s="112"/>
    </row>
    <row r="587" spans="2:7" x14ac:dyDescent="0.2">
      <c r="B587" s="245"/>
      <c r="C587" s="246"/>
      <c r="D587" s="109"/>
      <c r="E587" s="109"/>
      <c r="F587" s="110"/>
      <c r="G587" s="112"/>
    </row>
    <row r="588" spans="2:7" x14ac:dyDescent="0.2">
      <c r="B588" s="245"/>
      <c r="C588" s="246"/>
      <c r="D588" s="109"/>
      <c r="E588" s="109"/>
      <c r="F588" s="110"/>
      <c r="G588" s="112"/>
    </row>
    <row r="589" spans="2:7" x14ac:dyDescent="0.2">
      <c r="B589" s="245"/>
      <c r="C589" s="246"/>
      <c r="D589" s="109"/>
      <c r="E589" s="109"/>
      <c r="F589" s="110"/>
      <c r="G589" s="112"/>
    </row>
    <row r="590" spans="2:7" x14ac:dyDescent="0.2">
      <c r="B590" s="245"/>
      <c r="C590" s="246"/>
      <c r="D590" s="109"/>
      <c r="E590" s="109"/>
      <c r="F590" s="110"/>
      <c r="G590" s="112"/>
    </row>
    <row r="591" spans="2:7" x14ac:dyDescent="0.2">
      <c r="B591" s="245"/>
      <c r="C591" s="246"/>
      <c r="D591" s="109"/>
      <c r="E591" s="109"/>
      <c r="F591" s="110"/>
      <c r="G591" s="112"/>
    </row>
    <row r="592" spans="2:7" x14ac:dyDescent="0.2">
      <c r="B592" s="245"/>
      <c r="C592" s="246"/>
      <c r="D592" s="109"/>
      <c r="E592" s="109"/>
      <c r="F592" s="110"/>
      <c r="G592" s="112"/>
    </row>
    <row r="593" spans="2:7" x14ac:dyDescent="0.2">
      <c r="B593" s="245"/>
      <c r="C593" s="246"/>
      <c r="D593" s="109"/>
      <c r="E593" s="109"/>
      <c r="F593" s="110"/>
      <c r="G593" s="112"/>
    </row>
    <row r="594" spans="2:7" x14ac:dyDescent="0.2">
      <c r="B594" s="245"/>
      <c r="C594" s="246"/>
      <c r="D594" s="109"/>
      <c r="E594" s="109"/>
      <c r="F594" s="110"/>
      <c r="G594" s="112"/>
    </row>
    <row r="595" spans="2:7" x14ac:dyDescent="0.2">
      <c r="B595" s="245"/>
      <c r="C595" s="246"/>
      <c r="D595" s="109"/>
      <c r="E595" s="109"/>
      <c r="F595" s="110"/>
      <c r="G595" s="112"/>
    </row>
    <row r="596" spans="2:7" x14ac:dyDescent="0.2">
      <c r="B596" s="245"/>
      <c r="C596" s="246"/>
      <c r="D596" s="109"/>
      <c r="E596" s="109"/>
      <c r="F596" s="110"/>
      <c r="G596" s="112"/>
    </row>
    <row r="597" spans="2:7" x14ac:dyDescent="0.2">
      <c r="B597" s="245"/>
      <c r="C597" s="246"/>
      <c r="D597" s="109"/>
      <c r="E597" s="109"/>
      <c r="F597" s="110"/>
      <c r="G597" s="112"/>
    </row>
    <row r="598" spans="2:7" x14ac:dyDescent="0.2">
      <c r="B598" s="245"/>
      <c r="C598" s="246"/>
      <c r="D598" s="109"/>
      <c r="E598" s="109"/>
      <c r="F598" s="110"/>
      <c r="G598" s="112"/>
    </row>
    <row r="599" spans="2:7" x14ac:dyDescent="0.2">
      <c r="B599" s="245"/>
      <c r="C599" s="246"/>
      <c r="D599" s="109"/>
      <c r="E599" s="109"/>
      <c r="F599" s="110"/>
      <c r="G599" s="112"/>
    </row>
    <row r="600" spans="2:7" x14ac:dyDescent="0.2">
      <c r="B600" s="245"/>
      <c r="C600" s="246"/>
      <c r="D600" s="109"/>
      <c r="E600" s="109"/>
      <c r="F600" s="110"/>
      <c r="G600" s="112"/>
    </row>
    <row r="601" spans="2:7" x14ac:dyDescent="0.2">
      <c r="B601" s="245"/>
      <c r="C601" s="246"/>
      <c r="D601" s="109"/>
      <c r="E601" s="109"/>
      <c r="F601" s="110"/>
      <c r="G601" s="112"/>
    </row>
    <row r="602" spans="2:7" x14ac:dyDescent="0.2">
      <c r="B602" s="245"/>
      <c r="C602" s="246"/>
      <c r="D602" s="109"/>
      <c r="E602" s="109"/>
      <c r="F602" s="110"/>
      <c r="G602" s="112"/>
    </row>
    <row r="603" spans="2:7" x14ac:dyDescent="0.2">
      <c r="B603" s="245"/>
      <c r="C603" s="246"/>
      <c r="D603" s="109"/>
      <c r="E603" s="109"/>
      <c r="F603" s="110"/>
      <c r="G603" s="112"/>
    </row>
    <row r="604" spans="2:7" x14ac:dyDescent="0.2">
      <c r="B604" s="245"/>
      <c r="C604" s="246"/>
      <c r="D604" s="109"/>
      <c r="E604" s="109"/>
      <c r="F604" s="110"/>
      <c r="G604" s="112"/>
    </row>
    <row r="605" spans="2:7" x14ac:dyDescent="0.2">
      <c r="B605" s="245"/>
      <c r="C605" s="246"/>
      <c r="D605" s="109"/>
      <c r="E605" s="109"/>
      <c r="F605" s="110"/>
      <c r="G605" s="112"/>
    </row>
    <row r="606" spans="2:7" x14ac:dyDescent="0.2">
      <c r="B606" s="245"/>
      <c r="C606" s="246"/>
      <c r="D606" s="109"/>
      <c r="E606" s="109"/>
      <c r="F606" s="110"/>
      <c r="G606" s="112"/>
    </row>
    <row r="607" spans="2:7" x14ac:dyDescent="0.2">
      <c r="B607" s="245"/>
      <c r="C607" s="246"/>
      <c r="D607" s="109"/>
      <c r="E607" s="109"/>
      <c r="F607" s="110"/>
      <c r="G607" s="112"/>
    </row>
    <row r="608" spans="2:7" x14ac:dyDescent="0.2">
      <c r="B608" s="245"/>
      <c r="C608" s="246"/>
      <c r="D608" s="109"/>
      <c r="E608" s="109"/>
      <c r="F608" s="110"/>
      <c r="G608" s="112"/>
    </row>
    <row r="609" spans="2:7" x14ac:dyDescent="0.2">
      <c r="B609" s="245"/>
      <c r="C609" s="246"/>
      <c r="D609" s="109"/>
      <c r="E609" s="109"/>
      <c r="F609" s="110"/>
      <c r="G609" s="112"/>
    </row>
    <row r="610" spans="2:7" x14ac:dyDescent="0.2">
      <c r="B610" s="245"/>
      <c r="C610" s="246"/>
      <c r="D610" s="109"/>
      <c r="E610" s="109"/>
      <c r="F610" s="110"/>
      <c r="G610" s="112"/>
    </row>
    <row r="611" spans="2:7" x14ac:dyDescent="0.2">
      <c r="B611" s="245"/>
      <c r="C611" s="246"/>
      <c r="D611" s="109"/>
      <c r="E611" s="109"/>
      <c r="F611" s="110"/>
      <c r="G611" s="112"/>
    </row>
    <row r="612" spans="2:7" x14ac:dyDescent="0.2">
      <c r="B612" s="245"/>
      <c r="C612" s="246"/>
      <c r="D612" s="109"/>
      <c r="E612" s="109"/>
      <c r="F612" s="110"/>
      <c r="G612" s="112"/>
    </row>
    <row r="613" spans="2:7" x14ac:dyDescent="0.2">
      <c r="B613" s="245"/>
      <c r="C613" s="246"/>
      <c r="D613" s="109"/>
      <c r="E613" s="109"/>
      <c r="F613" s="110"/>
      <c r="G613" s="112"/>
    </row>
    <row r="614" spans="2:7" x14ac:dyDescent="0.2">
      <c r="B614" s="245"/>
      <c r="C614" s="246"/>
      <c r="D614" s="109"/>
      <c r="E614" s="109"/>
      <c r="F614" s="110"/>
      <c r="G614" s="112"/>
    </row>
    <row r="615" spans="2:7" x14ac:dyDescent="0.2">
      <c r="B615" s="245"/>
      <c r="C615" s="246"/>
      <c r="D615" s="109"/>
      <c r="E615" s="109"/>
      <c r="F615" s="110"/>
      <c r="G615" s="112"/>
    </row>
    <row r="616" spans="2:7" x14ac:dyDescent="0.2">
      <c r="B616" s="245"/>
      <c r="C616" s="246"/>
      <c r="D616" s="109"/>
      <c r="E616" s="109"/>
      <c r="F616" s="110"/>
      <c r="G616" s="112"/>
    </row>
    <row r="617" spans="2:7" x14ac:dyDescent="0.2">
      <c r="B617" s="245"/>
      <c r="C617" s="246"/>
      <c r="D617" s="109"/>
      <c r="E617" s="109"/>
      <c r="F617" s="110"/>
      <c r="G617" s="112"/>
    </row>
    <row r="618" spans="2:7" x14ac:dyDescent="0.2">
      <c r="B618" s="245"/>
      <c r="C618" s="246"/>
      <c r="D618" s="109"/>
      <c r="E618" s="109"/>
      <c r="F618" s="110"/>
      <c r="G618" s="112"/>
    </row>
    <row r="619" spans="2:7" x14ac:dyDescent="0.2">
      <c r="B619" s="245"/>
      <c r="C619" s="246"/>
      <c r="D619" s="109"/>
      <c r="E619" s="109"/>
      <c r="F619" s="110"/>
      <c r="G619" s="112"/>
    </row>
    <row r="620" spans="2:7" x14ac:dyDescent="0.2">
      <c r="B620" s="245"/>
      <c r="C620" s="246"/>
      <c r="D620" s="109"/>
      <c r="E620" s="109"/>
      <c r="F620" s="110"/>
      <c r="G620" s="112"/>
    </row>
    <row r="621" spans="2:7" x14ac:dyDescent="0.2">
      <c r="B621" s="245"/>
      <c r="C621" s="246"/>
      <c r="D621" s="109"/>
      <c r="E621" s="109"/>
      <c r="F621" s="110"/>
      <c r="G621" s="112"/>
    </row>
    <row r="622" spans="2:7" x14ac:dyDescent="0.2">
      <c r="B622" s="245"/>
      <c r="C622" s="246"/>
      <c r="D622" s="109"/>
      <c r="E622" s="109"/>
      <c r="F622" s="110"/>
      <c r="G622" s="112"/>
    </row>
    <row r="623" spans="2:7" x14ac:dyDescent="0.2">
      <c r="B623" s="245"/>
      <c r="C623" s="246"/>
      <c r="D623" s="109"/>
      <c r="E623" s="109"/>
      <c r="F623" s="110"/>
      <c r="G623" s="112"/>
    </row>
    <row r="624" spans="2:7" x14ac:dyDescent="0.2">
      <c r="B624" s="245"/>
      <c r="C624" s="246"/>
      <c r="D624" s="109"/>
      <c r="E624" s="109"/>
      <c r="F624" s="110"/>
      <c r="G624" s="112"/>
    </row>
    <row r="625" spans="2:7" x14ac:dyDescent="0.2">
      <c r="B625" s="245"/>
      <c r="C625" s="246"/>
      <c r="D625" s="109"/>
      <c r="E625" s="109"/>
      <c r="F625" s="110"/>
      <c r="G625" s="112"/>
    </row>
    <row r="626" spans="2:7" x14ac:dyDescent="0.2">
      <c r="B626" s="245"/>
      <c r="C626" s="246"/>
      <c r="D626" s="109"/>
      <c r="E626" s="109"/>
      <c r="F626" s="110"/>
      <c r="G626" s="112"/>
    </row>
    <row r="627" spans="2:7" x14ac:dyDescent="0.2">
      <c r="B627" s="245"/>
      <c r="C627" s="246"/>
      <c r="D627" s="109"/>
      <c r="E627" s="109"/>
      <c r="F627" s="110"/>
      <c r="G627" s="112"/>
    </row>
    <row r="628" spans="2:7" x14ac:dyDescent="0.2">
      <c r="B628" s="245"/>
      <c r="C628" s="246"/>
      <c r="D628" s="109"/>
      <c r="E628" s="109"/>
      <c r="F628" s="110"/>
      <c r="G628" s="112"/>
    </row>
    <row r="629" spans="2:7" x14ac:dyDescent="0.2">
      <c r="B629" s="245"/>
      <c r="C629" s="246"/>
      <c r="D629" s="109"/>
      <c r="E629" s="109"/>
      <c r="F629" s="110"/>
      <c r="G629" s="112"/>
    </row>
    <row r="630" spans="2:7" x14ac:dyDescent="0.2">
      <c r="B630" s="245"/>
      <c r="C630" s="246"/>
      <c r="D630" s="109"/>
      <c r="E630" s="109"/>
      <c r="F630" s="110"/>
      <c r="G630" s="112"/>
    </row>
    <row r="631" spans="2:7" x14ac:dyDescent="0.2">
      <c r="B631" s="245"/>
      <c r="C631" s="246"/>
      <c r="D631" s="109"/>
      <c r="E631" s="109"/>
      <c r="F631" s="110"/>
      <c r="G631" s="112"/>
    </row>
    <row r="632" spans="2:7" x14ac:dyDescent="0.2">
      <c r="B632" s="245"/>
      <c r="C632" s="246"/>
      <c r="D632" s="109"/>
      <c r="E632" s="109"/>
      <c r="F632" s="110"/>
      <c r="G632" s="112"/>
    </row>
    <row r="633" spans="2:7" x14ac:dyDescent="0.2">
      <c r="B633" s="245"/>
      <c r="C633" s="246"/>
      <c r="D633" s="109"/>
      <c r="E633" s="109"/>
      <c r="F633" s="110"/>
      <c r="G633" s="112"/>
    </row>
    <row r="634" spans="2:7" x14ac:dyDescent="0.2">
      <c r="B634" s="245"/>
      <c r="C634" s="246"/>
      <c r="D634" s="109"/>
      <c r="E634" s="109"/>
      <c r="F634" s="110"/>
      <c r="G634" s="112"/>
    </row>
    <row r="635" spans="2:7" x14ac:dyDescent="0.2">
      <c r="B635" s="245"/>
      <c r="C635" s="246"/>
      <c r="D635" s="109"/>
      <c r="E635" s="109"/>
      <c r="F635" s="110"/>
      <c r="G635" s="112"/>
    </row>
    <row r="636" spans="2:7" x14ac:dyDescent="0.2">
      <c r="B636" s="245"/>
      <c r="C636" s="246"/>
      <c r="D636" s="109"/>
      <c r="E636" s="109"/>
      <c r="F636" s="110"/>
      <c r="G636" s="112"/>
    </row>
    <row r="637" spans="2:7" x14ac:dyDescent="0.2">
      <c r="B637" s="245"/>
      <c r="C637" s="246"/>
      <c r="D637" s="109"/>
      <c r="E637" s="109"/>
      <c r="F637" s="110"/>
      <c r="G637" s="112"/>
    </row>
    <row r="638" spans="2:7" x14ac:dyDescent="0.2">
      <c r="B638" s="245"/>
      <c r="C638" s="246"/>
      <c r="D638" s="109"/>
      <c r="E638" s="109"/>
      <c r="F638" s="110"/>
      <c r="G638" s="112"/>
    </row>
    <row r="639" spans="2:7" x14ac:dyDescent="0.2">
      <c r="B639" s="245"/>
      <c r="C639" s="246"/>
      <c r="D639" s="109"/>
      <c r="E639" s="109"/>
      <c r="F639" s="110"/>
      <c r="G639" s="112"/>
    </row>
    <row r="640" spans="2:7" x14ac:dyDescent="0.2">
      <c r="B640" s="245"/>
      <c r="C640" s="246"/>
      <c r="D640" s="109"/>
      <c r="E640" s="109"/>
      <c r="F640" s="110"/>
      <c r="G640" s="112"/>
    </row>
    <row r="641" spans="2:7" x14ac:dyDescent="0.2">
      <c r="B641" s="245"/>
      <c r="C641" s="246"/>
      <c r="D641" s="109"/>
      <c r="E641" s="109"/>
      <c r="F641" s="110"/>
      <c r="G641" s="112"/>
    </row>
    <row r="642" spans="2:7" x14ac:dyDescent="0.2">
      <c r="B642" s="245"/>
      <c r="C642" s="246"/>
      <c r="D642" s="109"/>
      <c r="E642" s="109"/>
      <c r="F642" s="110"/>
      <c r="G642" s="112"/>
    </row>
    <row r="643" spans="2:7" x14ac:dyDescent="0.2">
      <c r="B643" s="245"/>
      <c r="C643" s="246"/>
      <c r="D643" s="109"/>
      <c r="E643" s="109"/>
      <c r="F643" s="110"/>
      <c r="G643" s="112"/>
    </row>
    <row r="644" spans="2:7" x14ac:dyDescent="0.2">
      <c r="B644" s="245"/>
      <c r="C644" s="246"/>
      <c r="D644" s="109"/>
      <c r="E644" s="109"/>
      <c r="F644" s="110"/>
      <c r="G644" s="112"/>
    </row>
    <row r="645" spans="2:7" x14ac:dyDescent="0.2">
      <c r="B645" s="245"/>
      <c r="C645" s="246"/>
      <c r="D645" s="109"/>
      <c r="E645" s="109"/>
      <c r="F645" s="110"/>
      <c r="G645" s="112"/>
    </row>
    <row r="646" spans="2:7" x14ac:dyDescent="0.2">
      <c r="B646" s="245"/>
      <c r="C646" s="246"/>
      <c r="D646" s="109"/>
      <c r="E646" s="109"/>
      <c r="F646" s="110"/>
      <c r="G646" s="112"/>
    </row>
    <row r="647" spans="2:7" x14ac:dyDescent="0.2">
      <c r="B647" s="245"/>
      <c r="C647" s="246"/>
      <c r="D647" s="109"/>
      <c r="E647" s="109"/>
      <c r="F647" s="110"/>
      <c r="G647" s="112"/>
    </row>
    <row r="648" spans="2:7" x14ac:dyDescent="0.2">
      <c r="B648" s="245"/>
      <c r="C648" s="246"/>
      <c r="D648" s="109"/>
      <c r="E648" s="109"/>
      <c r="F648" s="110"/>
      <c r="G648" s="112"/>
    </row>
    <row r="649" spans="2:7" x14ac:dyDescent="0.2">
      <c r="B649" s="245"/>
      <c r="C649" s="246"/>
      <c r="D649" s="109"/>
      <c r="E649" s="109"/>
      <c r="F649" s="110"/>
      <c r="G649" s="112"/>
    </row>
    <row r="650" spans="2:7" x14ac:dyDescent="0.2">
      <c r="B650" s="245"/>
      <c r="C650" s="246"/>
      <c r="D650" s="109"/>
      <c r="E650" s="109"/>
      <c r="F650" s="110"/>
      <c r="G650" s="112"/>
    </row>
    <row r="651" spans="2:7" x14ac:dyDescent="0.2">
      <c r="B651" s="245"/>
      <c r="C651" s="246"/>
      <c r="D651" s="109"/>
      <c r="E651" s="109"/>
      <c r="F651" s="110"/>
      <c r="G651" s="112"/>
    </row>
    <row r="652" spans="2:7" x14ac:dyDescent="0.2">
      <c r="B652" s="245"/>
      <c r="C652" s="246"/>
      <c r="D652" s="109"/>
      <c r="E652" s="109"/>
      <c r="F652" s="110"/>
      <c r="G652" s="112"/>
    </row>
    <row r="653" spans="2:7" x14ac:dyDescent="0.2">
      <c r="B653" s="245"/>
      <c r="C653" s="246"/>
      <c r="D653" s="109"/>
      <c r="E653" s="109"/>
      <c r="F653" s="110"/>
      <c r="G653" s="112"/>
    </row>
    <row r="654" spans="2:7" x14ac:dyDescent="0.2">
      <c r="B654" s="245"/>
      <c r="C654" s="246"/>
      <c r="D654" s="109"/>
      <c r="E654" s="109"/>
      <c r="F654" s="110"/>
      <c r="G654" s="112"/>
    </row>
    <row r="655" spans="2:7" x14ac:dyDescent="0.2">
      <c r="B655" s="245"/>
      <c r="C655" s="246"/>
      <c r="D655" s="109"/>
      <c r="E655" s="109"/>
      <c r="F655" s="110"/>
      <c r="G655" s="112"/>
    </row>
    <row r="656" spans="2:7" x14ac:dyDescent="0.2">
      <c r="B656" s="245"/>
      <c r="C656" s="246"/>
      <c r="D656" s="109"/>
      <c r="E656" s="109"/>
      <c r="F656" s="110"/>
      <c r="G656" s="112"/>
    </row>
    <row r="657" spans="2:7" x14ac:dyDescent="0.2">
      <c r="B657" s="245"/>
      <c r="C657" s="246"/>
      <c r="D657" s="109"/>
      <c r="E657" s="109"/>
      <c r="F657" s="110"/>
      <c r="G657" s="112"/>
    </row>
    <row r="658" spans="2:7" x14ac:dyDescent="0.2">
      <c r="B658" s="245"/>
      <c r="C658" s="246"/>
      <c r="D658" s="109"/>
      <c r="E658" s="109"/>
      <c r="F658" s="110"/>
      <c r="G658" s="112"/>
    </row>
    <row r="659" spans="2:7" x14ac:dyDescent="0.2">
      <c r="B659" s="245"/>
      <c r="C659" s="246"/>
      <c r="D659" s="109"/>
      <c r="E659" s="109"/>
      <c r="F659" s="110"/>
      <c r="G659" s="112"/>
    </row>
    <row r="660" spans="2:7" x14ac:dyDescent="0.2">
      <c r="B660" s="245"/>
      <c r="C660" s="246"/>
      <c r="D660" s="109"/>
      <c r="E660" s="109"/>
      <c r="F660" s="110"/>
      <c r="G660" s="112"/>
    </row>
    <row r="661" spans="2:7" x14ac:dyDescent="0.2">
      <c r="B661" s="245"/>
      <c r="C661" s="246"/>
      <c r="D661" s="109"/>
      <c r="E661" s="109"/>
      <c r="F661" s="110"/>
      <c r="G661" s="112"/>
    </row>
    <row r="662" spans="2:7" x14ac:dyDescent="0.2">
      <c r="B662" s="245"/>
      <c r="C662" s="246"/>
      <c r="D662" s="109"/>
      <c r="E662" s="109"/>
      <c r="F662" s="110"/>
      <c r="G662" s="112"/>
    </row>
    <row r="663" spans="2:7" x14ac:dyDescent="0.2">
      <c r="B663" s="245"/>
      <c r="C663" s="246"/>
      <c r="D663" s="109"/>
      <c r="E663" s="109"/>
      <c r="F663" s="110"/>
      <c r="G663" s="112"/>
    </row>
    <row r="664" spans="2:7" x14ac:dyDescent="0.2">
      <c r="B664" s="245"/>
      <c r="C664" s="246"/>
      <c r="D664" s="109"/>
      <c r="E664" s="109"/>
      <c r="F664" s="110"/>
      <c r="G664" s="112"/>
    </row>
    <row r="665" spans="2:7" x14ac:dyDescent="0.2">
      <c r="B665" s="245"/>
      <c r="C665" s="246"/>
      <c r="D665" s="109"/>
      <c r="E665" s="109"/>
      <c r="F665" s="110"/>
      <c r="G665" s="112"/>
    </row>
    <row r="666" spans="2:7" x14ac:dyDescent="0.2">
      <c r="B666" s="245"/>
      <c r="C666" s="246"/>
      <c r="D666" s="109"/>
      <c r="E666" s="109"/>
      <c r="F666" s="110"/>
      <c r="G666" s="112"/>
    </row>
    <row r="667" spans="2:7" x14ac:dyDescent="0.2">
      <c r="B667" s="245"/>
      <c r="C667" s="246"/>
      <c r="D667" s="109"/>
      <c r="E667" s="109"/>
      <c r="F667" s="110"/>
      <c r="G667" s="112"/>
    </row>
    <row r="668" spans="2:7" x14ac:dyDescent="0.2">
      <c r="B668" s="245"/>
      <c r="C668" s="246"/>
      <c r="D668" s="109"/>
      <c r="E668" s="109"/>
      <c r="F668" s="110"/>
      <c r="G668" s="112"/>
    </row>
    <row r="669" spans="2:7" x14ac:dyDescent="0.2">
      <c r="B669" s="245"/>
      <c r="C669" s="246"/>
      <c r="D669" s="109"/>
      <c r="E669" s="109"/>
      <c r="F669" s="110"/>
      <c r="G669" s="112"/>
    </row>
    <row r="670" spans="2:7" x14ac:dyDescent="0.2">
      <c r="B670" s="245"/>
      <c r="C670" s="246"/>
      <c r="D670" s="109"/>
      <c r="E670" s="109"/>
      <c r="F670" s="110"/>
      <c r="G670" s="112"/>
    </row>
    <row r="671" spans="2:7" x14ac:dyDescent="0.2">
      <c r="B671" s="245"/>
      <c r="C671" s="246"/>
      <c r="D671" s="109"/>
      <c r="E671" s="109"/>
      <c r="F671" s="110"/>
      <c r="G671" s="112"/>
    </row>
    <row r="672" spans="2:7" x14ac:dyDescent="0.2">
      <c r="B672" s="245"/>
      <c r="C672" s="246"/>
      <c r="D672" s="109"/>
      <c r="E672" s="109"/>
      <c r="F672" s="110"/>
      <c r="G672" s="112"/>
    </row>
    <row r="673" spans="2:7" x14ac:dyDescent="0.2">
      <c r="B673" s="245"/>
      <c r="C673" s="246"/>
      <c r="D673" s="109"/>
      <c r="E673" s="109"/>
      <c r="F673" s="110"/>
      <c r="G673" s="112"/>
    </row>
    <row r="674" spans="2:7" x14ac:dyDescent="0.2">
      <c r="B674" s="245"/>
      <c r="C674" s="246"/>
      <c r="D674" s="109"/>
      <c r="E674" s="109"/>
      <c r="F674" s="110"/>
      <c r="G674" s="112"/>
    </row>
    <row r="675" spans="2:7" x14ac:dyDescent="0.2">
      <c r="B675" s="245"/>
      <c r="C675" s="246"/>
      <c r="D675" s="109"/>
      <c r="E675" s="109"/>
      <c r="F675" s="110"/>
      <c r="G675" s="112"/>
    </row>
    <row r="676" spans="2:7" x14ac:dyDescent="0.2">
      <c r="B676" s="245"/>
      <c r="C676" s="246"/>
      <c r="D676" s="109"/>
      <c r="E676" s="109"/>
      <c r="F676" s="110"/>
      <c r="G676" s="112"/>
    </row>
    <row r="677" spans="2:7" x14ac:dyDescent="0.2">
      <c r="B677" s="245"/>
      <c r="C677" s="246"/>
      <c r="D677" s="109"/>
      <c r="E677" s="109"/>
      <c r="F677" s="110"/>
      <c r="G677" s="112"/>
    </row>
    <row r="678" spans="2:7" x14ac:dyDescent="0.2">
      <c r="B678" s="245"/>
      <c r="C678" s="246"/>
      <c r="D678" s="109"/>
      <c r="E678" s="109"/>
      <c r="F678" s="110"/>
      <c r="G678" s="112"/>
    </row>
    <row r="679" spans="2:7" x14ac:dyDescent="0.2">
      <c r="B679" s="245"/>
      <c r="C679" s="246"/>
      <c r="D679" s="109"/>
      <c r="E679" s="109"/>
      <c r="F679" s="110"/>
      <c r="G679" s="112"/>
    </row>
    <row r="680" spans="2:7" x14ac:dyDescent="0.2">
      <c r="B680" s="245"/>
      <c r="C680" s="246"/>
      <c r="D680" s="109"/>
      <c r="E680" s="109"/>
      <c r="F680" s="110"/>
      <c r="G680" s="112"/>
    </row>
    <row r="681" spans="2:7" x14ac:dyDescent="0.2">
      <c r="B681" s="245"/>
      <c r="C681" s="246"/>
      <c r="D681" s="109"/>
      <c r="E681" s="109"/>
      <c r="F681" s="110"/>
      <c r="G681" s="112"/>
    </row>
    <row r="682" spans="2:7" x14ac:dyDescent="0.2">
      <c r="B682" s="245"/>
      <c r="C682" s="246"/>
      <c r="D682" s="109"/>
      <c r="E682" s="109"/>
      <c r="F682" s="110"/>
      <c r="G682" s="112"/>
    </row>
    <row r="683" spans="2:7" x14ac:dyDescent="0.2">
      <c r="B683" s="245"/>
      <c r="C683" s="246"/>
      <c r="D683" s="109"/>
      <c r="E683" s="109"/>
      <c r="F683" s="110"/>
      <c r="G683" s="112"/>
    </row>
    <row r="684" spans="2:7" x14ac:dyDescent="0.2">
      <c r="B684" s="245"/>
      <c r="C684" s="246"/>
      <c r="D684" s="109"/>
      <c r="E684" s="109"/>
      <c r="F684" s="110"/>
      <c r="G684" s="112"/>
    </row>
    <row r="685" spans="2:7" x14ac:dyDescent="0.2">
      <c r="B685" s="245"/>
      <c r="C685" s="246"/>
      <c r="D685" s="109"/>
      <c r="E685" s="109"/>
      <c r="F685" s="110"/>
      <c r="G685" s="112"/>
    </row>
    <row r="686" spans="2:7" x14ac:dyDescent="0.2">
      <c r="B686" s="245"/>
      <c r="C686" s="246"/>
      <c r="D686" s="109"/>
      <c r="E686" s="109"/>
      <c r="F686" s="110"/>
      <c r="G686" s="112"/>
    </row>
    <row r="687" spans="2:7" x14ac:dyDescent="0.2">
      <c r="B687" s="245"/>
      <c r="C687" s="246"/>
      <c r="D687" s="109"/>
      <c r="E687" s="109"/>
      <c r="F687" s="110"/>
      <c r="G687" s="112"/>
    </row>
    <row r="688" spans="2:7" x14ac:dyDescent="0.2">
      <c r="B688" s="245"/>
      <c r="C688" s="246"/>
      <c r="D688" s="109"/>
      <c r="E688" s="109"/>
      <c r="F688" s="110"/>
      <c r="G688" s="112"/>
    </row>
    <row r="689" spans="2:7" x14ac:dyDescent="0.2">
      <c r="B689" s="245"/>
      <c r="C689" s="246"/>
      <c r="D689" s="109"/>
      <c r="E689" s="109"/>
      <c r="F689" s="110"/>
      <c r="G689" s="112"/>
    </row>
    <row r="690" spans="2:7" x14ac:dyDescent="0.2">
      <c r="B690" s="245"/>
      <c r="C690" s="246"/>
      <c r="D690" s="109"/>
      <c r="E690" s="109"/>
      <c r="F690" s="110"/>
      <c r="G690" s="112"/>
    </row>
    <row r="691" spans="2:7" x14ac:dyDescent="0.2">
      <c r="B691" s="245"/>
      <c r="C691" s="246"/>
      <c r="D691" s="109"/>
      <c r="E691" s="109"/>
      <c r="F691" s="110"/>
      <c r="G691" s="112"/>
    </row>
    <row r="692" spans="2:7" x14ac:dyDescent="0.2">
      <c r="B692" s="245"/>
      <c r="C692" s="246"/>
      <c r="D692" s="109"/>
      <c r="E692" s="109"/>
      <c r="F692" s="110"/>
      <c r="G692" s="112"/>
    </row>
    <row r="693" spans="2:7" x14ac:dyDescent="0.2">
      <c r="B693" s="245"/>
      <c r="C693" s="246"/>
      <c r="D693" s="109"/>
      <c r="E693" s="109"/>
      <c r="F693" s="110"/>
      <c r="G693" s="112"/>
    </row>
    <row r="694" spans="2:7" x14ac:dyDescent="0.2">
      <c r="B694" s="245"/>
      <c r="C694" s="246"/>
      <c r="D694" s="109"/>
      <c r="E694" s="109"/>
      <c r="F694" s="110"/>
      <c r="G694" s="112"/>
    </row>
    <row r="695" spans="2:7" x14ac:dyDescent="0.2">
      <c r="B695" s="245"/>
      <c r="C695" s="246"/>
      <c r="D695" s="109"/>
      <c r="E695" s="109"/>
      <c r="F695" s="110"/>
      <c r="G695" s="112"/>
    </row>
    <row r="696" spans="2:7" x14ac:dyDescent="0.2">
      <c r="B696" s="245"/>
      <c r="C696" s="246"/>
      <c r="D696" s="109"/>
      <c r="E696" s="109"/>
      <c r="F696" s="110"/>
      <c r="G696" s="112"/>
    </row>
    <row r="697" spans="2:7" x14ac:dyDescent="0.2">
      <c r="B697" s="245"/>
      <c r="C697" s="246"/>
      <c r="D697" s="109"/>
      <c r="E697" s="109"/>
      <c r="F697" s="110"/>
      <c r="G697" s="112"/>
    </row>
    <row r="698" spans="2:7" x14ac:dyDescent="0.2">
      <c r="B698" s="245"/>
      <c r="C698" s="246"/>
      <c r="D698" s="109"/>
      <c r="E698" s="109"/>
      <c r="F698" s="110"/>
      <c r="G698" s="112"/>
    </row>
    <row r="699" spans="2:7" x14ac:dyDescent="0.2">
      <c r="B699" s="245"/>
      <c r="C699" s="246"/>
      <c r="D699" s="109"/>
      <c r="E699" s="109"/>
      <c r="F699" s="110"/>
      <c r="G699" s="112"/>
    </row>
    <row r="700" spans="2:7" x14ac:dyDescent="0.2">
      <c r="B700" s="245"/>
      <c r="C700" s="246"/>
      <c r="D700" s="109"/>
      <c r="E700" s="109"/>
      <c r="F700" s="110"/>
      <c r="G700" s="112"/>
    </row>
    <row r="701" spans="2:7" x14ac:dyDescent="0.2">
      <c r="B701" s="245"/>
      <c r="C701" s="246"/>
      <c r="D701" s="109"/>
      <c r="E701" s="109"/>
      <c r="F701" s="110"/>
      <c r="G701" s="112"/>
    </row>
    <row r="702" spans="2:7" x14ac:dyDescent="0.2">
      <c r="B702" s="245"/>
      <c r="C702" s="246"/>
      <c r="D702" s="109"/>
      <c r="E702" s="109"/>
      <c r="F702" s="110"/>
      <c r="G702" s="112"/>
    </row>
    <row r="703" spans="2:7" x14ac:dyDescent="0.2">
      <c r="B703" s="245"/>
      <c r="C703" s="246"/>
      <c r="D703" s="109"/>
      <c r="E703" s="109"/>
      <c r="F703" s="110"/>
      <c r="G703" s="112"/>
    </row>
    <row r="704" spans="2:7" x14ac:dyDescent="0.2">
      <c r="B704" s="245"/>
      <c r="C704" s="246"/>
      <c r="D704" s="109"/>
      <c r="E704" s="109"/>
      <c r="F704" s="110"/>
      <c r="G704" s="112"/>
    </row>
    <row r="705" spans="2:7" x14ac:dyDescent="0.2">
      <c r="B705" s="245"/>
      <c r="C705" s="246"/>
      <c r="D705" s="109"/>
      <c r="E705" s="109"/>
      <c r="F705" s="110"/>
      <c r="G705" s="112"/>
    </row>
    <row r="706" spans="2:7" x14ac:dyDescent="0.2">
      <c r="B706" s="245"/>
      <c r="C706" s="246"/>
      <c r="D706" s="109"/>
      <c r="E706" s="109"/>
      <c r="F706" s="110"/>
      <c r="G706" s="112"/>
    </row>
    <row r="707" spans="2:7" x14ac:dyDescent="0.2">
      <c r="B707" s="245"/>
      <c r="C707" s="246"/>
      <c r="D707" s="109"/>
      <c r="E707" s="109"/>
      <c r="F707" s="110"/>
      <c r="G707" s="112"/>
    </row>
    <row r="708" spans="2:7" x14ac:dyDescent="0.2">
      <c r="B708" s="245"/>
      <c r="C708" s="246"/>
      <c r="D708" s="109"/>
      <c r="E708" s="109"/>
      <c r="F708" s="110"/>
      <c r="G708" s="112"/>
    </row>
    <row r="709" spans="2:7" x14ac:dyDescent="0.2">
      <c r="B709" s="245"/>
      <c r="C709" s="246"/>
      <c r="D709" s="109"/>
      <c r="E709" s="109"/>
      <c r="F709" s="110"/>
      <c r="G709" s="112"/>
    </row>
    <row r="710" spans="2:7" x14ac:dyDescent="0.2">
      <c r="B710" s="245"/>
      <c r="C710" s="246"/>
      <c r="D710" s="109"/>
      <c r="E710" s="109"/>
      <c r="F710" s="110"/>
      <c r="G710" s="112"/>
    </row>
    <row r="711" spans="2:7" x14ac:dyDescent="0.2">
      <c r="B711" s="245"/>
      <c r="C711" s="246"/>
      <c r="D711" s="109"/>
      <c r="E711" s="109"/>
      <c r="F711" s="110"/>
      <c r="G711" s="112"/>
    </row>
    <row r="712" spans="2:7" x14ac:dyDescent="0.2">
      <c r="B712" s="245"/>
      <c r="C712" s="246"/>
      <c r="D712" s="109"/>
      <c r="E712" s="109"/>
      <c r="F712" s="110"/>
      <c r="G712" s="112"/>
    </row>
    <row r="713" spans="2:7" x14ac:dyDescent="0.2">
      <c r="B713" s="245"/>
      <c r="C713" s="246"/>
      <c r="D713" s="109"/>
      <c r="E713" s="109"/>
      <c r="F713" s="110"/>
      <c r="G713" s="112"/>
    </row>
    <row r="714" spans="2:7" x14ac:dyDescent="0.2">
      <c r="B714" s="245"/>
      <c r="C714" s="246"/>
      <c r="D714" s="109"/>
      <c r="E714" s="109"/>
      <c r="F714" s="110"/>
      <c r="G714" s="112"/>
    </row>
    <row r="715" spans="2:7" x14ac:dyDescent="0.2">
      <c r="B715" s="245"/>
      <c r="C715" s="246"/>
      <c r="D715" s="109"/>
      <c r="E715" s="109"/>
      <c r="F715" s="110"/>
      <c r="G715" s="112"/>
    </row>
    <row r="716" spans="2:7" x14ac:dyDescent="0.2">
      <c r="B716" s="245"/>
      <c r="C716" s="246"/>
      <c r="D716" s="109"/>
      <c r="E716" s="109"/>
      <c r="F716" s="110"/>
      <c r="G716" s="112"/>
    </row>
    <row r="717" spans="2:7" x14ac:dyDescent="0.2">
      <c r="B717" s="245"/>
      <c r="C717" s="246"/>
      <c r="D717" s="109"/>
      <c r="E717" s="109"/>
      <c r="F717" s="110"/>
      <c r="G717" s="112"/>
    </row>
    <row r="718" spans="2:7" x14ac:dyDescent="0.2">
      <c r="B718" s="245"/>
      <c r="C718" s="246"/>
      <c r="D718" s="109"/>
      <c r="E718" s="109"/>
      <c r="F718" s="110"/>
      <c r="G718" s="112"/>
    </row>
    <row r="719" spans="2:7" x14ac:dyDescent="0.2">
      <c r="B719" s="245"/>
      <c r="C719" s="246"/>
      <c r="D719" s="109"/>
      <c r="E719" s="109"/>
      <c r="F719" s="110"/>
      <c r="G719" s="112"/>
    </row>
    <row r="720" spans="2:7" x14ac:dyDescent="0.2">
      <c r="B720" s="245"/>
      <c r="C720" s="246"/>
      <c r="D720" s="109"/>
      <c r="E720" s="109"/>
      <c r="F720" s="110"/>
      <c r="G720" s="112"/>
    </row>
    <row r="721" spans="2:7" x14ac:dyDescent="0.2">
      <c r="B721" s="245"/>
      <c r="C721" s="246"/>
      <c r="D721" s="109"/>
      <c r="E721" s="109"/>
      <c r="F721" s="110"/>
      <c r="G721" s="112"/>
    </row>
    <row r="722" spans="2:7" x14ac:dyDescent="0.2">
      <c r="B722" s="245"/>
      <c r="C722" s="246"/>
      <c r="D722" s="109"/>
      <c r="E722" s="109"/>
      <c r="F722" s="110"/>
      <c r="G722" s="112"/>
    </row>
    <row r="723" spans="2:7" x14ac:dyDescent="0.2">
      <c r="B723" s="245"/>
      <c r="C723" s="246"/>
      <c r="D723" s="109"/>
      <c r="E723" s="109"/>
      <c r="F723" s="110"/>
      <c r="G723" s="112"/>
    </row>
    <row r="724" spans="2:7" x14ac:dyDescent="0.2">
      <c r="B724" s="245"/>
      <c r="C724" s="246"/>
      <c r="D724" s="109"/>
      <c r="E724" s="109"/>
      <c r="F724" s="110"/>
      <c r="G724" s="112"/>
    </row>
    <row r="725" spans="2:7" x14ac:dyDescent="0.2">
      <c r="B725" s="245"/>
      <c r="C725" s="246"/>
      <c r="D725" s="109"/>
      <c r="E725" s="109"/>
      <c r="F725" s="110"/>
      <c r="G725" s="112"/>
    </row>
    <row r="726" spans="2:7" x14ac:dyDescent="0.2">
      <c r="B726" s="245"/>
      <c r="C726" s="246"/>
      <c r="D726" s="109"/>
      <c r="E726" s="109"/>
      <c r="F726" s="110"/>
      <c r="G726" s="112"/>
    </row>
    <row r="727" spans="2:7" x14ac:dyDescent="0.2">
      <c r="B727" s="245"/>
      <c r="C727" s="246"/>
      <c r="D727" s="109"/>
      <c r="E727" s="109"/>
      <c r="F727" s="110"/>
      <c r="G727" s="112"/>
    </row>
    <row r="728" spans="2:7" x14ac:dyDescent="0.2">
      <c r="B728" s="245"/>
      <c r="C728" s="246"/>
      <c r="D728" s="109"/>
      <c r="E728" s="109"/>
      <c r="F728" s="110"/>
      <c r="G728" s="112"/>
    </row>
    <row r="729" spans="2:7" x14ac:dyDescent="0.2">
      <c r="B729" s="245"/>
      <c r="C729" s="246"/>
      <c r="D729" s="109"/>
      <c r="E729" s="109"/>
      <c r="F729" s="110"/>
      <c r="G729" s="112"/>
    </row>
    <row r="730" spans="2:7" x14ac:dyDescent="0.2">
      <c r="B730" s="245"/>
      <c r="C730" s="246"/>
      <c r="D730" s="109"/>
      <c r="E730" s="109"/>
      <c r="F730" s="110"/>
      <c r="G730" s="112"/>
    </row>
    <row r="731" spans="2:7" x14ac:dyDescent="0.2">
      <c r="B731" s="245"/>
      <c r="C731" s="246"/>
      <c r="D731" s="109"/>
      <c r="E731" s="109"/>
      <c r="F731" s="110"/>
      <c r="G731" s="112"/>
    </row>
    <row r="732" spans="2:7" x14ac:dyDescent="0.2">
      <c r="B732" s="245"/>
      <c r="C732" s="246"/>
      <c r="D732" s="109"/>
      <c r="E732" s="109"/>
      <c r="F732" s="110"/>
      <c r="G732" s="112"/>
    </row>
    <row r="733" spans="2:7" x14ac:dyDescent="0.2">
      <c r="B733" s="245"/>
      <c r="C733" s="246"/>
      <c r="D733" s="109"/>
      <c r="E733" s="109"/>
      <c r="F733" s="110"/>
      <c r="G733" s="112"/>
    </row>
    <row r="734" spans="2:7" x14ac:dyDescent="0.2">
      <c r="B734" s="245"/>
      <c r="C734" s="246"/>
      <c r="D734" s="109"/>
      <c r="E734" s="109"/>
      <c r="F734" s="110"/>
      <c r="G734" s="112"/>
    </row>
    <row r="735" spans="2:7" x14ac:dyDescent="0.2">
      <c r="B735" s="245"/>
      <c r="C735" s="246"/>
      <c r="D735" s="109"/>
      <c r="E735" s="109"/>
      <c r="F735" s="110"/>
      <c r="G735" s="112"/>
    </row>
    <row r="736" spans="2:7" x14ac:dyDescent="0.2">
      <c r="B736" s="245"/>
      <c r="C736" s="246"/>
      <c r="D736" s="109"/>
      <c r="E736" s="109"/>
      <c r="F736" s="110"/>
      <c r="G736" s="112"/>
    </row>
    <row r="737" spans="2:7" x14ac:dyDescent="0.2">
      <c r="B737" s="245"/>
      <c r="C737" s="246"/>
      <c r="D737" s="109"/>
      <c r="E737" s="109"/>
      <c r="F737" s="110"/>
      <c r="G737" s="112"/>
    </row>
    <row r="738" spans="2:7" x14ac:dyDescent="0.2">
      <c r="B738" s="245"/>
      <c r="C738" s="246"/>
      <c r="D738" s="109"/>
      <c r="E738" s="109"/>
      <c r="F738" s="110"/>
      <c r="G738" s="112"/>
    </row>
    <row r="739" spans="2:7" x14ac:dyDescent="0.2">
      <c r="B739" s="245"/>
      <c r="C739" s="246"/>
      <c r="D739" s="109"/>
      <c r="E739" s="109"/>
      <c r="F739" s="110"/>
      <c r="G739" s="112"/>
    </row>
    <row r="740" spans="2:7" x14ac:dyDescent="0.2">
      <c r="B740" s="245"/>
      <c r="C740" s="246"/>
      <c r="D740" s="109"/>
      <c r="E740" s="109"/>
      <c r="F740" s="110"/>
      <c r="G740" s="112"/>
    </row>
    <row r="741" spans="2:7" x14ac:dyDescent="0.2">
      <c r="B741" s="245"/>
      <c r="C741" s="246"/>
      <c r="D741" s="109"/>
      <c r="E741" s="109"/>
      <c r="F741" s="110"/>
      <c r="G741" s="112"/>
    </row>
    <row r="742" spans="2:7" x14ac:dyDescent="0.2">
      <c r="B742" s="245"/>
      <c r="C742" s="246"/>
      <c r="D742" s="109"/>
      <c r="E742" s="109"/>
      <c r="F742" s="110"/>
      <c r="G742" s="112"/>
    </row>
    <row r="743" spans="2:7" x14ac:dyDescent="0.2">
      <c r="B743" s="245"/>
      <c r="C743" s="246"/>
      <c r="D743" s="109"/>
      <c r="E743" s="109"/>
      <c r="F743" s="110"/>
      <c r="G743" s="112"/>
    </row>
    <row r="744" spans="2:7" x14ac:dyDescent="0.2">
      <c r="B744" s="245"/>
      <c r="C744" s="246"/>
      <c r="D744" s="109"/>
      <c r="E744" s="109"/>
      <c r="F744" s="110"/>
      <c r="G744" s="112"/>
    </row>
    <row r="745" spans="2:7" x14ac:dyDescent="0.2">
      <c r="B745" s="245"/>
      <c r="C745" s="246"/>
      <c r="D745" s="109"/>
      <c r="E745" s="109"/>
      <c r="F745" s="110"/>
      <c r="G745" s="112"/>
    </row>
    <row r="746" spans="2:7" x14ac:dyDescent="0.2">
      <c r="B746" s="245"/>
      <c r="C746" s="246"/>
      <c r="D746" s="109"/>
      <c r="E746" s="109"/>
      <c r="F746" s="110"/>
      <c r="G746" s="112"/>
    </row>
    <row r="747" spans="2:7" x14ac:dyDescent="0.2">
      <c r="B747" s="245"/>
      <c r="C747" s="246"/>
      <c r="D747" s="109"/>
      <c r="E747" s="109"/>
      <c r="F747" s="110"/>
      <c r="G747" s="112"/>
    </row>
    <row r="748" spans="2:7" x14ac:dyDescent="0.2">
      <c r="B748" s="245"/>
      <c r="C748" s="246"/>
      <c r="D748" s="109"/>
      <c r="E748" s="109"/>
      <c r="F748" s="110"/>
      <c r="G748" s="112"/>
    </row>
    <row r="749" spans="2:7" x14ac:dyDescent="0.2">
      <c r="B749" s="245"/>
      <c r="C749" s="246"/>
      <c r="D749" s="109"/>
      <c r="E749" s="109"/>
      <c r="F749" s="110"/>
      <c r="G749" s="112"/>
    </row>
    <row r="750" spans="2:7" x14ac:dyDescent="0.2">
      <c r="B750" s="245"/>
      <c r="C750" s="246"/>
      <c r="D750" s="109"/>
      <c r="E750" s="109"/>
      <c r="F750" s="110"/>
      <c r="G750" s="112"/>
    </row>
    <row r="751" spans="2:7" x14ac:dyDescent="0.2">
      <c r="B751" s="245"/>
      <c r="C751" s="246"/>
      <c r="D751" s="109"/>
      <c r="E751" s="109"/>
      <c r="F751" s="110"/>
      <c r="G751" s="112"/>
    </row>
    <row r="752" spans="2:7" x14ac:dyDescent="0.2">
      <c r="B752" s="245"/>
      <c r="C752" s="246"/>
      <c r="D752" s="109"/>
      <c r="E752" s="109"/>
      <c r="F752" s="110"/>
      <c r="G752" s="112"/>
    </row>
    <row r="753" spans="2:7" x14ac:dyDescent="0.2">
      <c r="B753" s="245"/>
      <c r="C753" s="246"/>
      <c r="D753" s="109"/>
      <c r="E753" s="109"/>
      <c r="F753" s="110"/>
      <c r="G753" s="112"/>
    </row>
    <row r="754" spans="2:7" x14ac:dyDescent="0.2">
      <c r="B754" s="245"/>
      <c r="C754" s="246"/>
      <c r="D754" s="109"/>
      <c r="E754" s="109"/>
      <c r="F754" s="110"/>
      <c r="G754" s="112"/>
    </row>
    <row r="755" spans="2:7" x14ac:dyDescent="0.2">
      <c r="B755" s="245"/>
      <c r="C755" s="246"/>
      <c r="D755" s="109"/>
      <c r="E755" s="109"/>
      <c r="F755" s="110"/>
      <c r="G755" s="112"/>
    </row>
    <row r="756" spans="2:7" x14ac:dyDescent="0.2">
      <c r="B756" s="245"/>
      <c r="C756" s="246"/>
      <c r="D756" s="109"/>
      <c r="E756" s="109"/>
      <c r="F756" s="110"/>
      <c r="G756" s="112"/>
    </row>
    <row r="757" spans="2:7" x14ac:dyDescent="0.2">
      <c r="B757" s="245"/>
      <c r="C757" s="246"/>
      <c r="D757" s="109"/>
      <c r="E757" s="109"/>
      <c r="F757" s="110"/>
      <c r="G757" s="112"/>
    </row>
    <row r="758" spans="2:7" x14ac:dyDescent="0.2">
      <c r="B758" s="245"/>
      <c r="C758" s="246"/>
      <c r="D758" s="109"/>
      <c r="E758" s="109"/>
      <c r="F758" s="110"/>
      <c r="G758" s="112"/>
    </row>
    <row r="759" spans="2:7" x14ac:dyDescent="0.2">
      <c r="B759" s="245"/>
      <c r="C759" s="246"/>
      <c r="D759" s="109"/>
      <c r="E759" s="109"/>
      <c r="F759" s="110"/>
      <c r="G759" s="112"/>
    </row>
    <row r="760" spans="2:7" x14ac:dyDescent="0.2">
      <c r="B760" s="245"/>
      <c r="C760" s="246"/>
      <c r="D760" s="109"/>
      <c r="E760" s="109"/>
      <c r="F760" s="110"/>
      <c r="G760" s="112"/>
    </row>
    <row r="761" spans="2:7" x14ac:dyDescent="0.2">
      <c r="B761" s="245"/>
      <c r="C761" s="246"/>
      <c r="D761" s="109"/>
      <c r="E761" s="109"/>
      <c r="F761" s="110"/>
      <c r="G761" s="112"/>
    </row>
    <row r="762" spans="2:7" x14ac:dyDescent="0.2">
      <c r="B762" s="245"/>
      <c r="C762" s="246"/>
      <c r="D762" s="109"/>
      <c r="E762" s="109"/>
      <c r="F762" s="110"/>
      <c r="G762" s="112"/>
    </row>
    <row r="763" spans="2:7" x14ac:dyDescent="0.2">
      <c r="B763" s="245"/>
      <c r="C763" s="246"/>
      <c r="D763" s="109"/>
      <c r="E763" s="109"/>
      <c r="F763" s="110"/>
      <c r="G763" s="112"/>
    </row>
    <row r="764" spans="2:7" x14ac:dyDescent="0.2">
      <c r="B764" s="245"/>
      <c r="C764" s="246"/>
      <c r="D764" s="109"/>
      <c r="E764" s="109"/>
      <c r="F764" s="110"/>
      <c r="G764" s="112"/>
    </row>
    <row r="765" spans="2:7" x14ac:dyDescent="0.2">
      <c r="B765" s="245"/>
      <c r="C765" s="246"/>
      <c r="D765" s="109"/>
      <c r="E765" s="109"/>
      <c r="F765" s="110"/>
      <c r="G765" s="112"/>
    </row>
    <row r="766" spans="2:7" x14ac:dyDescent="0.2">
      <c r="B766" s="245"/>
      <c r="C766" s="246"/>
      <c r="D766" s="109"/>
      <c r="E766" s="109"/>
      <c r="F766" s="110"/>
      <c r="G766" s="112"/>
    </row>
    <row r="767" spans="2:7" x14ac:dyDescent="0.2">
      <c r="B767" s="245"/>
      <c r="C767" s="246"/>
      <c r="D767" s="109"/>
      <c r="E767" s="109"/>
      <c r="F767" s="110"/>
      <c r="G767" s="112"/>
    </row>
    <row r="768" spans="2:7" x14ac:dyDescent="0.2">
      <c r="B768" s="245"/>
      <c r="C768" s="246"/>
      <c r="D768" s="109"/>
      <c r="E768" s="109"/>
      <c r="F768" s="110"/>
      <c r="G768" s="112"/>
    </row>
    <row r="769" spans="2:7" x14ac:dyDescent="0.2">
      <c r="B769" s="245"/>
      <c r="C769" s="246"/>
      <c r="D769" s="109"/>
      <c r="E769" s="109"/>
      <c r="F769" s="110"/>
      <c r="G769" s="112"/>
    </row>
    <row r="770" spans="2:7" x14ac:dyDescent="0.2">
      <c r="B770" s="245"/>
      <c r="C770" s="246"/>
      <c r="D770" s="109"/>
      <c r="E770" s="109"/>
      <c r="F770" s="110"/>
      <c r="G770" s="112"/>
    </row>
    <row r="771" spans="2:7" x14ac:dyDescent="0.2">
      <c r="B771" s="245"/>
      <c r="C771" s="246"/>
      <c r="D771" s="109"/>
      <c r="E771" s="109"/>
      <c r="F771" s="110"/>
      <c r="G771" s="112"/>
    </row>
    <row r="772" spans="2:7" x14ac:dyDescent="0.2">
      <c r="B772" s="245"/>
      <c r="C772" s="246"/>
      <c r="D772" s="109"/>
      <c r="E772" s="109"/>
      <c r="F772" s="110"/>
      <c r="G772" s="112"/>
    </row>
    <row r="773" spans="2:7" x14ac:dyDescent="0.2">
      <c r="B773" s="245"/>
      <c r="C773" s="246"/>
      <c r="D773" s="109"/>
      <c r="E773" s="109"/>
      <c r="F773" s="110"/>
      <c r="G773" s="112"/>
    </row>
    <row r="774" spans="2:7" x14ac:dyDescent="0.2">
      <c r="B774" s="245"/>
      <c r="C774" s="246"/>
      <c r="D774" s="109"/>
      <c r="E774" s="109"/>
      <c r="F774" s="110"/>
      <c r="G774" s="112"/>
    </row>
    <row r="775" spans="2:7" x14ac:dyDescent="0.2">
      <c r="B775" s="245"/>
      <c r="C775" s="246"/>
      <c r="D775" s="109"/>
      <c r="E775" s="109"/>
      <c r="F775" s="110"/>
      <c r="G775" s="112"/>
    </row>
    <row r="776" spans="2:7" x14ac:dyDescent="0.2">
      <c r="B776" s="245"/>
      <c r="C776" s="246"/>
      <c r="D776" s="109"/>
      <c r="E776" s="109"/>
      <c r="F776" s="110"/>
      <c r="G776" s="112"/>
    </row>
    <row r="777" spans="2:7" x14ac:dyDescent="0.2">
      <c r="B777" s="245"/>
      <c r="C777" s="246"/>
      <c r="D777" s="109"/>
      <c r="E777" s="109"/>
      <c r="F777" s="110"/>
      <c r="G777" s="112"/>
    </row>
    <row r="778" spans="2:7" x14ac:dyDescent="0.2">
      <c r="B778" s="245"/>
      <c r="C778" s="246"/>
      <c r="D778" s="109"/>
      <c r="E778" s="109"/>
      <c r="F778" s="110"/>
      <c r="G778" s="112"/>
    </row>
    <row r="779" spans="2:7" x14ac:dyDescent="0.2">
      <c r="B779" s="245"/>
      <c r="C779" s="246"/>
      <c r="D779" s="109"/>
      <c r="E779" s="109"/>
      <c r="F779" s="110"/>
      <c r="G779" s="112"/>
    </row>
    <row r="780" spans="2:7" x14ac:dyDescent="0.2">
      <c r="B780" s="245"/>
      <c r="C780" s="246"/>
      <c r="D780" s="109"/>
      <c r="E780" s="109"/>
      <c r="F780" s="110"/>
      <c r="G780" s="112"/>
    </row>
    <row r="781" spans="2:7" x14ac:dyDescent="0.2">
      <c r="B781" s="245"/>
      <c r="C781" s="246"/>
      <c r="D781" s="109"/>
      <c r="E781" s="109"/>
      <c r="F781" s="110"/>
      <c r="G781" s="112"/>
    </row>
    <row r="782" spans="2:7" x14ac:dyDescent="0.2">
      <c r="B782" s="245"/>
      <c r="C782" s="246"/>
      <c r="D782" s="109"/>
      <c r="E782" s="109"/>
      <c r="F782" s="110"/>
      <c r="G782" s="112"/>
    </row>
    <row r="783" spans="2:7" x14ac:dyDescent="0.2">
      <c r="B783" s="245"/>
      <c r="C783" s="246"/>
      <c r="D783" s="109"/>
      <c r="E783" s="109"/>
      <c r="F783" s="110"/>
      <c r="G783" s="112"/>
    </row>
    <row r="784" spans="2:7" x14ac:dyDescent="0.2">
      <c r="B784" s="245"/>
      <c r="C784" s="246"/>
      <c r="D784" s="109"/>
      <c r="E784" s="109"/>
      <c r="F784" s="110"/>
      <c r="G784" s="112"/>
    </row>
    <row r="785" spans="2:7" x14ac:dyDescent="0.2">
      <c r="B785" s="245"/>
      <c r="C785" s="246"/>
      <c r="D785" s="109"/>
      <c r="E785" s="109"/>
      <c r="F785" s="110"/>
      <c r="G785" s="112"/>
    </row>
    <row r="786" spans="2:7" x14ac:dyDescent="0.2">
      <c r="B786" s="245"/>
      <c r="C786" s="246"/>
      <c r="D786" s="109"/>
      <c r="E786" s="109"/>
      <c r="F786" s="110"/>
      <c r="G786" s="112"/>
    </row>
    <row r="787" spans="2:7" x14ac:dyDescent="0.2">
      <c r="B787" s="245"/>
      <c r="C787" s="246"/>
      <c r="D787" s="109"/>
      <c r="E787" s="109"/>
      <c r="F787" s="110"/>
      <c r="G787" s="112"/>
    </row>
    <row r="788" spans="2:7" x14ac:dyDescent="0.2">
      <c r="B788" s="245"/>
      <c r="C788" s="246"/>
      <c r="D788" s="109"/>
      <c r="E788" s="109"/>
      <c r="F788" s="110"/>
      <c r="G788" s="112"/>
    </row>
    <row r="789" spans="2:7" x14ac:dyDescent="0.2">
      <c r="B789" s="245"/>
      <c r="C789" s="246"/>
      <c r="D789" s="109"/>
      <c r="E789" s="109"/>
      <c r="F789" s="110"/>
      <c r="G789" s="112"/>
    </row>
    <row r="790" spans="2:7" x14ac:dyDescent="0.2">
      <c r="B790" s="245"/>
      <c r="C790" s="246"/>
      <c r="D790" s="109"/>
      <c r="E790" s="109"/>
      <c r="F790" s="110"/>
      <c r="G790" s="112"/>
    </row>
    <row r="791" spans="2:7" x14ac:dyDescent="0.2">
      <c r="B791" s="245"/>
      <c r="C791" s="246"/>
      <c r="D791" s="109"/>
      <c r="E791" s="109"/>
      <c r="F791" s="110"/>
      <c r="G791" s="112"/>
    </row>
    <row r="792" spans="2:7" x14ac:dyDescent="0.2">
      <c r="B792" s="245"/>
      <c r="C792" s="246"/>
      <c r="D792" s="109"/>
      <c r="E792" s="109"/>
      <c r="F792" s="110"/>
      <c r="G792" s="112"/>
    </row>
    <row r="793" spans="2:7" x14ac:dyDescent="0.2">
      <c r="B793" s="245"/>
      <c r="C793" s="246"/>
      <c r="D793" s="109"/>
      <c r="E793" s="109"/>
      <c r="F793" s="110"/>
      <c r="G793" s="112"/>
    </row>
    <row r="794" spans="2:7" x14ac:dyDescent="0.2">
      <c r="B794" s="245"/>
      <c r="C794" s="246"/>
      <c r="D794" s="109"/>
      <c r="E794" s="109"/>
      <c r="F794" s="110"/>
      <c r="G794" s="112"/>
    </row>
    <row r="795" spans="2:7" x14ac:dyDescent="0.2">
      <c r="B795" s="245"/>
      <c r="C795" s="246"/>
      <c r="D795" s="109"/>
      <c r="E795" s="109"/>
      <c r="F795" s="110"/>
      <c r="G795" s="112"/>
    </row>
    <row r="796" spans="2:7" x14ac:dyDescent="0.2">
      <c r="B796" s="245"/>
      <c r="C796" s="246"/>
      <c r="D796" s="109"/>
      <c r="E796" s="109"/>
      <c r="F796" s="110"/>
      <c r="G796" s="112"/>
    </row>
    <row r="797" spans="2:7" x14ac:dyDescent="0.2">
      <c r="B797" s="245"/>
      <c r="C797" s="246"/>
      <c r="D797" s="109"/>
      <c r="E797" s="109"/>
      <c r="F797" s="110"/>
      <c r="G797" s="112"/>
    </row>
    <row r="798" spans="2:7" x14ac:dyDescent="0.2">
      <c r="B798" s="245"/>
      <c r="C798" s="246"/>
      <c r="D798" s="109"/>
      <c r="E798" s="109"/>
      <c r="F798" s="110"/>
      <c r="G798" s="112"/>
    </row>
    <row r="799" spans="2:7" x14ac:dyDescent="0.2">
      <c r="B799" s="245"/>
      <c r="C799" s="246"/>
      <c r="D799" s="109"/>
      <c r="E799" s="109"/>
      <c r="F799" s="110"/>
      <c r="G799" s="112"/>
    </row>
    <row r="800" spans="2:7" x14ac:dyDescent="0.2">
      <c r="B800" s="245"/>
      <c r="C800" s="246"/>
      <c r="D800" s="109"/>
      <c r="E800" s="109"/>
      <c r="F800" s="110"/>
      <c r="G800" s="112"/>
    </row>
    <row r="801" spans="2:7" x14ac:dyDescent="0.2">
      <c r="B801" s="245"/>
      <c r="C801" s="246"/>
      <c r="D801" s="109"/>
      <c r="E801" s="109"/>
      <c r="F801" s="110"/>
      <c r="G801" s="112"/>
    </row>
    <row r="802" spans="2:7" x14ac:dyDescent="0.2">
      <c r="B802" s="245"/>
      <c r="C802" s="246"/>
      <c r="D802" s="109"/>
      <c r="E802" s="109"/>
      <c r="F802" s="110"/>
      <c r="G802" s="112"/>
    </row>
    <row r="803" spans="2:7" x14ac:dyDescent="0.2">
      <c r="B803" s="245"/>
      <c r="C803" s="246"/>
      <c r="D803" s="109"/>
      <c r="E803" s="109"/>
      <c r="F803" s="110"/>
      <c r="G803" s="112"/>
    </row>
    <row r="804" spans="2:7" x14ac:dyDescent="0.2">
      <c r="B804" s="245"/>
      <c r="C804" s="246"/>
      <c r="D804" s="109"/>
      <c r="E804" s="109"/>
      <c r="F804" s="110"/>
      <c r="G804" s="112"/>
    </row>
    <row r="805" spans="2:7" x14ac:dyDescent="0.2">
      <c r="B805" s="245"/>
      <c r="C805" s="246"/>
      <c r="D805" s="109"/>
      <c r="E805" s="109"/>
      <c r="F805" s="110"/>
      <c r="G805" s="112"/>
    </row>
    <row r="806" spans="2:7" x14ac:dyDescent="0.2">
      <c r="B806" s="245"/>
      <c r="C806" s="246"/>
      <c r="D806" s="109"/>
      <c r="E806" s="109"/>
      <c r="F806" s="110"/>
      <c r="G806" s="112"/>
    </row>
    <row r="807" spans="2:7" x14ac:dyDescent="0.2">
      <c r="B807" s="245"/>
      <c r="C807" s="246"/>
      <c r="D807" s="109"/>
      <c r="E807" s="109"/>
      <c r="F807" s="110"/>
      <c r="G807" s="112"/>
    </row>
    <row r="808" spans="2:7" x14ac:dyDescent="0.2">
      <c r="B808" s="245"/>
      <c r="C808" s="246"/>
      <c r="D808" s="109"/>
      <c r="E808" s="109"/>
      <c r="F808" s="110"/>
      <c r="G808" s="112"/>
    </row>
    <row r="809" spans="2:7" x14ac:dyDescent="0.2">
      <c r="B809" s="245"/>
      <c r="C809" s="246"/>
      <c r="D809" s="109"/>
      <c r="E809" s="109"/>
      <c r="F809" s="110"/>
      <c r="G809" s="112"/>
    </row>
    <row r="810" spans="2:7" x14ac:dyDescent="0.2">
      <c r="B810" s="245"/>
      <c r="C810" s="246"/>
      <c r="D810" s="109"/>
      <c r="E810" s="109"/>
      <c r="F810" s="110"/>
      <c r="G810" s="112"/>
    </row>
    <row r="811" spans="2:7" x14ac:dyDescent="0.2">
      <c r="B811" s="245"/>
      <c r="C811" s="246"/>
      <c r="D811" s="109"/>
      <c r="E811" s="109"/>
      <c r="F811" s="110"/>
      <c r="G811" s="112"/>
    </row>
    <row r="812" spans="2:7" x14ac:dyDescent="0.2">
      <c r="B812" s="245"/>
      <c r="C812" s="246"/>
      <c r="D812" s="109"/>
      <c r="E812" s="109"/>
      <c r="F812" s="110"/>
      <c r="G812" s="112"/>
    </row>
    <row r="813" spans="2:7" x14ac:dyDescent="0.2">
      <c r="B813" s="245"/>
      <c r="C813" s="246"/>
      <c r="D813" s="109"/>
      <c r="E813" s="109"/>
      <c r="F813" s="110"/>
      <c r="G813" s="112"/>
    </row>
    <row r="814" spans="2:7" x14ac:dyDescent="0.2">
      <c r="B814" s="245"/>
      <c r="C814" s="246"/>
      <c r="D814" s="109"/>
      <c r="E814" s="109"/>
      <c r="F814" s="110"/>
      <c r="G814" s="112"/>
    </row>
    <row r="815" spans="2:7" x14ac:dyDescent="0.2">
      <c r="B815" s="245"/>
      <c r="C815" s="246"/>
      <c r="D815" s="109"/>
      <c r="E815" s="109"/>
      <c r="F815" s="110"/>
      <c r="G815" s="112"/>
    </row>
    <row r="816" spans="2:7" x14ac:dyDescent="0.2">
      <c r="B816" s="245"/>
      <c r="C816" s="246"/>
      <c r="D816" s="109"/>
      <c r="E816" s="109"/>
      <c r="F816" s="110"/>
      <c r="G816" s="112"/>
    </row>
    <row r="817" spans="2:7" x14ac:dyDescent="0.2">
      <c r="B817" s="245"/>
      <c r="C817" s="246"/>
      <c r="D817" s="109"/>
      <c r="E817" s="109"/>
      <c r="F817" s="110"/>
      <c r="G817" s="112"/>
    </row>
    <row r="818" spans="2:7" x14ac:dyDescent="0.2">
      <c r="B818" s="245"/>
      <c r="C818" s="246"/>
      <c r="D818" s="109"/>
      <c r="E818" s="109"/>
      <c r="F818" s="110"/>
      <c r="G818" s="112"/>
    </row>
    <row r="819" spans="2:7" x14ac:dyDescent="0.2">
      <c r="B819" s="245"/>
      <c r="C819" s="246"/>
      <c r="D819" s="109"/>
      <c r="E819" s="109"/>
      <c r="F819" s="110"/>
      <c r="G819" s="112"/>
    </row>
    <row r="820" spans="2:7" x14ac:dyDescent="0.2">
      <c r="B820" s="245"/>
      <c r="C820" s="246"/>
      <c r="D820" s="109"/>
      <c r="E820" s="109"/>
      <c r="F820" s="110"/>
      <c r="G820" s="112"/>
    </row>
    <row r="821" spans="2:7" x14ac:dyDescent="0.2">
      <c r="B821" s="245"/>
      <c r="C821" s="246"/>
      <c r="D821" s="109"/>
      <c r="E821" s="109"/>
      <c r="F821" s="110"/>
      <c r="G821" s="112"/>
    </row>
    <row r="822" spans="2:7" x14ac:dyDescent="0.2">
      <c r="B822" s="245"/>
      <c r="C822" s="246"/>
      <c r="D822" s="109"/>
      <c r="E822" s="109"/>
      <c r="F822" s="110"/>
      <c r="G822" s="112"/>
    </row>
    <row r="823" spans="2:7" x14ac:dyDescent="0.2">
      <c r="B823" s="245"/>
      <c r="C823" s="246"/>
      <c r="D823" s="109"/>
      <c r="E823" s="109"/>
      <c r="F823" s="110"/>
      <c r="G823" s="112"/>
    </row>
    <row r="824" spans="2:7" x14ac:dyDescent="0.2">
      <c r="B824" s="245"/>
      <c r="C824" s="246"/>
      <c r="D824" s="109"/>
      <c r="E824" s="109"/>
      <c r="F824" s="110"/>
      <c r="G824" s="112"/>
    </row>
    <row r="825" spans="2:7" x14ac:dyDescent="0.2">
      <c r="B825" s="245"/>
      <c r="C825" s="246"/>
      <c r="D825" s="109"/>
      <c r="E825" s="109"/>
      <c r="F825" s="110"/>
      <c r="G825" s="112"/>
    </row>
    <row r="826" spans="2:7" x14ac:dyDescent="0.2">
      <c r="B826" s="245"/>
      <c r="C826" s="246"/>
      <c r="D826" s="109"/>
      <c r="E826" s="109"/>
      <c r="F826" s="110"/>
      <c r="G826" s="112"/>
    </row>
    <row r="827" spans="2:7" x14ac:dyDescent="0.2">
      <c r="B827" s="245"/>
      <c r="C827" s="246"/>
      <c r="D827" s="109"/>
      <c r="E827" s="109"/>
      <c r="F827" s="110"/>
      <c r="G827" s="112"/>
    </row>
    <row r="828" spans="2:7" x14ac:dyDescent="0.2">
      <c r="B828" s="245"/>
      <c r="C828" s="246"/>
      <c r="D828" s="109"/>
      <c r="E828" s="109"/>
      <c r="F828" s="110"/>
      <c r="G828" s="112"/>
    </row>
    <row r="829" spans="2:7" x14ac:dyDescent="0.2">
      <c r="B829" s="245"/>
      <c r="C829" s="246"/>
      <c r="D829" s="109"/>
      <c r="E829" s="109"/>
      <c r="F829" s="110"/>
      <c r="G829" s="112"/>
    </row>
    <row r="830" spans="2:7" x14ac:dyDescent="0.2">
      <c r="B830" s="245"/>
      <c r="C830" s="246"/>
      <c r="D830" s="109"/>
      <c r="E830" s="109"/>
      <c r="F830" s="110"/>
      <c r="G830" s="112"/>
    </row>
    <row r="831" spans="2:7" x14ac:dyDescent="0.2">
      <c r="B831" s="245"/>
      <c r="C831" s="246"/>
      <c r="D831" s="109"/>
      <c r="E831" s="109"/>
      <c r="F831" s="110"/>
      <c r="G831" s="112"/>
    </row>
    <row r="832" spans="2:7" x14ac:dyDescent="0.2">
      <c r="B832" s="245"/>
      <c r="C832" s="246"/>
      <c r="D832" s="109"/>
      <c r="E832" s="109"/>
      <c r="F832" s="110"/>
      <c r="G832" s="112"/>
    </row>
    <row r="833" spans="2:7" x14ac:dyDescent="0.2">
      <c r="B833" s="245"/>
      <c r="C833" s="246"/>
      <c r="D833" s="109"/>
      <c r="E833" s="109"/>
      <c r="F833" s="110"/>
      <c r="G833" s="112"/>
    </row>
    <row r="834" spans="2:7" x14ac:dyDescent="0.2">
      <c r="B834" s="245"/>
      <c r="C834" s="246"/>
      <c r="D834" s="109"/>
      <c r="E834" s="109"/>
      <c r="F834" s="110"/>
      <c r="G834" s="112"/>
    </row>
    <row r="835" spans="2:7" x14ac:dyDescent="0.2">
      <c r="B835" s="245"/>
      <c r="C835" s="246"/>
      <c r="D835" s="109"/>
      <c r="E835" s="109"/>
      <c r="F835" s="110"/>
      <c r="G835" s="112"/>
    </row>
    <row r="836" spans="2:7" x14ac:dyDescent="0.2">
      <c r="B836" s="245"/>
      <c r="C836" s="246"/>
      <c r="D836" s="109"/>
      <c r="E836" s="109"/>
      <c r="F836" s="110"/>
      <c r="G836" s="112"/>
    </row>
    <row r="837" spans="2:7" x14ac:dyDescent="0.2">
      <c r="B837" s="245"/>
      <c r="C837" s="246"/>
      <c r="D837" s="109"/>
      <c r="E837" s="109"/>
      <c r="F837" s="110"/>
      <c r="G837" s="112"/>
    </row>
    <row r="838" spans="2:7" x14ac:dyDescent="0.2">
      <c r="B838" s="245"/>
      <c r="C838" s="246"/>
      <c r="D838" s="109"/>
      <c r="E838" s="109"/>
      <c r="F838" s="110"/>
      <c r="G838" s="112"/>
    </row>
    <row r="839" spans="2:7" x14ac:dyDescent="0.2">
      <c r="B839" s="245"/>
      <c r="C839" s="246"/>
      <c r="D839" s="109"/>
      <c r="E839" s="109"/>
      <c r="F839" s="110"/>
      <c r="G839" s="112"/>
    </row>
    <row r="840" spans="2:7" x14ac:dyDescent="0.2">
      <c r="B840" s="245"/>
      <c r="C840" s="246"/>
      <c r="D840" s="109"/>
      <c r="E840" s="109"/>
      <c r="F840" s="110"/>
      <c r="G840" s="112"/>
    </row>
    <row r="841" spans="2:7" x14ac:dyDescent="0.2">
      <c r="B841" s="245"/>
      <c r="C841" s="246"/>
      <c r="D841" s="109"/>
      <c r="E841" s="109"/>
      <c r="F841" s="110"/>
      <c r="G841" s="112"/>
    </row>
    <row r="842" spans="2:7" x14ac:dyDescent="0.2">
      <c r="B842" s="245"/>
      <c r="C842" s="246"/>
      <c r="D842" s="109"/>
      <c r="E842" s="109"/>
      <c r="F842" s="110"/>
      <c r="G842" s="112"/>
    </row>
    <row r="843" spans="2:7" x14ac:dyDescent="0.2">
      <c r="B843" s="245"/>
      <c r="C843" s="246"/>
      <c r="D843" s="109"/>
      <c r="E843" s="109"/>
      <c r="F843" s="110"/>
      <c r="G843" s="112"/>
    </row>
    <row r="844" spans="2:7" x14ac:dyDescent="0.2">
      <c r="B844" s="245"/>
      <c r="C844" s="246"/>
      <c r="D844" s="109"/>
      <c r="E844" s="109"/>
      <c r="F844" s="110"/>
      <c r="G844" s="112"/>
    </row>
    <row r="845" spans="2:7" x14ac:dyDescent="0.2">
      <c r="B845" s="245"/>
      <c r="C845" s="246"/>
      <c r="D845" s="109"/>
      <c r="E845" s="109"/>
      <c r="F845" s="110"/>
      <c r="G845" s="112"/>
    </row>
    <row r="846" spans="2:7" x14ac:dyDescent="0.2">
      <c r="B846" s="245"/>
      <c r="C846" s="246"/>
      <c r="D846" s="109"/>
      <c r="E846" s="109"/>
      <c r="F846" s="110"/>
      <c r="G846" s="112"/>
    </row>
    <row r="847" spans="2:7" x14ac:dyDescent="0.2">
      <c r="B847" s="245"/>
      <c r="C847" s="246"/>
      <c r="D847" s="109"/>
      <c r="E847" s="109"/>
      <c r="F847" s="110"/>
      <c r="G847" s="112"/>
    </row>
    <row r="848" spans="2:7" x14ac:dyDescent="0.2">
      <c r="B848" s="245"/>
      <c r="C848" s="246"/>
      <c r="D848" s="109"/>
      <c r="E848" s="109"/>
      <c r="F848" s="110"/>
      <c r="G848" s="112"/>
    </row>
    <row r="849" spans="2:7" x14ac:dyDescent="0.2">
      <c r="B849" s="245"/>
      <c r="C849" s="246"/>
      <c r="D849" s="109"/>
      <c r="E849" s="109"/>
      <c r="F849" s="110"/>
      <c r="G849" s="112"/>
    </row>
    <row r="850" spans="2:7" x14ac:dyDescent="0.2">
      <c r="B850" s="245"/>
      <c r="C850" s="246"/>
      <c r="D850" s="109"/>
      <c r="E850" s="109"/>
      <c r="F850" s="110"/>
      <c r="G850" s="112"/>
    </row>
    <row r="851" spans="2:7" x14ac:dyDescent="0.2">
      <c r="B851" s="245"/>
      <c r="C851" s="246"/>
      <c r="D851" s="109"/>
      <c r="E851" s="109"/>
      <c r="F851" s="110"/>
      <c r="G851" s="112"/>
    </row>
    <row r="852" spans="2:7" x14ac:dyDescent="0.2">
      <c r="B852" s="245"/>
      <c r="C852" s="246"/>
      <c r="D852" s="109"/>
      <c r="E852" s="109"/>
      <c r="F852" s="110"/>
      <c r="G852" s="112"/>
    </row>
    <row r="853" spans="2:7" x14ac:dyDescent="0.2">
      <c r="B853" s="245"/>
      <c r="C853" s="246"/>
      <c r="D853" s="109"/>
      <c r="E853" s="109"/>
      <c r="F853" s="110"/>
      <c r="G853" s="112"/>
    </row>
    <row r="854" spans="2:7" x14ac:dyDescent="0.2">
      <c r="B854" s="245"/>
      <c r="C854" s="246"/>
      <c r="D854" s="109"/>
      <c r="E854" s="109"/>
      <c r="F854" s="110"/>
      <c r="G854" s="112"/>
    </row>
    <row r="855" spans="2:7" x14ac:dyDescent="0.2">
      <c r="B855" s="245"/>
      <c r="C855" s="246"/>
      <c r="D855" s="109"/>
      <c r="E855" s="109"/>
      <c r="F855" s="110"/>
      <c r="G855" s="112"/>
    </row>
    <row r="856" spans="2:7" x14ac:dyDescent="0.2">
      <c r="B856" s="245"/>
      <c r="C856" s="246"/>
      <c r="D856" s="109"/>
      <c r="E856" s="109"/>
      <c r="F856" s="110"/>
      <c r="G856" s="112"/>
    </row>
    <row r="857" spans="2:7" x14ac:dyDescent="0.2">
      <c r="B857" s="245"/>
      <c r="C857" s="246"/>
      <c r="D857" s="109"/>
      <c r="E857" s="109"/>
      <c r="F857" s="110"/>
      <c r="G857" s="112"/>
    </row>
    <row r="858" spans="2:7" x14ac:dyDescent="0.2">
      <c r="B858" s="245"/>
      <c r="C858" s="246"/>
      <c r="D858" s="109"/>
      <c r="E858" s="109"/>
      <c r="F858" s="110"/>
      <c r="G858" s="112"/>
    </row>
    <row r="859" spans="2:7" x14ac:dyDescent="0.2">
      <c r="B859" s="245"/>
      <c r="C859" s="246"/>
      <c r="D859" s="109"/>
      <c r="E859" s="109"/>
      <c r="F859" s="110"/>
      <c r="G859" s="112"/>
    </row>
    <row r="860" spans="2:7" x14ac:dyDescent="0.2">
      <c r="B860" s="245"/>
      <c r="C860" s="246"/>
      <c r="D860" s="109"/>
      <c r="E860" s="109"/>
      <c r="F860" s="110"/>
      <c r="G860" s="112"/>
    </row>
    <row r="861" spans="2:7" x14ac:dyDescent="0.2">
      <c r="B861" s="245"/>
      <c r="C861" s="246"/>
      <c r="D861" s="109"/>
      <c r="E861" s="109"/>
      <c r="F861" s="110"/>
      <c r="G861" s="112"/>
    </row>
    <row r="862" spans="2:7" x14ac:dyDescent="0.2">
      <c r="B862" s="245"/>
      <c r="C862" s="246"/>
      <c r="D862" s="109"/>
      <c r="E862" s="109"/>
      <c r="F862" s="110"/>
      <c r="G862" s="112"/>
    </row>
    <row r="863" spans="2:7" x14ac:dyDescent="0.2">
      <c r="B863" s="245"/>
      <c r="C863" s="246"/>
      <c r="D863" s="109"/>
      <c r="E863" s="109"/>
      <c r="F863" s="110"/>
      <c r="G863" s="112"/>
    </row>
    <row r="864" spans="2:7" x14ac:dyDescent="0.2">
      <c r="B864" s="245"/>
      <c r="C864" s="246"/>
      <c r="D864" s="109"/>
      <c r="E864" s="109"/>
      <c r="F864" s="110"/>
      <c r="G864" s="112"/>
    </row>
    <row r="865" spans="2:7" x14ac:dyDescent="0.2">
      <c r="B865" s="245"/>
      <c r="C865" s="246"/>
      <c r="D865" s="109"/>
      <c r="E865" s="109"/>
      <c r="F865" s="110"/>
      <c r="G865" s="112"/>
    </row>
    <row r="866" spans="2:7" x14ac:dyDescent="0.2">
      <c r="B866" s="245"/>
      <c r="C866" s="246"/>
      <c r="D866" s="109"/>
      <c r="E866" s="109"/>
      <c r="F866" s="110"/>
      <c r="G866" s="112"/>
    </row>
    <row r="867" spans="2:7" x14ac:dyDescent="0.2">
      <c r="B867" s="245"/>
      <c r="C867" s="246"/>
      <c r="D867" s="109"/>
      <c r="E867" s="109"/>
      <c r="F867" s="110"/>
      <c r="G867" s="112"/>
    </row>
    <row r="868" spans="2:7" x14ac:dyDescent="0.2">
      <c r="B868" s="245"/>
      <c r="C868" s="246"/>
      <c r="D868" s="109"/>
      <c r="E868" s="109"/>
      <c r="F868" s="110"/>
      <c r="G868" s="112"/>
    </row>
    <row r="869" spans="2:7" x14ac:dyDescent="0.2">
      <c r="B869" s="245"/>
      <c r="C869" s="246"/>
      <c r="D869" s="109"/>
      <c r="E869" s="109"/>
      <c r="F869" s="110"/>
      <c r="G869" s="112"/>
    </row>
    <row r="870" spans="2:7" x14ac:dyDescent="0.2">
      <c r="B870" s="245"/>
      <c r="C870" s="246"/>
      <c r="D870" s="109"/>
      <c r="E870" s="109"/>
      <c r="F870" s="110"/>
      <c r="G870" s="112"/>
    </row>
    <row r="871" spans="2:7" x14ac:dyDescent="0.2">
      <c r="B871" s="245"/>
      <c r="C871" s="246"/>
      <c r="D871" s="109"/>
      <c r="E871" s="109"/>
      <c r="F871" s="110"/>
      <c r="G871" s="112"/>
    </row>
    <row r="872" spans="2:7" x14ac:dyDescent="0.2">
      <c r="B872" s="245"/>
      <c r="C872" s="246"/>
      <c r="D872" s="109"/>
      <c r="E872" s="109"/>
      <c r="F872" s="110"/>
      <c r="G872" s="112"/>
    </row>
    <row r="873" spans="2:7" x14ac:dyDescent="0.2">
      <c r="B873" s="245"/>
      <c r="C873" s="246"/>
      <c r="D873" s="109"/>
      <c r="E873" s="109"/>
      <c r="F873" s="110"/>
      <c r="G873" s="112"/>
    </row>
    <row r="874" spans="2:7" x14ac:dyDescent="0.2">
      <c r="B874" s="245"/>
      <c r="C874" s="246"/>
      <c r="D874" s="109"/>
      <c r="E874" s="109"/>
      <c r="F874" s="110"/>
      <c r="G874" s="112"/>
    </row>
    <row r="875" spans="2:7" x14ac:dyDescent="0.2">
      <c r="B875" s="245"/>
      <c r="C875" s="246"/>
      <c r="D875" s="109"/>
      <c r="E875" s="109"/>
      <c r="F875" s="110"/>
      <c r="G875" s="112"/>
    </row>
    <row r="876" spans="2:7" x14ac:dyDescent="0.2">
      <c r="B876" s="245"/>
      <c r="C876" s="246"/>
      <c r="D876" s="109"/>
      <c r="E876" s="109"/>
      <c r="F876" s="110"/>
      <c r="G876" s="112"/>
    </row>
    <row r="877" spans="2:7" x14ac:dyDescent="0.2">
      <c r="B877" s="245"/>
      <c r="C877" s="246"/>
      <c r="D877" s="109"/>
      <c r="E877" s="109"/>
      <c r="F877" s="110"/>
      <c r="G877" s="112"/>
    </row>
    <row r="878" spans="2:7" x14ac:dyDescent="0.2">
      <c r="B878" s="245"/>
      <c r="C878" s="246"/>
      <c r="D878" s="109"/>
      <c r="E878" s="109"/>
      <c r="F878" s="110"/>
      <c r="G878" s="112"/>
    </row>
    <row r="879" spans="2:7" x14ac:dyDescent="0.2">
      <c r="B879" s="245"/>
      <c r="C879" s="246"/>
      <c r="D879" s="109"/>
      <c r="E879" s="109"/>
      <c r="F879" s="110"/>
      <c r="G879" s="112"/>
    </row>
    <row r="880" spans="2:7" x14ac:dyDescent="0.2">
      <c r="B880" s="245"/>
      <c r="C880" s="246"/>
      <c r="D880" s="109"/>
      <c r="E880" s="109"/>
      <c r="F880" s="110"/>
      <c r="G880" s="112"/>
    </row>
    <row r="881" spans="2:7" x14ac:dyDescent="0.2">
      <c r="B881" s="245"/>
      <c r="C881" s="246"/>
      <c r="D881" s="109"/>
      <c r="E881" s="109"/>
      <c r="F881" s="110"/>
      <c r="G881" s="112"/>
    </row>
    <row r="882" spans="2:7" x14ac:dyDescent="0.2">
      <c r="B882" s="245"/>
      <c r="C882" s="246"/>
      <c r="D882" s="109"/>
      <c r="E882" s="109"/>
      <c r="F882" s="110"/>
      <c r="G882" s="112"/>
    </row>
    <row r="883" spans="2:7" x14ac:dyDescent="0.2">
      <c r="B883" s="245"/>
      <c r="C883" s="246"/>
      <c r="D883" s="109"/>
      <c r="E883" s="109"/>
      <c r="F883" s="110"/>
      <c r="G883" s="112"/>
    </row>
    <row r="884" spans="2:7" x14ac:dyDescent="0.2">
      <c r="B884" s="245"/>
      <c r="C884" s="246"/>
      <c r="D884" s="109"/>
      <c r="E884" s="109"/>
      <c r="F884" s="110"/>
      <c r="G884" s="112"/>
    </row>
    <row r="885" spans="2:7" x14ac:dyDescent="0.2">
      <c r="B885" s="245"/>
      <c r="C885" s="246"/>
      <c r="D885" s="109"/>
      <c r="E885" s="109"/>
      <c r="F885" s="110"/>
      <c r="G885" s="112"/>
    </row>
    <row r="886" spans="2:7" x14ac:dyDescent="0.2">
      <c r="B886" s="245"/>
      <c r="C886" s="246"/>
      <c r="D886" s="109"/>
      <c r="E886" s="109"/>
      <c r="F886" s="110"/>
      <c r="G886" s="112"/>
    </row>
    <row r="887" spans="2:7" x14ac:dyDescent="0.2">
      <c r="B887" s="245"/>
      <c r="C887" s="246"/>
      <c r="D887" s="109"/>
      <c r="E887" s="109"/>
      <c r="F887" s="110"/>
      <c r="G887" s="112"/>
    </row>
    <row r="888" spans="2:7" x14ac:dyDescent="0.2">
      <c r="B888" s="245"/>
      <c r="C888" s="246"/>
      <c r="D888" s="109"/>
      <c r="E888" s="109"/>
      <c r="F888" s="110"/>
      <c r="G888" s="112"/>
    </row>
    <row r="889" spans="2:7" x14ac:dyDescent="0.2">
      <c r="B889" s="245"/>
      <c r="C889" s="246"/>
      <c r="D889" s="109"/>
      <c r="E889" s="109"/>
      <c r="F889" s="110"/>
      <c r="G889" s="112"/>
    </row>
    <row r="890" spans="2:7" x14ac:dyDescent="0.2">
      <c r="B890" s="245"/>
      <c r="C890" s="246"/>
      <c r="D890" s="109"/>
      <c r="E890" s="109"/>
      <c r="F890" s="110"/>
      <c r="G890" s="112"/>
    </row>
    <row r="891" spans="2:7" x14ac:dyDescent="0.2">
      <c r="B891" s="245"/>
      <c r="C891" s="246"/>
      <c r="D891" s="109"/>
      <c r="E891" s="109"/>
      <c r="F891" s="110"/>
      <c r="G891" s="112"/>
    </row>
    <row r="892" spans="2:7" x14ac:dyDescent="0.2">
      <c r="B892" s="245"/>
      <c r="C892" s="246"/>
      <c r="D892" s="109"/>
      <c r="E892" s="109"/>
      <c r="F892" s="110"/>
      <c r="G892" s="112"/>
    </row>
    <row r="893" spans="2:7" x14ac:dyDescent="0.2">
      <c r="B893" s="245"/>
      <c r="C893" s="246"/>
      <c r="D893" s="109"/>
      <c r="E893" s="109"/>
      <c r="F893" s="110"/>
      <c r="G893" s="112"/>
    </row>
    <row r="894" spans="2:7" x14ac:dyDescent="0.2">
      <c r="B894" s="245"/>
      <c r="C894" s="246"/>
      <c r="D894" s="109"/>
      <c r="E894" s="109"/>
      <c r="F894" s="110"/>
      <c r="G894" s="112"/>
    </row>
    <row r="895" spans="2:7" x14ac:dyDescent="0.2">
      <c r="B895" s="245"/>
      <c r="C895" s="246"/>
      <c r="D895" s="109"/>
      <c r="E895" s="109"/>
      <c r="F895" s="110"/>
      <c r="G895" s="112"/>
    </row>
    <row r="896" spans="2:7" x14ac:dyDescent="0.2">
      <c r="B896" s="245"/>
      <c r="C896" s="246"/>
      <c r="D896" s="109"/>
      <c r="E896" s="109"/>
      <c r="F896" s="110"/>
      <c r="G896" s="112"/>
    </row>
    <row r="897" spans="2:7" x14ac:dyDescent="0.2">
      <c r="B897" s="245"/>
      <c r="C897" s="246"/>
      <c r="D897" s="109"/>
      <c r="E897" s="109"/>
      <c r="F897" s="110"/>
      <c r="G897" s="112"/>
    </row>
    <row r="898" spans="2:7" x14ac:dyDescent="0.2">
      <c r="B898" s="245"/>
      <c r="C898" s="246"/>
      <c r="D898" s="109"/>
      <c r="E898" s="109"/>
      <c r="F898" s="110"/>
      <c r="G898" s="112"/>
    </row>
    <row r="899" spans="2:7" x14ac:dyDescent="0.2">
      <c r="B899" s="245"/>
      <c r="C899" s="246"/>
      <c r="D899" s="109"/>
      <c r="E899" s="109"/>
      <c r="F899" s="110"/>
      <c r="G899" s="112"/>
    </row>
    <row r="900" spans="2:7" x14ac:dyDescent="0.2">
      <c r="B900" s="245"/>
      <c r="C900" s="246"/>
      <c r="D900" s="109"/>
      <c r="E900" s="109"/>
      <c r="F900" s="110"/>
      <c r="G900" s="112"/>
    </row>
    <row r="901" spans="2:7" x14ac:dyDescent="0.2">
      <c r="B901" s="245"/>
      <c r="C901" s="246"/>
      <c r="D901" s="109"/>
      <c r="E901" s="109"/>
      <c r="F901" s="110"/>
      <c r="G901" s="112"/>
    </row>
    <row r="902" spans="2:7" x14ac:dyDescent="0.2">
      <c r="B902" s="245"/>
      <c r="C902" s="246"/>
      <c r="D902" s="109"/>
      <c r="E902" s="109"/>
      <c r="F902" s="110"/>
      <c r="G902" s="112"/>
    </row>
    <row r="903" spans="2:7" x14ac:dyDescent="0.2">
      <c r="B903" s="245"/>
      <c r="C903" s="246"/>
      <c r="D903" s="109"/>
      <c r="E903" s="109"/>
      <c r="F903" s="110"/>
      <c r="G903" s="112"/>
    </row>
    <row r="904" spans="2:7" x14ac:dyDescent="0.2">
      <c r="B904" s="245"/>
      <c r="C904" s="246"/>
      <c r="D904" s="109"/>
      <c r="E904" s="109"/>
      <c r="F904" s="110"/>
      <c r="G904" s="112"/>
    </row>
    <row r="905" spans="2:7" x14ac:dyDescent="0.2">
      <c r="B905" s="245"/>
      <c r="C905" s="246"/>
      <c r="D905" s="109"/>
      <c r="E905" s="109"/>
      <c r="F905" s="110"/>
      <c r="G905" s="112"/>
    </row>
    <row r="906" spans="2:7" x14ac:dyDescent="0.2">
      <c r="B906" s="245"/>
      <c r="C906" s="246"/>
      <c r="D906" s="109"/>
      <c r="E906" s="109"/>
      <c r="F906" s="110"/>
      <c r="G906" s="112"/>
    </row>
    <row r="907" spans="2:7" x14ac:dyDescent="0.2">
      <c r="B907" s="245"/>
      <c r="C907" s="246"/>
      <c r="D907" s="109"/>
      <c r="E907" s="109"/>
      <c r="F907" s="110"/>
      <c r="G907" s="112"/>
    </row>
    <row r="908" spans="2:7" x14ac:dyDescent="0.2">
      <c r="B908" s="245"/>
      <c r="C908" s="246"/>
      <c r="D908" s="109"/>
      <c r="E908" s="109"/>
      <c r="F908" s="110"/>
      <c r="G908" s="112"/>
    </row>
    <row r="909" spans="2:7" x14ac:dyDescent="0.2">
      <c r="B909" s="245"/>
      <c r="C909" s="246"/>
      <c r="D909" s="109"/>
      <c r="E909" s="109"/>
      <c r="F909" s="110"/>
      <c r="G909" s="112"/>
    </row>
    <row r="910" spans="2:7" x14ac:dyDescent="0.2">
      <c r="B910" s="245"/>
      <c r="C910" s="246"/>
      <c r="D910" s="109"/>
      <c r="E910" s="109"/>
      <c r="F910" s="110"/>
      <c r="G910" s="112"/>
    </row>
    <row r="911" spans="2:7" x14ac:dyDescent="0.2">
      <c r="B911" s="245"/>
      <c r="C911" s="246"/>
      <c r="D911" s="109"/>
      <c r="E911" s="109"/>
      <c r="F911" s="110"/>
      <c r="G911" s="112"/>
    </row>
    <row r="912" spans="2:7" x14ac:dyDescent="0.2">
      <c r="B912" s="245"/>
      <c r="C912" s="246"/>
      <c r="D912" s="109"/>
      <c r="E912" s="109"/>
      <c r="F912" s="110"/>
      <c r="G912" s="112"/>
    </row>
    <row r="913" spans="2:7" x14ac:dyDescent="0.2">
      <c r="B913" s="245"/>
      <c r="C913" s="246"/>
      <c r="D913" s="109"/>
      <c r="E913" s="109"/>
      <c r="F913" s="110"/>
      <c r="G913" s="112"/>
    </row>
    <row r="914" spans="2:7" x14ac:dyDescent="0.2">
      <c r="B914" s="245"/>
      <c r="C914" s="246"/>
      <c r="D914" s="109"/>
      <c r="E914" s="109"/>
      <c r="F914" s="110"/>
      <c r="G914" s="112"/>
    </row>
    <row r="915" spans="2:7" x14ac:dyDescent="0.2">
      <c r="B915" s="245"/>
      <c r="C915" s="246"/>
      <c r="D915" s="109"/>
      <c r="E915" s="109"/>
      <c r="F915" s="110"/>
      <c r="G915" s="112"/>
    </row>
    <row r="916" spans="2:7" x14ac:dyDescent="0.2">
      <c r="B916" s="245"/>
      <c r="C916" s="246"/>
      <c r="D916" s="109"/>
      <c r="E916" s="109"/>
      <c r="F916" s="110"/>
      <c r="G916" s="112"/>
    </row>
    <row r="917" spans="2:7" x14ac:dyDescent="0.2">
      <c r="B917" s="245"/>
      <c r="C917" s="246"/>
      <c r="D917" s="109"/>
      <c r="E917" s="109"/>
      <c r="F917" s="110"/>
      <c r="G917" s="112"/>
    </row>
    <row r="918" spans="2:7" x14ac:dyDescent="0.2">
      <c r="B918" s="245"/>
      <c r="C918" s="246"/>
      <c r="D918" s="109"/>
      <c r="E918" s="109"/>
      <c r="F918" s="110"/>
      <c r="G918" s="112"/>
    </row>
    <row r="919" spans="2:7" x14ac:dyDescent="0.2">
      <c r="B919" s="245"/>
      <c r="C919" s="246"/>
      <c r="D919" s="109"/>
      <c r="E919" s="109"/>
      <c r="F919" s="110"/>
      <c r="G919" s="112"/>
    </row>
    <row r="920" spans="2:7" x14ac:dyDescent="0.2">
      <c r="B920" s="245"/>
      <c r="C920" s="246"/>
      <c r="D920" s="109"/>
      <c r="E920" s="109"/>
      <c r="F920" s="110"/>
      <c r="G920" s="112"/>
    </row>
    <row r="921" spans="2:7" x14ac:dyDescent="0.2">
      <c r="B921" s="245"/>
      <c r="C921" s="246"/>
      <c r="D921" s="109"/>
      <c r="E921" s="109"/>
      <c r="F921" s="110"/>
      <c r="G921" s="112"/>
    </row>
    <row r="922" spans="2:7" x14ac:dyDescent="0.2">
      <c r="B922" s="245"/>
      <c r="C922" s="246"/>
      <c r="D922" s="109"/>
      <c r="E922" s="109"/>
      <c r="F922" s="110"/>
      <c r="G922" s="112"/>
    </row>
    <row r="923" spans="2:7" x14ac:dyDescent="0.2">
      <c r="B923" s="245"/>
      <c r="C923" s="246"/>
      <c r="D923" s="109"/>
      <c r="E923" s="109"/>
      <c r="F923" s="110"/>
      <c r="G923" s="112"/>
    </row>
    <row r="924" spans="2:7" x14ac:dyDescent="0.2">
      <c r="B924" s="245"/>
      <c r="C924" s="246"/>
      <c r="D924" s="109"/>
      <c r="E924" s="109"/>
      <c r="F924" s="110"/>
      <c r="G924" s="112"/>
    </row>
    <row r="925" spans="2:7" x14ac:dyDescent="0.2">
      <c r="B925" s="245"/>
      <c r="C925" s="246"/>
      <c r="D925" s="109"/>
      <c r="E925" s="109"/>
      <c r="F925" s="110"/>
      <c r="G925" s="112"/>
    </row>
    <row r="926" spans="2:7" x14ac:dyDescent="0.2">
      <c r="B926" s="245"/>
      <c r="C926" s="246"/>
      <c r="D926" s="109"/>
      <c r="E926" s="109"/>
      <c r="F926" s="110"/>
      <c r="G926" s="112"/>
    </row>
    <row r="927" spans="2:7" x14ac:dyDescent="0.2">
      <c r="B927" s="245"/>
      <c r="C927" s="246"/>
      <c r="D927" s="109"/>
      <c r="E927" s="109"/>
      <c r="F927" s="110"/>
      <c r="G927" s="112"/>
    </row>
    <row r="928" spans="2:7" x14ac:dyDescent="0.2">
      <c r="B928" s="245"/>
      <c r="C928" s="246"/>
      <c r="D928" s="109"/>
      <c r="E928" s="109"/>
      <c r="F928" s="110"/>
      <c r="G928" s="112"/>
    </row>
    <row r="929" spans="2:7" x14ac:dyDescent="0.2">
      <c r="B929" s="245"/>
      <c r="C929" s="246"/>
      <c r="D929" s="109"/>
      <c r="E929" s="109"/>
      <c r="F929" s="110"/>
      <c r="G929" s="112"/>
    </row>
    <row r="930" spans="2:7" x14ac:dyDescent="0.2">
      <c r="B930" s="245"/>
      <c r="C930" s="246"/>
      <c r="D930" s="109"/>
      <c r="E930" s="109"/>
      <c r="F930" s="110"/>
      <c r="G930" s="112"/>
    </row>
    <row r="931" spans="2:7" x14ac:dyDescent="0.2">
      <c r="B931" s="245"/>
      <c r="C931" s="246"/>
      <c r="D931" s="109"/>
      <c r="E931" s="109"/>
      <c r="F931" s="110"/>
      <c r="G931" s="112"/>
    </row>
    <row r="932" spans="2:7" x14ac:dyDescent="0.2">
      <c r="B932" s="245"/>
      <c r="C932" s="246"/>
      <c r="D932" s="109"/>
      <c r="E932" s="109"/>
      <c r="F932" s="110"/>
      <c r="G932" s="112"/>
    </row>
    <row r="933" spans="2:7" x14ac:dyDescent="0.2">
      <c r="B933" s="245"/>
      <c r="C933" s="246"/>
      <c r="D933" s="109"/>
      <c r="E933" s="109"/>
      <c r="F933" s="110"/>
      <c r="G933" s="112"/>
    </row>
    <row r="934" spans="2:7" x14ac:dyDescent="0.2">
      <c r="B934" s="245"/>
      <c r="C934" s="246"/>
      <c r="D934" s="109"/>
      <c r="E934" s="109"/>
      <c r="F934" s="110"/>
      <c r="G934" s="112"/>
    </row>
    <row r="935" spans="2:7" x14ac:dyDescent="0.2">
      <c r="B935" s="245"/>
      <c r="C935" s="246"/>
      <c r="D935" s="109"/>
      <c r="E935" s="109"/>
      <c r="F935" s="110"/>
      <c r="G935" s="112"/>
    </row>
    <row r="936" spans="2:7" x14ac:dyDescent="0.2">
      <c r="B936" s="245"/>
      <c r="C936" s="246"/>
      <c r="D936" s="109"/>
      <c r="E936" s="109"/>
      <c r="F936" s="110"/>
      <c r="G936" s="112"/>
    </row>
    <row r="937" spans="2:7" x14ac:dyDescent="0.2">
      <c r="B937" s="245"/>
      <c r="C937" s="246"/>
      <c r="D937" s="109"/>
      <c r="E937" s="109"/>
      <c r="F937" s="110"/>
      <c r="G937" s="112"/>
    </row>
    <row r="938" spans="2:7" x14ac:dyDescent="0.2">
      <c r="B938" s="245"/>
      <c r="C938" s="246"/>
      <c r="D938" s="109"/>
      <c r="E938" s="109"/>
      <c r="F938" s="110"/>
      <c r="G938" s="112"/>
    </row>
    <row r="939" spans="2:7" x14ac:dyDescent="0.2">
      <c r="B939" s="245"/>
      <c r="C939" s="246"/>
      <c r="D939" s="109"/>
      <c r="E939" s="109"/>
      <c r="F939" s="110"/>
      <c r="G939" s="112"/>
    </row>
    <row r="940" spans="2:7" x14ac:dyDescent="0.2">
      <c r="B940" s="245"/>
      <c r="C940" s="246"/>
      <c r="D940" s="109"/>
      <c r="E940" s="109"/>
      <c r="F940" s="110"/>
      <c r="G940" s="112"/>
    </row>
    <row r="941" spans="2:7" x14ac:dyDescent="0.2">
      <c r="B941" s="245"/>
      <c r="C941" s="246"/>
      <c r="D941" s="109"/>
      <c r="E941" s="109"/>
      <c r="F941" s="110"/>
      <c r="G941" s="112"/>
    </row>
    <row r="942" spans="2:7" x14ac:dyDescent="0.2">
      <c r="B942" s="245"/>
      <c r="C942" s="246"/>
      <c r="D942" s="109"/>
      <c r="E942" s="109"/>
      <c r="F942" s="110"/>
      <c r="G942" s="112"/>
    </row>
    <row r="943" spans="2:7" x14ac:dyDescent="0.2">
      <c r="B943" s="245"/>
      <c r="C943" s="246"/>
      <c r="D943" s="109"/>
      <c r="E943" s="109"/>
      <c r="F943" s="110"/>
      <c r="G943" s="112"/>
    </row>
    <row r="944" spans="2:7" x14ac:dyDescent="0.2">
      <c r="B944" s="245"/>
      <c r="C944" s="246"/>
      <c r="D944" s="109"/>
      <c r="E944" s="109"/>
      <c r="F944" s="110"/>
      <c r="G944" s="112"/>
    </row>
    <row r="945" spans="2:7" x14ac:dyDescent="0.2">
      <c r="B945" s="245"/>
      <c r="C945" s="246"/>
      <c r="D945" s="109"/>
      <c r="E945" s="109"/>
      <c r="F945" s="110"/>
      <c r="G945" s="112"/>
    </row>
    <row r="946" spans="2:7" x14ac:dyDescent="0.2">
      <c r="B946" s="245"/>
      <c r="C946" s="246"/>
      <c r="D946" s="109"/>
      <c r="E946" s="109"/>
      <c r="F946" s="110"/>
      <c r="G946" s="112"/>
    </row>
    <row r="947" spans="2:7" x14ac:dyDescent="0.2">
      <c r="B947" s="245"/>
      <c r="C947" s="246"/>
      <c r="D947" s="109"/>
      <c r="E947" s="109"/>
      <c r="F947" s="110"/>
      <c r="G947" s="112"/>
    </row>
    <row r="948" spans="2:7" x14ac:dyDescent="0.2">
      <c r="B948" s="245"/>
      <c r="C948" s="246"/>
      <c r="D948" s="109"/>
      <c r="E948" s="109"/>
      <c r="F948" s="110"/>
      <c r="G948" s="112"/>
    </row>
    <row r="949" spans="2:7" x14ac:dyDescent="0.2">
      <c r="B949" s="245"/>
      <c r="C949" s="246"/>
      <c r="D949" s="109"/>
      <c r="E949" s="109"/>
      <c r="F949" s="110"/>
      <c r="G949" s="112"/>
    </row>
    <row r="950" spans="2:7" x14ac:dyDescent="0.2">
      <c r="B950" s="245"/>
      <c r="C950" s="246"/>
      <c r="D950" s="109"/>
      <c r="E950" s="109"/>
      <c r="F950" s="110"/>
      <c r="G950" s="112"/>
    </row>
    <row r="951" spans="2:7" x14ac:dyDescent="0.2">
      <c r="B951" s="245"/>
      <c r="C951" s="246"/>
      <c r="D951" s="109"/>
      <c r="E951" s="109"/>
      <c r="F951" s="110"/>
      <c r="G951" s="112"/>
    </row>
    <row r="952" spans="2:7" x14ac:dyDescent="0.2">
      <c r="B952" s="245"/>
      <c r="C952" s="246"/>
      <c r="D952" s="109"/>
      <c r="E952" s="109"/>
      <c r="F952" s="110"/>
      <c r="G952" s="112"/>
    </row>
    <row r="953" spans="2:7" x14ac:dyDescent="0.2">
      <c r="B953" s="245"/>
      <c r="C953" s="246"/>
      <c r="D953" s="109"/>
      <c r="E953" s="109"/>
      <c r="F953" s="110"/>
      <c r="G953" s="112"/>
    </row>
    <row r="954" spans="2:7" x14ac:dyDescent="0.2">
      <c r="B954" s="245"/>
      <c r="C954" s="246"/>
      <c r="D954" s="109"/>
      <c r="E954" s="109"/>
      <c r="F954" s="110"/>
      <c r="G954" s="112"/>
    </row>
    <row r="955" spans="2:7" x14ac:dyDescent="0.2">
      <c r="B955" s="245"/>
      <c r="C955" s="246"/>
      <c r="D955" s="109"/>
      <c r="E955" s="109"/>
      <c r="F955" s="110"/>
      <c r="G955" s="112"/>
    </row>
    <row r="956" spans="2:7" x14ac:dyDescent="0.2">
      <c r="B956" s="245"/>
      <c r="C956" s="246"/>
      <c r="D956" s="109"/>
      <c r="E956" s="109"/>
      <c r="F956" s="110"/>
      <c r="G956" s="112"/>
    </row>
    <row r="957" spans="2:7" x14ac:dyDescent="0.2">
      <c r="B957" s="245"/>
      <c r="C957" s="246"/>
      <c r="D957" s="109"/>
      <c r="E957" s="109"/>
      <c r="F957" s="110"/>
      <c r="G957" s="112"/>
    </row>
    <row r="958" spans="2:7" x14ac:dyDescent="0.2">
      <c r="B958" s="245"/>
      <c r="C958" s="246"/>
      <c r="D958" s="109"/>
      <c r="E958" s="109"/>
      <c r="F958" s="110"/>
      <c r="G958" s="112"/>
    </row>
    <row r="959" spans="2:7" x14ac:dyDescent="0.2">
      <c r="B959" s="245"/>
      <c r="C959" s="246"/>
      <c r="D959" s="109"/>
      <c r="E959" s="109"/>
      <c r="F959" s="110"/>
      <c r="G959" s="112"/>
    </row>
    <row r="960" spans="2:7" x14ac:dyDescent="0.2">
      <c r="B960" s="245"/>
      <c r="C960" s="246"/>
      <c r="D960" s="109"/>
      <c r="E960" s="109"/>
      <c r="F960" s="110"/>
      <c r="G960" s="112"/>
    </row>
    <row r="961" spans="2:7" x14ac:dyDescent="0.2">
      <c r="B961" s="245"/>
      <c r="C961" s="246"/>
      <c r="D961" s="109"/>
      <c r="E961" s="109"/>
      <c r="F961" s="110"/>
      <c r="G961" s="112"/>
    </row>
    <row r="962" spans="2:7" x14ac:dyDescent="0.2">
      <c r="B962" s="245"/>
      <c r="C962" s="246"/>
      <c r="D962" s="109"/>
      <c r="E962" s="109"/>
      <c r="F962" s="110"/>
      <c r="G962" s="112"/>
    </row>
    <row r="963" spans="2:7" x14ac:dyDescent="0.2">
      <c r="B963" s="245"/>
      <c r="C963" s="246"/>
      <c r="D963" s="109"/>
      <c r="E963" s="109"/>
      <c r="F963" s="110"/>
      <c r="G963" s="112"/>
    </row>
    <row r="964" spans="2:7" x14ac:dyDescent="0.2">
      <c r="B964" s="245"/>
      <c r="C964" s="246"/>
      <c r="D964" s="109"/>
      <c r="E964" s="109"/>
      <c r="F964" s="110"/>
      <c r="G964" s="112"/>
    </row>
    <row r="965" spans="2:7" x14ac:dyDescent="0.2">
      <c r="B965" s="245"/>
      <c r="C965" s="246"/>
      <c r="D965" s="109"/>
      <c r="E965" s="109"/>
      <c r="F965" s="110"/>
      <c r="G965" s="112"/>
    </row>
    <row r="966" spans="2:7" x14ac:dyDescent="0.2">
      <c r="B966" s="245"/>
      <c r="C966" s="246"/>
      <c r="D966" s="109"/>
      <c r="E966" s="109"/>
      <c r="F966" s="110"/>
      <c r="G966" s="112"/>
    </row>
    <row r="967" spans="2:7" x14ac:dyDescent="0.2">
      <c r="B967" s="245"/>
      <c r="C967" s="246"/>
      <c r="D967" s="109"/>
      <c r="E967" s="109"/>
      <c r="F967" s="110"/>
      <c r="G967" s="112"/>
    </row>
    <row r="968" spans="2:7" x14ac:dyDescent="0.2">
      <c r="B968" s="245"/>
      <c r="C968" s="246"/>
      <c r="D968" s="109"/>
      <c r="E968" s="109"/>
      <c r="F968" s="110"/>
      <c r="G968" s="112"/>
    </row>
    <row r="969" spans="2:7" x14ac:dyDescent="0.2">
      <c r="B969" s="245"/>
      <c r="C969" s="246"/>
      <c r="D969" s="109"/>
      <c r="E969" s="109"/>
      <c r="F969" s="110"/>
      <c r="G969" s="112"/>
    </row>
    <row r="970" spans="2:7" x14ac:dyDescent="0.2">
      <c r="B970" s="245"/>
      <c r="C970" s="246"/>
      <c r="D970" s="109"/>
      <c r="E970" s="109"/>
      <c r="F970" s="110"/>
      <c r="G970" s="112"/>
    </row>
    <row r="971" spans="2:7" x14ac:dyDescent="0.2">
      <c r="B971" s="245"/>
      <c r="C971" s="246"/>
      <c r="D971" s="109"/>
      <c r="E971" s="109"/>
      <c r="F971" s="110"/>
      <c r="G971" s="112"/>
    </row>
    <row r="972" spans="2:7" x14ac:dyDescent="0.2">
      <c r="B972" s="245"/>
      <c r="C972" s="246"/>
      <c r="D972" s="109"/>
      <c r="E972" s="109"/>
      <c r="F972" s="110"/>
      <c r="G972" s="112"/>
    </row>
    <row r="973" spans="2:7" x14ac:dyDescent="0.2">
      <c r="B973" s="245"/>
      <c r="C973" s="246"/>
      <c r="D973" s="109"/>
      <c r="E973" s="109"/>
      <c r="F973" s="110"/>
      <c r="G973" s="112"/>
    </row>
    <row r="974" spans="2:7" x14ac:dyDescent="0.2">
      <c r="B974" s="245"/>
      <c r="C974" s="246"/>
      <c r="D974" s="109"/>
      <c r="E974" s="109"/>
      <c r="F974" s="110"/>
      <c r="G974" s="112"/>
    </row>
    <row r="975" spans="2:7" x14ac:dyDescent="0.2">
      <c r="B975" s="245"/>
      <c r="C975" s="246"/>
      <c r="D975" s="109"/>
      <c r="E975" s="109"/>
      <c r="F975" s="110"/>
      <c r="G975" s="112"/>
    </row>
    <row r="976" spans="2:7" x14ac:dyDescent="0.2">
      <c r="B976" s="245"/>
      <c r="C976" s="246"/>
      <c r="D976" s="109"/>
      <c r="E976" s="109"/>
      <c r="F976" s="110"/>
      <c r="G976" s="112"/>
    </row>
    <row r="977" spans="2:7" x14ac:dyDescent="0.2">
      <c r="B977" s="245"/>
      <c r="C977" s="246"/>
      <c r="D977" s="109"/>
      <c r="E977" s="109"/>
      <c r="F977" s="110"/>
      <c r="G977" s="112"/>
    </row>
    <row r="978" spans="2:7" x14ac:dyDescent="0.2">
      <c r="B978" s="245"/>
      <c r="C978" s="246"/>
      <c r="D978" s="109"/>
      <c r="E978" s="109"/>
      <c r="F978" s="110"/>
      <c r="G978" s="112"/>
    </row>
    <row r="979" spans="2:7" x14ac:dyDescent="0.2">
      <c r="B979" s="245"/>
      <c r="C979" s="246"/>
      <c r="D979" s="109"/>
      <c r="E979" s="109"/>
      <c r="F979" s="110"/>
      <c r="G979" s="112"/>
    </row>
    <row r="980" spans="2:7" x14ac:dyDescent="0.2">
      <c r="B980" s="245"/>
      <c r="C980" s="246"/>
      <c r="D980" s="109"/>
      <c r="E980" s="109"/>
      <c r="F980" s="110"/>
      <c r="G980" s="112"/>
    </row>
    <row r="981" spans="2:7" x14ac:dyDescent="0.2">
      <c r="B981" s="245"/>
      <c r="C981" s="246"/>
      <c r="D981" s="109"/>
      <c r="E981" s="109"/>
      <c r="F981" s="110"/>
      <c r="G981" s="112"/>
    </row>
    <row r="982" spans="2:7" x14ac:dyDescent="0.2">
      <c r="B982" s="245"/>
      <c r="C982" s="246"/>
      <c r="D982" s="109"/>
      <c r="E982" s="109"/>
      <c r="F982" s="110"/>
      <c r="G982" s="112"/>
    </row>
    <row r="983" spans="2:7" x14ac:dyDescent="0.2">
      <c r="B983" s="245"/>
      <c r="C983" s="246"/>
      <c r="D983" s="109"/>
      <c r="E983" s="109"/>
      <c r="F983" s="110"/>
      <c r="G983" s="112"/>
    </row>
    <row r="984" spans="2:7" x14ac:dyDescent="0.2">
      <c r="B984" s="245"/>
      <c r="C984" s="246"/>
      <c r="D984" s="109"/>
      <c r="E984" s="109"/>
      <c r="F984" s="110"/>
      <c r="G984" s="112"/>
    </row>
    <row r="985" spans="2:7" x14ac:dyDescent="0.2">
      <c r="B985" s="245"/>
      <c r="C985" s="246"/>
      <c r="D985" s="109"/>
      <c r="E985" s="109"/>
      <c r="F985" s="110"/>
      <c r="G985" s="112"/>
    </row>
    <row r="986" spans="2:7" x14ac:dyDescent="0.2">
      <c r="B986" s="245"/>
      <c r="C986" s="246"/>
      <c r="D986" s="109"/>
      <c r="E986" s="109"/>
      <c r="F986" s="110"/>
      <c r="G986" s="112"/>
    </row>
    <row r="987" spans="2:7" x14ac:dyDescent="0.2">
      <c r="B987" s="245"/>
      <c r="C987" s="246"/>
      <c r="D987" s="109"/>
      <c r="E987" s="109"/>
      <c r="F987" s="110"/>
      <c r="G987" s="112"/>
    </row>
    <row r="988" spans="2:7" x14ac:dyDescent="0.2">
      <c r="B988" s="245"/>
      <c r="C988" s="246"/>
      <c r="D988" s="109"/>
      <c r="E988" s="109"/>
      <c r="F988" s="110"/>
      <c r="G988" s="112"/>
    </row>
    <row r="989" spans="2:7" x14ac:dyDescent="0.2">
      <c r="B989" s="245"/>
      <c r="C989" s="246"/>
      <c r="D989" s="109"/>
      <c r="E989" s="109"/>
      <c r="F989" s="110"/>
      <c r="G989" s="112"/>
    </row>
    <row r="990" spans="2:7" x14ac:dyDescent="0.2">
      <c r="B990" s="245"/>
      <c r="C990" s="246"/>
      <c r="D990" s="109"/>
      <c r="E990" s="109"/>
      <c r="F990" s="110"/>
      <c r="G990" s="112"/>
    </row>
    <row r="991" spans="2:7" x14ac:dyDescent="0.2">
      <c r="B991" s="245"/>
      <c r="C991" s="246"/>
      <c r="D991" s="109"/>
      <c r="E991" s="109"/>
      <c r="F991" s="110"/>
      <c r="G991" s="112"/>
    </row>
    <row r="992" spans="2:7" x14ac:dyDescent="0.2">
      <c r="B992" s="245"/>
      <c r="C992" s="246"/>
      <c r="D992" s="109"/>
      <c r="E992" s="109"/>
      <c r="F992" s="110"/>
      <c r="G992" s="112"/>
    </row>
    <row r="993" spans="2:7" x14ac:dyDescent="0.2">
      <c r="B993" s="245"/>
      <c r="C993" s="246"/>
      <c r="D993" s="109"/>
      <c r="E993" s="109"/>
      <c r="F993" s="110"/>
      <c r="G993" s="112"/>
    </row>
    <row r="994" spans="2:7" x14ac:dyDescent="0.2">
      <c r="B994" s="245"/>
      <c r="C994" s="246"/>
      <c r="D994" s="109"/>
      <c r="E994" s="109"/>
      <c r="F994" s="110"/>
      <c r="G994" s="112"/>
    </row>
    <row r="995" spans="2:7" x14ac:dyDescent="0.2">
      <c r="B995" s="245"/>
      <c r="C995" s="246"/>
      <c r="D995" s="109"/>
      <c r="E995" s="109"/>
      <c r="F995" s="110"/>
      <c r="G995" s="112"/>
    </row>
    <row r="996" spans="2:7" x14ac:dyDescent="0.2">
      <c r="B996" s="245"/>
      <c r="C996" s="246"/>
      <c r="D996" s="109"/>
      <c r="E996" s="109"/>
      <c r="F996" s="110"/>
      <c r="G996" s="112"/>
    </row>
    <row r="997" spans="2:7" x14ac:dyDescent="0.2">
      <c r="B997" s="245"/>
      <c r="C997" s="246"/>
      <c r="D997" s="109"/>
      <c r="E997" s="109"/>
      <c r="F997" s="110"/>
      <c r="G997" s="112"/>
    </row>
    <row r="998" spans="2:7" x14ac:dyDescent="0.2">
      <c r="B998" s="245"/>
      <c r="C998" s="246"/>
      <c r="D998" s="109"/>
      <c r="E998" s="109"/>
      <c r="F998" s="110"/>
      <c r="G998" s="112"/>
    </row>
    <row r="999" spans="2:7" x14ac:dyDescent="0.2">
      <c r="B999" s="245"/>
      <c r="C999" s="246"/>
      <c r="D999" s="109"/>
      <c r="E999" s="109"/>
      <c r="F999" s="110"/>
      <c r="G999" s="112"/>
    </row>
    <row r="1000" spans="2:7" x14ac:dyDescent="0.2">
      <c r="B1000" s="245"/>
      <c r="C1000" s="246"/>
      <c r="D1000" s="109"/>
      <c r="E1000" s="109"/>
      <c r="F1000" s="110"/>
      <c r="G1000" s="112"/>
    </row>
    <row r="1001" spans="2:7" x14ac:dyDescent="0.2">
      <c r="B1001" s="245"/>
      <c r="C1001" s="246"/>
      <c r="D1001" s="109"/>
      <c r="E1001" s="109"/>
      <c r="F1001" s="110"/>
      <c r="G1001" s="112"/>
    </row>
    <row r="1002" spans="2:7" x14ac:dyDescent="0.2">
      <c r="B1002" s="245"/>
      <c r="C1002" s="246"/>
      <c r="D1002" s="109"/>
      <c r="E1002" s="109"/>
      <c r="F1002" s="110"/>
      <c r="G1002" s="112"/>
    </row>
    <row r="1003" spans="2:7" x14ac:dyDescent="0.2">
      <c r="B1003" s="245"/>
      <c r="C1003" s="246"/>
      <c r="D1003" s="109"/>
      <c r="E1003" s="109"/>
      <c r="F1003" s="110"/>
      <c r="G1003" s="112"/>
    </row>
    <row r="1004" spans="2:7" x14ac:dyDescent="0.2">
      <c r="B1004" s="245"/>
      <c r="C1004" s="246"/>
      <c r="D1004" s="109"/>
      <c r="E1004" s="109"/>
      <c r="F1004" s="110"/>
      <c r="G1004" s="112"/>
    </row>
    <row r="1005" spans="2:7" x14ac:dyDescent="0.2">
      <c r="B1005" s="245"/>
      <c r="C1005" s="246"/>
      <c r="D1005" s="109"/>
      <c r="E1005" s="109"/>
      <c r="F1005" s="110"/>
      <c r="G1005" s="112"/>
    </row>
    <row r="1006" spans="2:7" x14ac:dyDescent="0.2">
      <c r="B1006" s="245"/>
      <c r="C1006" s="246"/>
      <c r="D1006" s="109"/>
      <c r="E1006" s="109"/>
      <c r="F1006" s="110"/>
      <c r="G1006" s="112"/>
    </row>
    <row r="1007" spans="2:7" x14ac:dyDescent="0.2">
      <c r="B1007" s="245"/>
      <c r="C1007" s="246"/>
      <c r="D1007" s="109"/>
      <c r="E1007" s="109"/>
      <c r="F1007" s="110"/>
      <c r="G1007" s="112"/>
    </row>
    <row r="1008" spans="2:7" x14ac:dyDescent="0.2">
      <c r="B1008" s="245"/>
      <c r="C1008" s="246"/>
      <c r="D1008" s="109"/>
      <c r="E1008" s="109"/>
      <c r="F1008" s="110"/>
      <c r="G1008" s="112"/>
    </row>
    <row r="1009" spans="2:7" x14ac:dyDescent="0.2">
      <c r="B1009" s="245"/>
      <c r="C1009" s="246"/>
      <c r="D1009" s="109"/>
      <c r="E1009" s="109"/>
      <c r="F1009" s="110"/>
      <c r="G1009" s="112"/>
    </row>
    <row r="1010" spans="2:7" x14ac:dyDescent="0.2">
      <c r="B1010" s="245"/>
      <c r="C1010" s="246"/>
      <c r="D1010" s="109"/>
      <c r="E1010" s="109"/>
      <c r="F1010" s="110"/>
      <c r="G1010" s="112"/>
    </row>
    <row r="1011" spans="2:7" x14ac:dyDescent="0.2">
      <c r="B1011" s="245"/>
      <c r="C1011" s="246"/>
      <c r="D1011" s="109"/>
      <c r="E1011" s="109"/>
      <c r="F1011" s="110"/>
      <c r="G1011" s="112"/>
    </row>
    <row r="1012" spans="2:7" x14ac:dyDescent="0.2">
      <c r="B1012" s="245"/>
      <c r="C1012" s="246"/>
      <c r="D1012" s="109"/>
      <c r="E1012" s="109"/>
      <c r="F1012" s="110"/>
      <c r="G1012" s="112"/>
    </row>
    <row r="1013" spans="2:7" x14ac:dyDescent="0.2">
      <c r="B1013" s="245"/>
      <c r="C1013" s="246"/>
      <c r="D1013" s="109"/>
      <c r="E1013" s="109"/>
      <c r="F1013" s="110"/>
      <c r="G1013" s="112"/>
    </row>
    <row r="1014" spans="2:7" x14ac:dyDescent="0.2">
      <c r="B1014" s="245"/>
      <c r="C1014" s="246"/>
      <c r="D1014" s="109"/>
      <c r="E1014" s="109"/>
      <c r="F1014" s="110"/>
      <c r="G1014" s="112"/>
    </row>
    <row r="1015" spans="2:7" x14ac:dyDescent="0.2">
      <c r="B1015" s="245"/>
      <c r="C1015" s="246"/>
      <c r="D1015" s="109"/>
      <c r="E1015" s="109"/>
      <c r="F1015" s="110"/>
      <c r="G1015" s="112"/>
    </row>
    <row r="1016" spans="2:7" x14ac:dyDescent="0.2">
      <c r="B1016" s="245"/>
      <c r="C1016" s="246"/>
      <c r="D1016" s="109"/>
      <c r="E1016" s="109"/>
      <c r="F1016" s="110"/>
      <c r="G1016" s="112"/>
    </row>
    <row r="1017" spans="2:7" x14ac:dyDescent="0.2">
      <c r="B1017" s="245"/>
      <c r="C1017" s="246"/>
      <c r="D1017" s="109"/>
      <c r="E1017" s="109"/>
      <c r="F1017" s="110"/>
      <c r="G1017" s="112"/>
    </row>
    <row r="1018" spans="2:7" x14ac:dyDescent="0.2">
      <c r="B1018" s="245"/>
      <c r="C1018" s="246"/>
      <c r="D1018" s="109"/>
      <c r="E1018" s="109"/>
      <c r="F1018" s="110"/>
      <c r="G1018" s="112"/>
    </row>
    <row r="1019" spans="2:7" x14ac:dyDescent="0.2">
      <c r="B1019" s="245"/>
      <c r="C1019" s="246"/>
      <c r="D1019" s="109"/>
      <c r="E1019" s="109"/>
      <c r="F1019" s="110"/>
      <c r="G1019" s="112"/>
    </row>
    <row r="1020" spans="2:7" x14ac:dyDescent="0.2">
      <c r="B1020" s="245"/>
      <c r="C1020" s="246"/>
      <c r="D1020" s="109"/>
      <c r="E1020" s="109"/>
      <c r="F1020" s="110"/>
      <c r="G1020" s="112"/>
    </row>
    <row r="1021" spans="2:7" x14ac:dyDescent="0.2">
      <c r="B1021" s="245"/>
      <c r="C1021" s="246"/>
      <c r="D1021" s="109"/>
      <c r="E1021" s="109"/>
      <c r="F1021" s="110"/>
      <c r="G1021" s="112"/>
    </row>
    <row r="1022" spans="2:7" x14ac:dyDescent="0.2">
      <c r="B1022" s="245"/>
      <c r="C1022" s="246"/>
      <c r="D1022" s="109"/>
      <c r="E1022" s="109"/>
      <c r="F1022" s="110"/>
      <c r="G1022" s="112"/>
    </row>
    <row r="1023" spans="2:7" x14ac:dyDescent="0.2">
      <c r="B1023" s="245"/>
      <c r="C1023" s="246"/>
      <c r="D1023" s="109"/>
      <c r="E1023" s="109"/>
      <c r="F1023" s="110"/>
      <c r="G1023" s="112"/>
    </row>
    <row r="1024" spans="2:7" x14ac:dyDescent="0.2">
      <c r="B1024" s="245"/>
      <c r="C1024" s="246"/>
      <c r="D1024" s="109"/>
      <c r="E1024" s="109"/>
      <c r="F1024" s="110"/>
      <c r="G1024" s="112"/>
    </row>
    <row r="1025" spans="2:7" x14ac:dyDescent="0.2">
      <c r="B1025" s="245"/>
      <c r="C1025" s="246"/>
      <c r="D1025" s="109"/>
      <c r="E1025" s="109"/>
      <c r="F1025" s="110"/>
      <c r="G1025" s="112"/>
    </row>
    <row r="1026" spans="2:7" x14ac:dyDescent="0.2">
      <c r="B1026" s="245"/>
      <c r="C1026" s="246"/>
      <c r="D1026" s="109"/>
      <c r="E1026" s="109"/>
      <c r="F1026" s="110"/>
      <c r="G1026" s="112"/>
    </row>
    <row r="1027" spans="2:7" x14ac:dyDescent="0.2">
      <c r="B1027" s="245"/>
      <c r="C1027" s="246"/>
      <c r="D1027" s="109"/>
      <c r="E1027" s="109"/>
      <c r="F1027" s="110"/>
      <c r="G1027" s="112"/>
    </row>
    <row r="1028" spans="2:7" x14ac:dyDescent="0.2">
      <c r="B1028" s="245"/>
      <c r="C1028" s="246"/>
      <c r="D1028" s="109"/>
      <c r="E1028" s="109"/>
      <c r="F1028" s="110"/>
      <c r="G1028" s="112"/>
    </row>
    <row r="1029" spans="2:7" x14ac:dyDescent="0.2">
      <c r="B1029" s="245"/>
      <c r="C1029" s="246"/>
      <c r="D1029" s="109"/>
      <c r="E1029" s="109"/>
      <c r="F1029" s="110"/>
      <c r="G1029" s="112"/>
    </row>
    <row r="1030" spans="2:7" x14ac:dyDescent="0.2">
      <c r="B1030" s="245"/>
      <c r="C1030" s="246"/>
      <c r="D1030" s="109"/>
      <c r="E1030" s="109"/>
      <c r="F1030" s="110"/>
      <c r="G1030" s="112"/>
    </row>
    <row r="1031" spans="2:7" x14ac:dyDescent="0.2">
      <c r="B1031" s="245"/>
      <c r="C1031" s="246"/>
      <c r="D1031" s="109"/>
      <c r="E1031" s="109"/>
      <c r="F1031" s="110"/>
      <c r="G1031" s="112"/>
    </row>
    <row r="1032" spans="2:7" x14ac:dyDescent="0.2">
      <c r="B1032" s="245"/>
      <c r="C1032" s="246"/>
      <c r="D1032" s="109"/>
      <c r="E1032" s="109"/>
      <c r="F1032" s="110"/>
      <c r="G1032" s="112"/>
    </row>
    <row r="1033" spans="2:7" x14ac:dyDescent="0.2">
      <c r="B1033" s="245"/>
      <c r="C1033" s="246"/>
      <c r="D1033" s="109"/>
      <c r="E1033" s="109"/>
      <c r="F1033" s="110"/>
      <c r="G1033" s="112"/>
    </row>
    <row r="1034" spans="2:7" x14ac:dyDescent="0.2">
      <c r="B1034" s="245"/>
      <c r="C1034" s="246"/>
      <c r="D1034" s="109"/>
      <c r="E1034" s="109"/>
      <c r="F1034" s="110"/>
      <c r="G1034" s="112"/>
    </row>
    <row r="1035" spans="2:7" x14ac:dyDescent="0.2">
      <c r="B1035" s="245"/>
      <c r="C1035" s="246"/>
      <c r="D1035" s="109"/>
      <c r="E1035" s="109"/>
      <c r="F1035" s="110"/>
      <c r="G1035" s="112"/>
    </row>
    <row r="1036" spans="2:7" x14ac:dyDescent="0.2">
      <c r="B1036" s="245"/>
      <c r="C1036" s="246"/>
      <c r="D1036" s="109"/>
      <c r="E1036" s="109"/>
      <c r="F1036" s="110"/>
      <c r="G1036" s="112"/>
    </row>
    <row r="1037" spans="2:7" x14ac:dyDescent="0.2">
      <c r="B1037" s="245"/>
      <c r="C1037" s="246"/>
      <c r="D1037" s="109"/>
      <c r="E1037" s="109"/>
      <c r="F1037" s="110"/>
      <c r="G1037" s="112"/>
    </row>
    <row r="1038" spans="2:7" x14ac:dyDescent="0.2">
      <c r="B1038" s="245"/>
      <c r="C1038" s="246"/>
      <c r="D1038" s="109"/>
      <c r="E1038" s="109"/>
      <c r="F1038" s="110"/>
      <c r="G1038" s="112"/>
    </row>
    <row r="1039" spans="2:7" x14ac:dyDescent="0.2">
      <c r="B1039" s="245"/>
      <c r="C1039" s="246"/>
      <c r="D1039" s="109"/>
      <c r="E1039" s="109"/>
      <c r="F1039" s="110"/>
      <c r="G1039" s="112"/>
    </row>
    <row r="1040" spans="2:7" x14ac:dyDescent="0.2">
      <c r="B1040" s="245"/>
      <c r="C1040" s="246"/>
      <c r="D1040" s="109"/>
      <c r="E1040" s="109"/>
      <c r="F1040" s="110"/>
      <c r="G1040" s="112"/>
    </row>
    <row r="1041" spans="2:7" x14ac:dyDescent="0.2">
      <c r="B1041" s="245"/>
      <c r="C1041" s="246"/>
      <c r="D1041" s="109"/>
      <c r="E1041" s="109"/>
      <c r="F1041" s="110"/>
      <c r="G1041" s="112"/>
    </row>
    <row r="1042" spans="2:7" x14ac:dyDescent="0.2">
      <c r="B1042" s="245"/>
      <c r="C1042" s="246"/>
      <c r="D1042" s="109"/>
      <c r="E1042" s="109"/>
      <c r="F1042" s="110"/>
      <c r="G1042" s="112"/>
    </row>
    <row r="1043" spans="2:7" x14ac:dyDescent="0.2">
      <c r="B1043" s="245"/>
      <c r="C1043" s="246"/>
      <c r="D1043" s="109"/>
      <c r="E1043" s="109"/>
      <c r="F1043" s="110"/>
      <c r="G1043" s="112"/>
    </row>
    <row r="1044" spans="2:7" x14ac:dyDescent="0.2">
      <c r="B1044" s="245"/>
      <c r="C1044" s="246"/>
      <c r="D1044" s="109"/>
      <c r="E1044" s="109"/>
      <c r="F1044" s="110"/>
      <c r="G1044" s="112"/>
    </row>
    <row r="1045" spans="2:7" x14ac:dyDescent="0.2">
      <c r="B1045" s="245"/>
      <c r="C1045" s="246"/>
      <c r="D1045" s="109"/>
      <c r="E1045" s="109"/>
      <c r="F1045" s="110"/>
      <c r="G1045" s="112"/>
    </row>
    <row r="1046" spans="2:7" x14ac:dyDescent="0.2">
      <c r="B1046" s="245"/>
      <c r="C1046" s="246"/>
      <c r="D1046" s="109"/>
      <c r="E1046" s="109"/>
      <c r="F1046" s="110"/>
      <c r="G1046" s="112"/>
    </row>
    <row r="1047" spans="2:7" x14ac:dyDescent="0.2">
      <c r="B1047" s="245"/>
      <c r="C1047" s="246"/>
      <c r="D1047" s="109"/>
      <c r="E1047" s="109"/>
      <c r="F1047" s="110"/>
      <c r="G1047" s="112"/>
    </row>
    <row r="1048" spans="2:7" x14ac:dyDescent="0.2">
      <c r="B1048" s="245"/>
      <c r="C1048" s="246"/>
      <c r="D1048" s="109"/>
      <c r="E1048" s="109"/>
      <c r="F1048" s="110"/>
      <c r="G1048" s="112"/>
    </row>
    <row r="1049" spans="2:7" x14ac:dyDescent="0.2">
      <c r="B1049" s="245"/>
      <c r="C1049" s="246"/>
      <c r="D1049" s="109"/>
      <c r="E1049" s="109"/>
      <c r="F1049" s="110"/>
      <c r="G1049" s="112"/>
    </row>
    <row r="1050" spans="2:7" x14ac:dyDescent="0.2">
      <c r="B1050" s="245"/>
      <c r="C1050" s="246"/>
      <c r="D1050" s="109"/>
      <c r="E1050" s="109"/>
      <c r="F1050" s="110"/>
      <c r="G1050" s="112"/>
    </row>
    <row r="1051" spans="2:7" x14ac:dyDescent="0.2">
      <c r="B1051" s="245"/>
      <c r="C1051" s="246"/>
      <c r="D1051" s="109"/>
      <c r="E1051" s="109"/>
      <c r="F1051" s="110"/>
      <c r="G1051" s="112"/>
    </row>
    <row r="1052" spans="2:7" x14ac:dyDescent="0.2">
      <c r="B1052" s="245"/>
      <c r="C1052" s="246"/>
      <c r="D1052" s="109"/>
      <c r="E1052" s="109"/>
      <c r="F1052" s="110"/>
      <c r="G1052" s="112"/>
    </row>
    <row r="1053" spans="2:7" x14ac:dyDescent="0.2">
      <c r="B1053" s="245"/>
      <c r="C1053" s="246"/>
      <c r="D1053" s="109"/>
      <c r="E1053" s="109"/>
      <c r="F1053" s="110"/>
      <c r="G1053" s="112"/>
    </row>
    <row r="1054" spans="2:7" x14ac:dyDescent="0.2">
      <c r="B1054" s="245"/>
      <c r="C1054" s="246"/>
      <c r="D1054" s="109"/>
      <c r="E1054" s="109"/>
      <c r="F1054" s="110"/>
      <c r="G1054" s="112"/>
    </row>
    <row r="1055" spans="2:7" x14ac:dyDescent="0.2">
      <c r="B1055" s="245"/>
      <c r="C1055" s="246"/>
      <c r="D1055" s="109"/>
      <c r="E1055" s="109"/>
      <c r="F1055" s="110"/>
      <c r="G1055" s="112"/>
    </row>
    <row r="1056" spans="2:7" x14ac:dyDescent="0.2">
      <c r="B1056" s="245"/>
      <c r="C1056" s="246"/>
      <c r="D1056" s="109"/>
      <c r="E1056" s="109"/>
      <c r="F1056" s="110"/>
      <c r="G1056" s="112"/>
    </row>
    <row r="1057" spans="2:7" x14ac:dyDescent="0.2">
      <c r="B1057" s="245"/>
      <c r="C1057" s="246"/>
      <c r="D1057" s="109"/>
      <c r="E1057" s="109"/>
      <c r="F1057" s="110"/>
      <c r="G1057" s="112"/>
    </row>
    <row r="1058" spans="2:7" x14ac:dyDescent="0.2">
      <c r="B1058" s="245"/>
      <c r="C1058" s="246"/>
      <c r="D1058" s="109"/>
      <c r="E1058" s="109"/>
      <c r="F1058" s="110"/>
      <c r="G1058" s="112"/>
    </row>
    <row r="1059" spans="2:7" x14ac:dyDescent="0.2">
      <c r="B1059" s="245"/>
      <c r="C1059" s="246"/>
      <c r="D1059" s="109"/>
      <c r="E1059" s="109"/>
      <c r="F1059" s="110"/>
      <c r="G1059" s="112"/>
    </row>
    <row r="1060" spans="2:7" x14ac:dyDescent="0.2">
      <c r="B1060" s="245"/>
      <c r="C1060" s="246"/>
      <c r="D1060" s="109"/>
      <c r="E1060" s="109"/>
      <c r="F1060" s="110"/>
      <c r="G1060" s="112"/>
    </row>
    <row r="1061" spans="2:7" x14ac:dyDescent="0.2">
      <c r="B1061" s="245"/>
      <c r="C1061" s="246"/>
      <c r="D1061" s="109"/>
      <c r="E1061" s="109"/>
      <c r="F1061" s="110"/>
      <c r="G1061" s="112"/>
    </row>
    <row r="1062" spans="2:7" x14ac:dyDescent="0.2">
      <c r="B1062" s="245"/>
      <c r="C1062" s="246"/>
      <c r="D1062" s="109"/>
      <c r="E1062" s="109"/>
      <c r="F1062" s="110"/>
      <c r="G1062" s="112"/>
    </row>
    <row r="1063" spans="2:7" x14ac:dyDescent="0.2">
      <c r="B1063" s="245"/>
      <c r="C1063" s="246"/>
      <c r="D1063" s="109"/>
      <c r="E1063" s="109"/>
      <c r="F1063" s="110"/>
      <c r="G1063" s="112"/>
    </row>
    <row r="1064" spans="2:7" x14ac:dyDescent="0.2">
      <c r="B1064" s="245"/>
      <c r="C1064" s="246"/>
      <c r="D1064" s="109"/>
      <c r="E1064" s="109"/>
      <c r="F1064" s="110"/>
      <c r="G1064" s="112"/>
    </row>
    <row r="1065" spans="2:7" x14ac:dyDescent="0.2">
      <c r="B1065" s="245"/>
      <c r="C1065" s="246"/>
      <c r="D1065" s="109"/>
      <c r="E1065" s="109"/>
      <c r="F1065" s="110"/>
      <c r="G1065" s="112"/>
    </row>
    <row r="1066" spans="2:7" x14ac:dyDescent="0.2">
      <c r="B1066" s="245"/>
      <c r="C1066" s="246"/>
      <c r="D1066" s="109"/>
      <c r="E1066" s="109"/>
      <c r="F1066" s="110"/>
      <c r="G1066" s="112"/>
    </row>
    <row r="1067" spans="2:7" x14ac:dyDescent="0.2">
      <c r="B1067" s="245"/>
      <c r="C1067" s="246"/>
      <c r="D1067" s="109"/>
      <c r="E1067" s="109"/>
      <c r="F1067" s="110"/>
      <c r="G1067" s="112"/>
    </row>
    <row r="1068" spans="2:7" x14ac:dyDescent="0.2">
      <c r="B1068" s="245"/>
      <c r="C1068" s="246"/>
      <c r="D1068" s="109"/>
      <c r="E1068" s="109"/>
      <c r="F1068" s="110"/>
      <c r="G1068" s="112"/>
    </row>
    <row r="1069" spans="2:7" x14ac:dyDescent="0.2">
      <c r="B1069" s="245"/>
      <c r="C1069" s="246"/>
      <c r="D1069" s="109"/>
      <c r="E1069" s="109"/>
      <c r="F1069" s="110"/>
      <c r="G1069" s="112"/>
    </row>
    <row r="1070" spans="2:7" x14ac:dyDescent="0.2">
      <c r="B1070" s="245"/>
      <c r="C1070" s="246"/>
      <c r="D1070" s="109"/>
      <c r="E1070" s="109"/>
      <c r="F1070" s="110"/>
      <c r="G1070" s="112"/>
    </row>
    <row r="1071" spans="2:7" x14ac:dyDescent="0.2">
      <c r="B1071" s="245"/>
      <c r="C1071" s="246"/>
      <c r="D1071" s="109"/>
      <c r="E1071" s="109"/>
      <c r="F1071" s="110"/>
      <c r="G1071" s="112"/>
    </row>
    <row r="1072" spans="2:7" x14ac:dyDescent="0.2">
      <c r="B1072" s="245"/>
      <c r="C1072" s="246"/>
      <c r="D1072" s="109"/>
      <c r="E1072" s="109"/>
      <c r="F1072" s="110"/>
      <c r="G1072" s="112"/>
    </row>
    <row r="1073" spans="2:7" x14ac:dyDescent="0.2">
      <c r="B1073" s="245"/>
      <c r="C1073" s="246"/>
      <c r="D1073" s="109"/>
      <c r="E1073" s="109"/>
      <c r="F1073" s="110"/>
      <c r="G1073" s="112"/>
    </row>
    <row r="1074" spans="2:7" x14ac:dyDescent="0.2">
      <c r="B1074" s="245"/>
      <c r="C1074" s="246"/>
      <c r="D1074" s="109"/>
      <c r="E1074" s="109"/>
      <c r="F1074" s="110"/>
      <c r="G1074" s="112"/>
    </row>
    <row r="1075" spans="2:7" x14ac:dyDescent="0.2">
      <c r="B1075" s="245"/>
      <c r="C1075" s="246"/>
      <c r="D1075" s="109"/>
      <c r="E1075" s="109"/>
      <c r="F1075" s="110"/>
      <c r="G1075" s="112"/>
    </row>
    <row r="1076" spans="2:7" x14ac:dyDescent="0.2">
      <c r="B1076" s="245"/>
      <c r="C1076" s="246"/>
      <c r="D1076" s="109"/>
      <c r="E1076" s="109"/>
      <c r="F1076" s="110"/>
      <c r="G1076" s="112"/>
    </row>
    <row r="1077" spans="2:7" x14ac:dyDescent="0.2">
      <c r="B1077" s="245"/>
      <c r="C1077" s="246"/>
      <c r="D1077" s="109"/>
      <c r="E1077" s="109"/>
      <c r="F1077" s="110"/>
      <c r="G1077" s="112"/>
    </row>
    <row r="1078" spans="2:7" x14ac:dyDescent="0.2">
      <c r="B1078" s="245"/>
      <c r="C1078" s="246"/>
      <c r="D1078" s="109"/>
      <c r="E1078" s="109"/>
      <c r="F1078" s="110"/>
      <c r="G1078" s="112"/>
    </row>
    <row r="1079" spans="2:7" x14ac:dyDescent="0.2">
      <c r="B1079" s="245"/>
      <c r="C1079" s="246"/>
      <c r="D1079" s="109"/>
      <c r="E1079" s="109"/>
      <c r="F1079" s="110"/>
      <c r="G1079" s="112"/>
    </row>
    <row r="1080" spans="2:7" x14ac:dyDescent="0.2">
      <c r="B1080" s="245"/>
      <c r="C1080" s="246"/>
      <c r="D1080" s="109"/>
      <c r="E1080" s="109"/>
      <c r="F1080" s="110"/>
      <c r="G1080" s="112"/>
    </row>
    <row r="1081" spans="2:7" x14ac:dyDescent="0.2">
      <c r="B1081" s="245"/>
      <c r="C1081" s="246"/>
      <c r="D1081" s="109"/>
      <c r="E1081" s="109"/>
      <c r="F1081" s="110"/>
      <c r="G1081" s="112"/>
    </row>
    <row r="1082" spans="2:7" x14ac:dyDescent="0.2">
      <c r="B1082" s="245"/>
      <c r="C1082" s="246"/>
      <c r="D1082" s="109"/>
      <c r="E1082" s="109"/>
      <c r="F1082" s="110"/>
      <c r="G1082" s="112"/>
    </row>
    <row r="1083" spans="2:7" x14ac:dyDescent="0.2">
      <c r="B1083" s="245"/>
      <c r="C1083" s="246"/>
      <c r="D1083" s="109"/>
      <c r="E1083" s="109"/>
      <c r="F1083" s="110"/>
      <c r="G1083" s="112"/>
    </row>
    <row r="1084" spans="2:7" x14ac:dyDescent="0.2">
      <c r="B1084" s="245"/>
      <c r="C1084" s="246"/>
      <c r="D1084" s="109"/>
      <c r="E1084" s="109"/>
      <c r="F1084" s="110"/>
      <c r="G1084" s="112"/>
    </row>
    <row r="1085" spans="2:7" x14ac:dyDescent="0.2">
      <c r="B1085" s="245"/>
      <c r="C1085" s="246"/>
      <c r="D1085" s="109"/>
      <c r="E1085" s="109"/>
      <c r="F1085" s="110"/>
      <c r="G1085" s="112"/>
    </row>
    <row r="1086" spans="2:7" x14ac:dyDescent="0.2">
      <c r="B1086" s="245"/>
      <c r="C1086" s="246"/>
      <c r="D1086" s="109"/>
      <c r="E1086" s="109"/>
      <c r="F1086" s="110"/>
      <c r="G1086" s="112"/>
    </row>
    <row r="1087" spans="2:7" x14ac:dyDescent="0.2">
      <c r="B1087" s="245"/>
      <c r="C1087" s="246"/>
      <c r="D1087" s="109"/>
      <c r="E1087" s="109"/>
      <c r="F1087" s="110"/>
      <c r="G1087" s="112"/>
    </row>
    <row r="1088" spans="2:7" x14ac:dyDescent="0.2">
      <c r="B1088" s="245"/>
      <c r="C1088" s="246"/>
      <c r="D1088" s="109"/>
      <c r="E1088" s="109"/>
      <c r="F1088" s="110"/>
      <c r="G1088" s="112"/>
    </row>
    <row r="1089" spans="2:7" x14ac:dyDescent="0.2">
      <c r="B1089" s="245"/>
      <c r="C1089" s="246"/>
      <c r="D1089" s="109"/>
      <c r="E1089" s="109"/>
      <c r="F1089" s="110"/>
      <c r="G1089" s="112"/>
    </row>
    <row r="1090" spans="2:7" x14ac:dyDescent="0.2">
      <c r="B1090" s="245"/>
      <c r="C1090" s="246"/>
      <c r="D1090" s="109"/>
      <c r="E1090" s="109"/>
      <c r="F1090" s="110"/>
      <c r="G1090" s="112"/>
    </row>
    <row r="1091" spans="2:7" x14ac:dyDescent="0.2">
      <c r="B1091" s="245"/>
      <c r="C1091" s="246"/>
      <c r="D1091" s="109"/>
      <c r="E1091" s="109"/>
      <c r="F1091" s="110"/>
      <c r="G1091" s="112"/>
    </row>
    <row r="1092" spans="2:7" x14ac:dyDescent="0.2">
      <c r="B1092" s="245"/>
      <c r="C1092" s="246"/>
      <c r="D1092" s="109"/>
      <c r="E1092" s="109"/>
      <c r="F1092" s="110"/>
      <c r="G1092" s="112"/>
    </row>
    <row r="1093" spans="2:7" x14ac:dyDescent="0.2">
      <c r="B1093" s="245"/>
      <c r="C1093" s="246"/>
      <c r="D1093" s="109"/>
      <c r="E1093" s="109"/>
      <c r="F1093" s="110"/>
      <c r="G1093" s="112"/>
    </row>
    <row r="1094" spans="2:7" x14ac:dyDescent="0.2">
      <c r="B1094" s="245"/>
      <c r="C1094" s="246"/>
      <c r="D1094" s="109"/>
      <c r="E1094" s="109"/>
      <c r="F1094" s="110"/>
      <c r="G1094" s="112"/>
    </row>
    <row r="1095" spans="2:7" x14ac:dyDescent="0.2">
      <c r="B1095" s="245"/>
      <c r="C1095" s="246"/>
      <c r="D1095" s="109"/>
      <c r="E1095" s="109"/>
      <c r="F1095" s="110"/>
      <c r="G1095" s="112"/>
    </row>
    <row r="1096" spans="2:7" x14ac:dyDescent="0.2">
      <c r="B1096" s="245"/>
      <c r="C1096" s="246"/>
      <c r="D1096" s="109"/>
      <c r="E1096" s="109"/>
      <c r="F1096" s="110"/>
      <c r="G1096" s="112"/>
    </row>
    <row r="1097" spans="2:7" x14ac:dyDescent="0.2">
      <c r="B1097" s="245"/>
      <c r="C1097" s="246"/>
      <c r="D1097" s="109"/>
      <c r="E1097" s="109"/>
      <c r="F1097" s="110"/>
      <c r="G1097" s="112"/>
    </row>
    <row r="1098" spans="2:7" x14ac:dyDescent="0.2">
      <c r="B1098" s="245"/>
      <c r="C1098" s="246"/>
      <c r="D1098" s="109"/>
      <c r="E1098" s="109"/>
      <c r="F1098" s="110"/>
      <c r="G1098" s="112"/>
    </row>
    <row r="1099" spans="2:7" x14ac:dyDescent="0.2">
      <c r="B1099" s="245"/>
      <c r="C1099" s="246"/>
      <c r="D1099" s="109"/>
      <c r="E1099" s="109"/>
      <c r="F1099" s="110"/>
      <c r="G1099" s="112"/>
    </row>
    <row r="1100" spans="2:7" x14ac:dyDescent="0.2">
      <c r="B1100" s="245"/>
      <c r="C1100" s="246"/>
      <c r="D1100" s="109"/>
      <c r="E1100" s="109"/>
      <c r="F1100" s="110"/>
      <c r="G1100" s="112"/>
    </row>
    <row r="1101" spans="2:7" x14ac:dyDescent="0.2">
      <c r="B1101" s="245"/>
      <c r="C1101" s="246"/>
      <c r="D1101" s="109"/>
      <c r="E1101" s="109"/>
      <c r="F1101" s="110"/>
      <c r="G1101" s="112"/>
    </row>
    <row r="1102" spans="2:7" x14ac:dyDescent="0.2">
      <c r="B1102" s="245"/>
      <c r="C1102" s="246"/>
      <c r="D1102" s="109"/>
      <c r="E1102" s="109"/>
      <c r="F1102" s="110"/>
      <c r="G1102" s="112"/>
    </row>
    <row r="1103" spans="2:7" x14ac:dyDescent="0.2">
      <c r="B1103" s="245"/>
      <c r="C1103" s="246"/>
      <c r="D1103" s="109"/>
      <c r="E1103" s="109"/>
      <c r="F1103" s="110"/>
      <c r="G1103" s="112"/>
    </row>
    <row r="1104" spans="2:7" x14ac:dyDescent="0.2">
      <c r="B1104" s="245"/>
      <c r="C1104" s="246"/>
      <c r="D1104" s="109"/>
      <c r="E1104" s="109"/>
      <c r="F1104" s="110"/>
      <c r="G1104" s="112"/>
    </row>
    <row r="1105" spans="2:7" x14ac:dyDescent="0.2">
      <c r="B1105" s="245"/>
      <c r="C1105" s="246"/>
      <c r="D1105" s="109"/>
      <c r="E1105" s="109"/>
      <c r="F1105" s="110"/>
      <c r="G1105" s="112"/>
    </row>
    <row r="1106" spans="2:7" x14ac:dyDescent="0.2">
      <c r="B1106" s="245"/>
      <c r="C1106" s="246"/>
      <c r="D1106" s="109"/>
      <c r="E1106" s="109"/>
      <c r="F1106" s="110"/>
      <c r="G1106" s="112"/>
    </row>
    <row r="1107" spans="2:7" x14ac:dyDescent="0.2">
      <c r="B1107" s="245"/>
      <c r="C1107" s="246"/>
      <c r="D1107" s="109"/>
      <c r="E1107" s="109"/>
      <c r="F1107" s="110"/>
      <c r="G1107" s="112"/>
    </row>
    <row r="1108" spans="2:7" x14ac:dyDescent="0.2">
      <c r="B1108" s="245"/>
      <c r="C1108" s="246"/>
      <c r="D1108" s="109"/>
      <c r="E1108" s="109"/>
      <c r="F1108" s="110"/>
      <c r="G1108" s="112"/>
    </row>
    <row r="1109" spans="2:7" x14ac:dyDescent="0.2">
      <c r="B1109" s="245"/>
      <c r="C1109" s="246"/>
      <c r="D1109" s="109"/>
      <c r="E1109" s="109"/>
      <c r="F1109" s="110"/>
      <c r="G1109" s="112"/>
    </row>
    <row r="1110" spans="2:7" x14ac:dyDescent="0.2">
      <c r="B1110" s="245"/>
      <c r="C1110" s="246"/>
      <c r="D1110" s="109"/>
      <c r="E1110" s="109"/>
      <c r="F1110" s="110"/>
      <c r="G1110" s="112"/>
    </row>
    <row r="1111" spans="2:7" x14ac:dyDescent="0.2">
      <c r="B1111" s="245"/>
      <c r="C1111" s="246"/>
      <c r="D1111" s="109"/>
      <c r="E1111" s="109"/>
      <c r="F1111" s="110"/>
      <c r="G1111" s="112"/>
    </row>
    <row r="1112" spans="2:7" x14ac:dyDescent="0.2">
      <c r="B1112" s="245"/>
      <c r="C1112" s="246"/>
      <c r="D1112" s="109"/>
      <c r="E1112" s="109"/>
      <c r="F1112" s="110"/>
      <c r="G1112" s="112"/>
    </row>
    <row r="1113" spans="2:7" x14ac:dyDescent="0.2">
      <c r="B1113" s="245"/>
      <c r="C1113" s="246"/>
      <c r="D1113" s="109"/>
      <c r="E1113" s="109"/>
      <c r="F1113" s="110"/>
      <c r="G1113" s="112"/>
    </row>
    <row r="1114" spans="2:7" x14ac:dyDescent="0.2">
      <c r="B1114" s="245"/>
      <c r="C1114" s="246"/>
      <c r="D1114" s="109"/>
      <c r="E1114" s="109"/>
      <c r="F1114" s="110"/>
      <c r="G1114" s="112"/>
    </row>
    <row r="1115" spans="2:7" x14ac:dyDescent="0.2">
      <c r="B1115" s="245"/>
      <c r="C1115" s="246"/>
      <c r="D1115" s="109"/>
      <c r="E1115" s="109"/>
      <c r="F1115" s="110"/>
      <c r="G1115" s="112"/>
    </row>
    <row r="1116" spans="2:7" x14ac:dyDescent="0.2">
      <c r="B1116" s="245"/>
      <c r="C1116" s="246"/>
      <c r="D1116" s="109"/>
      <c r="E1116" s="109"/>
      <c r="F1116" s="110"/>
      <c r="G1116" s="112"/>
    </row>
    <row r="1117" spans="2:7" x14ac:dyDescent="0.2">
      <c r="B1117" s="245"/>
      <c r="C1117" s="246"/>
      <c r="D1117" s="109"/>
      <c r="E1117" s="109"/>
      <c r="F1117" s="110"/>
      <c r="G1117" s="112"/>
    </row>
    <row r="1118" spans="2:7" x14ac:dyDescent="0.2">
      <c r="B1118" s="245"/>
      <c r="C1118" s="246"/>
      <c r="D1118" s="109"/>
      <c r="E1118" s="109"/>
      <c r="F1118" s="110"/>
      <c r="G1118" s="112"/>
    </row>
    <row r="1119" spans="2:7" x14ac:dyDescent="0.2">
      <c r="B1119" s="245"/>
      <c r="C1119" s="246"/>
      <c r="D1119" s="109"/>
      <c r="E1119" s="109"/>
      <c r="F1119" s="110"/>
      <c r="G1119" s="112"/>
    </row>
    <row r="1120" spans="2:7" x14ac:dyDescent="0.2">
      <c r="B1120" s="245"/>
      <c r="C1120" s="246"/>
      <c r="D1120" s="109"/>
      <c r="E1120" s="109"/>
      <c r="F1120" s="110"/>
      <c r="G1120" s="112"/>
    </row>
    <row r="1121" spans="2:7" x14ac:dyDescent="0.2">
      <c r="B1121" s="245"/>
      <c r="C1121" s="246"/>
      <c r="D1121" s="109"/>
      <c r="E1121" s="109"/>
      <c r="F1121" s="110"/>
      <c r="G1121" s="112"/>
    </row>
    <row r="1122" spans="2:7" x14ac:dyDescent="0.2">
      <c r="B1122" s="245"/>
      <c r="C1122" s="246"/>
      <c r="D1122" s="109"/>
      <c r="E1122" s="109"/>
      <c r="F1122" s="110"/>
      <c r="G1122" s="112"/>
    </row>
    <row r="1123" spans="2:7" x14ac:dyDescent="0.2">
      <c r="B1123" s="245"/>
      <c r="C1123" s="246"/>
      <c r="D1123" s="109"/>
      <c r="E1123" s="109"/>
      <c r="F1123" s="110"/>
      <c r="G1123" s="112"/>
    </row>
    <row r="1124" spans="2:7" x14ac:dyDescent="0.2">
      <c r="B1124" s="245"/>
      <c r="C1124" s="246"/>
      <c r="D1124" s="109"/>
      <c r="E1124" s="109"/>
      <c r="F1124" s="110"/>
      <c r="G1124" s="112"/>
    </row>
    <row r="1125" spans="2:7" x14ac:dyDescent="0.2">
      <c r="B1125" s="245"/>
      <c r="C1125" s="246"/>
      <c r="D1125" s="109"/>
      <c r="E1125" s="109"/>
      <c r="F1125" s="110"/>
      <c r="G1125" s="112"/>
    </row>
    <row r="1126" spans="2:7" x14ac:dyDescent="0.2">
      <c r="B1126" s="245"/>
      <c r="C1126" s="246"/>
      <c r="D1126" s="109"/>
      <c r="E1126" s="109"/>
      <c r="F1126" s="110"/>
      <c r="G1126" s="112"/>
    </row>
    <row r="1127" spans="2:7" x14ac:dyDescent="0.2">
      <c r="B1127" s="245"/>
      <c r="C1127" s="246"/>
      <c r="D1127" s="109"/>
      <c r="E1127" s="109"/>
      <c r="F1127" s="110"/>
      <c r="G1127" s="112"/>
    </row>
    <row r="1128" spans="2:7" x14ac:dyDescent="0.2">
      <c r="B1128" s="245"/>
      <c r="C1128" s="246"/>
      <c r="D1128" s="109"/>
      <c r="E1128" s="109"/>
      <c r="F1128" s="110"/>
      <c r="G1128" s="112"/>
    </row>
    <row r="1129" spans="2:7" x14ac:dyDescent="0.2">
      <c r="B1129" s="245"/>
      <c r="C1129" s="246"/>
      <c r="D1129" s="109"/>
      <c r="E1129" s="109"/>
      <c r="F1129" s="110"/>
      <c r="G1129" s="112"/>
    </row>
    <row r="1130" spans="2:7" x14ac:dyDescent="0.2">
      <c r="B1130" s="245"/>
      <c r="C1130" s="246"/>
      <c r="D1130" s="109"/>
      <c r="E1130" s="109"/>
      <c r="F1130" s="110"/>
      <c r="G1130" s="112"/>
    </row>
    <row r="1131" spans="2:7" x14ac:dyDescent="0.2">
      <c r="B1131" s="245"/>
      <c r="C1131" s="246"/>
      <c r="D1131" s="109"/>
      <c r="E1131" s="109"/>
      <c r="F1131" s="110"/>
      <c r="G1131" s="112"/>
    </row>
    <row r="1132" spans="2:7" x14ac:dyDescent="0.2">
      <c r="B1132" s="245"/>
      <c r="C1132" s="246"/>
      <c r="D1132" s="109"/>
      <c r="E1132" s="109"/>
      <c r="F1132" s="110"/>
      <c r="G1132" s="112"/>
    </row>
    <row r="1133" spans="2:7" x14ac:dyDescent="0.2">
      <c r="B1133" s="245"/>
      <c r="C1133" s="246"/>
      <c r="D1133" s="109"/>
      <c r="E1133" s="109"/>
      <c r="F1133" s="110"/>
      <c r="G1133" s="112"/>
    </row>
    <row r="1134" spans="2:7" x14ac:dyDescent="0.2">
      <c r="B1134" s="245"/>
      <c r="C1134" s="246"/>
      <c r="D1134" s="109"/>
      <c r="E1134" s="109"/>
      <c r="F1134" s="110"/>
      <c r="G1134" s="112"/>
    </row>
    <row r="1135" spans="2:7" x14ac:dyDescent="0.2">
      <c r="B1135" s="245"/>
      <c r="C1135" s="246"/>
      <c r="D1135" s="109"/>
      <c r="E1135" s="109"/>
      <c r="F1135" s="110"/>
      <c r="G1135" s="112"/>
    </row>
    <row r="1136" spans="2:7" x14ac:dyDescent="0.2">
      <c r="B1136" s="245"/>
      <c r="C1136" s="246"/>
      <c r="D1136" s="109"/>
      <c r="E1136" s="109"/>
      <c r="F1136" s="110"/>
      <c r="G1136" s="112"/>
    </row>
    <row r="1137" spans="2:7" x14ac:dyDescent="0.2">
      <c r="B1137" s="245"/>
      <c r="C1137" s="246"/>
      <c r="D1137" s="109"/>
      <c r="E1137" s="109"/>
      <c r="F1137" s="110"/>
      <c r="G1137" s="112"/>
    </row>
    <row r="1138" spans="2:7" x14ac:dyDescent="0.2">
      <c r="B1138" s="245"/>
      <c r="C1138" s="246"/>
      <c r="D1138" s="109"/>
      <c r="E1138" s="109"/>
      <c r="F1138" s="110"/>
      <c r="G1138" s="112"/>
    </row>
    <row r="1139" spans="2:7" x14ac:dyDescent="0.2">
      <c r="B1139" s="245"/>
      <c r="C1139" s="246"/>
      <c r="D1139" s="109"/>
      <c r="E1139" s="109"/>
      <c r="F1139" s="110"/>
      <c r="G1139" s="112"/>
    </row>
    <row r="1140" spans="2:7" x14ac:dyDescent="0.2">
      <c r="B1140" s="245"/>
      <c r="C1140" s="246"/>
      <c r="D1140" s="109"/>
      <c r="E1140" s="109"/>
      <c r="F1140" s="110"/>
      <c r="G1140" s="112"/>
    </row>
    <row r="1141" spans="2:7" x14ac:dyDescent="0.2">
      <c r="B1141" s="245"/>
      <c r="C1141" s="246"/>
      <c r="D1141" s="109"/>
      <c r="E1141" s="109"/>
      <c r="F1141" s="110"/>
      <c r="G1141" s="112"/>
    </row>
    <row r="1142" spans="2:7" x14ac:dyDescent="0.2">
      <c r="B1142" s="245"/>
      <c r="C1142" s="246"/>
      <c r="D1142" s="109"/>
      <c r="E1142" s="109"/>
      <c r="F1142" s="110"/>
      <c r="G1142" s="112"/>
    </row>
    <row r="1143" spans="2:7" x14ac:dyDescent="0.2">
      <c r="B1143" s="245"/>
      <c r="C1143" s="246"/>
      <c r="D1143" s="109"/>
      <c r="E1143" s="109"/>
      <c r="F1143" s="110"/>
      <c r="G1143" s="112"/>
    </row>
    <row r="1144" spans="2:7" x14ac:dyDescent="0.2">
      <c r="B1144" s="245"/>
      <c r="C1144" s="246"/>
      <c r="D1144" s="109"/>
      <c r="E1144" s="109"/>
      <c r="F1144" s="110"/>
      <c r="G1144" s="112"/>
    </row>
    <row r="1145" spans="2:7" x14ac:dyDescent="0.2">
      <c r="B1145" s="245"/>
      <c r="C1145" s="246"/>
      <c r="D1145" s="109"/>
      <c r="E1145" s="109"/>
      <c r="F1145" s="110"/>
      <c r="G1145" s="112"/>
    </row>
    <row r="1146" spans="2:7" x14ac:dyDescent="0.2">
      <c r="B1146" s="245"/>
      <c r="C1146" s="246"/>
      <c r="D1146" s="109"/>
      <c r="E1146" s="109"/>
      <c r="F1146" s="110"/>
      <c r="G1146" s="112"/>
    </row>
    <row r="1147" spans="2:7" x14ac:dyDescent="0.2">
      <c r="B1147" s="245"/>
      <c r="C1147" s="246"/>
      <c r="D1147" s="109"/>
      <c r="E1147" s="109"/>
      <c r="F1147" s="110"/>
      <c r="G1147" s="112"/>
    </row>
    <row r="1148" spans="2:7" x14ac:dyDescent="0.2">
      <c r="B1148" s="245"/>
      <c r="C1148" s="246"/>
      <c r="D1148" s="109"/>
      <c r="E1148" s="109"/>
      <c r="F1148" s="110"/>
      <c r="G1148" s="112"/>
    </row>
    <row r="1149" spans="2:7" x14ac:dyDescent="0.2">
      <c r="B1149" s="245"/>
      <c r="C1149" s="246"/>
      <c r="D1149" s="109"/>
      <c r="E1149" s="109"/>
      <c r="F1149" s="110"/>
      <c r="G1149" s="112"/>
    </row>
    <row r="1150" spans="2:7" x14ac:dyDescent="0.2">
      <c r="B1150" s="245"/>
      <c r="C1150" s="246"/>
      <c r="D1150" s="109"/>
      <c r="E1150" s="109"/>
      <c r="F1150" s="110"/>
      <c r="G1150" s="112"/>
    </row>
    <row r="1151" spans="2:7" x14ac:dyDescent="0.2">
      <c r="B1151" s="245"/>
      <c r="C1151" s="246"/>
      <c r="D1151" s="109"/>
      <c r="E1151" s="109"/>
      <c r="F1151" s="110"/>
      <c r="G1151" s="112"/>
    </row>
    <row r="1152" spans="2:7" x14ac:dyDescent="0.2">
      <c r="B1152" s="245"/>
      <c r="C1152" s="246"/>
      <c r="D1152" s="109"/>
      <c r="E1152" s="109"/>
      <c r="F1152" s="110"/>
      <c r="G1152" s="112"/>
    </row>
    <row r="1153" spans="2:7" x14ac:dyDescent="0.2">
      <c r="B1153" s="245"/>
      <c r="C1153" s="246"/>
      <c r="D1153" s="109"/>
      <c r="E1153" s="109"/>
      <c r="F1153" s="110"/>
      <c r="G1153" s="112"/>
    </row>
    <row r="1154" spans="2:7" x14ac:dyDescent="0.2">
      <c r="B1154" s="245"/>
      <c r="C1154" s="246"/>
      <c r="D1154" s="109"/>
      <c r="E1154" s="109"/>
      <c r="F1154" s="110"/>
      <c r="G1154" s="112"/>
    </row>
    <row r="1155" spans="2:7" x14ac:dyDescent="0.2">
      <c r="B1155" s="245"/>
      <c r="C1155" s="246"/>
      <c r="D1155" s="109"/>
      <c r="E1155" s="109"/>
      <c r="F1155" s="110"/>
      <c r="G1155" s="112"/>
    </row>
    <row r="1156" spans="2:7" x14ac:dyDescent="0.2">
      <c r="B1156" s="245"/>
      <c r="C1156" s="246"/>
      <c r="D1156" s="109"/>
      <c r="E1156" s="109"/>
      <c r="F1156" s="110"/>
      <c r="G1156" s="112"/>
    </row>
    <row r="1157" spans="2:7" x14ac:dyDescent="0.2">
      <c r="B1157" s="245"/>
      <c r="C1157" s="246"/>
      <c r="D1157" s="109"/>
      <c r="E1157" s="109"/>
      <c r="F1157" s="110"/>
      <c r="G1157" s="112"/>
    </row>
    <row r="1158" spans="2:7" x14ac:dyDescent="0.2">
      <c r="B1158" s="245"/>
      <c r="C1158" s="246"/>
      <c r="D1158" s="109"/>
      <c r="E1158" s="109"/>
      <c r="F1158" s="110"/>
      <c r="G1158" s="112"/>
    </row>
    <row r="1159" spans="2:7" x14ac:dyDescent="0.2">
      <c r="B1159" s="245"/>
      <c r="C1159" s="246"/>
      <c r="D1159" s="109"/>
      <c r="E1159" s="109"/>
      <c r="F1159" s="110"/>
      <c r="G1159" s="112"/>
    </row>
    <row r="1160" spans="2:7" x14ac:dyDescent="0.2">
      <c r="B1160" s="245"/>
      <c r="C1160" s="246"/>
      <c r="D1160" s="109"/>
      <c r="E1160" s="109"/>
      <c r="F1160" s="110"/>
      <c r="G1160" s="112"/>
    </row>
    <row r="1161" spans="2:7" x14ac:dyDescent="0.2">
      <c r="B1161" s="245"/>
      <c r="C1161" s="246"/>
      <c r="D1161" s="109"/>
      <c r="E1161" s="109"/>
      <c r="F1161" s="110"/>
      <c r="G1161" s="112"/>
    </row>
    <row r="1162" spans="2:7" x14ac:dyDescent="0.2">
      <c r="B1162" s="245"/>
      <c r="C1162" s="246"/>
      <c r="D1162" s="109"/>
      <c r="E1162" s="109"/>
      <c r="F1162" s="110"/>
      <c r="G1162" s="112"/>
    </row>
    <row r="1163" spans="2:7" x14ac:dyDescent="0.2">
      <c r="B1163" s="245"/>
      <c r="C1163" s="246"/>
      <c r="D1163" s="109"/>
      <c r="E1163" s="109"/>
      <c r="F1163" s="110"/>
      <c r="G1163" s="112"/>
    </row>
    <row r="1164" spans="2:7" x14ac:dyDescent="0.2">
      <c r="B1164" s="245"/>
      <c r="C1164" s="246"/>
      <c r="D1164" s="109"/>
      <c r="E1164" s="109"/>
      <c r="F1164" s="110"/>
      <c r="G1164" s="112"/>
    </row>
    <row r="1165" spans="2:7" x14ac:dyDescent="0.2">
      <c r="B1165" s="245"/>
      <c r="C1165" s="246"/>
      <c r="D1165" s="109"/>
      <c r="E1165" s="109"/>
      <c r="F1165" s="110"/>
      <c r="G1165" s="112"/>
    </row>
    <row r="1166" spans="2:7" x14ac:dyDescent="0.2">
      <c r="B1166" s="245"/>
      <c r="C1166" s="246"/>
      <c r="D1166" s="109"/>
      <c r="E1166" s="109"/>
      <c r="F1166" s="110"/>
      <c r="G1166" s="112"/>
    </row>
    <row r="1167" spans="2:7" x14ac:dyDescent="0.2">
      <c r="B1167" s="245"/>
      <c r="C1167" s="246"/>
      <c r="D1167" s="109"/>
      <c r="E1167" s="109"/>
      <c r="F1167" s="110"/>
      <c r="G1167" s="112"/>
    </row>
    <row r="1168" spans="2:7" x14ac:dyDescent="0.2">
      <c r="B1168" s="245"/>
      <c r="C1168" s="246"/>
      <c r="D1168" s="109"/>
      <c r="E1168" s="109"/>
      <c r="F1168" s="110"/>
      <c r="G1168" s="112"/>
    </row>
    <row r="1169" spans="2:7" x14ac:dyDescent="0.2">
      <c r="B1169" s="245"/>
      <c r="C1169" s="246"/>
      <c r="D1169" s="109"/>
      <c r="E1169" s="109"/>
      <c r="F1169" s="110"/>
      <c r="G1169" s="112"/>
    </row>
    <row r="1170" spans="2:7" x14ac:dyDescent="0.2">
      <c r="B1170" s="245"/>
      <c r="C1170" s="246"/>
      <c r="D1170" s="109"/>
      <c r="E1170" s="109"/>
      <c r="F1170" s="110"/>
      <c r="G1170" s="112"/>
    </row>
    <row r="1171" spans="2:7" x14ac:dyDescent="0.2">
      <c r="B1171" s="245"/>
      <c r="C1171" s="246"/>
      <c r="D1171" s="109"/>
      <c r="E1171" s="109"/>
      <c r="F1171" s="110"/>
      <c r="G1171" s="112"/>
    </row>
    <row r="1172" spans="2:7" x14ac:dyDescent="0.2">
      <c r="B1172" s="245"/>
      <c r="C1172" s="246"/>
      <c r="D1172" s="109"/>
      <c r="E1172" s="109"/>
      <c r="F1172" s="110"/>
      <c r="G1172" s="112"/>
    </row>
    <row r="1173" spans="2:7" x14ac:dyDescent="0.2">
      <c r="B1173" s="245"/>
      <c r="C1173" s="246"/>
      <c r="D1173" s="109"/>
      <c r="E1173" s="109"/>
      <c r="F1173" s="110"/>
      <c r="G1173" s="112"/>
    </row>
    <row r="1174" spans="2:7" x14ac:dyDescent="0.2">
      <c r="B1174" s="245"/>
      <c r="C1174" s="246"/>
      <c r="D1174" s="109"/>
      <c r="E1174" s="109"/>
      <c r="F1174" s="110"/>
      <c r="G1174" s="112"/>
    </row>
    <row r="1175" spans="2:7" x14ac:dyDescent="0.2">
      <c r="B1175" s="245"/>
      <c r="C1175" s="246"/>
      <c r="D1175" s="109"/>
      <c r="E1175" s="109"/>
      <c r="F1175" s="110"/>
      <c r="G1175" s="112"/>
    </row>
    <row r="1176" spans="2:7" x14ac:dyDescent="0.2">
      <c r="B1176" s="245"/>
      <c r="C1176" s="246"/>
      <c r="D1176" s="109"/>
      <c r="E1176" s="109"/>
      <c r="F1176" s="110"/>
      <c r="G1176" s="112"/>
    </row>
    <row r="1177" spans="2:7" x14ac:dyDescent="0.2">
      <c r="B1177" s="245"/>
      <c r="C1177" s="246"/>
      <c r="D1177" s="109"/>
      <c r="E1177" s="109"/>
      <c r="F1177" s="110"/>
      <c r="G1177" s="112"/>
    </row>
    <row r="1178" spans="2:7" x14ac:dyDescent="0.2">
      <c r="B1178" s="245"/>
      <c r="C1178" s="246"/>
      <c r="D1178" s="109"/>
      <c r="E1178" s="109"/>
      <c r="F1178" s="110"/>
      <c r="G1178" s="112"/>
    </row>
    <row r="1179" spans="2:7" x14ac:dyDescent="0.2">
      <c r="B1179" s="245"/>
      <c r="C1179" s="246"/>
      <c r="D1179" s="109"/>
      <c r="E1179" s="109"/>
      <c r="F1179" s="110"/>
      <c r="G1179" s="112"/>
    </row>
    <row r="1180" spans="2:7" x14ac:dyDescent="0.2">
      <c r="B1180" s="245"/>
      <c r="C1180" s="246"/>
      <c r="D1180" s="109"/>
      <c r="E1180" s="109"/>
      <c r="F1180" s="110"/>
      <c r="G1180" s="112"/>
    </row>
    <row r="1181" spans="2:7" x14ac:dyDescent="0.2">
      <c r="B1181" s="245"/>
      <c r="C1181" s="246"/>
      <c r="D1181" s="109"/>
      <c r="E1181" s="109"/>
      <c r="F1181" s="110"/>
      <c r="G1181" s="112"/>
    </row>
    <row r="1182" spans="2:7" x14ac:dyDescent="0.2">
      <c r="B1182" s="245"/>
      <c r="C1182" s="246"/>
      <c r="D1182" s="109"/>
      <c r="E1182" s="109"/>
      <c r="F1182" s="110"/>
      <c r="G1182" s="112"/>
    </row>
    <row r="1183" spans="2:7" x14ac:dyDescent="0.2">
      <c r="B1183" s="245"/>
      <c r="C1183" s="246"/>
      <c r="D1183" s="109"/>
      <c r="E1183" s="109"/>
      <c r="F1183" s="110"/>
      <c r="G1183" s="112"/>
    </row>
    <row r="1184" spans="2:7" x14ac:dyDescent="0.2">
      <c r="B1184" s="245"/>
      <c r="C1184" s="246"/>
      <c r="D1184" s="109"/>
      <c r="E1184" s="109"/>
      <c r="F1184" s="110"/>
      <c r="G1184" s="112"/>
    </row>
    <row r="1185" spans="2:7" x14ac:dyDescent="0.2">
      <c r="B1185" s="245"/>
      <c r="C1185" s="246"/>
      <c r="D1185" s="109"/>
      <c r="E1185" s="109"/>
      <c r="F1185" s="110"/>
      <c r="G1185" s="112"/>
    </row>
    <row r="1186" spans="2:7" x14ac:dyDescent="0.2">
      <c r="B1186" s="245"/>
      <c r="C1186" s="246"/>
      <c r="D1186" s="109"/>
      <c r="E1186" s="109"/>
      <c r="F1186" s="110"/>
      <c r="G1186" s="112"/>
    </row>
    <row r="1187" spans="2:7" x14ac:dyDescent="0.2">
      <c r="B1187" s="245"/>
      <c r="C1187" s="246"/>
      <c r="D1187" s="109"/>
      <c r="E1187" s="109"/>
      <c r="F1187" s="110"/>
      <c r="G1187" s="112"/>
    </row>
    <row r="1188" spans="2:7" x14ac:dyDescent="0.2">
      <c r="B1188" s="245"/>
      <c r="C1188" s="246"/>
      <c r="D1188" s="109"/>
      <c r="E1188" s="109"/>
      <c r="F1188" s="110"/>
      <c r="G1188" s="112"/>
    </row>
    <row r="1189" spans="2:7" x14ac:dyDescent="0.2">
      <c r="B1189" s="245"/>
      <c r="C1189" s="246"/>
      <c r="D1189" s="109"/>
      <c r="E1189" s="109"/>
      <c r="F1189" s="110"/>
      <c r="G1189" s="112"/>
    </row>
    <row r="1190" spans="2:7" x14ac:dyDescent="0.2">
      <c r="B1190" s="245"/>
      <c r="C1190" s="246"/>
      <c r="D1190" s="109"/>
      <c r="E1190" s="109"/>
      <c r="F1190" s="110"/>
      <c r="G1190" s="112"/>
    </row>
    <row r="1191" spans="2:7" x14ac:dyDescent="0.2">
      <c r="B1191" s="245"/>
      <c r="C1191" s="246"/>
      <c r="D1191" s="109"/>
      <c r="E1191" s="109"/>
      <c r="F1191" s="110"/>
      <c r="G1191" s="112"/>
    </row>
    <row r="1192" spans="2:7" x14ac:dyDescent="0.2">
      <c r="B1192" s="245"/>
      <c r="C1192" s="246"/>
      <c r="D1192" s="109"/>
      <c r="E1192" s="109"/>
      <c r="F1192" s="110"/>
      <c r="G1192" s="112"/>
    </row>
    <row r="1193" spans="2:7" x14ac:dyDescent="0.2">
      <c r="B1193" s="245"/>
      <c r="C1193" s="246"/>
      <c r="D1193" s="109"/>
      <c r="E1193" s="109"/>
      <c r="F1193" s="110"/>
      <c r="G1193" s="112"/>
    </row>
    <row r="1194" spans="2:7" x14ac:dyDescent="0.2">
      <c r="B1194" s="245"/>
      <c r="C1194" s="246"/>
      <c r="D1194" s="109"/>
      <c r="E1194" s="109"/>
      <c r="F1194" s="110"/>
      <c r="G1194" s="112"/>
    </row>
    <row r="1195" spans="2:7" x14ac:dyDescent="0.2">
      <c r="B1195" s="245"/>
      <c r="C1195" s="246"/>
      <c r="D1195" s="109"/>
      <c r="E1195" s="109"/>
      <c r="F1195" s="110"/>
      <c r="G1195" s="112"/>
    </row>
    <row r="1196" spans="2:7" x14ac:dyDescent="0.2">
      <c r="B1196" s="245"/>
      <c r="C1196" s="246"/>
      <c r="D1196" s="109"/>
      <c r="E1196" s="109"/>
      <c r="F1196" s="110"/>
      <c r="G1196" s="112"/>
    </row>
    <row r="1197" spans="2:7" x14ac:dyDescent="0.2">
      <c r="B1197" s="245"/>
      <c r="C1197" s="246"/>
      <c r="D1197" s="109"/>
      <c r="E1197" s="109"/>
      <c r="F1197" s="110"/>
      <c r="G1197" s="112"/>
    </row>
    <row r="1198" spans="2:7" x14ac:dyDescent="0.2">
      <c r="B1198" s="245"/>
      <c r="C1198" s="246"/>
      <c r="D1198" s="109"/>
      <c r="E1198" s="109"/>
      <c r="F1198" s="110"/>
      <c r="G1198" s="112"/>
    </row>
    <row r="1199" spans="2:7" x14ac:dyDescent="0.2">
      <c r="B1199" s="245"/>
      <c r="C1199" s="246"/>
      <c r="D1199" s="109"/>
      <c r="E1199" s="109"/>
      <c r="F1199" s="110"/>
      <c r="G1199" s="112"/>
    </row>
    <row r="1200" spans="2:7" x14ac:dyDescent="0.2">
      <c r="B1200" s="245"/>
      <c r="C1200" s="246"/>
      <c r="D1200" s="109"/>
      <c r="E1200" s="109"/>
      <c r="F1200" s="110"/>
      <c r="G1200" s="112"/>
    </row>
    <row r="1201" spans="2:7" x14ac:dyDescent="0.2">
      <c r="B1201" s="245"/>
      <c r="C1201" s="246"/>
      <c r="D1201" s="109"/>
      <c r="E1201" s="109"/>
      <c r="F1201" s="110"/>
      <c r="G1201" s="112"/>
    </row>
    <row r="1202" spans="2:7" x14ac:dyDescent="0.2">
      <c r="B1202" s="245"/>
      <c r="C1202" s="246"/>
      <c r="D1202" s="109"/>
      <c r="E1202" s="109"/>
      <c r="F1202" s="110"/>
      <c r="G1202" s="112"/>
    </row>
    <row r="1203" spans="2:7" x14ac:dyDescent="0.2">
      <c r="B1203" s="245"/>
      <c r="C1203" s="246"/>
      <c r="D1203" s="109"/>
      <c r="E1203" s="109"/>
      <c r="F1203" s="110"/>
      <c r="G1203" s="112"/>
    </row>
    <row r="1204" spans="2:7" x14ac:dyDescent="0.2">
      <c r="B1204" s="245"/>
      <c r="C1204" s="246"/>
      <c r="D1204" s="109"/>
      <c r="E1204" s="109"/>
      <c r="F1204" s="110"/>
      <c r="G1204" s="112"/>
    </row>
    <row r="1205" spans="2:7" x14ac:dyDescent="0.2">
      <c r="B1205" s="245"/>
      <c r="C1205" s="246"/>
      <c r="D1205" s="109"/>
      <c r="E1205" s="109"/>
      <c r="F1205" s="110"/>
      <c r="G1205" s="112"/>
    </row>
    <row r="1206" spans="2:7" x14ac:dyDescent="0.2">
      <c r="B1206" s="245"/>
      <c r="C1206" s="246"/>
      <c r="D1206" s="109"/>
      <c r="E1206" s="109"/>
      <c r="F1206" s="110"/>
      <c r="G1206" s="112"/>
    </row>
    <row r="1207" spans="2:7" x14ac:dyDescent="0.2">
      <c r="B1207" s="245"/>
      <c r="C1207" s="246"/>
      <c r="D1207" s="109"/>
      <c r="E1207" s="109"/>
      <c r="F1207" s="110"/>
      <c r="G1207" s="112"/>
    </row>
    <row r="1208" spans="2:7" x14ac:dyDescent="0.2">
      <c r="B1208" s="245"/>
      <c r="C1208" s="246"/>
      <c r="D1208" s="109"/>
      <c r="E1208" s="109"/>
      <c r="F1208" s="110"/>
      <c r="G1208" s="112"/>
    </row>
    <row r="1209" spans="2:7" x14ac:dyDescent="0.2">
      <c r="B1209" s="245"/>
      <c r="C1209" s="246"/>
      <c r="D1209" s="109"/>
      <c r="E1209" s="109"/>
      <c r="F1209" s="110"/>
      <c r="G1209" s="112"/>
    </row>
    <row r="1210" spans="2:7" x14ac:dyDescent="0.2">
      <c r="B1210" s="245"/>
      <c r="C1210" s="246"/>
      <c r="D1210" s="109"/>
      <c r="E1210" s="109"/>
      <c r="F1210" s="110"/>
      <c r="G1210" s="112"/>
    </row>
    <row r="1211" spans="2:7" x14ac:dyDescent="0.2">
      <c r="B1211" s="245"/>
      <c r="C1211" s="246"/>
      <c r="D1211" s="109"/>
      <c r="E1211" s="109"/>
      <c r="F1211" s="110"/>
      <c r="G1211" s="112"/>
    </row>
    <row r="1212" spans="2:7" x14ac:dyDescent="0.2">
      <c r="B1212" s="245"/>
      <c r="C1212" s="246"/>
      <c r="D1212" s="109"/>
      <c r="E1212" s="109"/>
      <c r="F1212" s="110"/>
      <c r="G1212" s="112"/>
    </row>
    <row r="1213" spans="2:7" x14ac:dyDescent="0.2">
      <c r="B1213" s="245"/>
      <c r="C1213" s="246"/>
      <c r="D1213" s="109"/>
      <c r="E1213" s="109"/>
      <c r="F1213" s="110"/>
      <c r="G1213" s="112"/>
    </row>
    <row r="1214" spans="2:7" x14ac:dyDescent="0.2">
      <c r="B1214" s="245"/>
      <c r="C1214" s="246"/>
      <c r="D1214" s="109"/>
      <c r="E1214" s="109"/>
      <c r="F1214" s="110"/>
      <c r="G1214" s="112"/>
    </row>
    <row r="1215" spans="2:7" x14ac:dyDescent="0.2">
      <c r="B1215" s="245"/>
      <c r="C1215" s="246"/>
      <c r="D1215" s="109"/>
      <c r="E1215" s="109"/>
      <c r="F1215" s="110"/>
      <c r="G1215" s="112"/>
    </row>
    <row r="1216" spans="2:7" x14ac:dyDescent="0.2">
      <c r="B1216" s="245"/>
      <c r="C1216" s="246"/>
      <c r="D1216" s="109"/>
      <c r="E1216" s="109"/>
      <c r="F1216" s="110"/>
      <c r="G1216" s="112"/>
    </row>
    <row r="1217" spans="2:7" x14ac:dyDescent="0.2">
      <c r="B1217" s="245"/>
      <c r="C1217" s="246"/>
      <c r="D1217" s="109"/>
      <c r="E1217" s="109"/>
      <c r="F1217" s="110"/>
      <c r="G1217" s="112"/>
    </row>
    <row r="1218" spans="2:7" x14ac:dyDescent="0.2">
      <c r="B1218" s="245"/>
      <c r="C1218" s="246"/>
      <c r="D1218" s="109"/>
      <c r="E1218" s="109"/>
      <c r="F1218" s="110"/>
      <c r="G1218" s="112"/>
    </row>
    <row r="1219" spans="2:7" x14ac:dyDescent="0.2">
      <c r="B1219" s="245"/>
      <c r="C1219" s="246"/>
      <c r="D1219" s="109"/>
      <c r="E1219" s="109"/>
      <c r="F1219" s="110"/>
      <c r="G1219" s="112"/>
    </row>
    <row r="1220" spans="2:7" x14ac:dyDescent="0.2">
      <c r="B1220" s="245"/>
      <c r="C1220" s="246"/>
      <c r="D1220" s="109"/>
      <c r="E1220" s="109"/>
      <c r="F1220" s="110"/>
      <c r="G1220" s="112"/>
    </row>
    <row r="1221" spans="2:7" x14ac:dyDescent="0.2">
      <c r="B1221" s="245"/>
      <c r="C1221" s="246"/>
      <c r="D1221" s="109"/>
      <c r="E1221" s="109"/>
      <c r="F1221" s="110"/>
      <c r="G1221" s="112"/>
    </row>
    <row r="1222" spans="2:7" x14ac:dyDescent="0.2">
      <c r="B1222" s="245"/>
      <c r="C1222" s="246"/>
      <c r="D1222" s="109"/>
      <c r="E1222" s="109"/>
      <c r="F1222" s="110"/>
      <c r="G1222" s="112"/>
    </row>
    <row r="1223" spans="2:7" x14ac:dyDescent="0.2">
      <c r="B1223" s="245"/>
      <c r="C1223" s="246"/>
      <c r="D1223" s="109"/>
      <c r="E1223" s="109"/>
      <c r="F1223" s="110"/>
      <c r="G1223" s="112"/>
    </row>
    <row r="1224" spans="2:7" x14ac:dyDescent="0.2">
      <c r="B1224" s="245"/>
      <c r="C1224" s="246"/>
      <c r="D1224" s="109"/>
      <c r="E1224" s="109"/>
      <c r="F1224" s="110"/>
      <c r="G1224" s="112"/>
    </row>
    <row r="1225" spans="2:7" x14ac:dyDescent="0.2">
      <c r="B1225" s="245"/>
      <c r="C1225" s="246"/>
      <c r="D1225" s="109"/>
      <c r="E1225" s="109"/>
      <c r="F1225" s="110"/>
      <c r="G1225" s="112"/>
    </row>
    <row r="1226" spans="2:7" x14ac:dyDescent="0.2">
      <c r="B1226" s="245"/>
      <c r="C1226" s="246"/>
      <c r="D1226" s="109"/>
      <c r="E1226" s="109"/>
      <c r="F1226" s="110"/>
      <c r="G1226" s="112"/>
    </row>
    <row r="1227" spans="2:7" x14ac:dyDescent="0.2">
      <c r="B1227" s="245"/>
      <c r="C1227" s="246"/>
      <c r="D1227" s="109"/>
      <c r="E1227" s="109"/>
      <c r="F1227" s="110"/>
      <c r="G1227" s="112"/>
    </row>
    <row r="1228" spans="2:7" x14ac:dyDescent="0.2">
      <c r="B1228" s="245"/>
      <c r="C1228" s="246"/>
      <c r="D1228" s="109"/>
      <c r="E1228" s="109"/>
      <c r="F1228" s="110"/>
      <c r="G1228" s="112"/>
    </row>
    <row r="1229" spans="2:7" x14ac:dyDescent="0.2">
      <c r="B1229" s="245"/>
      <c r="C1229" s="246"/>
      <c r="D1229" s="109"/>
      <c r="E1229" s="109"/>
      <c r="F1229" s="110"/>
      <c r="G1229" s="112"/>
    </row>
    <row r="1230" spans="2:7" x14ac:dyDescent="0.2">
      <c r="B1230" s="245"/>
      <c r="C1230" s="246"/>
      <c r="D1230" s="109"/>
      <c r="E1230" s="109"/>
      <c r="F1230" s="110"/>
      <c r="G1230" s="112"/>
    </row>
    <row r="1231" spans="2:7" x14ac:dyDescent="0.2">
      <c r="B1231" s="245"/>
      <c r="C1231" s="246"/>
      <c r="D1231" s="109"/>
      <c r="E1231" s="109"/>
      <c r="F1231" s="110"/>
      <c r="G1231" s="112"/>
    </row>
    <row r="1232" spans="2:7" x14ac:dyDescent="0.2">
      <c r="B1232" s="245"/>
      <c r="C1232" s="246"/>
      <c r="D1232" s="109"/>
      <c r="E1232" s="109"/>
      <c r="F1232" s="110"/>
      <c r="G1232" s="112"/>
    </row>
    <row r="1233" spans="2:7" x14ac:dyDescent="0.2">
      <c r="B1233" s="245"/>
      <c r="C1233" s="246"/>
      <c r="D1233" s="109"/>
      <c r="E1233" s="109"/>
      <c r="F1233" s="110"/>
      <c r="G1233" s="112"/>
    </row>
    <row r="1234" spans="2:7" x14ac:dyDescent="0.2">
      <c r="B1234" s="245"/>
      <c r="C1234" s="246"/>
      <c r="D1234" s="109"/>
      <c r="E1234" s="109"/>
      <c r="F1234" s="110"/>
      <c r="G1234" s="112"/>
    </row>
    <row r="1235" spans="2:7" x14ac:dyDescent="0.2">
      <c r="B1235" s="245"/>
      <c r="C1235" s="246"/>
      <c r="D1235" s="109"/>
      <c r="E1235" s="109"/>
      <c r="F1235" s="110"/>
      <c r="G1235" s="112"/>
    </row>
    <row r="1236" spans="2:7" x14ac:dyDescent="0.2">
      <c r="B1236" s="245"/>
      <c r="C1236" s="246"/>
      <c r="D1236" s="109"/>
      <c r="E1236" s="109"/>
      <c r="F1236" s="110"/>
      <c r="G1236" s="112"/>
    </row>
    <row r="1237" spans="2:7" x14ac:dyDescent="0.2">
      <c r="B1237" s="245"/>
      <c r="C1237" s="246"/>
      <c r="D1237" s="109"/>
      <c r="E1237" s="109"/>
      <c r="F1237" s="110"/>
      <c r="G1237" s="112"/>
    </row>
    <row r="1238" spans="2:7" x14ac:dyDescent="0.2">
      <c r="B1238" s="245"/>
      <c r="C1238" s="246"/>
      <c r="D1238" s="109"/>
      <c r="E1238" s="109"/>
      <c r="F1238" s="110"/>
      <c r="G1238" s="112"/>
    </row>
    <row r="1239" spans="2:7" x14ac:dyDescent="0.2">
      <c r="B1239" s="245"/>
      <c r="C1239" s="246"/>
      <c r="D1239" s="109"/>
      <c r="E1239" s="109"/>
      <c r="F1239" s="110"/>
      <c r="G1239" s="112"/>
    </row>
    <row r="1240" spans="2:7" x14ac:dyDescent="0.2">
      <c r="B1240" s="245"/>
      <c r="C1240" s="246"/>
      <c r="D1240" s="109"/>
      <c r="E1240" s="109"/>
      <c r="F1240" s="110"/>
      <c r="G1240" s="112"/>
    </row>
    <row r="1241" spans="2:7" x14ac:dyDescent="0.2">
      <c r="B1241" s="245"/>
      <c r="C1241" s="246"/>
      <c r="D1241" s="109"/>
      <c r="E1241" s="109"/>
      <c r="F1241" s="110"/>
      <c r="G1241" s="112"/>
    </row>
    <row r="1242" spans="2:7" x14ac:dyDescent="0.2">
      <c r="B1242" s="245"/>
      <c r="C1242" s="246"/>
      <c r="D1242" s="109"/>
      <c r="E1242" s="109"/>
      <c r="F1242" s="110"/>
      <c r="G1242" s="112"/>
    </row>
    <row r="1243" spans="2:7" x14ac:dyDescent="0.2">
      <c r="B1243" s="245"/>
      <c r="C1243" s="246"/>
      <c r="D1243" s="109"/>
      <c r="E1243" s="109"/>
      <c r="F1243" s="110"/>
      <c r="G1243" s="112"/>
    </row>
    <row r="1244" spans="2:7" x14ac:dyDescent="0.2">
      <c r="B1244" s="245"/>
      <c r="C1244" s="246"/>
      <c r="D1244" s="109"/>
      <c r="E1244" s="109"/>
      <c r="F1244" s="110"/>
      <c r="G1244" s="112"/>
    </row>
    <row r="1245" spans="2:7" x14ac:dyDescent="0.2">
      <c r="B1245" s="245"/>
      <c r="C1245" s="246"/>
      <c r="D1245" s="109"/>
      <c r="E1245" s="109"/>
      <c r="F1245" s="110"/>
      <c r="G1245" s="112"/>
    </row>
    <row r="1246" spans="2:7" x14ac:dyDescent="0.2">
      <c r="B1246" s="245"/>
      <c r="C1246" s="246"/>
      <c r="D1246" s="109"/>
      <c r="E1246" s="109"/>
      <c r="F1246" s="110"/>
      <c r="G1246" s="112"/>
    </row>
    <row r="1247" spans="2:7" x14ac:dyDescent="0.2">
      <c r="B1247" s="245"/>
      <c r="C1247" s="246"/>
      <c r="D1247" s="109"/>
      <c r="E1247" s="109"/>
      <c r="F1247" s="110"/>
      <c r="G1247" s="112"/>
    </row>
    <row r="1248" spans="2:7" x14ac:dyDescent="0.2">
      <c r="B1248" s="245"/>
      <c r="C1248" s="246"/>
      <c r="D1248" s="109"/>
      <c r="E1248" s="109"/>
      <c r="F1248" s="110"/>
      <c r="G1248" s="112"/>
    </row>
    <row r="1249" spans="2:7" x14ac:dyDescent="0.2">
      <c r="B1249" s="245"/>
      <c r="C1249" s="246"/>
      <c r="D1249" s="109"/>
      <c r="E1249" s="109"/>
      <c r="F1249" s="110"/>
      <c r="G1249" s="112"/>
    </row>
    <row r="1250" spans="2:7" x14ac:dyDescent="0.2">
      <c r="B1250" s="245"/>
      <c r="C1250" s="246"/>
      <c r="D1250" s="109"/>
      <c r="E1250" s="109"/>
      <c r="F1250" s="110"/>
      <c r="G1250" s="112"/>
    </row>
    <row r="1251" spans="2:7" x14ac:dyDescent="0.2">
      <c r="B1251" s="245"/>
      <c r="C1251" s="246"/>
      <c r="D1251" s="109"/>
      <c r="E1251" s="109"/>
      <c r="F1251" s="110"/>
      <c r="G1251" s="112"/>
    </row>
    <row r="1252" spans="2:7" x14ac:dyDescent="0.2">
      <c r="B1252" s="245"/>
      <c r="C1252" s="246"/>
      <c r="D1252" s="109"/>
      <c r="E1252" s="109"/>
      <c r="F1252" s="110"/>
      <c r="G1252" s="112"/>
    </row>
    <row r="1253" spans="2:7" x14ac:dyDescent="0.2">
      <c r="B1253" s="245"/>
      <c r="C1253" s="246"/>
      <c r="D1253" s="109"/>
      <c r="E1253" s="109"/>
      <c r="F1253" s="110"/>
      <c r="G1253" s="112"/>
    </row>
    <row r="1254" spans="2:7" x14ac:dyDescent="0.2">
      <c r="B1254" s="245"/>
      <c r="C1254" s="246"/>
      <c r="D1254" s="109"/>
      <c r="E1254" s="109"/>
      <c r="F1254" s="110"/>
      <c r="G1254" s="112"/>
    </row>
    <row r="1255" spans="2:7" x14ac:dyDescent="0.2">
      <c r="B1255" s="245"/>
      <c r="C1255" s="246"/>
      <c r="D1255" s="109"/>
      <c r="E1255" s="109"/>
      <c r="F1255" s="110"/>
      <c r="G1255" s="112"/>
    </row>
    <row r="1256" spans="2:7" x14ac:dyDescent="0.2">
      <c r="B1256" s="245"/>
      <c r="C1256" s="246"/>
      <c r="D1256" s="109"/>
      <c r="E1256" s="109"/>
      <c r="F1256" s="110"/>
      <c r="G1256" s="112"/>
    </row>
    <row r="1257" spans="2:7" x14ac:dyDescent="0.2">
      <c r="B1257" s="245"/>
      <c r="C1257" s="246"/>
      <c r="D1257" s="109"/>
      <c r="E1257" s="109"/>
      <c r="F1257" s="110"/>
      <c r="G1257" s="112"/>
    </row>
    <row r="1258" spans="2:7" x14ac:dyDescent="0.2">
      <c r="B1258" s="245"/>
      <c r="C1258" s="246"/>
      <c r="D1258" s="109"/>
      <c r="E1258" s="109"/>
      <c r="F1258" s="110"/>
      <c r="G1258" s="112"/>
    </row>
    <row r="1259" spans="2:7" x14ac:dyDescent="0.2">
      <c r="B1259" s="245"/>
      <c r="C1259" s="246"/>
      <c r="D1259" s="109"/>
      <c r="E1259" s="109"/>
      <c r="F1259" s="110"/>
      <c r="G1259" s="112"/>
    </row>
    <row r="1260" spans="2:7" x14ac:dyDescent="0.2">
      <c r="B1260" s="245"/>
      <c r="C1260" s="246"/>
      <c r="D1260" s="109"/>
      <c r="E1260" s="109"/>
      <c r="F1260" s="110"/>
      <c r="G1260" s="112"/>
    </row>
    <row r="1261" spans="2:7" x14ac:dyDescent="0.2">
      <c r="B1261" s="245"/>
      <c r="C1261" s="246"/>
      <c r="D1261" s="109"/>
      <c r="E1261" s="109"/>
      <c r="F1261" s="110"/>
      <c r="G1261" s="112"/>
    </row>
    <row r="1262" spans="2:7" x14ac:dyDescent="0.2">
      <c r="B1262" s="245"/>
      <c r="C1262" s="246"/>
      <c r="D1262" s="109"/>
      <c r="E1262" s="109"/>
      <c r="F1262" s="110"/>
      <c r="G1262" s="112"/>
    </row>
    <row r="1263" spans="2:7" x14ac:dyDescent="0.2">
      <c r="B1263" s="245"/>
      <c r="C1263" s="246"/>
      <c r="D1263" s="109"/>
      <c r="E1263" s="109"/>
      <c r="F1263" s="110"/>
      <c r="G1263" s="112"/>
    </row>
    <row r="1264" spans="2:7" x14ac:dyDescent="0.2">
      <c r="B1264" s="245"/>
      <c r="C1264" s="246"/>
      <c r="D1264" s="109"/>
      <c r="E1264" s="109"/>
      <c r="F1264" s="110"/>
      <c r="G1264" s="112"/>
    </row>
    <row r="1265" spans="2:7" x14ac:dyDescent="0.2">
      <c r="B1265" s="245"/>
      <c r="C1265" s="246"/>
      <c r="D1265" s="109"/>
      <c r="E1265" s="109"/>
      <c r="F1265" s="110"/>
      <c r="G1265" s="112"/>
    </row>
    <row r="1266" spans="2:7" x14ac:dyDescent="0.2">
      <c r="B1266" s="245"/>
      <c r="C1266" s="246"/>
      <c r="D1266" s="109"/>
      <c r="E1266" s="109"/>
      <c r="F1266" s="110"/>
      <c r="G1266" s="112"/>
    </row>
    <row r="1267" spans="2:7" x14ac:dyDescent="0.2">
      <c r="B1267" s="245"/>
      <c r="C1267" s="246"/>
      <c r="D1267" s="109"/>
      <c r="E1267" s="109"/>
      <c r="F1267" s="110"/>
      <c r="G1267" s="112"/>
    </row>
    <row r="1268" spans="2:7" x14ac:dyDescent="0.2">
      <c r="B1268" s="245"/>
      <c r="C1268" s="246"/>
      <c r="D1268" s="109"/>
      <c r="E1268" s="109"/>
      <c r="F1268" s="110"/>
      <c r="G1268" s="112"/>
    </row>
    <row r="1269" spans="2:7" x14ac:dyDescent="0.2">
      <c r="B1269" s="245"/>
      <c r="C1269" s="246"/>
      <c r="D1269" s="109"/>
      <c r="E1269" s="109"/>
      <c r="F1269" s="110"/>
      <c r="G1269" s="112"/>
    </row>
    <row r="1270" spans="2:7" x14ac:dyDescent="0.2">
      <c r="B1270" s="245"/>
      <c r="C1270" s="246"/>
      <c r="D1270" s="109"/>
      <c r="E1270" s="109"/>
      <c r="F1270" s="110"/>
      <c r="G1270" s="112"/>
    </row>
    <row r="1271" spans="2:7" x14ac:dyDescent="0.2">
      <c r="B1271" s="245"/>
      <c r="C1271" s="246"/>
      <c r="D1271" s="109"/>
      <c r="E1271" s="109"/>
      <c r="F1271" s="110"/>
      <c r="G1271" s="112"/>
    </row>
    <row r="1272" spans="2:7" x14ac:dyDescent="0.2">
      <c r="B1272" s="245"/>
      <c r="C1272" s="246"/>
      <c r="D1272" s="109"/>
      <c r="E1272" s="109"/>
      <c r="F1272" s="110"/>
      <c r="G1272" s="112"/>
    </row>
    <row r="1273" spans="2:7" x14ac:dyDescent="0.2">
      <c r="B1273" s="245"/>
      <c r="C1273" s="246"/>
      <c r="D1273" s="109"/>
      <c r="E1273" s="109"/>
      <c r="F1273" s="110"/>
      <c r="G1273" s="112"/>
    </row>
    <row r="1274" spans="2:7" x14ac:dyDescent="0.2">
      <c r="B1274" s="245"/>
      <c r="C1274" s="246"/>
      <c r="D1274" s="109"/>
      <c r="E1274" s="109"/>
      <c r="F1274" s="110"/>
      <c r="G1274" s="112"/>
    </row>
    <row r="1275" spans="2:7" x14ac:dyDescent="0.2">
      <c r="B1275" s="245"/>
      <c r="C1275" s="246"/>
      <c r="D1275" s="109"/>
      <c r="E1275" s="109"/>
      <c r="F1275" s="110"/>
      <c r="G1275" s="112"/>
    </row>
    <row r="1276" spans="2:7" x14ac:dyDescent="0.2">
      <c r="B1276" s="245"/>
      <c r="C1276" s="246"/>
      <c r="D1276" s="109"/>
      <c r="E1276" s="109"/>
      <c r="F1276" s="110"/>
      <c r="G1276" s="112"/>
    </row>
    <row r="1277" spans="2:7" x14ac:dyDescent="0.2">
      <c r="B1277" s="245"/>
      <c r="C1277" s="246"/>
      <c r="D1277" s="109"/>
      <c r="E1277" s="109"/>
      <c r="F1277" s="110"/>
      <c r="G1277" s="112"/>
    </row>
    <row r="1278" spans="2:7" x14ac:dyDescent="0.2">
      <c r="B1278" s="245"/>
      <c r="C1278" s="246"/>
      <c r="D1278" s="109"/>
      <c r="E1278" s="109"/>
      <c r="F1278" s="110"/>
      <c r="G1278" s="112"/>
    </row>
    <row r="1279" spans="2:7" x14ac:dyDescent="0.2">
      <c r="B1279" s="245"/>
      <c r="C1279" s="246"/>
      <c r="D1279" s="109"/>
      <c r="E1279" s="109"/>
      <c r="F1279" s="110"/>
      <c r="G1279" s="112"/>
    </row>
    <row r="1280" spans="2:7" x14ac:dyDescent="0.2">
      <c r="B1280" s="245"/>
      <c r="C1280" s="246"/>
      <c r="D1280" s="109"/>
      <c r="E1280" s="109"/>
      <c r="F1280" s="110"/>
      <c r="G1280" s="112"/>
    </row>
    <row r="1281" spans="2:7" x14ac:dyDescent="0.2">
      <c r="B1281" s="245"/>
      <c r="C1281" s="246"/>
      <c r="D1281" s="109"/>
      <c r="E1281" s="109"/>
      <c r="F1281" s="110"/>
      <c r="G1281" s="112"/>
    </row>
    <row r="1282" spans="2:7" x14ac:dyDescent="0.2">
      <c r="B1282" s="245"/>
      <c r="C1282" s="246"/>
      <c r="D1282" s="109"/>
      <c r="E1282" s="109"/>
      <c r="F1282" s="110"/>
      <c r="G1282" s="112"/>
    </row>
    <row r="1283" spans="2:7" x14ac:dyDescent="0.2">
      <c r="B1283" s="245"/>
      <c r="C1283" s="246"/>
      <c r="D1283" s="109"/>
      <c r="E1283" s="109"/>
      <c r="F1283" s="110"/>
      <c r="G1283" s="112"/>
    </row>
    <row r="1284" spans="2:7" x14ac:dyDescent="0.2">
      <c r="B1284" s="245"/>
      <c r="C1284" s="246"/>
      <c r="D1284" s="109"/>
      <c r="E1284" s="109"/>
      <c r="F1284" s="110"/>
      <c r="G1284" s="112"/>
    </row>
    <row r="1285" spans="2:7" x14ac:dyDescent="0.2">
      <c r="B1285" s="245"/>
      <c r="C1285" s="246"/>
      <c r="D1285" s="109"/>
      <c r="E1285" s="109"/>
      <c r="F1285" s="110"/>
      <c r="G1285" s="112"/>
    </row>
    <row r="1286" spans="2:7" x14ac:dyDescent="0.2">
      <c r="B1286" s="245"/>
      <c r="C1286" s="246"/>
      <c r="D1286" s="109"/>
      <c r="E1286" s="109"/>
      <c r="F1286" s="110"/>
      <c r="G1286" s="112"/>
    </row>
    <row r="1287" spans="2:7" x14ac:dyDescent="0.2">
      <c r="B1287" s="245"/>
      <c r="C1287" s="246"/>
      <c r="D1287" s="109"/>
      <c r="E1287" s="109"/>
      <c r="F1287" s="110"/>
      <c r="G1287" s="112"/>
    </row>
    <row r="1288" spans="2:7" x14ac:dyDescent="0.2">
      <c r="B1288" s="245"/>
      <c r="C1288" s="246"/>
      <c r="D1288" s="109"/>
      <c r="E1288" s="109"/>
      <c r="F1288" s="110"/>
      <c r="G1288" s="112"/>
    </row>
    <row r="1289" spans="2:7" x14ac:dyDescent="0.2">
      <c r="B1289" s="245"/>
      <c r="C1289" s="246"/>
      <c r="D1289" s="109"/>
      <c r="E1289" s="109"/>
      <c r="F1289" s="110"/>
      <c r="G1289" s="112"/>
    </row>
    <row r="1290" spans="2:7" x14ac:dyDescent="0.2">
      <c r="B1290" s="245"/>
      <c r="C1290" s="246"/>
      <c r="D1290" s="109"/>
      <c r="E1290" s="109"/>
      <c r="F1290" s="110"/>
      <c r="G1290" s="112"/>
    </row>
    <row r="1291" spans="2:7" x14ac:dyDescent="0.2">
      <c r="B1291" s="245"/>
      <c r="C1291" s="246"/>
      <c r="D1291" s="109"/>
      <c r="E1291" s="109"/>
      <c r="F1291" s="110"/>
      <c r="G1291" s="112"/>
    </row>
    <row r="1292" spans="2:7" x14ac:dyDescent="0.2">
      <c r="B1292" s="245"/>
      <c r="C1292" s="246"/>
      <c r="D1292" s="109"/>
      <c r="E1292" s="109"/>
      <c r="F1292" s="110"/>
      <c r="G1292" s="112"/>
    </row>
    <row r="1293" spans="2:7" x14ac:dyDescent="0.2">
      <c r="B1293" s="245"/>
      <c r="C1293" s="246"/>
      <c r="D1293" s="109"/>
      <c r="E1293" s="109"/>
      <c r="F1293" s="110"/>
      <c r="G1293" s="112"/>
    </row>
    <row r="1294" spans="2:7" x14ac:dyDescent="0.2">
      <c r="B1294" s="245"/>
      <c r="C1294" s="246"/>
      <c r="D1294" s="109"/>
      <c r="E1294" s="109"/>
      <c r="F1294" s="110"/>
      <c r="G1294" s="112"/>
    </row>
    <row r="1295" spans="2:7" x14ac:dyDescent="0.2">
      <c r="B1295" s="245"/>
      <c r="C1295" s="246"/>
      <c r="D1295" s="109"/>
      <c r="E1295" s="109"/>
      <c r="F1295" s="110"/>
      <c r="G1295" s="112"/>
    </row>
    <row r="1296" spans="2:7" x14ac:dyDescent="0.2">
      <c r="B1296" s="245"/>
      <c r="C1296" s="246"/>
      <c r="D1296" s="109"/>
      <c r="E1296" s="109"/>
      <c r="F1296" s="110"/>
      <c r="G1296" s="112"/>
    </row>
    <row r="1297" spans="2:7" x14ac:dyDescent="0.2">
      <c r="B1297" s="245"/>
      <c r="C1297" s="246"/>
      <c r="D1297" s="109"/>
      <c r="E1297" s="109"/>
      <c r="F1297" s="110"/>
      <c r="G1297" s="112"/>
    </row>
    <row r="1298" spans="2:7" x14ac:dyDescent="0.2">
      <c r="B1298" s="245"/>
      <c r="C1298" s="246"/>
      <c r="D1298" s="109"/>
      <c r="E1298" s="109"/>
      <c r="F1298" s="110"/>
      <c r="G1298" s="112"/>
    </row>
    <row r="1299" spans="2:7" x14ac:dyDescent="0.2">
      <c r="B1299" s="245"/>
      <c r="C1299" s="246"/>
      <c r="D1299" s="109"/>
      <c r="E1299" s="109"/>
      <c r="F1299" s="110"/>
      <c r="G1299" s="112"/>
    </row>
    <row r="1300" spans="2:7" x14ac:dyDescent="0.2">
      <c r="B1300" s="245"/>
      <c r="C1300" s="246"/>
      <c r="D1300" s="109"/>
      <c r="E1300" s="109"/>
      <c r="F1300" s="110"/>
      <c r="G1300" s="112"/>
    </row>
    <row r="1301" spans="2:7" x14ac:dyDescent="0.2">
      <c r="B1301" s="245"/>
      <c r="C1301" s="246"/>
      <c r="D1301" s="109"/>
      <c r="E1301" s="109"/>
      <c r="F1301" s="110"/>
      <c r="G1301" s="112"/>
    </row>
    <row r="1302" spans="2:7" x14ac:dyDescent="0.2">
      <c r="B1302" s="245"/>
      <c r="C1302" s="246"/>
      <c r="D1302" s="109"/>
      <c r="E1302" s="109"/>
      <c r="F1302" s="110"/>
      <c r="G1302" s="112"/>
    </row>
    <row r="1303" spans="2:7" x14ac:dyDescent="0.2">
      <c r="B1303" s="245"/>
      <c r="C1303" s="246"/>
      <c r="D1303" s="109"/>
      <c r="E1303" s="109"/>
      <c r="F1303" s="110"/>
      <c r="G1303" s="112"/>
    </row>
    <row r="1304" spans="2:7" x14ac:dyDescent="0.2">
      <c r="B1304" s="245"/>
      <c r="C1304" s="246"/>
      <c r="D1304" s="109"/>
      <c r="E1304" s="109"/>
      <c r="F1304" s="110"/>
      <c r="G1304" s="112"/>
    </row>
    <row r="1305" spans="2:7" x14ac:dyDescent="0.2">
      <c r="B1305" s="245"/>
      <c r="C1305" s="246"/>
      <c r="D1305" s="109"/>
      <c r="E1305" s="109"/>
      <c r="F1305" s="110"/>
      <c r="G1305" s="112"/>
    </row>
    <row r="1306" spans="2:7" x14ac:dyDescent="0.2">
      <c r="B1306" s="245"/>
      <c r="C1306" s="246"/>
      <c r="D1306" s="109"/>
      <c r="E1306" s="109"/>
      <c r="F1306" s="110"/>
      <c r="G1306" s="112"/>
    </row>
    <row r="1307" spans="2:7" x14ac:dyDescent="0.2">
      <c r="B1307" s="245"/>
      <c r="C1307" s="246"/>
      <c r="D1307" s="109"/>
      <c r="E1307" s="109"/>
      <c r="F1307" s="110"/>
      <c r="G1307" s="112"/>
    </row>
    <row r="1308" spans="2:7" x14ac:dyDescent="0.2">
      <c r="B1308" s="245"/>
      <c r="C1308" s="246"/>
      <c r="D1308" s="109"/>
      <c r="E1308" s="109"/>
      <c r="F1308" s="110"/>
      <c r="G1308" s="112"/>
    </row>
    <row r="1309" spans="2:7" x14ac:dyDescent="0.2">
      <c r="B1309" s="245"/>
      <c r="C1309" s="246"/>
      <c r="D1309" s="109"/>
      <c r="E1309" s="109"/>
      <c r="F1309" s="110"/>
      <c r="G1309" s="112"/>
    </row>
    <row r="1310" spans="2:7" x14ac:dyDescent="0.2">
      <c r="B1310" s="245"/>
      <c r="C1310" s="246"/>
      <c r="D1310" s="109"/>
      <c r="E1310" s="109"/>
      <c r="F1310" s="110"/>
      <c r="G1310" s="112"/>
    </row>
    <row r="1311" spans="2:7" x14ac:dyDescent="0.2">
      <c r="B1311" s="245"/>
      <c r="C1311" s="246"/>
      <c r="D1311" s="109"/>
      <c r="E1311" s="109"/>
      <c r="F1311" s="110"/>
      <c r="G1311" s="112"/>
    </row>
    <row r="1312" spans="2:7" x14ac:dyDescent="0.2">
      <c r="B1312" s="245"/>
      <c r="C1312" s="246"/>
      <c r="D1312" s="109"/>
      <c r="E1312" s="109"/>
      <c r="F1312" s="110"/>
      <c r="G1312" s="112"/>
    </row>
    <row r="1313" spans="2:7" x14ac:dyDescent="0.2">
      <c r="B1313" s="245"/>
      <c r="C1313" s="246"/>
      <c r="D1313" s="109"/>
      <c r="E1313" s="109"/>
      <c r="F1313" s="110"/>
      <c r="G1313" s="112"/>
    </row>
    <row r="1314" spans="2:7" x14ac:dyDescent="0.2">
      <c r="B1314" s="245"/>
      <c r="C1314" s="246"/>
      <c r="D1314" s="109"/>
      <c r="E1314" s="109"/>
      <c r="F1314" s="110"/>
      <c r="G1314" s="112"/>
    </row>
    <row r="1315" spans="2:7" x14ac:dyDescent="0.2">
      <c r="B1315" s="245"/>
      <c r="C1315" s="246"/>
      <c r="D1315" s="109"/>
      <c r="E1315" s="109"/>
      <c r="F1315" s="110"/>
      <c r="G1315" s="112"/>
    </row>
    <row r="1316" spans="2:7" x14ac:dyDescent="0.2">
      <c r="B1316" s="245"/>
      <c r="C1316" s="246"/>
      <c r="D1316" s="109"/>
      <c r="E1316" s="109"/>
      <c r="F1316" s="110"/>
      <c r="G1316" s="112"/>
    </row>
    <row r="1317" spans="2:7" x14ac:dyDescent="0.2">
      <c r="B1317" s="245"/>
      <c r="C1317" s="246"/>
      <c r="D1317" s="109"/>
      <c r="E1317" s="109"/>
      <c r="F1317" s="110"/>
      <c r="G1317" s="112"/>
    </row>
    <row r="1318" spans="2:7" x14ac:dyDescent="0.2">
      <c r="B1318" s="245"/>
      <c r="C1318" s="246"/>
      <c r="D1318" s="109"/>
      <c r="E1318" s="109"/>
      <c r="F1318" s="110"/>
      <c r="G1318" s="112"/>
    </row>
    <row r="1319" spans="2:7" x14ac:dyDescent="0.2">
      <c r="B1319" s="245"/>
      <c r="C1319" s="246"/>
      <c r="D1319" s="109"/>
      <c r="E1319" s="109"/>
      <c r="F1319" s="110"/>
      <c r="G1319" s="112"/>
    </row>
    <row r="1320" spans="2:7" x14ac:dyDescent="0.2">
      <c r="B1320" s="245"/>
      <c r="C1320" s="246"/>
      <c r="D1320" s="109"/>
      <c r="E1320" s="109"/>
      <c r="F1320" s="110"/>
      <c r="G1320" s="112"/>
    </row>
    <row r="1321" spans="2:7" x14ac:dyDescent="0.2">
      <c r="B1321" s="245"/>
      <c r="C1321" s="246"/>
      <c r="D1321" s="109"/>
      <c r="E1321" s="109"/>
      <c r="F1321" s="110"/>
      <c r="G1321" s="112"/>
    </row>
    <row r="1322" spans="2:7" x14ac:dyDescent="0.2">
      <c r="B1322" s="245"/>
      <c r="C1322" s="246"/>
      <c r="D1322" s="109"/>
      <c r="E1322" s="109"/>
      <c r="F1322" s="110"/>
      <c r="G1322" s="112"/>
    </row>
    <row r="1323" spans="2:7" x14ac:dyDescent="0.2">
      <c r="B1323" s="245"/>
      <c r="C1323" s="246"/>
      <c r="D1323" s="109"/>
      <c r="E1323" s="109"/>
      <c r="F1323" s="110"/>
      <c r="G1323" s="112"/>
    </row>
    <row r="1324" spans="2:7" x14ac:dyDescent="0.2">
      <c r="B1324" s="245"/>
      <c r="C1324" s="246"/>
      <c r="D1324" s="109"/>
      <c r="E1324" s="109"/>
      <c r="F1324" s="110"/>
      <c r="G1324" s="112"/>
    </row>
    <row r="1325" spans="2:7" x14ac:dyDescent="0.2">
      <c r="B1325" s="245"/>
      <c r="C1325" s="246"/>
      <c r="D1325" s="109"/>
      <c r="E1325" s="109"/>
      <c r="F1325" s="110"/>
      <c r="G1325" s="112"/>
    </row>
    <row r="1326" spans="2:7" x14ac:dyDescent="0.2">
      <c r="B1326" s="245"/>
      <c r="C1326" s="246"/>
      <c r="D1326" s="109"/>
      <c r="E1326" s="109"/>
      <c r="F1326" s="110"/>
      <c r="G1326" s="112"/>
    </row>
    <row r="1327" spans="2:7" x14ac:dyDescent="0.2">
      <c r="B1327" s="245"/>
      <c r="C1327" s="246"/>
      <c r="D1327" s="109"/>
      <c r="E1327" s="109"/>
      <c r="F1327" s="110"/>
      <c r="G1327" s="112"/>
    </row>
    <row r="1328" spans="2:7" x14ac:dyDescent="0.2">
      <c r="B1328" s="245"/>
      <c r="C1328" s="246"/>
      <c r="D1328" s="109"/>
      <c r="E1328" s="109"/>
      <c r="F1328" s="110"/>
      <c r="G1328" s="112"/>
    </row>
    <row r="1329" spans="2:7" x14ac:dyDescent="0.2">
      <c r="B1329" s="245"/>
      <c r="C1329" s="246"/>
      <c r="D1329" s="109"/>
      <c r="E1329" s="109"/>
      <c r="F1329" s="110"/>
      <c r="G1329" s="112"/>
    </row>
    <row r="1330" spans="2:7" x14ac:dyDescent="0.2">
      <c r="B1330" s="245"/>
      <c r="C1330" s="246"/>
      <c r="D1330" s="109"/>
      <c r="E1330" s="109"/>
      <c r="F1330" s="110"/>
      <c r="G1330" s="112"/>
    </row>
    <row r="1331" spans="2:7" x14ac:dyDescent="0.2">
      <c r="B1331" s="245"/>
      <c r="C1331" s="246"/>
      <c r="D1331" s="109"/>
      <c r="E1331" s="109"/>
      <c r="F1331" s="110"/>
      <c r="G1331" s="112"/>
    </row>
    <row r="1332" spans="2:7" x14ac:dyDescent="0.2">
      <c r="B1332" s="245"/>
      <c r="C1332" s="246"/>
      <c r="D1332" s="109"/>
      <c r="E1332" s="109"/>
      <c r="F1332" s="110"/>
      <c r="G1332" s="112"/>
    </row>
    <row r="1333" spans="2:7" x14ac:dyDescent="0.2">
      <c r="B1333" s="245"/>
      <c r="C1333" s="246"/>
      <c r="D1333" s="109"/>
      <c r="E1333" s="109"/>
      <c r="F1333" s="110"/>
      <c r="G1333" s="112"/>
    </row>
    <row r="1334" spans="2:7" x14ac:dyDescent="0.2">
      <c r="B1334" s="245"/>
      <c r="C1334" s="246"/>
      <c r="D1334" s="109"/>
      <c r="E1334" s="109"/>
      <c r="F1334" s="110"/>
      <c r="G1334" s="112"/>
    </row>
    <row r="1335" spans="2:7" x14ac:dyDescent="0.2">
      <c r="B1335" s="245"/>
      <c r="C1335" s="246"/>
      <c r="D1335" s="109"/>
      <c r="E1335" s="109"/>
      <c r="F1335" s="110"/>
      <c r="G1335" s="112"/>
    </row>
    <row r="1336" spans="2:7" x14ac:dyDescent="0.2">
      <c r="B1336" s="245"/>
      <c r="C1336" s="246"/>
      <c r="D1336" s="109"/>
      <c r="E1336" s="109"/>
      <c r="F1336" s="110"/>
      <c r="G1336" s="112"/>
    </row>
    <row r="1337" spans="2:7" x14ac:dyDescent="0.2">
      <c r="B1337" s="245"/>
      <c r="C1337" s="246"/>
      <c r="D1337" s="109"/>
      <c r="E1337" s="109"/>
      <c r="F1337" s="110"/>
      <c r="G1337" s="112"/>
    </row>
    <row r="1338" spans="2:7" x14ac:dyDescent="0.2">
      <c r="B1338" s="245"/>
      <c r="C1338" s="246"/>
      <c r="D1338" s="109"/>
      <c r="E1338" s="109"/>
      <c r="F1338" s="110"/>
      <c r="G1338" s="112"/>
    </row>
    <row r="1339" spans="2:7" x14ac:dyDescent="0.2">
      <c r="B1339" s="245"/>
      <c r="C1339" s="246"/>
      <c r="D1339" s="109"/>
      <c r="E1339" s="109"/>
      <c r="F1339" s="110"/>
      <c r="G1339" s="112"/>
    </row>
    <row r="1340" spans="2:7" x14ac:dyDescent="0.2">
      <c r="B1340" s="245"/>
      <c r="C1340" s="246"/>
      <c r="D1340" s="109"/>
      <c r="E1340" s="109"/>
      <c r="F1340" s="110"/>
      <c r="G1340" s="112"/>
    </row>
    <row r="1341" spans="2:7" x14ac:dyDescent="0.2">
      <c r="B1341" s="245"/>
      <c r="C1341" s="246"/>
      <c r="D1341" s="109"/>
      <c r="E1341" s="109"/>
      <c r="F1341" s="110"/>
      <c r="G1341" s="112"/>
    </row>
    <row r="1342" spans="2:7" x14ac:dyDescent="0.2">
      <c r="B1342" s="245"/>
      <c r="C1342" s="246"/>
      <c r="D1342" s="109"/>
      <c r="E1342" s="109"/>
      <c r="F1342" s="110"/>
      <c r="G1342" s="112"/>
    </row>
    <row r="1343" spans="2:7" x14ac:dyDescent="0.2">
      <c r="B1343" s="245"/>
      <c r="C1343" s="246"/>
      <c r="D1343" s="109"/>
      <c r="E1343" s="109"/>
      <c r="F1343" s="110"/>
      <c r="G1343" s="112"/>
    </row>
    <row r="1344" spans="2:7" x14ac:dyDescent="0.2">
      <c r="B1344" s="245"/>
      <c r="C1344" s="246"/>
      <c r="D1344" s="109"/>
      <c r="E1344" s="109"/>
      <c r="F1344" s="110"/>
      <c r="G1344" s="112"/>
    </row>
    <row r="1345" spans="2:7" x14ac:dyDescent="0.2">
      <c r="B1345" s="245"/>
      <c r="C1345" s="246"/>
      <c r="D1345" s="109"/>
      <c r="E1345" s="109"/>
      <c r="F1345" s="110"/>
      <c r="G1345" s="112"/>
    </row>
    <row r="1346" spans="2:7" x14ac:dyDescent="0.2">
      <c r="B1346" s="245"/>
      <c r="C1346" s="246"/>
      <c r="D1346" s="109"/>
      <c r="E1346" s="109"/>
      <c r="F1346" s="110"/>
      <c r="G1346" s="112"/>
    </row>
    <row r="1347" spans="2:7" x14ac:dyDescent="0.2">
      <c r="B1347" s="245"/>
      <c r="C1347" s="246"/>
      <c r="D1347" s="109"/>
      <c r="E1347" s="109"/>
      <c r="F1347" s="110"/>
      <c r="G1347" s="112"/>
    </row>
    <row r="1348" spans="2:7" x14ac:dyDescent="0.2">
      <c r="B1348" s="245"/>
      <c r="C1348" s="246"/>
      <c r="D1348" s="109"/>
      <c r="E1348" s="109"/>
      <c r="F1348" s="110"/>
      <c r="G1348" s="112"/>
    </row>
    <row r="1349" spans="2:7" x14ac:dyDescent="0.2">
      <c r="B1349" s="245"/>
      <c r="C1349" s="246"/>
      <c r="D1349" s="109"/>
      <c r="E1349" s="109"/>
      <c r="F1349" s="110"/>
      <c r="G1349" s="112"/>
    </row>
    <row r="1350" spans="2:7" x14ac:dyDescent="0.2">
      <c r="B1350" s="245"/>
      <c r="C1350" s="246"/>
      <c r="D1350" s="109"/>
      <c r="E1350" s="109"/>
      <c r="F1350" s="110"/>
      <c r="G1350" s="112"/>
    </row>
    <row r="1351" spans="2:7" x14ac:dyDescent="0.2">
      <c r="B1351" s="245"/>
      <c r="C1351" s="246"/>
      <c r="D1351" s="109"/>
      <c r="E1351" s="109"/>
      <c r="F1351" s="110"/>
      <c r="G1351" s="112"/>
    </row>
    <row r="1352" spans="2:7" x14ac:dyDescent="0.2">
      <c r="B1352" s="245"/>
      <c r="C1352" s="246"/>
      <c r="D1352" s="109"/>
      <c r="E1352" s="109"/>
      <c r="F1352" s="110"/>
      <c r="G1352" s="112"/>
    </row>
    <row r="1353" spans="2:7" x14ac:dyDescent="0.2">
      <c r="B1353" s="245"/>
      <c r="C1353" s="246"/>
      <c r="D1353" s="109"/>
      <c r="E1353" s="109"/>
      <c r="F1353" s="110"/>
      <c r="G1353" s="112"/>
    </row>
    <row r="1354" spans="2:7" x14ac:dyDescent="0.2">
      <c r="B1354" s="245"/>
      <c r="C1354" s="246"/>
      <c r="D1354" s="109"/>
      <c r="E1354" s="109"/>
      <c r="F1354" s="110"/>
      <c r="G1354" s="112"/>
    </row>
    <row r="1355" spans="2:7" x14ac:dyDescent="0.2">
      <c r="B1355" s="245"/>
      <c r="C1355" s="246"/>
      <c r="D1355" s="109"/>
      <c r="E1355" s="109"/>
      <c r="F1355" s="110"/>
      <c r="G1355" s="112"/>
    </row>
    <row r="1356" spans="2:7" x14ac:dyDescent="0.2">
      <c r="B1356" s="245"/>
      <c r="C1356" s="246"/>
      <c r="D1356" s="109"/>
      <c r="E1356" s="109"/>
      <c r="F1356" s="110"/>
      <c r="G1356" s="112"/>
    </row>
    <row r="1357" spans="2:7" x14ac:dyDescent="0.2">
      <c r="B1357" s="245"/>
      <c r="C1357" s="246"/>
      <c r="D1357" s="109"/>
      <c r="E1357" s="109"/>
      <c r="F1357" s="110"/>
      <c r="G1357" s="112"/>
    </row>
    <row r="1358" spans="2:7" x14ac:dyDescent="0.2">
      <c r="B1358" s="245"/>
      <c r="C1358" s="246"/>
      <c r="D1358" s="109"/>
      <c r="E1358" s="109"/>
      <c r="F1358" s="110"/>
      <c r="G1358" s="112"/>
    </row>
    <row r="1359" spans="2:7" x14ac:dyDescent="0.2">
      <c r="B1359" s="245"/>
      <c r="C1359" s="246"/>
      <c r="D1359" s="109"/>
      <c r="E1359" s="109"/>
      <c r="F1359" s="110"/>
      <c r="G1359" s="112"/>
    </row>
    <row r="1360" spans="2:7" x14ac:dyDescent="0.2">
      <c r="B1360" s="245"/>
      <c r="C1360" s="246"/>
      <c r="D1360" s="109"/>
      <c r="E1360" s="109"/>
      <c r="F1360" s="110"/>
      <c r="G1360" s="112"/>
    </row>
    <row r="1361" spans="2:7" x14ac:dyDescent="0.2">
      <c r="B1361" s="245"/>
      <c r="C1361" s="246"/>
      <c r="D1361" s="109"/>
      <c r="E1361" s="109"/>
      <c r="F1361" s="110"/>
      <c r="G1361" s="112"/>
    </row>
    <row r="1362" spans="2:7" x14ac:dyDescent="0.2">
      <c r="B1362" s="245"/>
      <c r="C1362" s="246"/>
      <c r="D1362" s="109"/>
      <c r="E1362" s="109"/>
      <c r="F1362" s="110"/>
      <c r="G1362" s="112"/>
    </row>
    <row r="1363" spans="2:7" x14ac:dyDescent="0.2">
      <c r="B1363" s="245"/>
      <c r="C1363" s="246"/>
      <c r="D1363" s="109"/>
      <c r="E1363" s="109"/>
      <c r="F1363" s="110"/>
      <c r="G1363" s="112"/>
    </row>
    <row r="1364" spans="2:7" x14ac:dyDescent="0.2">
      <c r="B1364" s="245"/>
      <c r="C1364" s="246"/>
      <c r="D1364" s="109"/>
      <c r="E1364" s="109"/>
      <c r="F1364" s="110"/>
      <c r="G1364" s="112"/>
    </row>
    <row r="1365" spans="2:7" x14ac:dyDescent="0.2">
      <c r="B1365" s="245"/>
      <c r="C1365" s="246"/>
      <c r="D1365" s="109"/>
      <c r="E1365" s="109"/>
      <c r="F1365" s="110"/>
      <c r="G1365" s="112"/>
    </row>
    <row r="1366" spans="2:7" x14ac:dyDescent="0.2">
      <c r="B1366" s="245"/>
      <c r="C1366" s="246"/>
      <c r="D1366" s="109"/>
      <c r="E1366" s="109"/>
      <c r="F1366" s="110"/>
      <c r="G1366" s="112"/>
    </row>
    <row r="1367" spans="2:7" x14ac:dyDescent="0.2">
      <c r="B1367" s="245"/>
      <c r="C1367" s="246"/>
      <c r="D1367" s="109"/>
      <c r="E1367" s="109"/>
      <c r="F1367" s="110"/>
      <c r="G1367" s="112"/>
    </row>
    <row r="1368" spans="2:7" x14ac:dyDescent="0.2">
      <c r="B1368" s="245"/>
      <c r="C1368" s="246"/>
      <c r="D1368" s="109"/>
      <c r="E1368" s="109"/>
      <c r="F1368" s="110"/>
      <c r="G1368" s="112"/>
    </row>
    <row r="1369" spans="2:7" x14ac:dyDescent="0.2">
      <c r="B1369" s="245"/>
      <c r="C1369" s="246"/>
      <c r="D1369" s="109"/>
      <c r="E1369" s="109"/>
      <c r="F1369" s="110"/>
      <c r="G1369" s="112"/>
    </row>
    <row r="1370" spans="2:7" x14ac:dyDescent="0.2">
      <c r="B1370" s="245"/>
      <c r="C1370" s="246"/>
      <c r="D1370" s="109"/>
      <c r="E1370" s="109"/>
      <c r="F1370" s="110"/>
      <c r="G1370" s="112"/>
    </row>
    <row r="1371" spans="2:7" x14ac:dyDescent="0.2">
      <c r="B1371" s="245"/>
      <c r="C1371" s="246"/>
      <c r="D1371" s="109"/>
      <c r="E1371" s="109"/>
      <c r="F1371" s="110"/>
      <c r="G1371" s="112"/>
    </row>
    <row r="1372" spans="2:7" x14ac:dyDescent="0.2">
      <c r="B1372" s="245"/>
      <c r="C1372" s="246"/>
      <c r="D1372" s="109"/>
      <c r="E1372" s="109"/>
      <c r="F1372" s="110"/>
      <c r="G1372" s="112"/>
    </row>
    <row r="1373" spans="2:7" x14ac:dyDescent="0.2">
      <c r="B1373" s="245"/>
      <c r="C1373" s="246"/>
      <c r="D1373" s="109"/>
      <c r="E1373" s="109"/>
      <c r="F1373" s="110"/>
      <c r="G1373" s="112"/>
    </row>
    <row r="1374" spans="2:7" x14ac:dyDescent="0.2">
      <c r="B1374" s="245"/>
      <c r="C1374" s="246"/>
      <c r="D1374" s="109"/>
      <c r="E1374" s="109"/>
      <c r="F1374" s="110"/>
      <c r="G1374" s="112"/>
    </row>
    <row r="1375" spans="2:7" x14ac:dyDescent="0.2">
      <c r="B1375" s="245"/>
      <c r="C1375" s="246"/>
      <c r="D1375" s="109"/>
      <c r="E1375" s="109"/>
      <c r="F1375" s="110"/>
      <c r="G1375" s="112"/>
    </row>
    <row r="1376" spans="2:7" x14ac:dyDescent="0.2">
      <c r="B1376" s="245"/>
      <c r="C1376" s="246"/>
      <c r="D1376" s="109"/>
      <c r="E1376" s="109"/>
      <c r="F1376" s="110"/>
      <c r="G1376" s="112"/>
    </row>
    <row r="1377" spans="2:7" x14ac:dyDescent="0.2">
      <c r="B1377" s="245"/>
      <c r="C1377" s="246"/>
      <c r="D1377" s="109"/>
      <c r="E1377" s="109"/>
      <c r="F1377" s="110"/>
      <c r="G1377" s="112"/>
    </row>
    <row r="1378" spans="2:7" x14ac:dyDescent="0.2">
      <c r="B1378" s="245"/>
      <c r="C1378" s="246"/>
      <c r="D1378" s="109"/>
      <c r="E1378" s="109"/>
      <c r="F1378" s="110"/>
      <c r="G1378" s="112"/>
    </row>
    <row r="1379" spans="2:7" x14ac:dyDescent="0.2">
      <c r="B1379" s="245"/>
      <c r="C1379" s="246"/>
      <c r="D1379" s="109"/>
      <c r="E1379" s="109"/>
      <c r="F1379" s="110"/>
      <c r="G1379" s="112"/>
    </row>
    <row r="1380" spans="2:7" x14ac:dyDescent="0.2">
      <c r="B1380" s="245"/>
      <c r="C1380" s="246"/>
      <c r="D1380" s="109"/>
      <c r="E1380" s="109"/>
      <c r="F1380" s="110"/>
      <c r="G1380" s="112"/>
    </row>
    <row r="1381" spans="2:7" x14ac:dyDescent="0.2">
      <c r="B1381" s="245"/>
      <c r="C1381" s="246"/>
      <c r="D1381" s="109"/>
      <c r="E1381" s="109"/>
      <c r="F1381" s="110"/>
      <c r="G1381" s="112"/>
    </row>
    <row r="1382" spans="2:7" x14ac:dyDescent="0.2">
      <c r="B1382" s="245"/>
      <c r="C1382" s="246"/>
      <c r="D1382" s="109"/>
      <c r="E1382" s="109"/>
      <c r="F1382" s="110"/>
      <c r="G1382" s="112"/>
    </row>
    <row r="1383" spans="2:7" x14ac:dyDescent="0.2">
      <c r="B1383" s="245"/>
      <c r="C1383" s="246"/>
      <c r="D1383" s="109"/>
      <c r="E1383" s="109"/>
      <c r="F1383" s="110"/>
      <c r="G1383" s="112"/>
    </row>
    <row r="1384" spans="2:7" x14ac:dyDescent="0.2">
      <c r="B1384" s="245"/>
      <c r="C1384" s="246"/>
      <c r="D1384" s="109"/>
      <c r="E1384" s="109"/>
      <c r="F1384" s="110"/>
      <c r="G1384" s="112"/>
    </row>
    <row r="1385" spans="2:7" x14ac:dyDescent="0.2">
      <c r="B1385" s="245"/>
      <c r="C1385" s="246"/>
      <c r="D1385" s="109"/>
      <c r="E1385" s="109"/>
      <c r="F1385" s="110"/>
      <c r="G1385" s="112"/>
    </row>
    <row r="1386" spans="2:7" x14ac:dyDescent="0.2">
      <c r="B1386" s="245"/>
      <c r="C1386" s="246"/>
      <c r="D1386" s="109"/>
      <c r="E1386" s="109"/>
      <c r="F1386" s="110"/>
      <c r="G1386" s="112"/>
    </row>
    <row r="1387" spans="2:7" x14ac:dyDescent="0.2">
      <c r="B1387" s="245"/>
      <c r="C1387" s="246"/>
      <c r="D1387" s="109"/>
      <c r="E1387" s="109"/>
      <c r="F1387" s="110"/>
      <c r="G1387" s="112"/>
    </row>
    <row r="1388" spans="2:7" x14ac:dyDescent="0.2">
      <c r="B1388" s="245"/>
      <c r="C1388" s="246"/>
      <c r="D1388" s="109"/>
      <c r="E1388" s="109"/>
      <c r="F1388" s="110"/>
      <c r="G1388" s="112"/>
    </row>
    <row r="1389" spans="2:7" x14ac:dyDescent="0.2">
      <c r="B1389" s="245"/>
      <c r="C1389" s="246"/>
      <c r="D1389" s="109"/>
      <c r="E1389" s="109"/>
      <c r="F1389" s="110"/>
      <c r="G1389" s="112"/>
    </row>
    <row r="1390" spans="2:7" x14ac:dyDescent="0.2">
      <c r="B1390" s="245"/>
      <c r="C1390" s="246"/>
      <c r="D1390" s="109"/>
      <c r="E1390" s="109"/>
      <c r="F1390" s="110"/>
      <c r="G1390" s="112"/>
    </row>
    <row r="1391" spans="2:7" x14ac:dyDescent="0.2">
      <c r="B1391" s="245"/>
      <c r="C1391" s="246"/>
      <c r="D1391" s="109"/>
      <c r="E1391" s="109"/>
      <c r="F1391" s="110"/>
      <c r="G1391" s="112"/>
    </row>
    <row r="1392" spans="2:7" x14ac:dyDescent="0.2">
      <c r="B1392" s="245"/>
      <c r="C1392" s="246"/>
      <c r="D1392" s="109"/>
      <c r="E1392" s="109"/>
      <c r="F1392" s="110"/>
      <c r="G1392" s="112"/>
    </row>
    <row r="1393" spans="2:7" x14ac:dyDescent="0.2">
      <c r="B1393" s="245"/>
      <c r="C1393" s="246"/>
      <c r="D1393" s="109"/>
      <c r="E1393" s="109"/>
      <c r="F1393" s="110"/>
      <c r="G1393" s="112"/>
    </row>
    <row r="1394" spans="2:7" x14ac:dyDescent="0.2">
      <c r="B1394" s="245"/>
      <c r="C1394" s="246"/>
      <c r="D1394" s="109"/>
      <c r="E1394" s="109"/>
      <c r="F1394" s="110"/>
      <c r="G1394" s="112"/>
    </row>
    <row r="1395" spans="2:7" x14ac:dyDescent="0.2">
      <c r="B1395" s="245"/>
      <c r="C1395" s="246"/>
      <c r="D1395" s="109"/>
      <c r="E1395" s="109"/>
      <c r="F1395" s="110"/>
      <c r="G1395" s="112"/>
    </row>
    <row r="1396" spans="2:7" x14ac:dyDescent="0.2">
      <c r="B1396" s="245"/>
      <c r="C1396" s="246"/>
      <c r="D1396" s="109"/>
      <c r="E1396" s="109"/>
      <c r="F1396" s="110"/>
      <c r="G1396" s="112"/>
    </row>
    <row r="1397" spans="2:7" x14ac:dyDescent="0.2">
      <c r="B1397" s="245"/>
      <c r="C1397" s="246"/>
      <c r="D1397" s="109"/>
      <c r="E1397" s="109"/>
      <c r="F1397" s="110"/>
      <c r="G1397" s="112"/>
    </row>
    <row r="1398" spans="2:7" x14ac:dyDescent="0.2">
      <c r="B1398" s="245"/>
      <c r="C1398" s="246"/>
      <c r="D1398" s="109"/>
      <c r="E1398" s="109"/>
      <c r="F1398" s="110"/>
      <c r="G1398" s="112"/>
    </row>
    <row r="1399" spans="2:7" x14ac:dyDescent="0.2">
      <c r="B1399" s="245"/>
      <c r="C1399" s="246"/>
      <c r="D1399" s="109"/>
      <c r="E1399" s="109"/>
      <c r="F1399" s="110"/>
      <c r="G1399" s="112"/>
    </row>
    <row r="1400" spans="2:7" x14ac:dyDescent="0.2">
      <c r="B1400" s="245"/>
      <c r="C1400" s="246"/>
      <c r="D1400" s="109"/>
      <c r="E1400" s="109"/>
      <c r="F1400" s="110"/>
      <c r="G1400" s="112"/>
    </row>
    <row r="1401" spans="2:7" x14ac:dyDescent="0.2">
      <c r="B1401" s="245"/>
      <c r="C1401" s="246"/>
      <c r="D1401" s="109"/>
      <c r="E1401" s="109"/>
      <c r="F1401" s="110"/>
      <c r="G1401" s="112"/>
    </row>
    <row r="1402" spans="2:7" x14ac:dyDescent="0.2">
      <c r="B1402" s="245"/>
      <c r="C1402" s="246"/>
      <c r="D1402" s="109"/>
      <c r="E1402" s="109"/>
      <c r="F1402" s="110"/>
      <c r="G1402" s="112"/>
    </row>
    <row r="1403" spans="2:7" x14ac:dyDescent="0.2">
      <c r="B1403" s="245"/>
      <c r="C1403" s="246"/>
      <c r="D1403" s="109"/>
      <c r="E1403" s="109"/>
      <c r="F1403" s="110"/>
      <c r="G1403" s="112"/>
    </row>
    <row r="1404" spans="2:7" x14ac:dyDescent="0.2">
      <c r="B1404" s="245"/>
      <c r="C1404" s="246"/>
      <c r="D1404" s="109"/>
      <c r="E1404" s="109"/>
      <c r="F1404" s="110"/>
      <c r="G1404" s="112"/>
    </row>
    <row r="1405" spans="2:7" x14ac:dyDescent="0.2">
      <c r="B1405" s="245"/>
      <c r="C1405" s="246"/>
      <c r="D1405" s="109"/>
      <c r="E1405" s="109"/>
      <c r="F1405" s="110"/>
      <c r="G1405" s="112"/>
    </row>
    <row r="1406" spans="2:7" x14ac:dyDescent="0.2">
      <c r="B1406" s="245"/>
      <c r="C1406" s="246"/>
      <c r="D1406" s="109"/>
      <c r="E1406" s="109"/>
      <c r="F1406" s="110"/>
      <c r="G1406" s="112"/>
    </row>
    <row r="1407" spans="2:7" x14ac:dyDescent="0.2">
      <c r="B1407" s="245"/>
      <c r="C1407" s="246"/>
      <c r="D1407" s="109"/>
      <c r="E1407" s="109"/>
      <c r="F1407" s="110"/>
      <c r="G1407" s="112"/>
    </row>
    <row r="1408" spans="2:7" x14ac:dyDescent="0.2">
      <c r="B1408" s="245"/>
      <c r="C1408" s="246"/>
      <c r="D1408" s="109"/>
      <c r="E1408" s="109"/>
      <c r="F1408" s="110"/>
      <c r="G1408" s="112"/>
    </row>
    <row r="1409" spans="2:7" x14ac:dyDescent="0.2">
      <c r="B1409" s="245"/>
      <c r="C1409" s="246"/>
      <c r="D1409" s="109"/>
      <c r="E1409" s="109"/>
      <c r="F1409" s="110"/>
      <c r="G1409" s="112"/>
    </row>
    <row r="1410" spans="2:7" x14ac:dyDescent="0.2">
      <c r="B1410" s="245"/>
      <c r="C1410" s="246"/>
      <c r="D1410" s="109"/>
      <c r="E1410" s="109"/>
      <c r="F1410" s="110"/>
      <c r="G1410" s="112"/>
    </row>
    <row r="1411" spans="2:7" x14ac:dyDescent="0.2">
      <c r="B1411" s="245"/>
      <c r="C1411" s="246"/>
      <c r="D1411" s="109"/>
      <c r="E1411" s="109"/>
      <c r="F1411" s="110"/>
      <c r="G1411" s="112"/>
    </row>
    <row r="1412" spans="2:7" x14ac:dyDescent="0.2">
      <c r="B1412" s="245"/>
      <c r="C1412" s="246"/>
      <c r="D1412" s="109"/>
      <c r="E1412" s="109"/>
      <c r="F1412" s="110"/>
      <c r="G1412" s="112"/>
    </row>
    <row r="1413" spans="2:7" x14ac:dyDescent="0.2">
      <c r="B1413" s="245"/>
      <c r="C1413" s="246"/>
      <c r="D1413" s="109"/>
      <c r="E1413" s="109"/>
      <c r="F1413" s="110"/>
      <c r="G1413" s="112"/>
    </row>
    <row r="1414" spans="2:7" x14ac:dyDescent="0.2">
      <c r="B1414" s="245"/>
      <c r="C1414" s="246"/>
      <c r="D1414" s="109"/>
      <c r="E1414" s="109"/>
      <c r="F1414" s="110"/>
      <c r="G1414" s="112"/>
    </row>
    <row r="1415" spans="2:7" x14ac:dyDescent="0.2">
      <c r="B1415" s="245"/>
      <c r="C1415" s="246"/>
      <c r="D1415" s="109"/>
      <c r="E1415" s="109"/>
      <c r="F1415" s="110"/>
      <c r="G1415" s="112"/>
    </row>
    <row r="1416" spans="2:7" x14ac:dyDescent="0.2">
      <c r="B1416" s="245"/>
      <c r="C1416" s="246"/>
      <c r="D1416" s="109"/>
      <c r="E1416" s="109"/>
      <c r="F1416" s="110"/>
      <c r="G1416" s="112"/>
    </row>
    <row r="1417" spans="2:7" x14ac:dyDescent="0.2">
      <c r="B1417" s="245"/>
      <c r="C1417" s="246"/>
      <c r="D1417" s="109"/>
      <c r="E1417" s="109"/>
      <c r="F1417" s="110"/>
      <c r="G1417" s="112"/>
    </row>
    <row r="1418" spans="2:7" x14ac:dyDescent="0.2">
      <c r="B1418" s="245"/>
      <c r="C1418" s="246"/>
      <c r="D1418" s="109"/>
      <c r="E1418" s="109"/>
      <c r="F1418" s="110"/>
      <c r="G1418" s="112"/>
    </row>
    <row r="1419" spans="2:7" x14ac:dyDescent="0.2">
      <c r="B1419" s="245"/>
      <c r="C1419" s="246"/>
      <c r="D1419" s="109"/>
      <c r="E1419" s="109"/>
      <c r="F1419" s="110"/>
      <c r="G1419" s="112"/>
    </row>
    <row r="1420" spans="2:7" x14ac:dyDescent="0.2">
      <c r="B1420" s="245"/>
      <c r="C1420" s="246"/>
      <c r="D1420" s="109"/>
      <c r="E1420" s="109"/>
      <c r="F1420" s="110"/>
      <c r="G1420" s="112"/>
    </row>
    <row r="1421" spans="2:7" x14ac:dyDescent="0.2">
      <c r="B1421" s="245"/>
      <c r="C1421" s="246"/>
      <c r="D1421" s="109"/>
      <c r="E1421" s="109"/>
      <c r="F1421" s="110"/>
      <c r="G1421" s="112"/>
    </row>
    <row r="1422" spans="2:7" x14ac:dyDescent="0.2">
      <c r="B1422" s="245"/>
      <c r="C1422" s="246"/>
      <c r="D1422" s="109"/>
      <c r="E1422" s="109"/>
      <c r="F1422" s="110"/>
      <c r="G1422" s="112"/>
    </row>
    <row r="1423" spans="2:7" x14ac:dyDescent="0.2">
      <c r="B1423" s="245"/>
      <c r="C1423" s="246"/>
      <c r="D1423" s="109"/>
      <c r="E1423" s="109"/>
      <c r="F1423" s="110"/>
      <c r="G1423" s="112"/>
    </row>
    <row r="1424" spans="2:7" x14ac:dyDescent="0.2">
      <c r="B1424" s="245"/>
      <c r="C1424" s="246"/>
      <c r="D1424" s="109"/>
      <c r="E1424" s="109"/>
      <c r="F1424" s="110"/>
      <c r="G1424" s="112"/>
    </row>
    <row r="1425" spans="2:7" x14ac:dyDescent="0.2">
      <c r="B1425" s="245"/>
      <c r="C1425" s="246"/>
      <c r="D1425" s="109"/>
      <c r="E1425" s="109"/>
      <c r="F1425" s="110"/>
      <c r="G1425" s="112"/>
    </row>
    <row r="1426" spans="2:7" x14ac:dyDescent="0.2">
      <c r="B1426" s="245"/>
      <c r="C1426" s="246"/>
      <c r="D1426" s="109"/>
      <c r="E1426" s="109"/>
      <c r="F1426" s="110"/>
      <c r="G1426" s="112"/>
    </row>
    <row r="1427" spans="2:7" x14ac:dyDescent="0.2">
      <c r="B1427" s="245"/>
      <c r="C1427" s="246"/>
      <c r="D1427" s="109"/>
      <c r="E1427" s="109"/>
      <c r="F1427" s="110"/>
      <c r="G1427" s="112"/>
    </row>
    <row r="1428" spans="2:7" x14ac:dyDescent="0.2">
      <c r="B1428" s="245"/>
      <c r="C1428" s="246"/>
      <c r="D1428" s="109"/>
      <c r="E1428" s="109"/>
      <c r="F1428" s="110"/>
      <c r="G1428" s="112"/>
    </row>
    <row r="1429" spans="2:7" x14ac:dyDescent="0.2">
      <c r="B1429" s="245"/>
      <c r="C1429" s="246"/>
      <c r="D1429" s="109"/>
      <c r="E1429" s="109"/>
      <c r="F1429" s="110"/>
      <c r="G1429" s="112"/>
    </row>
    <row r="1430" spans="2:7" x14ac:dyDescent="0.2">
      <c r="B1430" s="245"/>
      <c r="C1430" s="246"/>
      <c r="D1430" s="109"/>
      <c r="E1430" s="109"/>
      <c r="F1430" s="110"/>
      <c r="G1430" s="112"/>
    </row>
    <row r="1431" spans="2:7" x14ac:dyDescent="0.2">
      <c r="B1431" s="245"/>
      <c r="C1431" s="246"/>
      <c r="D1431" s="109"/>
      <c r="E1431" s="109"/>
      <c r="F1431" s="110"/>
      <c r="G1431" s="112"/>
    </row>
    <row r="1432" spans="2:7" x14ac:dyDescent="0.2">
      <c r="B1432" s="245"/>
      <c r="C1432" s="246"/>
      <c r="D1432" s="109"/>
      <c r="E1432" s="109"/>
      <c r="F1432" s="110"/>
      <c r="G1432" s="112"/>
    </row>
    <row r="1433" spans="2:7" x14ac:dyDescent="0.2">
      <c r="B1433" s="245"/>
      <c r="C1433" s="246"/>
      <c r="D1433" s="109"/>
      <c r="E1433" s="109"/>
      <c r="F1433" s="110"/>
      <c r="G1433" s="112"/>
    </row>
    <row r="1434" spans="2:7" x14ac:dyDescent="0.2">
      <c r="B1434" s="245"/>
      <c r="C1434" s="246"/>
      <c r="D1434" s="109"/>
      <c r="E1434" s="109"/>
      <c r="F1434" s="110"/>
      <c r="G1434" s="112"/>
    </row>
    <row r="1435" spans="2:7" x14ac:dyDescent="0.2">
      <c r="B1435" s="245"/>
      <c r="C1435" s="246"/>
      <c r="D1435" s="109"/>
      <c r="E1435" s="109"/>
      <c r="F1435" s="110"/>
      <c r="G1435" s="112"/>
    </row>
    <row r="1436" spans="2:7" x14ac:dyDescent="0.2">
      <c r="B1436" s="245"/>
      <c r="C1436" s="246"/>
      <c r="D1436" s="109"/>
      <c r="E1436" s="109"/>
      <c r="F1436" s="110"/>
      <c r="G1436" s="112"/>
    </row>
    <row r="1437" spans="2:7" x14ac:dyDescent="0.2">
      <c r="B1437" s="245"/>
      <c r="C1437" s="246"/>
      <c r="D1437" s="109"/>
      <c r="E1437" s="109"/>
      <c r="F1437" s="110"/>
      <c r="G1437" s="112"/>
    </row>
    <row r="1438" spans="2:7" x14ac:dyDescent="0.2">
      <c r="B1438" s="245"/>
      <c r="C1438" s="246"/>
      <c r="D1438" s="109"/>
      <c r="E1438" s="109"/>
      <c r="F1438" s="110"/>
      <c r="G1438" s="112"/>
    </row>
    <row r="1439" spans="2:7" x14ac:dyDescent="0.2">
      <c r="B1439" s="245"/>
      <c r="C1439" s="246"/>
      <c r="D1439" s="109"/>
      <c r="E1439" s="109"/>
      <c r="F1439" s="110"/>
      <c r="G1439" s="112"/>
    </row>
    <row r="1440" spans="2:7" x14ac:dyDescent="0.2">
      <c r="B1440" s="245"/>
      <c r="C1440" s="246"/>
      <c r="D1440" s="109"/>
      <c r="E1440" s="109"/>
      <c r="F1440" s="110"/>
      <c r="G1440" s="112"/>
    </row>
    <row r="1441" spans="2:7" x14ac:dyDescent="0.2">
      <c r="B1441" s="245"/>
      <c r="C1441" s="246"/>
      <c r="D1441" s="109"/>
      <c r="E1441" s="109"/>
      <c r="F1441" s="110"/>
      <c r="G1441" s="112"/>
    </row>
    <row r="1442" spans="2:7" x14ac:dyDescent="0.2">
      <c r="B1442" s="245"/>
      <c r="C1442" s="246"/>
      <c r="D1442" s="109"/>
      <c r="E1442" s="109"/>
      <c r="F1442" s="110"/>
      <c r="G1442" s="112"/>
    </row>
    <row r="1443" spans="2:7" x14ac:dyDescent="0.2">
      <c r="B1443" s="245"/>
      <c r="C1443" s="246"/>
      <c r="D1443" s="109"/>
      <c r="E1443" s="109"/>
      <c r="F1443" s="110"/>
      <c r="G1443" s="112"/>
    </row>
    <row r="1444" spans="2:7" x14ac:dyDescent="0.2">
      <c r="B1444" s="245"/>
      <c r="C1444" s="246"/>
      <c r="D1444" s="109"/>
      <c r="E1444" s="109"/>
      <c r="F1444" s="110"/>
      <c r="G1444" s="112"/>
    </row>
    <row r="1445" spans="2:7" x14ac:dyDescent="0.2">
      <c r="B1445" s="245"/>
      <c r="C1445" s="246"/>
      <c r="D1445" s="109"/>
      <c r="E1445" s="109"/>
      <c r="F1445" s="110"/>
      <c r="G1445" s="112"/>
    </row>
    <row r="1446" spans="2:7" x14ac:dyDescent="0.2">
      <c r="B1446" s="245"/>
      <c r="C1446" s="246"/>
      <c r="D1446" s="109"/>
      <c r="E1446" s="109"/>
      <c r="F1446" s="110"/>
      <c r="G1446" s="112"/>
    </row>
    <row r="1447" spans="2:7" x14ac:dyDescent="0.2">
      <c r="B1447" s="245"/>
      <c r="C1447" s="246"/>
      <c r="D1447" s="109"/>
      <c r="E1447" s="109"/>
      <c r="F1447" s="110"/>
      <c r="G1447" s="112"/>
    </row>
    <row r="1448" spans="2:7" x14ac:dyDescent="0.2">
      <c r="B1448" s="245"/>
      <c r="C1448" s="246"/>
      <c r="D1448" s="109"/>
      <c r="E1448" s="109"/>
      <c r="F1448" s="110"/>
      <c r="G1448" s="112"/>
    </row>
    <row r="1449" spans="2:7" x14ac:dyDescent="0.2">
      <c r="B1449" s="245"/>
      <c r="C1449" s="246"/>
      <c r="D1449" s="109"/>
      <c r="E1449" s="109"/>
      <c r="F1449" s="110"/>
      <c r="G1449" s="112"/>
    </row>
    <row r="1450" spans="2:7" x14ac:dyDescent="0.2">
      <c r="B1450" s="245"/>
      <c r="C1450" s="246"/>
      <c r="D1450" s="109"/>
      <c r="E1450" s="109"/>
      <c r="F1450" s="110"/>
      <c r="G1450" s="112"/>
    </row>
    <row r="1451" spans="2:7" x14ac:dyDescent="0.2">
      <c r="B1451" s="245"/>
      <c r="C1451" s="246"/>
      <c r="D1451" s="109"/>
      <c r="E1451" s="109"/>
      <c r="F1451" s="110"/>
      <c r="G1451" s="112"/>
    </row>
    <row r="1452" spans="2:7" x14ac:dyDescent="0.2">
      <c r="B1452" s="245"/>
      <c r="C1452" s="246"/>
      <c r="D1452" s="109"/>
      <c r="E1452" s="109"/>
      <c r="F1452" s="110"/>
      <c r="G1452" s="112"/>
    </row>
    <row r="1453" spans="2:7" x14ac:dyDescent="0.2">
      <c r="B1453" s="245"/>
      <c r="C1453" s="246"/>
      <c r="D1453" s="109"/>
      <c r="E1453" s="109"/>
      <c r="F1453" s="110"/>
      <c r="G1453" s="112"/>
    </row>
    <row r="1454" spans="2:7" x14ac:dyDescent="0.2">
      <c r="B1454" s="245"/>
      <c r="C1454" s="246"/>
      <c r="D1454" s="109"/>
      <c r="E1454" s="109"/>
      <c r="F1454" s="110"/>
      <c r="G1454" s="112"/>
    </row>
    <row r="1455" spans="2:7" x14ac:dyDescent="0.2">
      <c r="B1455" s="245"/>
      <c r="C1455" s="246"/>
      <c r="D1455" s="109"/>
      <c r="E1455" s="109"/>
      <c r="F1455" s="110"/>
      <c r="G1455" s="112"/>
    </row>
    <row r="1456" spans="2:7" x14ac:dyDescent="0.2">
      <c r="B1456" s="245"/>
      <c r="C1456" s="246"/>
      <c r="D1456" s="109"/>
      <c r="E1456" s="109"/>
      <c r="F1456" s="110"/>
      <c r="G1456" s="112"/>
    </row>
    <row r="1457" spans="2:7" x14ac:dyDescent="0.2">
      <c r="B1457" s="245"/>
      <c r="C1457" s="246"/>
      <c r="D1457" s="109"/>
      <c r="E1457" s="109"/>
      <c r="F1457" s="110"/>
      <c r="G1457" s="112"/>
    </row>
    <row r="1458" spans="2:7" x14ac:dyDescent="0.2">
      <c r="B1458" s="245"/>
      <c r="C1458" s="246"/>
      <c r="D1458" s="109"/>
      <c r="E1458" s="109"/>
      <c r="F1458" s="110"/>
      <c r="G1458" s="112"/>
    </row>
    <row r="1459" spans="2:7" x14ac:dyDescent="0.2">
      <c r="B1459" s="245"/>
      <c r="C1459" s="246"/>
      <c r="D1459" s="109"/>
      <c r="E1459" s="109"/>
      <c r="F1459" s="110"/>
      <c r="G1459" s="112"/>
    </row>
    <row r="1460" spans="2:7" x14ac:dyDescent="0.2">
      <c r="B1460" s="245"/>
      <c r="C1460" s="246"/>
      <c r="D1460" s="109"/>
      <c r="E1460" s="109"/>
      <c r="F1460" s="110"/>
      <c r="G1460" s="112"/>
    </row>
    <row r="1461" spans="2:7" x14ac:dyDescent="0.2">
      <c r="B1461" s="245"/>
      <c r="C1461" s="246"/>
      <c r="D1461" s="109"/>
      <c r="E1461" s="109"/>
      <c r="F1461" s="110"/>
      <c r="G1461" s="112"/>
    </row>
    <row r="1462" spans="2:7" x14ac:dyDescent="0.2">
      <c r="B1462" s="245"/>
      <c r="C1462" s="246"/>
      <c r="D1462" s="109"/>
      <c r="E1462" s="109"/>
      <c r="F1462" s="110"/>
      <c r="G1462" s="112"/>
    </row>
    <row r="1463" spans="2:7" x14ac:dyDescent="0.2">
      <c r="B1463" s="245"/>
      <c r="C1463" s="246"/>
      <c r="D1463" s="109"/>
      <c r="E1463" s="109"/>
      <c r="F1463" s="110"/>
      <c r="G1463" s="112"/>
    </row>
    <row r="1464" spans="2:7" x14ac:dyDescent="0.2">
      <c r="B1464" s="245"/>
      <c r="C1464" s="246"/>
      <c r="D1464" s="109"/>
      <c r="E1464" s="109"/>
      <c r="F1464" s="110"/>
      <c r="G1464" s="112"/>
    </row>
    <row r="1465" spans="2:7" x14ac:dyDescent="0.2">
      <c r="B1465" s="245"/>
      <c r="C1465" s="246"/>
      <c r="D1465" s="109"/>
      <c r="E1465" s="109"/>
      <c r="F1465" s="110"/>
      <c r="G1465" s="112"/>
    </row>
    <row r="1466" spans="2:7" x14ac:dyDescent="0.2">
      <c r="B1466" s="245"/>
      <c r="C1466" s="246"/>
      <c r="D1466" s="109"/>
      <c r="E1466" s="109"/>
      <c r="F1466" s="110"/>
      <c r="G1466" s="112"/>
    </row>
    <row r="1467" spans="2:7" x14ac:dyDescent="0.2">
      <c r="B1467" s="245"/>
      <c r="C1467" s="246"/>
      <c r="D1467" s="109"/>
      <c r="E1467" s="109"/>
      <c r="F1467" s="110"/>
      <c r="G1467" s="112"/>
    </row>
    <row r="1468" spans="2:7" x14ac:dyDescent="0.2">
      <c r="B1468" s="245"/>
      <c r="C1468" s="246"/>
      <c r="D1468" s="109"/>
      <c r="E1468" s="109"/>
      <c r="F1468" s="110"/>
      <c r="G1468" s="112"/>
    </row>
    <row r="1469" spans="2:7" x14ac:dyDescent="0.2">
      <c r="B1469" s="245"/>
      <c r="C1469" s="246"/>
      <c r="D1469" s="109"/>
      <c r="E1469" s="109"/>
      <c r="F1469" s="110"/>
      <c r="G1469" s="112"/>
    </row>
    <row r="1470" spans="2:7" x14ac:dyDescent="0.2">
      <c r="B1470" s="245"/>
      <c r="C1470" s="246"/>
      <c r="D1470" s="109"/>
      <c r="E1470" s="109"/>
      <c r="F1470" s="110"/>
      <c r="G1470" s="112"/>
    </row>
    <row r="1471" spans="2:7" x14ac:dyDescent="0.2">
      <c r="B1471" s="245"/>
      <c r="C1471" s="246"/>
      <c r="D1471" s="109"/>
      <c r="E1471" s="109"/>
      <c r="F1471" s="110"/>
      <c r="G1471" s="112"/>
    </row>
    <row r="1472" spans="2:7" x14ac:dyDescent="0.2">
      <c r="B1472" s="245"/>
      <c r="C1472" s="246"/>
      <c r="D1472" s="109"/>
      <c r="E1472" s="109"/>
      <c r="F1472" s="110"/>
      <c r="G1472" s="112"/>
    </row>
    <row r="1473" spans="2:7" x14ac:dyDescent="0.2">
      <c r="B1473" s="245"/>
      <c r="C1473" s="246"/>
      <c r="D1473" s="109"/>
      <c r="E1473" s="109"/>
      <c r="F1473" s="110"/>
      <c r="G1473" s="112"/>
    </row>
    <row r="1474" spans="2:7" x14ac:dyDescent="0.2">
      <c r="B1474" s="245"/>
      <c r="C1474" s="246"/>
      <c r="D1474" s="109"/>
      <c r="E1474" s="109"/>
      <c r="F1474" s="110"/>
      <c r="G1474" s="112"/>
    </row>
    <row r="1475" spans="2:7" x14ac:dyDescent="0.2">
      <c r="B1475" s="245"/>
      <c r="C1475" s="246"/>
      <c r="D1475" s="109"/>
      <c r="E1475" s="109"/>
      <c r="F1475" s="110"/>
      <c r="G1475" s="112"/>
    </row>
    <row r="1476" spans="2:7" x14ac:dyDescent="0.2">
      <c r="B1476" s="245"/>
      <c r="C1476" s="246"/>
      <c r="D1476" s="109"/>
      <c r="E1476" s="109"/>
      <c r="F1476" s="110"/>
      <c r="G1476" s="112"/>
    </row>
    <row r="1477" spans="2:7" x14ac:dyDescent="0.2">
      <c r="B1477" s="245"/>
      <c r="C1477" s="246"/>
      <c r="D1477" s="109"/>
      <c r="E1477" s="109"/>
      <c r="F1477" s="110"/>
      <c r="G1477" s="112"/>
    </row>
    <row r="1478" spans="2:7" x14ac:dyDescent="0.2">
      <c r="B1478" s="245"/>
      <c r="C1478" s="246"/>
      <c r="D1478" s="109"/>
      <c r="E1478" s="109"/>
      <c r="F1478" s="110"/>
      <c r="G1478" s="112"/>
    </row>
    <row r="1479" spans="2:7" x14ac:dyDescent="0.2">
      <c r="B1479" s="245"/>
      <c r="C1479" s="246"/>
      <c r="D1479" s="109"/>
      <c r="E1479" s="109"/>
      <c r="F1479" s="110"/>
      <c r="G1479" s="112"/>
    </row>
    <row r="1480" spans="2:7" x14ac:dyDescent="0.2">
      <c r="B1480" s="245"/>
      <c r="C1480" s="246"/>
      <c r="D1480" s="109"/>
      <c r="E1480" s="109"/>
      <c r="F1480" s="110"/>
      <c r="G1480" s="112"/>
    </row>
    <row r="1481" spans="2:7" x14ac:dyDescent="0.2">
      <c r="B1481" s="245"/>
      <c r="C1481" s="246"/>
      <c r="D1481" s="109"/>
      <c r="E1481" s="109"/>
      <c r="F1481" s="110"/>
      <c r="G1481" s="112"/>
    </row>
    <row r="1482" spans="2:7" x14ac:dyDescent="0.2">
      <c r="B1482" s="245"/>
      <c r="C1482" s="246"/>
      <c r="D1482" s="109"/>
      <c r="E1482" s="109"/>
      <c r="F1482" s="110"/>
      <c r="G1482" s="112"/>
    </row>
    <row r="1483" spans="2:7" x14ac:dyDescent="0.2">
      <c r="B1483" s="245"/>
      <c r="C1483" s="246"/>
      <c r="D1483" s="109"/>
      <c r="E1483" s="109"/>
      <c r="F1483" s="110"/>
      <c r="G1483" s="112"/>
    </row>
    <row r="1484" spans="2:7" x14ac:dyDescent="0.2">
      <c r="B1484" s="245"/>
      <c r="C1484" s="246"/>
      <c r="D1484" s="109"/>
      <c r="E1484" s="109"/>
      <c r="F1484" s="110"/>
      <c r="G1484" s="112"/>
    </row>
    <row r="1485" spans="2:7" x14ac:dyDescent="0.2">
      <c r="B1485" s="245"/>
      <c r="C1485" s="246"/>
      <c r="D1485" s="109"/>
      <c r="E1485" s="109"/>
      <c r="F1485" s="110"/>
      <c r="G1485" s="112"/>
    </row>
    <row r="1486" spans="2:7" x14ac:dyDescent="0.2">
      <c r="B1486" s="245"/>
      <c r="C1486" s="246"/>
      <c r="D1486" s="109"/>
      <c r="E1486" s="109"/>
      <c r="F1486" s="110"/>
      <c r="G1486" s="112"/>
    </row>
    <row r="1487" spans="2:7" x14ac:dyDescent="0.2">
      <c r="B1487" s="245"/>
      <c r="C1487" s="246"/>
      <c r="D1487" s="109"/>
      <c r="E1487" s="109"/>
      <c r="F1487" s="110"/>
      <c r="G1487" s="112"/>
    </row>
    <row r="1488" spans="2:7" x14ac:dyDescent="0.2">
      <c r="B1488" s="245"/>
      <c r="C1488" s="246"/>
      <c r="D1488" s="109"/>
      <c r="E1488" s="109"/>
      <c r="F1488" s="110"/>
      <c r="G1488" s="112"/>
    </row>
    <row r="1489" spans="2:7" x14ac:dyDescent="0.2">
      <c r="B1489" s="245"/>
      <c r="C1489" s="246"/>
      <c r="D1489" s="109"/>
      <c r="E1489" s="109"/>
      <c r="F1489" s="110"/>
      <c r="G1489" s="112"/>
    </row>
    <row r="1490" spans="2:7" x14ac:dyDescent="0.2">
      <c r="B1490" s="245"/>
      <c r="C1490" s="246"/>
      <c r="D1490" s="109"/>
      <c r="E1490" s="109"/>
      <c r="F1490" s="110"/>
      <c r="G1490" s="112"/>
    </row>
    <row r="1491" spans="2:7" x14ac:dyDescent="0.2">
      <c r="B1491" s="245"/>
      <c r="C1491" s="246"/>
      <c r="D1491" s="109"/>
      <c r="E1491" s="109"/>
      <c r="F1491" s="110"/>
      <c r="G1491" s="112"/>
    </row>
    <row r="1492" spans="2:7" x14ac:dyDescent="0.2">
      <c r="B1492" s="245"/>
      <c r="C1492" s="246"/>
      <c r="D1492" s="109"/>
      <c r="E1492" s="109"/>
      <c r="F1492" s="110"/>
      <c r="G1492" s="112"/>
    </row>
    <row r="1493" spans="2:7" x14ac:dyDescent="0.2">
      <c r="B1493" s="245"/>
      <c r="C1493" s="246"/>
      <c r="D1493" s="109"/>
      <c r="E1493" s="109"/>
      <c r="F1493" s="110"/>
      <c r="G1493" s="112"/>
    </row>
    <row r="1494" spans="2:7" x14ac:dyDescent="0.2">
      <c r="B1494" s="245"/>
      <c r="C1494" s="246"/>
      <c r="D1494" s="109"/>
      <c r="E1494" s="109"/>
      <c r="F1494" s="110"/>
      <c r="G1494" s="112"/>
    </row>
    <row r="1495" spans="2:7" x14ac:dyDescent="0.2">
      <c r="B1495" s="245"/>
      <c r="C1495" s="246"/>
      <c r="D1495" s="109"/>
      <c r="E1495" s="109"/>
      <c r="F1495" s="110"/>
      <c r="G1495" s="112"/>
    </row>
    <row r="1496" spans="2:7" x14ac:dyDescent="0.2">
      <c r="B1496" s="245"/>
      <c r="C1496" s="246"/>
      <c r="D1496" s="109"/>
      <c r="E1496" s="109"/>
      <c r="F1496" s="110"/>
      <c r="G1496" s="112"/>
    </row>
    <row r="1497" spans="2:7" x14ac:dyDescent="0.2">
      <c r="B1497" s="245"/>
      <c r="C1497" s="246"/>
      <c r="D1497" s="109"/>
      <c r="E1497" s="109"/>
      <c r="F1497" s="110"/>
      <c r="G1497" s="112"/>
    </row>
    <row r="1498" spans="2:7" x14ac:dyDescent="0.2">
      <c r="B1498" s="245"/>
      <c r="C1498" s="246"/>
      <c r="D1498" s="109"/>
      <c r="E1498" s="109"/>
      <c r="F1498" s="110"/>
      <c r="G1498" s="112"/>
    </row>
    <row r="1499" spans="2:7" x14ac:dyDescent="0.2">
      <c r="B1499" s="245"/>
      <c r="C1499" s="246"/>
      <c r="D1499" s="109"/>
      <c r="E1499" s="109"/>
      <c r="F1499" s="110"/>
      <c r="G1499" s="112"/>
    </row>
    <row r="1500" spans="2:7" x14ac:dyDescent="0.2">
      <c r="B1500" s="245"/>
      <c r="C1500" s="246"/>
      <c r="D1500" s="109"/>
      <c r="E1500" s="109"/>
      <c r="F1500" s="110"/>
      <c r="G1500" s="112"/>
    </row>
    <row r="1501" spans="2:7" x14ac:dyDescent="0.2">
      <c r="B1501" s="245"/>
      <c r="C1501" s="246"/>
      <c r="D1501" s="109"/>
      <c r="E1501" s="109"/>
      <c r="F1501" s="110"/>
      <c r="G1501" s="112"/>
    </row>
    <row r="1502" spans="2:7" x14ac:dyDescent="0.2">
      <c r="B1502" s="245"/>
      <c r="C1502" s="246"/>
      <c r="D1502" s="109"/>
      <c r="E1502" s="109"/>
      <c r="F1502" s="110"/>
      <c r="G1502" s="112"/>
    </row>
    <row r="1503" spans="2:7" x14ac:dyDescent="0.2">
      <c r="B1503" s="245"/>
      <c r="C1503" s="246"/>
      <c r="D1503" s="109"/>
      <c r="E1503" s="109"/>
      <c r="F1503" s="110"/>
      <c r="G1503" s="112"/>
    </row>
    <row r="1504" spans="2:7" x14ac:dyDescent="0.2">
      <c r="B1504" s="245"/>
      <c r="C1504" s="246"/>
      <c r="D1504" s="109"/>
      <c r="E1504" s="109"/>
      <c r="F1504" s="110"/>
      <c r="G1504" s="112"/>
    </row>
    <row r="1505" spans="2:7" x14ac:dyDescent="0.2">
      <c r="B1505" s="245"/>
      <c r="C1505" s="246"/>
      <c r="D1505" s="109"/>
      <c r="E1505" s="109"/>
      <c r="F1505" s="110"/>
      <c r="G1505" s="112"/>
    </row>
    <row r="1506" spans="2:7" x14ac:dyDescent="0.2">
      <c r="B1506" s="245"/>
      <c r="C1506" s="246"/>
      <c r="D1506" s="109"/>
      <c r="E1506" s="109"/>
      <c r="F1506" s="110"/>
      <c r="G1506" s="112"/>
    </row>
    <row r="1507" spans="2:7" x14ac:dyDescent="0.2">
      <c r="B1507" s="245"/>
      <c r="C1507" s="246"/>
      <c r="D1507" s="109"/>
      <c r="E1507" s="109"/>
      <c r="F1507" s="110"/>
      <c r="G1507" s="112"/>
    </row>
    <row r="1508" spans="2:7" x14ac:dyDescent="0.2">
      <c r="B1508" s="245"/>
      <c r="C1508" s="246"/>
      <c r="D1508" s="109"/>
      <c r="E1508" s="109"/>
      <c r="F1508" s="110"/>
      <c r="G1508" s="112"/>
    </row>
    <row r="1509" spans="2:7" x14ac:dyDescent="0.2">
      <c r="B1509" s="245"/>
      <c r="C1509" s="246"/>
      <c r="D1509" s="109"/>
      <c r="E1509" s="109"/>
      <c r="F1509" s="110"/>
      <c r="G1509" s="112"/>
    </row>
    <row r="1510" spans="2:7" x14ac:dyDescent="0.2">
      <c r="B1510" s="245"/>
      <c r="C1510" s="246"/>
      <c r="D1510" s="109"/>
      <c r="E1510" s="109"/>
      <c r="F1510" s="110"/>
      <c r="G1510" s="112"/>
    </row>
    <row r="1511" spans="2:7" x14ac:dyDescent="0.2">
      <c r="B1511" s="245"/>
      <c r="C1511" s="246"/>
      <c r="D1511" s="109"/>
      <c r="E1511" s="109"/>
      <c r="F1511" s="110"/>
      <c r="G1511" s="112"/>
    </row>
    <row r="1512" spans="2:7" x14ac:dyDescent="0.2">
      <c r="B1512" s="245"/>
      <c r="C1512" s="246"/>
      <c r="D1512" s="109"/>
      <c r="E1512" s="109"/>
      <c r="F1512" s="110"/>
      <c r="G1512" s="112"/>
    </row>
    <row r="1513" spans="2:7" x14ac:dyDescent="0.2">
      <c r="B1513" s="245"/>
      <c r="C1513" s="246"/>
      <c r="D1513" s="109"/>
      <c r="E1513" s="109"/>
      <c r="F1513" s="110"/>
      <c r="G1513" s="112"/>
    </row>
    <row r="1514" spans="2:7" x14ac:dyDescent="0.2">
      <c r="B1514" s="245"/>
      <c r="C1514" s="246"/>
      <c r="D1514" s="109"/>
      <c r="E1514" s="109"/>
      <c r="F1514" s="110"/>
      <c r="G1514" s="112"/>
    </row>
    <row r="1515" spans="2:7" x14ac:dyDescent="0.2">
      <c r="B1515" s="245"/>
      <c r="C1515" s="246"/>
      <c r="D1515" s="109"/>
      <c r="E1515" s="109"/>
      <c r="F1515" s="110"/>
      <c r="G1515" s="112"/>
    </row>
    <row r="1516" spans="2:7" x14ac:dyDescent="0.2">
      <c r="B1516" s="125"/>
      <c r="C1516" s="111"/>
      <c r="D1516" s="109"/>
      <c r="E1516" s="109"/>
      <c r="F1516" s="110"/>
      <c r="G1516" s="112"/>
    </row>
  </sheetData>
  <mergeCells count="1510">
    <mergeCell ref="B1511:C1511"/>
    <mergeCell ref="B1512:C1512"/>
    <mergeCell ref="B1513:C1513"/>
    <mergeCell ref="B1514:C1514"/>
    <mergeCell ref="B1515:C1515"/>
    <mergeCell ref="B1506:C1506"/>
    <mergeCell ref="B1507:C1507"/>
    <mergeCell ref="B1508:C1508"/>
    <mergeCell ref="B1509:C1509"/>
    <mergeCell ref="B1510:C1510"/>
    <mergeCell ref="B1501:C1501"/>
    <mergeCell ref="B1502:C1502"/>
    <mergeCell ref="B1503:C1503"/>
    <mergeCell ref="B1504:C1504"/>
    <mergeCell ref="B1505:C1505"/>
    <mergeCell ref="B1496:C1496"/>
    <mergeCell ref="B1497:C1497"/>
    <mergeCell ref="B1498:C1498"/>
    <mergeCell ref="B1499:C1499"/>
    <mergeCell ref="B1500:C1500"/>
    <mergeCell ref="B1491:C1491"/>
    <mergeCell ref="B1492:C1492"/>
    <mergeCell ref="B1493:C1493"/>
    <mergeCell ref="B1494:C1494"/>
    <mergeCell ref="B1495:C1495"/>
    <mergeCell ref="B1486:C1486"/>
    <mergeCell ref="B1487:C1487"/>
    <mergeCell ref="B1488:C1488"/>
    <mergeCell ref="B1489:C1489"/>
    <mergeCell ref="B1490:C1490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B1431:C1431"/>
    <mergeCell ref="B1432:C1432"/>
    <mergeCell ref="B1433:C1433"/>
    <mergeCell ref="B1434:C1434"/>
    <mergeCell ref="B1435:C1435"/>
    <mergeCell ref="B1426:C1426"/>
    <mergeCell ref="B1427:C1427"/>
    <mergeCell ref="B1428:C1428"/>
    <mergeCell ref="B1429:C1429"/>
    <mergeCell ref="B1430:C1430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371:C1371"/>
    <mergeCell ref="B1372:C1372"/>
    <mergeCell ref="B1373:C1373"/>
    <mergeCell ref="B1374:C1374"/>
    <mergeCell ref="B1375:C1375"/>
    <mergeCell ref="B1366:C1366"/>
    <mergeCell ref="B1367:C1367"/>
    <mergeCell ref="B1368:C1368"/>
    <mergeCell ref="B1369:C1369"/>
    <mergeCell ref="B1370:C1370"/>
    <mergeCell ref="B1361:C1361"/>
    <mergeCell ref="B1362:C1362"/>
    <mergeCell ref="B1363:C1363"/>
    <mergeCell ref="B1364:C1364"/>
    <mergeCell ref="B1365:C1365"/>
    <mergeCell ref="B1356:C1356"/>
    <mergeCell ref="B1357:C1357"/>
    <mergeCell ref="B1358:C1358"/>
    <mergeCell ref="B1359:C1359"/>
    <mergeCell ref="B1360:C1360"/>
    <mergeCell ref="B1351:C1351"/>
    <mergeCell ref="B1352:C1352"/>
    <mergeCell ref="B1353:C1353"/>
    <mergeCell ref="B1354:C1354"/>
    <mergeCell ref="B1355:C1355"/>
    <mergeCell ref="B1346:C1346"/>
    <mergeCell ref="B1347:C1347"/>
    <mergeCell ref="B1348:C1348"/>
    <mergeCell ref="B1349:C1349"/>
    <mergeCell ref="B1350:C1350"/>
    <mergeCell ref="B1341:C1341"/>
    <mergeCell ref="B1342:C1342"/>
    <mergeCell ref="B1343:C1343"/>
    <mergeCell ref="B1344:C1344"/>
    <mergeCell ref="B1345:C1345"/>
    <mergeCell ref="B1336:C1336"/>
    <mergeCell ref="B1337:C1337"/>
    <mergeCell ref="B1338:C1338"/>
    <mergeCell ref="B1339:C1339"/>
    <mergeCell ref="B1340:C1340"/>
    <mergeCell ref="B1331:C1331"/>
    <mergeCell ref="B1332:C1332"/>
    <mergeCell ref="B1333:C1333"/>
    <mergeCell ref="B1334:C1334"/>
    <mergeCell ref="B1335:C1335"/>
    <mergeCell ref="B1326:C1326"/>
    <mergeCell ref="B1327:C1327"/>
    <mergeCell ref="B1328:C1328"/>
    <mergeCell ref="B1329:C1329"/>
    <mergeCell ref="B1330:C1330"/>
    <mergeCell ref="B1321:C1321"/>
    <mergeCell ref="B1322:C1322"/>
    <mergeCell ref="B1323:C1323"/>
    <mergeCell ref="B1324:C1324"/>
    <mergeCell ref="B1325:C1325"/>
    <mergeCell ref="B1316:C1316"/>
    <mergeCell ref="B1317:C1317"/>
    <mergeCell ref="B1318:C1318"/>
    <mergeCell ref="B1319:C1319"/>
    <mergeCell ref="B1320:C1320"/>
    <mergeCell ref="B1311:C1311"/>
    <mergeCell ref="B1312:C1312"/>
    <mergeCell ref="B1313:C1313"/>
    <mergeCell ref="B1314:C1314"/>
    <mergeCell ref="B1315:C1315"/>
    <mergeCell ref="B1306:C1306"/>
    <mergeCell ref="B1307:C1307"/>
    <mergeCell ref="B1308:C1308"/>
    <mergeCell ref="B1309:C1309"/>
    <mergeCell ref="B1310:C1310"/>
    <mergeCell ref="B1301:C1301"/>
    <mergeCell ref="B1302:C1302"/>
    <mergeCell ref="B1303:C1303"/>
    <mergeCell ref="B1304:C1304"/>
    <mergeCell ref="B1305:C1305"/>
    <mergeCell ref="B1296:C1296"/>
    <mergeCell ref="B1297:C1297"/>
    <mergeCell ref="B1298:C1298"/>
    <mergeCell ref="B1299:C1299"/>
    <mergeCell ref="B1300:C1300"/>
    <mergeCell ref="B1291:C1291"/>
    <mergeCell ref="B1292:C1292"/>
    <mergeCell ref="B1293:C1293"/>
    <mergeCell ref="B1294:C1294"/>
    <mergeCell ref="B1295:C1295"/>
    <mergeCell ref="B1286:C1286"/>
    <mergeCell ref="B1287:C1287"/>
    <mergeCell ref="B1288:C1288"/>
    <mergeCell ref="B1289:C1289"/>
    <mergeCell ref="B1290:C1290"/>
    <mergeCell ref="B1281:C1281"/>
    <mergeCell ref="B1282:C1282"/>
    <mergeCell ref="B1283:C1283"/>
    <mergeCell ref="B1284:C1284"/>
    <mergeCell ref="B1285:C1285"/>
    <mergeCell ref="B1276:C1276"/>
    <mergeCell ref="B1277:C1277"/>
    <mergeCell ref="B1278:C1278"/>
    <mergeCell ref="B1279:C1279"/>
    <mergeCell ref="B1280:C1280"/>
    <mergeCell ref="B1271:C1271"/>
    <mergeCell ref="B1272:C1272"/>
    <mergeCell ref="B1273:C1273"/>
    <mergeCell ref="B1274:C1274"/>
    <mergeCell ref="B1275:C1275"/>
    <mergeCell ref="B1266:C1266"/>
    <mergeCell ref="B1267:C1267"/>
    <mergeCell ref="B1268:C1268"/>
    <mergeCell ref="B1269:C1269"/>
    <mergeCell ref="B1270:C1270"/>
    <mergeCell ref="B1261:C1261"/>
    <mergeCell ref="B1262:C1262"/>
    <mergeCell ref="B1263:C1263"/>
    <mergeCell ref="B1264:C1264"/>
    <mergeCell ref="B1265:C1265"/>
    <mergeCell ref="B1256:C1256"/>
    <mergeCell ref="B1257:C1257"/>
    <mergeCell ref="B1258:C1258"/>
    <mergeCell ref="B1259:C1259"/>
    <mergeCell ref="B1260:C1260"/>
    <mergeCell ref="B1251:C1251"/>
    <mergeCell ref="B1252:C1252"/>
    <mergeCell ref="B1253:C1253"/>
    <mergeCell ref="B1254:C1254"/>
    <mergeCell ref="B1255:C1255"/>
    <mergeCell ref="B1246:C1246"/>
    <mergeCell ref="B1247:C1247"/>
    <mergeCell ref="B1248:C1248"/>
    <mergeCell ref="B1249:C1249"/>
    <mergeCell ref="B1250:C1250"/>
    <mergeCell ref="B1241:C1241"/>
    <mergeCell ref="B1242:C1242"/>
    <mergeCell ref="B1243:C1243"/>
    <mergeCell ref="B1244:C1244"/>
    <mergeCell ref="B1245:C1245"/>
    <mergeCell ref="B1236:C1236"/>
    <mergeCell ref="B1237:C1237"/>
    <mergeCell ref="B1238:C1238"/>
    <mergeCell ref="B1239:C1239"/>
    <mergeCell ref="B1240:C1240"/>
    <mergeCell ref="B1231:C1231"/>
    <mergeCell ref="B1232:C1232"/>
    <mergeCell ref="B1233:C1233"/>
    <mergeCell ref="B1234:C1234"/>
    <mergeCell ref="B1235:C1235"/>
    <mergeCell ref="B1226:C1226"/>
    <mergeCell ref="B1227:C1227"/>
    <mergeCell ref="B1228:C1228"/>
    <mergeCell ref="B1229:C1229"/>
    <mergeCell ref="B1230:C1230"/>
    <mergeCell ref="B1221:C1221"/>
    <mergeCell ref="B1222:C1222"/>
    <mergeCell ref="B1223:C1223"/>
    <mergeCell ref="B1224:C1224"/>
    <mergeCell ref="B1225:C1225"/>
    <mergeCell ref="B1216:C1216"/>
    <mergeCell ref="B1217:C1217"/>
    <mergeCell ref="B1218:C1218"/>
    <mergeCell ref="B1219:C1219"/>
    <mergeCell ref="B1220:C1220"/>
    <mergeCell ref="B1211:C1211"/>
    <mergeCell ref="B1212:C1212"/>
    <mergeCell ref="B1213:C1213"/>
    <mergeCell ref="B1214:C1214"/>
    <mergeCell ref="B1215:C1215"/>
    <mergeCell ref="B1206:C1206"/>
    <mergeCell ref="B1207:C1207"/>
    <mergeCell ref="B1208:C1208"/>
    <mergeCell ref="B1209:C1209"/>
    <mergeCell ref="B1210:C1210"/>
    <mergeCell ref="B1201:C1201"/>
    <mergeCell ref="B1202:C1202"/>
    <mergeCell ref="B1203:C1203"/>
    <mergeCell ref="B1204:C1204"/>
    <mergeCell ref="B1205:C1205"/>
    <mergeCell ref="B1196:C1196"/>
    <mergeCell ref="B1197:C1197"/>
    <mergeCell ref="B1198:C1198"/>
    <mergeCell ref="B1199:C1199"/>
    <mergeCell ref="B1200:C1200"/>
    <mergeCell ref="B1191:C1191"/>
    <mergeCell ref="B1192:C1192"/>
    <mergeCell ref="B1193:C1193"/>
    <mergeCell ref="B1194:C1194"/>
    <mergeCell ref="B1195:C1195"/>
    <mergeCell ref="B1186:C1186"/>
    <mergeCell ref="B1187:C1187"/>
    <mergeCell ref="B1188:C1188"/>
    <mergeCell ref="B1189:C1189"/>
    <mergeCell ref="B1190:C1190"/>
    <mergeCell ref="B1181:C1181"/>
    <mergeCell ref="B1182:C1182"/>
    <mergeCell ref="B1183:C1183"/>
    <mergeCell ref="B1184:C1184"/>
    <mergeCell ref="B1185:C1185"/>
    <mergeCell ref="B1176:C1176"/>
    <mergeCell ref="B1177:C1177"/>
    <mergeCell ref="B1178:C1178"/>
    <mergeCell ref="B1179:C1179"/>
    <mergeCell ref="B1180:C1180"/>
    <mergeCell ref="B1171:C1171"/>
    <mergeCell ref="B1172:C1172"/>
    <mergeCell ref="B1173:C1173"/>
    <mergeCell ref="B1174:C1174"/>
    <mergeCell ref="B1175:C1175"/>
    <mergeCell ref="B1166:C1166"/>
    <mergeCell ref="B1167:C1167"/>
    <mergeCell ref="B1168:C1168"/>
    <mergeCell ref="B1169:C1169"/>
    <mergeCell ref="B1170:C1170"/>
    <mergeCell ref="B1161:C1161"/>
    <mergeCell ref="B1162:C1162"/>
    <mergeCell ref="B1163:C1163"/>
    <mergeCell ref="B1164:C1164"/>
    <mergeCell ref="B1165:C1165"/>
    <mergeCell ref="B1156:C1156"/>
    <mergeCell ref="B1157:C1157"/>
    <mergeCell ref="B1158:C1158"/>
    <mergeCell ref="B1159:C1159"/>
    <mergeCell ref="B1160:C1160"/>
    <mergeCell ref="B1151:C1151"/>
    <mergeCell ref="B1152:C1152"/>
    <mergeCell ref="B1153:C1153"/>
    <mergeCell ref="B1154:C1154"/>
    <mergeCell ref="B1155:C1155"/>
    <mergeCell ref="B1146:C1146"/>
    <mergeCell ref="B1147:C1147"/>
    <mergeCell ref="B1148:C1148"/>
    <mergeCell ref="B1149:C1149"/>
    <mergeCell ref="B1150:C1150"/>
    <mergeCell ref="B1141:C1141"/>
    <mergeCell ref="B1142:C1142"/>
    <mergeCell ref="B1143:C1143"/>
    <mergeCell ref="B1144:C1144"/>
    <mergeCell ref="B1145:C1145"/>
    <mergeCell ref="B1136:C1136"/>
    <mergeCell ref="B1137:C1137"/>
    <mergeCell ref="B1138:C1138"/>
    <mergeCell ref="B1139:C1139"/>
    <mergeCell ref="B1140:C1140"/>
    <mergeCell ref="B1131:C1131"/>
    <mergeCell ref="B1132:C1132"/>
    <mergeCell ref="B1133:C1133"/>
    <mergeCell ref="B1134:C1134"/>
    <mergeCell ref="B1135:C1135"/>
    <mergeCell ref="B1126:C1126"/>
    <mergeCell ref="B1127:C1127"/>
    <mergeCell ref="B1128:C1128"/>
    <mergeCell ref="B1129:C1129"/>
    <mergeCell ref="B1130:C1130"/>
    <mergeCell ref="B1121:C1121"/>
    <mergeCell ref="B1122:C1122"/>
    <mergeCell ref="B1123:C1123"/>
    <mergeCell ref="B1124:C1124"/>
    <mergeCell ref="B1125:C1125"/>
    <mergeCell ref="B1116:C1116"/>
    <mergeCell ref="B1117:C1117"/>
    <mergeCell ref="B1118:C1118"/>
    <mergeCell ref="B1119:C1119"/>
    <mergeCell ref="B1120:C1120"/>
    <mergeCell ref="B1111:C1111"/>
    <mergeCell ref="B1112:C1112"/>
    <mergeCell ref="B1113:C1113"/>
    <mergeCell ref="B1114:C1114"/>
    <mergeCell ref="B1115:C1115"/>
    <mergeCell ref="B1106:C1106"/>
    <mergeCell ref="B1107:C1107"/>
    <mergeCell ref="B1108:C1108"/>
    <mergeCell ref="B1109:C1109"/>
    <mergeCell ref="B1110:C1110"/>
    <mergeCell ref="B1101:C1101"/>
    <mergeCell ref="B1102:C1102"/>
    <mergeCell ref="B1103:C1103"/>
    <mergeCell ref="B1104:C1104"/>
    <mergeCell ref="B1105:C1105"/>
    <mergeCell ref="B1096:C1096"/>
    <mergeCell ref="B1097:C1097"/>
    <mergeCell ref="B1098:C1098"/>
    <mergeCell ref="B1099:C1099"/>
    <mergeCell ref="B1100:C1100"/>
    <mergeCell ref="B1091:C1091"/>
    <mergeCell ref="B1092:C1092"/>
    <mergeCell ref="B1093:C1093"/>
    <mergeCell ref="B1094:C1094"/>
    <mergeCell ref="B1095:C1095"/>
    <mergeCell ref="B1086:C1086"/>
    <mergeCell ref="B1087:C1087"/>
    <mergeCell ref="B1088:C1088"/>
    <mergeCell ref="B1089:C1089"/>
    <mergeCell ref="B1090:C1090"/>
    <mergeCell ref="B1081:C1081"/>
    <mergeCell ref="B1082:C1082"/>
    <mergeCell ref="B1083:C1083"/>
    <mergeCell ref="B1084:C1084"/>
    <mergeCell ref="B1085:C1085"/>
    <mergeCell ref="B1076:C1076"/>
    <mergeCell ref="B1077:C1077"/>
    <mergeCell ref="B1078:C1078"/>
    <mergeCell ref="B1079:C1079"/>
    <mergeCell ref="B1080:C1080"/>
    <mergeCell ref="B1071:C1071"/>
    <mergeCell ref="B1072:C1072"/>
    <mergeCell ref="B1073:C1073"/>
    <mergeCell ref="B1074:C1074"/>
    <mergeCell ref="B1075:C1075"/>
    <mergeCell ref="B1066:C1066"/>
    <mergeCell ref="B1067:C1067"/>
    <mergeCell ref="B1068:C1068"/>
    <mergeCell ref="B1069:C1069"/>
    <mergeCell ref="B1070:C1070"/>
    <mergeCell ref="B1061:C1061"/>
    <mergeCell ref="B1062:C1062"/>
    <mergeCell ref="B1063:C1063"/>
    <mergeCell ref="B1064:C1064"/>
    <mergeCell ref="B1065:C1065"/>
    <mergeCell ref="B1056:C1056"/>
    <mergeCell ref="B1057:C1057"/>
    <mergeCell ref="B1058:C1058"/>
    <mergeCell ref="B1059:C1059"/>
    <mergeCell ref="B1060:C1060"/>
    <mergeCell ref="B1051:C1051"/>
    <mergeCell ref="B1052:C1052"/>
    <mergeCell ref="B1053:C1053"/>
    <mergeCell ref="B1054:C1054"/>
    <mergeCell ref="B1055:C1055"/>
    <mergeCell ref="B1046:C1046"/>
    <mergeCell ref="B1047:C1047"/>
    <mergeCell ref="B1048:C1048"/>
    <mergeCell ref="B1049:C1049"/>
    <mergeCell ref="B1050:C1050"/>
    <mergeCell ref="B1041:C1041"/>
    <mergeCell ref="B1042:C1042"/>
    <mergeCell ref="B1043:C1043"/>
    <mergeCell ref="B1044:C1044"/>
    <mergeCell ref="B1045:C1045"/>
    <mergeCell ref="B1036:C1036"/>
    <mergeCell ref="B1037:C1037"/>
    <mergeCell ref="B1038:C1038"/>
    <mergeCell ref="B1039:C1039"/>
    <mergeCell ref="B1040:C1040"/>
    <mergeCell ref="B1031:C1031"/>
    <mergeCell ref="B1032:C1032"/>
    <mergeCell ref="B1033:C1033"/>
    <mergeCell ref="B1034:C1034"/>
    <mergeCell ref="B1035:C1035"/>
    <mergeCell ref="B1026:C1026"/>
    <mergeCell ref="B1027:C1027"/>
    <mergeCell ref="B1028:C1028"/>
    <mergeCell ref="B1029:C1029"/>
    <mergeCell ref="B1030:C1030"/>
    <mergeCell ref="B1021:C1021"/>
    <mergeCell ref="B1022:C1022"/>
    <mergeCell ref="B1023:C1023"/>
    <mergeCell ref="B1024:C1024"/>
    <mergeCell ref="B1025:C1025"/>
    <mergeCell ref="B1016:C1016"/>
    <mergeCell ref="B1017:C1017"/>
    <mergeCell ref="B1018:C1018"/>
    <mergeCell ref="B1019:C1019"/>
    <mergeCell ref="B1020:C1020"/>
    <mergeCell ref="B1011:C1011"/>
    <mergeCell ref="B1012:C1012"/>
    <mergeCell ref="B1013:C1013"/>
    <mergeCell ref="B1014:C1014"/>
    <mergeCell ref="B1015:C1015"/>
    <mergeCell ref="B1006:C1006"/>
    <mergeCell ref="B1007:C1007"/>
    <mergeCell ref="B1008:C1008"/>
    <mergeCell ref="B1009:C1009"/>
    <mergeCell ref="B1010:C1010"/>
    <mergeCell ref="B1001:C1001"/>
    <mergeCell ref="B1002:C1002"/>
    <mergeCell ref="B1003:C1003"/>
    <mergeCell ref="B1004:C1004"/>
    <mergeCell ref="B1005:C1005"/>
    <mergeCell ref="B996:C996"/>
    <mergeCell ref="B997:C997"/>
    <mergeCell ref="B998:C998"/>
    <mergeCell ref="B999:C999"/>
    <mergeCell ref="B1000:C1000"/>
    <mergeCell ref="B991:C991"/>
    <mergeCell ref="B992:C992"/>
    <mergeCell ref="B993:C993"/>
    <mergeCell ref="B994:C994"/>
    <mergeCell ref="B995:C995"/>
    <mergeCell ref="B986:C986"/>
    <mergeCell ref="B987:C987"/>
    <mergeCell ref="B988:C988"/>
    <mergeCell ref="B989:C989"/>
    <mergeCell ref="B990:C990"/>
    <mergeCell ref="B981:C981"/>
    <mergeCell ref="B982:C982"/>
    <mergeCell ref="B983:C983"/>
    <mergeCell ref="B984:C984"/>
    <mergeCell ref="B985:C985"/>
    <mergeCell ref="B976:C976"/>
    <mergeCell ref="B977:C977"/>
    <mergeCell ref="B978:C978"/>
    <mergeCell ref="B979:C979"/>
    <mergeCell ref="B980:C980"/>
    <mergeCell ref="B971:C971"/>
    <mergeCell ref="B972:C972"/>
    <mergeCell ref="B973:C973"/>
    <mergeCell ref="B974:C974"/>
    <mergeCell ref="B975:C975"/>
    <mergeCell ref="B966:C966"/>
    <mergeCell ref="B967:C967"/>
    <mergeCell ref="B968:C968"/>
    <mergeCell ref="B969:C969"/>
    <mergeCell ref="B970:C970"/>
    <mergeCell ref="B961:C961"/>
    <mergeCell ref="B962:C962"/>
    <mergeCell ref="B963:C963"/>
    <mergeCell ref="B964:C964"/>
    <mergeCell ref="B965:C965"/>
    <mergeCell ref="B956:C956"/>
    <mergeCell ref="B957:C957"/>
    <mergeCell ref="B958:C958"/>
    <mergeCell ref="B959:C959"/>
    <mergeCell ref="B960:C960"/>
    <mergeCell ref="B951:C951"/>
    <mergeCell ref="B952:C952"/>
    <mergeCell ref="B953:C953"/>
    <mergeCell ref="B954:C954"/>
    <mergeCell ref="B955:C955"/>
    <mergeCell ref="B946:C946"/>
    <mergeCell ref="B947:C947"/>
    <mergeCell ref="B948:C948"/>
    <mergeCell ref="B949:C949"/>
    <mergeCell ref="B950:C950"/>
    <mergeCell ref="B941:C941"/>
    <mergeCell ref="B942:C942"/>
    <mergeCell ref="B943:C943"/>
    <mergeCell ref="B944:C944"/>
    <mergeCell ref="B945:C945"/>
    <mergeCell ref="B936:C936"/>
    <mergeCell ref="B937:C937"/>
    <mergeCell ref="B938:C938"/>
    <mergeCell ref="B939:C939"/>
    <mergeCell ref="B940:C940"/>
    <mergeCell ref="B931:C931"/>
    <mergeCell ref="B932:C932"/>
    <mergeCell ref="B933:C933"/>
    <mergeCell ref="B934:C934"/>
    <mergeCell ref="B935:C935"/>
    <mergeCell ref="B926:C926"/>
    <mergeCell ref="B927:C927"/>
    <mergeCell ref="B928:C928"/>
    <mergeCell ref="B929:C929"/>
    <mergeCell ref="B930:C930"/>
    <mergeCell ref="B921:C921"/>
    <mergeCell ref="B922:C922"/>
    <mergeCell ref="B923:C923"/>
    <mergeCell ref="B924:C924"/>
    <mergeCell ref="B925:C925"/>
    <mergeCell ref="B916:C916"/>
    <mergeCell ref="B917:C917"/>
    <mergeCell ref="B918:C918"/>
    <mergeCell ref="B919:C919"/>
    <mergeCell ref="B920:C920"/>
    <mergeCell ref="B911:C911"/>
    <mergeCell ref="B912:C912"/>
    <mergeCell ref="B913:C913"/>
    <mergeCell ref="B914:C914"/>
    <mergeCell ref="B915:C915"/>
    <mergeCell ref="B906:C906"/>
    <mergeCell ref="B907:C907"/>
    <mergeCell ref="B908:C908"/>
    <mergeCell ref="B909:C909"/>
    <mergeCell ref="B910:C910"/>
    <mergeCell ref="B901:C901"/>
    <mergeCell ref="B902:C902"/>
    <mergeCell ref="B903:C903"/>
    <mergeCell ref="B904:C904"/>
    <mergeCell ref="B905:C905"/>
    <mergeCell ref="B896:C896"/>
    <mergeCell ref="B897:C897"/>
    <mergeCell ref="B898:C898"/>
    <mergeCell ref="B899:C899"/>
    <mergeCell ref="B900:C900"/>
    <mergeCell ref="B891:C891"/>
    <mergeCell ref="B892:C892"/>
    <mergeCell ref="B893:C893"/>
    <mergeCell ref="B894:C894"/>
    <mergeCell ref="B895:C895"/>
    <mergeCell ref="B886:C886"/>
    <mergeCell ref="B887:C887"/>
    <mergeCell ref="B888:C888"/>
    <mergeCell ref="B889:C889"/>
    <mergeCell ref="B890:C890"/>
    <mergeCell ref="B881:C881"/>
    <mergeCell ref="B882:C882"/>
    <mergeCell ref="B883:C883"/>
    <mergeCell ref="B884:C884"/>
    <mergeCell ref="B885:C885"/>
    <mergeCell ref="B876:C876"/>
    <mergeCell ref="B877:C877"/>
    <mergeCell ref="B878:C878"/>
    <mergeCell ref="B879:C879"/>
    <mergeCell ref="B880:C880"/>
    <mergeCell ref="B871:C871"/>
    <mergeCell ref="B872:C872"/>
    <mergeCell ref="B873:C873"/>
    <mergeCell ref="B874:C874"/>
    <mergeCell ref="B875:C875"/>
    <mergeCell ref="B866:C866"/>
    <mergeCell ref="B867:C867"/>
    <mergeCell ref="B868:C868"/>
    <mergeCell ref="B869:C869"/>
    <mergeCell ref="B870:C870"/>
    <mergeCell ref="B861:C861"/>
    <mergeCell ref="B862:C862"/>
    <mergeCell ref="B863:C863"/>
    <mergeCell ref="B864:C864"/>
    <mergeCell ref="B865:C865"/>
    <mergeCell ref="B856:C856"/>
    <mergeCell ref="B857:C857"/>
    <mergeCell ref="B858:C858"/>
    <mergeCell ref="B859:C859"/>
    <mergeCell ref="B860:C860"/>
    <mergeCell ref="B851:C851"/>
    <mergeCell ref="B852:C852"/>
    <mergeCell ref="B853:C853"/>
    <mergeCell ref="B854:C854"/>
    <mergeCell ref="B855:C855"/>
    <mergeCell ref="B846:C846"/>
    <mergeCell ref="B847:C847"/>
    <mergeCell ref="B848:C848"/>
    <mergeCell ref="B849:C849"/>
    <mergeCell ref="B850:C850"/>
    <mergeCell ref="B841:C841"/>
    <mergeCell ref="B842:C842"/>
    <mergeCell ref="B843:C843"/>
    <mergeCell ref="B844:C844"/>
    <mergeCell ref="B845:C845"/>
    <mergeCell ref="B836:C836"/>
    <mergeCell ref="B837:C837"/>
    <mergeCell ref="B838:C838"/>
    <mergeCell ref="B839:C839"/>
    <mergeCell ref="B840:C840"/>
    <mergeCell ref="B831:C831"/>
    <mergeCell ref="B832:C832"/>
    <mergeCell ref="B833:C833"/>
    <mergeCell ref="B834:C834"/>
    <mergeCell ref="B835:C835"/>
    <mergeCell ref="B826:C826"/>
    <mergeCell ref="B827:C827"/>
    <mergeCell ref="B828:C828"/>
    <mergeCell ref="B829:C829"/>
    <mergeCell ref="B830:C830"/>
    <mergeCell ref="B821:C821"/>
    <mergeCell ref="B822:C822"/>
    <mergeCell ref="B823:C823"/>
    <mergeCell ref="B824:C824"/>
    <mergeCell ref="B825:C825"/>
    <mergeCell ref="B816:C816"/>
    <mergeCell ref="B817:C817"/>
    <mergeCell ref="B818:C818"/>
    <mergeCell ref="B819:C819"/>
    <mergeCell ref="B820:C820"/>
    <mergeCell ref="B811:C811"/>
    <mergeCell ref="B812:C812"/>
    <mergeCell ref="B813:C813"/>
    <mergeCell ref="B814:C814"/>
    <mergeCell ref="B815:C815"/>
    <mergeCell ref="B806:C806"/>
    <mergeCell ref="B807:C807"/>
    <mergeCell ref="B808:C808"/>
    <mergeCell ref="B809:C809"/>
    <mergeCell ref="B810:C810"/>
    <mergeCell ref="B801:C801"/>
    <mergeCell ref="B802:C802"/>
    <mergeCell ref="B803:C803"/>
    <mergeCell ref="B804:C804"/>
    <mergeCell ref="B805:C805"/>
    <mergeCell ref="B796:C796"/>
    <mergeCell ref="B797:C797"/>
    <mergeCell ref="B798:C798"/>
    <mergeCell ref="B799:C799"/>
    <mergeCell ref="B800:C800"/>
    <mergeCell ref="B791:C791"/>
    <mergeCell ref="B792:C792"/>
    <mergeCell ref="B793:C793"/>
    <mergeCell ref="B794:C794"/>
    <mergeCell ref="B795:C795"/>
    <mergeCell ref="B786:C786"/>
    <mergeCell ref="B787:C787"/>
    <mergeCell ref="B788:C788"/>
    <mergeCell ref="B789:C789"/>
    <mergeCell ref="B790:C790"/>
    <mergeCell ref="B781:C781"/>
    <mergeCell ref="B782:C782"/>
    <mergeCell ref="B783:C783"/>
    <mergeCell ref="B784:C784"/>
    <mergeCell ref="B785:C785"/>
    <mergeCell ref="B776:C776"/>
    <mergeCell ref="B777:C777"/>
    <mergeCell ref="B778:C778"/>
    <mergeCell ref="B779:C779"/>
    <mergeCell ref="B780:C780"/>
    <mergeCell ref="B771:C771"/>
    <mergeCell ref="B772:C772"/>
    <mergeCell ref="B773:C773"/>
    <mergeCell ref="B774:C774"/>
    <mergeCell ref="B775:C775"/>
    <mergeCell ref="B766:C766"/>
    <mergeCell ref="B767:C767"/>
    <mergeCell ref="B768:C768"/>
    <mergeCell ref="B769:C769"/>
    <mergeCell ref="B770:C770"/>
    <mergeCell ref="B761:C761"/>
    <mergeCell ref="B762:C762"/>
    <mergeCell ref="B763:C763"/>
    <mergeCell ref="B764:C764"/>
    <mergeCell ref="B765:C765"/>
    <mergeCell ref="B756:C756"/>
    <mergeCell ref="B757:C757"/>
    <mergeCell ref="B758:C758"/>
    <mergeCell ref="B759:C759"/>
    <mergeCell ref="B760:C760"/>
    <mergeCell ref="B751:C751"/>
    <mergeCell ref="B752:C752"/>
    <mergeCell ref="B753:C753"/>
    <mergeCell ref="B754:C754"/>
    <mergeCell ref="B755:C755"/>
    <mergeCell ref="B746:C746"/>
    <mergeCell ref="B747:C747"/>
    <mergeCell ref="B748:C748"/>
    <mergeCell ref="B749:C749"/>
    <mergeCell ref="B750:C750"/>
    <mergeCell ref="B741:C741"/>
    <mergeCell ref="B742:C742"/>
    <mergeCell ref="B743:C743"/>
    <mergeCell ref="B744:C744"/>
    <mergeCell ref="B745:C745"/>
    <mergeCell ref="B736:C736"/>
    <mergeCell ref="B737:C737"/>
    <mergeCell ref="B738:C738"/>
    <mergeCell ref="B739:C739"/>
    <mergeCell ref="B740:C740"/>
    <mergeCell ref="B731:C731"/>
    <mergeCell ref="B732:C732"/>
    <mergeCell ref="B733:C733"/>
    <mergeCell ref="B734:C734"/>
    <mergeCell ref="B735:C735"/>
    <mergeCell ref="B726:C726"/>
    <mergeCell ref="B727:C727"/>
    <mergeCell ref="B728:C728"/>
    <mergeCell ref="B729:C729"/>
    <mergeCell ref="B730:C730"/>
    <mergeCell ref="B721:C721"/>
    <mergeCell ref="B722:C722"/>
    <mergeCell ref="B723:C723"/>
    <mergeCell ref="B724:C724"/>
    <mergeCell ref="B725:C725"/>
    <mergeCell ref="B716:C716"/>
    <mergeCell ref="B717:C717"/>
    <mergeCell ref="B718:C718"/>
    <mergeCell ref="B719:C719"/>
    <mergeCell ref="B720:C720"/>
    <mergeCell ref="B711:C711"/>
    <mergeCell ref="B712:C712"/>
    <mergeCell ref="B713:C713"/>
    <mergeCell ref="B714:C714"/>
    <mergeCell ref="B715:C715"/>
    <mergeCell ref="B706:C706"/>
    <mergeCell ref="B707:C707"/>
    <mergeCell ref="B708:C708"/>
    <mergeCell ref="B709:C709"/>
    <mergeCell ref="B710:C710"/>
    <mergeCell ref="B701:C701"/>
    <mergeCell ref="B702:C702"/>
    <mergeCell ref="B703:C703"/>
    <mergeCell ref="B704:C704"/>
    <mergeCell ref="B705:C705"/>
    <mergeCell ref="B696:C696"/>
    <mergeCell ref="B697:C697"/>
    <mergeCell ref="B698:C698"/>
    <mergeCell ref="B699:C699"/>
    <mergeCell ref="B700:C700"/>
    <mergeCell ref="B691:C691"/>
    <mergeCell ref="B692:C692"/>
    <mergeCell ref="B693:C693"/>
    <mergeCell ref="B694:C694"/>
    <mergeCell ref="B695:C695"/>
    <mergeCell ref="B686:C686"/>
    <mergeCell ref="B687:C687"/>
    <mergeCell ref="B688:C688"/>
    <mergeCell ref="B689:C689"/>
    <mergeCell ref="B690:C690"/>
    <mergeCell ref="B681:C681"/>
    <mergeCell ref="B682:C682"/>
    <mergeCell ref="B683:C683"/>
    <mergeCell ref="B684:C684"/>
    <mergeCell ref="B685:C685"/>
    <mergeCell ref="B676:C676"/>
    <mergeCell ref="B677:C677"/>
    <mergeCell ref="B678:C678"/>
    <mergeCell ref="B679:C679"/>
    <mergeCell ref="B680:C680"/>
    <mergeCell ref="B671:C671"/>
    <mergeCell ref="B672:C672"/>
    <mergeCell ref="B673:C673"/>
    <mergeCell ref="B674:C674"/>
    <mergeCell ref="B675:C675"/>
    <mergeCell ref="B666:C666"/>
    <mergeCell ref="B667:C667"/>
    <mergeCell ref="B668:C668"/>
    <mergeCell ref="B669:C669"/>
    <mergeCell ref="B670:C670"/>
    <mergeCell ref="B661:C661"/>
    <mergeCell ref="B662:C662"/>
    <mergeCell ref="B663:C663"/>
    <mergeCell ref="B664:C664"/>
    <mergeCell ref="B665:C665"/>
    <mergeCell ref="B656:C656"/>
    <mergeCell ref="B657:C657"/>
    <mergeCell ref="B658:C658"/>
    <mergeCell ref="B659:C659"/>
    <mergeCell ref="B660:C660"/>
    <mergeCell ref="B651:C651"/>
    <mergeCell ref="B652:C652"/>
    <mergeCell ref="B653:C653"/>
    <mergeCell ref="B654:C654"/>
    <mergeCell ref="B655:C655"/>
    <mergeCell ref="B646:C646"/>
    <mergeCell ref="B647:C647"/>
    <mergeCell ref="B648:C648"/>
    <mergeCell ref="B649:C649"/>
    <mergeCell ref="B650:C650"/>
    <mergeCell ref="B641:C641"/>
    <mergeCell ref="B642:C642"/>
    <mergeCell ref="B643:C643"/>
    <mergeCell ref="B644:C644"/>
    <mergeCell ref="B645:C645"/>
    <mergeCell ref="B636:C636"/>
    <mergeCell ref="B637:C637"/>
    <mergeCell ref="B638:C638"/>
    <mergeCell ref="B639:C639"/>
    <mergeCell ref="B640:C640"/>
    <mergeCell ref="B631:C631"/>
    <mergeCell ref="B632:C632"/>
    <mergeCell ref="B633:C633"/>
    <mergeCell ref="B634:C634"/>
    <mergeCell ref="B635:C635"/>
    <mergeCell ref="B626:C626"/>
    <mergeCell ref="B627:C627"/>
    <mergeCell ref="B628:C628"/>
    <mergeCell ref="B629:C629"/>
    <mergeCell ref="B630:C630"/>
    <mergeCell ref="B621:C621"/>
    <mergeCell ref="B622:C622"/>
    <mergeCell ref="B623:C623"/>
    <mergeCell ref="B624:C624"/>
    <mergeCell ref="B625:C625"/>
    <mergeCell ref="B616:C616"/>
    <mergeCell ref="B617:C617"/>
    <mergeCell ref="B618:C618"/>
    <mergeCell ref="B619:C619"/>
    <mergeCell ref="B620:C620"/>
    <mergeCell ref="B611:C611"/>
    <mergeCell ref="B612:C612"/>
    <mergeCell ref="B613:C613"/>
    <mergeCell ref="B614:C614"/>
    <mergeCell ref="B615:C615"/>
    <mergeCell ref="B606:C606"/>
    <mergeCell ref="B607:C607"/>
    <mergeCell ref="B608:C608"/>
    <mergeCell ref="B609:C609"/>
    <mergeCell ref="B610:C610"/>
    <mergeCell ref="B601:C601"/>
    <mergeCell ref="B602:C602"/>
    <mergeCell ref="B603:C603"/>
    <mergeCell ref="B604:C604"/>
    <mergeCell ref="B605:C605"/>
    <mergeCell ref="B596:C596"/>
    <mergeCell ref="B597:C597"/>
    <mergeCell ref="B598:C598"/>
    <mergeCell ref="B599:C599"/>
    <mergeCell ref="B600:C600"/>
    <mergeCell ref="B591:C591"/>
    <mergeCell ref="B592:C592"/>
    <mergeCell ref="B593:C593"/>
    <mergeCell ref="B594:C594"/>
    <mergeCell ref="B595:C595"/>
    <mergeCell ref="B586:C586"/>
    <mergeCell ref="B587:C587"/>
    <mergeCell ref="B588:C588"/>
    <mergeCell ref="B589:C589"/>
    <mergeCell ref="B590:C590"/>
    <mergeCell ref="B581:C581"/>
    <mergeCell ref="B582:C582"/>
    <mergeCell ref="B583:C583"/>
    <mergeCell ref="B584:C584"/>
    <mergeCell ref="B585:C585"/>
    <mergeCell ref="B576:C576"/>
    <mergeCell ref="B577:C577"/>
    <mergeCell ref="B578:C578"/>
    <mergeCell ref="B579:C579"/>
    <mergeCell ref="B580:C580"/>
    <mergeCell ref="B571:C571"/>
    <mergeCell ref="B572:C572"/>
    <mergeCell ref="B573:C573"/>
    <mergeCell ref="B574:C574"/>
    <mergeCell ref="B575:C575"/>
    <mergeCell ref="B566:C566"/>
    <mergeCell ref="B567:C567"/>
    <mergeCell ref="B568:C568"/>
    <mergeCell ref="B569:C569"/>
    <mergeCell ref="B570:C570"/>
    <mergeCell ref="B561:C561"/>
    <mergeCell ref="B562:C562"/>
    <mergeCell ref="B563:C563"/>
    <mergeCell ref="B564:C564"/>
    <mergeCell ref="B565:C565"/>
    <mergeCell ref="B556:C556"/>
    <mergeCell ref="B557:C557"/>
    <mergeCell ref="B558:C558"/>
    <mergeCell ref="B559:C559"/>
    <mergeCell ref="B560:C560"/>
    <mergeCell ref="B551:C551"/>
    <mergeCell ref="B552:C552"/>
    <mergeCell ref="B553:C553"/>
    <mergeCell ref="B554:C554"/>
    <mergeCell ref="B555:C555"/>
    <mergeCell ref="B546:C546"/>
    <mergeCell ref="B547:C547"/>
    <mergeCell ref="B548:C548"/>
    <mergeCell ref="B549:C549"/>
    <mergeCell ref="B550:C550"/>
    <mergeCell ref="B541:C541"/>
    <mergeCell ref="B542:C542"/>
    <mergeCell ref="B543:C543"/>
    <mergeCell ref="B544:C544"/>
    <mergeCell ref="B545:C545"/>
    <mergeCell ref="B536:C536"/>
    <mergeCell ref="B537:C537"/>
    <mergeCell ref="B538:C538"/>
    <mergeCell ref="B539:C539"/>
    <mergeCell ref="B540:C540"/>
    <mergeCell ref="B531:C531"/>
    <mergeCell ref="B532:C532"/>
    <mergeCell ref="B533:C533"/>
    <mergeCell ref="B534:C534"/>
    <mergeCell ref="B535:C535"/>
    <mergeCell ref="B526:C526"/>
    <mergeCell ref="B527:C527"/>
    <mergeCell ref="B528:C528"/>
    <mergeCell ref="B529:C529"/>
    <mergeCell ref="B530:C530"/>
    <mergeCell ref="B521:C521"/>
    <mergeCell ref="B522:C522"/>
    <mergeCell ref="B523:C523"/>
    <mergeCell ref="B524:C524"/>
    <mergeCell ref="B525:C525"/>
    <mergeCell ref="B516:C516"/>
    <mergeCell ref="B517:C517"/>
    <mergeCell ref="B518:C518"/>
    <mergeCell ref="B519:C519"/>
    <mergeCell ref="B520:C520"/>
    <mergeCell ref="B511:C511"/>
    <mergeCell ref="B512:C512"/>
    <mergeCell ref="B513:C513"/>
    <mergeCell ref="B514:C514"/>
    <mergeCell ref="B515:C515"/>
    <mergeCell ref="B506:C506"/>
    <mergeCell ref="B507:C507"/>
    <mergeCell ref="B508:C508"/>
    <mergeCell ref="B509:C509"/>
    <mergeCell ref="B510:C510"/>
    <mergeCell ref="B501:C501"/>
    <mergeCell ref="B502:C502"/>
    <mergeCell ref="B503:C503"/>
    <mergeCell ref="B504:C504"/>
    <mergeCell ref="B505:C505"/>
    <mergeCell ref="B496:C496"/>
    <mergeCell ref="B497:C497"/>
    <mergeCell ref="B498:C498"/>
    <mergeCell ref="B499:C499"/>
    <mergeCell ref="B500:C500"/>
    <mergeCell ref="B491:C491"/>
    <mergeCell ref="B492:C492"/>
    <mergeCell ref="B493:C493"/>
    <mergeCell ref="B494:C494"/>
    <mergeCell ref="B495:C495"/>
    <mergeCell ref="B486:C486"/>
    <mergeCell ref="B487:C487"/>
    <mergeCell ref="B488:C488"/>
    <mergeCell ref="B489:C489"/>
    <mergeCell ref="B490:C490"/>
    <mergeCell ref="B481:C481"/>
    <mergeCell ref="B482:C482"/>
    <mergeCell ref="B483:C483"/>
    <mergeCell ref="B484:C484"/>
    <mergeCell ref="B485:C485"/>
    <mergeCell ref="B476:C476"/>
    <mergeCell ref="B477:C477"/>
    <mergeCell ref="B478:C478"/>
    <mergeCell ref="B479:C479"/>
    <mergeCell ref="B480:C480"/>
    <mergeCell ref="B471:C471"/>
    <mergeCell ref="B472:C472"/>
    <mergeCell ref="B473:C473"/>
    <mergeCell ref="B474:C474"/>
    <mergeCell ref="B475:C475"/>
    <mergeCell ref="B466:C466"/>
    <mergeCell ref="B467:C467"/>
    <mergeCell ref="B468:C468"/>
    <mergeCell ref="B469:C469"/>
    <mergeCell ref="B470:C470"/>
    <mergeCell ref="B461:C461"/>
    <mergeCell ref="B462:C462"/>
    <mergeCell ref="B463:C463"/>
    <mergeCell ref="B464:C464"/>
    <mergeCell ref="B465:C465"/>
    <mergeCell ref="B456:C456"/>
    <mergeCell ref="B457:C457"/>
    <mergeCell ref="B458:C458"/>
    <mergeCell ref="B459:C459"/>
    <mergeCell ref="B460:C460"/>
    <mergeCell ref="B451:C451"/>
    <mergeCell ref="B452:C452"/>
    <mergeCell ref="B453:C453"/>
    <mergeCell ref="B454:C454"/>
    <mergeCell ref="B455:C455"/>
    <mergeCell ref="B446:C446"/>
    <mergeCell ref="B447:C447"/>
    <mergeCell ref="B448:C448"/>
    <mergeCell ref="B449:C449"/>
    <mergeCell ref="B450:C450"/>
    <mergeCell ref="B441:C441"/>
    <mergeCell ref="B442:C442"/>
    <mergeCell ref="B443:C443"/>
    <mergeCell ref="B444:C444"/>
    <mergeCell ref="B445:C445"/>
    <mergeCell ref="B436:C436"/>
    <mergeCell ref="B437:C437"/>
    <mergeCell ref="B438:C438"/>
    <mergeCell ref="B439:C439"/>
    <mergeCell ref="B440:C440"/>
    <mergeCell ref="B431:C431"/>
    <mergeCell ref="B432:C432"/>
    <mergeCell ref="B433:C433"/>
    <mergeCell ref="B434:C434"/>
    <mergeCell ref="B435:C435"/>
    <mergeCell ref="B426:C426"/>
    <mergeCell ref="B427:C427"/>
    <mergeCell ref="B428:C428"/>
    <mergeCell ref="B429:C429"/>
    <mergeCell ref="B430:C430"/>
    <mergeCell ref="B421:C421"/>
    <mergeCell ref="B422:C422"/>
    <mergeCell ref="B423:C423"/>
    <mergeCell ref="B424:C424"/>
    <mergeCell ref="B425:C425"/>
    <mergeCell ref="B416:C416"/>
    <mergeCell ref="B417:C417"/>
    <mergeCell ref="B418:C418"/>
    <mergeCell ref="B419:C419"/>
    <mergeCell ref="B420:C420"/>
    <mergeCell ref="B411:C411"/>
    <mergeCell ref="B412:C412"/>
    <mergeCell ref="B413:C413"/>
    <mergeCell ref="B414:C414"/>
    <mergeCell ref="B415:C415"/>
    <mergeCell ref="B406:C406"/>
    <mergeCell ref="B407:C407"/>
    <mergeCell ref="B408:C408"/>
    <mergeCell ref="B409:C409"/>
    <mergeCell ref="B410:C410"/>
    <mergeCell ref="B401:C401"/>
    <mergeCell ref="B402:C402"/>
    <mergeCell ref="B403:C403"/>
    <mergeCell ref="B404:C404"/>
    <mergeCell ref="B405:C405"/>
    <mergeCell ref="B396:C396"/>
    <mergeCell ref="B397:C397"/>
    <mergeCell ref="B398:C398"/>
    <mergeCell ref="B399:C399"/>
    <mergeCell ref="B400:C400"/>
    <mergeCell ref="B391:C391"/>
    <mergeCell ref="B392:C392"/>
    <mergeCell ref="B393:C393"/>
    <mergeCell ref="B394:C394"/>
    <mergeCell ref="B395:C395"/>
    <mergeCell ref="B386:C386"/>
    <mergeCell ref="B387:C387"/>
    <mergeCell ref="B388:C388"/>
    <mergeCell ref="B389:C389"/>
    <mergeCell ref="B390:C390"/>
    <mergeCell ref="B381:C381"/>
    <mergeCell ref="B382:C382"/>
    <mergeCell ref="B383:C383"/>
    <mergeCell ref="B384:C384"/>
    <mergeCell ref="B385:C385"/>
    <mergeCell ref="B376:C376"/>
    <mergeCell ref="B377:C377"/>
    <mergeCell ref="B378:C378"/>
    <mergeCell ref="B379:C379"/>
    <mergeCell ref="B380:C380"/>
    <mergeCell ref="B371:C371"/>
    <mergeCell ref="B372:C372"/>
    <mergeCell ref="B373:C373"/>
    <mergeCell ref="B374:C374"/>
    <mergeCell ref="B375:C375"/>
    <mergeCell ref="B366:C366"/>
    <mergeCell ref="B367:C367"/>
    <mergeCell ref="B368:C368"/>
    <mergeCell ref="B369:C369"/>
    <mergeCell ref="B370:C370"/>
    <mergeCell ref="B361:C361"/>
    <mergeCell ref="B362:C362"/>
    <mergeCell ref="B363:C363"/>
    <mergeCell ref="B364:C364"/>
    <mergeCell ref="B365:C365"/>
    <mergeCell ref="B356:C356"/>
    <mergeCell ref="B357:C357"/>
    <mergeCell ref="B358:C358"/>
    <mergeCell ref="B359:C359"/>
    <mergeCell ref="B360:C360"/>
    <mergeCell ref="B351:C351"/>
    <mergeCell ref="B352:C352"/>
    <mergeCell ref="B353:C353"/>
    <mergeCell ref="B354:C354"/>
    <mergeCell ref="B355:C355"/>
    <mergeCell ref="B346:C346"/>
    <mergeCell ref="B347:C347"/>
    <mergeCell ref="B348:C348"/>
    <mergeCell ref="B349:C349"/>
    <mergeCell ref="B350:C350"/>
    <mergeCell ref="B341:C341"/>
    <mergeCell ref="B342:C342"/>
    <mergeCell ref="B343:C343"/>
    <mergeCell ref="B344:C344"/>
    <mergeCell ref="B345:C345"/>
    <mergeCell ref="B336:C336"/>
    <mergeCell ref="B337:C337"/>
    <mergeCell ref="B338:C338"/>
    <mergeCell ref="B339:C339"/>
    <mergeCell ref="B340:C340"/>
    <mergeCell ref="B331:C331"/>
    <mergeCell ref="B332:C332"/>
    <mergeCell ref="B333:C333"/>
    <mergeCell ref="B334:C334"/>
    <mergeCell ref="B335:C335"/>
    <mergeCell ref="B326:C326"/>
    <mergeCell ref="B327:C327"/>
    <mergeCell ref="B328:C328"/>
    <mergeCell ref="B329:C329"/>
    <mergeCell ref="B330:C330"/>
    <mergeCell ref="B321:C321"/>
    <mergeCell ref="B322:C322"/>
    <mergeCell ref="B323:C323"/>
    <mergeCell ref="B324:C324"/>
    <mergeCell ref="B325:C325"/>
    <mergeCell ref="B316:C316"/>
    <mergeCell ref="B317:C317"/>
    <mergeCell ref="B318:C318"/>
    <mergeCell ref="B319:C319"/>
    <mergeCell ref="B320:C320"/>
    <mergeCell ref="B311:C311"/>
    <mergeCell ref="B312:C312"/>
    <mergeCell ref="B313:C313"/>
    <mergeCell ref="B314:C314"/>
    <mergeCell ref="B315:C315"/>
    <mergeCell ref="B306:C306"/>
    <mergeCell ref="B307:C307"/>
    <mergeCell ref="B308:C308"/>
    <mergeCell ref="B309:C309"/>
    <mergeCell ref="B310:C310"/>
    <mergeCell ref="B301:C301"/>
    <mergeCell ref="B302:C302"/>
    <mergeCell ref="B303:C303"/>
    <mergeCell ref="B304:C304"/>
    <mergeCell ref="B305:C305"/>
    <mergeCell ref="B296:C296"/>
    <mergeCell ref="B297:C297"/>
    <mergeCell ref="B298:C298"/>
    <mergeCell ref="B299:C299"/>
    <mergeCell ref="B300:C300"/>
    <mergeCell ref="B291:C291"/>
    <mergeCell ref="B292:C292"/>
    <mergeCell ref="B293:C293"/>
    <mergeCell ref="B294:C294"/>
    <mergeCell ref="B295:C295"/>
    <mergeCell ref="B286:C286"/>
    <mergeCell ref="B287:C287"/>
    <mergeCell ref="B288:C288"/>
    <mergeCell ref="B289:C289"/>
    <mergeCell ref="B290:C290"/>
    <mergeCell ref="B281:C281"/>
    <mergeCell ref="B282:C282"/>
    <mergeCell ref="B283:C283"/>
    <mergeCell ref="B284:C284"/>
    <mergeCell ref="B285:C285"/>
    <mergeCell ref="B276:C276"/>
    <mergeCell ref="B277:C277"/>
    <mergeCell ref="B278:C278"/>
    <mergeCell ref="B279:C279"/>
    <mergeCell ref="B280:C280"/>
    <mergeCell ref="B271:C271"/>
    <mergeCell ref="B272:C272"/>
    <mergeCell ref="B273:C273"/>
    <mergeCell ref="B274:C274"/>
    <mergeCell ref="B275:C275"/>
    <mergeCell ref="B266:C266"/>
    <mergeCell ref="B267:C267"/>
    <mergeCell ref="B268:C268"/>
    <mergeCell ref="B269:C269"/>
    <mergeCell ref="B270:C270"/>
    <mergeCell ref="B261:C261"/>
    <mergeCell ref="B262:C262"/>
    <mergeCell ref="B263:C263"/>
    <mergeCell ref="B264:C264"/>
    <mergeCell ref="B265:C265"/>
    <mergeCell ref="B256:C256"/>
    <mergeCell ref="B257:C257"/>
    <mergeCell ref="B258:C258"/>
    <mergeCell ref="B259:C259"/>
    <mergeCell ref="B260:C260"/>
    <mergeCell ref="B251:C251"/>
    <mergeCell ref="B252:C252"/>
    <mergeCell ref="B253:C253"/>
    <mergeCell ref="B254:C254"/>
    <mergeCell ref="B255:C255"/>
    <mergeCell ref="B246:C246"/>
    <mergeCell ref="B247:C247"/>
    <mergeCell ref="B248:C248"/>
    <mergeCell ref="B249:C249"/>
    <mergeCell ref="B250:C250"/>
    <mergeCell ref="B241:C241"/>
    <mergeCell ref="B242:C242"/>
    <mergeCell ref="B243:C243"/>
    <mergeCell ref="B244:C244"/>
    <mergeCell ref="B245:C245"/>
    <mergeCell ref="B236:C236"/>
    <mergeCell ref="B237:C237"/>
    <mergeCell ref="B238:C238"/>
    <mergeCell ref="B239:C239"/>
    <mergeCell ref="B240:C240"/>
    <mergeCell ref="B231:C231"/>
    <mergeCell ref="B232:C232"/>
    <mergeCell ref="B233:C233"/>
    <mergeCell ref="B234:C234"/>
    <mergeCell ref="B235:C235"/>
    <mergeCell ref="B226:C226"/>
    <mergeCell ref="B227:C227"/>
    <mergeCell ref="B228:C228"/>
    <mergeCell ref="B229:C229"/>
    <mergeCell ref="B230:C230"/>
    <mergeCell ref="B221:C221"/>
    <mergeCell ref="B222:C222"/>
    <mergeCell ref="B223:C223"/>
    <mergeCell ref="B224:C224"/>
    <mergeCell ref="B225:C225"/>
    <mergeCell ref="B216:C216"/>
    <mergeCell ref="B217:C217"/>
    <mergeCell ref="B218:C218"/>
    <mergeCell ref="B219:C219"/>
    <mergeCell ref="B220:C220"/>
    <mergeCell ref="B211:C211"/>
    <mergeCell ref="B212:C212"/>
    <mergeCell ref="B213:C213"/>
    <mergeCell ref="B214:C214"/>
    <mergeCell ref="B215:C215"/>
    <mergeCell ref="B206:C206"/>
    <mergeCell ref="B207:C207"/>
    <mergeCell ref="B208:C208"/>
    <mergeCell ref="B209:C209"/>
    <mergeCell ref="B210:C210"/>
    <mergeCell ref="B201:C201"/>
    <mergeCell ref="B202:C202"/>
    <mergeCell ref="B203:C203"/>
    <mergeCell ref="B204:C204"/>
    <mergeCell ref="B205:C205"/>
    <mergeCell ref="B196:C196"/>
    <mergeCell ref="B197:C197"/>
    <mergeCell ref="B198:C198"/>
    <mergeCell ref="B199:C199"/>
    <mergeCell ref="B200:C200"/>
    <mergeCell ref="B191:C191"/>
    <mergeCell ref="B192:C192"/>
    <mergeCell ref="B193:C193"/>
    <mergeCell ref="B194:C194"/>
    <mergeCell ref="B195:C195"/>
    <mergeCell ref="B186:C186"/>
    <mergeCell ref="B187:C187"/>
    <mergeCell ref="B188:C188"/>
    <mergeCell ref="B189:C189"/>
    <mergeCell ref="B190:C190"/>
    <mergeCell ref="B181:C181"/>
    <mergeCell ref="B182:C182"/>
    <mergeCell ref="B183:C183"/>
    <mergeCell ref="B184:C184"/>
    <mergeCell ref="B185:C185"/>
    <mergeCell ref="B176:C176"/>
    <mergeCell ref="B177:C177"/>
    <mergeCell ref="B178:C178"/>
    <mergeCell ref="B179:C179"/>
    <mergeCell ref="B180:C180"/>
    <mergeCell ref="B171:C171"/>
    <mergeCell ref="B172:C172"/>
    <mergeCell ref="B173:C173"/>
    <mergeCell ref="B174:C174"/>
    <mergeCell ref="B175:C175"/>
    <mergeCell ref="B166:C166"/>
    <mergeCell ref="B167:C167"/>
    <mergeCell ref="B168:C168"/>
    <mergeCell ref="B169:C169"/>
    <mergeCell ref="B170:C170"/>
    <mergeCell ref="B161:C161"/>
    <mergeCell ref="B162:C162"/>
    <mergeCell ref="B163:C163"/>
    <mergeCell ref="B164:C164"/>
    <mergeCell ref="B165:C165"/>
    <mergeCell ref="B156:C156"/>
    <mergeCell ref="B157:C157"/>
    <mergeCell ref="B158:C158"/>
    <mergeCell ref="B159:C159"/>
    <mergeCell ref="B160:C160"/>
    <mergeCell ref="B151:C151"/>
    <mergeCell ref="B152:C152"/>
    <mergeCell ref="B153:C153"/>
    <mergeCell ref="B154:C154"/>
    <mergeCell ref="B155:C155"/>
    <mergeCell ref="B146:C146"/>
    <mergeCell ref="B147:C147"/>
    <mergeCell ref="B148:C148"/>
    <mergeCell ref="B149:C149"/>
    <mergeCell ref="B150:C150"/>
    <mergeCell ref="B141:C141"/>
    <mergeCell ref="B142:C142"/>
    <mergeCell ref="B143:C143"/>
    <mergeCell ref="B144:C144"/>
    <mergeCell ref="B145:C145"/>
    <mergeCell ref="B136:C136"/>
    <mergeCell ref="B137:C137"/>
    <mergeCell ref="B138:C138"/>
    <mergeCell ref="B139:C139"/>
    <mergeCell ref="B140:C140"/>
    <mergeCell ref="B131:C131"/>
    <mergeCell ref="B132:C132"/>
    <mergeCell ref="B133:C133"/>
    <mergeCell ref="B134:C134"/>
    <mergeCell ref="B135:C135"/>
    <mergeCell ref="B126:C126"/>
    <mergeCell ref="B127:C127"/>
    <mergeCell ref="B128:C128"/>
    <mergeCell ref="B129:C129"/>
    <mergeCell ref="B130:C130"/>
    <mergeCell ref="B121:C121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111:C111"/>
    <mergeCell ref="B112:C112"/>
    <mergeCell ref="B113:C113"/>
    <mergeCell ref="B114:C114"/>
    <mergeCell ref="B115:C115"/>
    <mergeCell ref="B106:C106"/>
    <mergeCell ref="B107:C107"/>
    <mergeCell ref="B108:C108"/>
    <mergeCell ref="B109:C109"/>
    <mergeCell ref="B110:C110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B99:C99"/>
    <mergeCell ref="B100:C100"/>
    <mergeCell ref="B91:C91"/>
    <mergeCell ref="B92:C92"/>
    <mergeCell ref="B93:C93"/>
    <mergeCell ref="B94:C94"/>
    <mergeCell ref="B95:C95"/>
    <mergeCell ref="B86:C86"/>
    <mergeCell ref="B87:C87"/>
    <mergeCell ref="B88:C88"/>
    <mergeCell ref="B89:C89"/>
    <mergeCell ref="B90:C90"/>
    <mergeCell ref="B81:C81"/>
    <mergeCell ref="B82:C82"/>
    <mergeCell ref="B83:C83"/>
    <mergeCell ref="B84:C84"/>
    <mergeCell ref="B85:C85"/>
    <mergeCell ref="B76:C76"/>
    <mergeCell ref="B77:C77"/>
    <mergeCell ref="B78:C78"/>
    <mergeCell ref="B79:C79"/>
    <mergeCell ref="B80:C80"/>
    <mergeCell ref="B71:C71"/>
    <mergeCell ref="B72:C72"/>
    <mergeCell ref="B73:C73"/>
    <mergeCell ref="B74:C74"/>
    <mergeCell ref="B75:C75"/>
    <mergeCell ref="B66:C66"/>
    <mergeCell ref="B67:C67"/>
    <mergeCell ref="B68:C68"/>
    <mergeCell ref="B69:C69"/>
    <mergeCell ref="B70:C70"/>
    <mergeCell ref="B61:C61"/>
    <mergeCell ref="B62:C62"/>
    <mergeCell ref="B63:C63"/>
    <mergeCell ref="B64:C64"/>
    <mergeCell ref="B65:C65"/>
    <mergeCell ref="B56:C56"/>
    <mergeCell ref="B57:C57"/>
    <mergeCell ref="B58:C58"/>
    <mergeCell ref="B59:C59"/>
    <mergeCell ref="B60:C60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B15:C15"/>
    <mergeCell ref="K7:R7"/>
    <mergeCell ref="I7:J7"/>
    <mergeCell ref="B14:C14"/>
    <mergeCell ref="D14:E14"/>
    <mergeCell ref="I9:R9"/>
    <mergeCell ref="B9:C9"/>
    <mergeCell ref="B10:C10"/>
    <mergeCell ref="B12:G12"/>
    <mergeCell ref="F14:G14"/>
    <mergeCell ref="B31:C31"/>
    <mergeCell ref="B32:C32"/>
    <mergeCell ref="B33:C33"/>
    <mergeCell ref="B34:C34"/>
    <mergeCell ref="B35:C35"/>
    <mergeCell ref="B26:C26"/>
    <mergeCell ref="B27:C27"/>
    <mergeCell ref="B28:C28"/>
    <mergeCell ref="B29:C29"/>
    <mergeCell ref="B30:C30"/>
    <mergeCell ref="B21:C21"/>
    <mergeCell ref="B22:C22"/>
    <mergeCell ref="B23:C23"/>
    <mergeCell ref="B24:C24"/>
    <mergeCell ref="B25:C25"/>
    <mergeCell ref="B16:C16"/>
    <mergeCell ref="B17:C17"/>
    <mergeCell ref="B18:C18"/>
    <mergeCell ref="B19:C19"/>
    <mergeCell ref="B20:C20"/>
  </mergeCells>
  <phoneticPr fontId="0" type="noConversion"/>
  <conditionalFormatting sqref="D9:D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{1CAD1EB9-012D-4E57-87A7-B386B0CDA8DA}</x14:id>
        </ext>
      </extLst>
    </cfRule>
  </conditionalFormatting>
  <conditionalFormatting sqref="G16:G1516">
    <cfRule type="notContainsBlanks" dxfId="2" priority="4">
      <formula>LEN(TRIM(G16))&gt;0</formula>
    </cfRule>
  </conditionalFormatting>
  <conditionalFormatting sqref="B16:B1516">
    <cfRule type="notContainsBlanks" dxfId="1" priority="2">
      <formula>LEN(TRIM(B16))&gt;0</formula>
    </cfRule>
  </conditionalFormatting>
  <conditionalFormatting sqref="B17:G1516">
    <cfRule type="expression" dxfId="0" priority="1">
      <formula>$T17=1</formula>
    </cfRule>
  </conditionalFormatting>
  <dataValidations count="1">
    <dataValidation type="list" allowBlank="1" showInputMessage="1" showErrorMessage="1" sqref="D14" xr:uid="{00000000-0002-0000-0300-000000000000}">
      <formula1>ViewAttributeList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6" r:id="rId4" name="Button 98">
              <controlPr defaultSize="0" autoFill="0" autoPict="0" macro="[0]!clearCompData">
                <anchor moveWithCells="1">
                  <from>
                    <xdr:col>3</xdr:col>
                    <xdr:colOff>254000</xdr:colOff>
                    <xdr:row>18</xdr:row>
                    <xdr:rowOff>177800</xdr:rowOff>
                  </from>
                  <to>
                    <xdr:col>3</xdr:col>
                    <xdr:colOff>914400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5" name="Button 97">
              <controlPr defaultSize="0" autoFill="0" autoPict="0" macro="[0]!exitCompare">
                <anchor moveWithCells="1">
                  <from>
                    <xdr:col>14</xdr:col>
                    <xdr:colOff>330200</xdr:colOff>
                    <xdr:row>18</xdr:row>
                    <xdr:rowOff>177800</xdr:rowOff>
                  </from>
                  <to>
                    <xdr:col>14</xdr:col>
                    <xdr:colOff>660400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6" name="TickerNameDropDown">
              <controlPr defaultSize="0" autoLine="0" autoPict="0">
                <anchor moveWithCells="1">
                  <from>
                    <xdr:col>8</xdr:col>
                    <xdr:colOff>50800</xdr:colOff>
                    <xdr:row>34</xdr:row>
                    <xdr:rowOff>76200</xdr:rowOff>
                  </from>
                  <to>
                    <xdr:col>9</xdr:col>
                    <xdr:colOff>393700</xdr:colOff>
                    <xdr:row>35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7" name="Drop Down 108">
              <controlPr defaultSize="0" autoLine="0" autoPict="0">
                <anchor moveWithCells="1">
                  <from>
                    <xdr:col>4</xdr:col>
                    <xdr:colOff>38100</xdr:colOff>
                    <xdr:row>19</xdr:row>
                    <xdr:rowOff>25400</xdr:rowOff>
                  </from>
                  <to>
                    <xdr:col>5</xdr:col>
                    <xdr:colOff>825500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8" name="Button 110">
              <controlPr defaultSize="0" print="0" autoFill="0" autoPict="0" macro="[0]!shtMain.cmdShowHideComp">
                <anchor moveWithCells="1">
                  <from>
                    <xdr:col>4</xdr:col>
                    <xdr:colOff>114300</xdr:colOff>
                    <xdr:row>5</xdr:row>
                    <xdr:rowOff>88900</xdr:rowOff>
                  </from>
                  <to>
                    <xdr:col>6</xdr:col>
                    <xdr:colOff>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" name="Button 111">
              <controlPr defaultSize="0" print="0" autoFill="0" autoPict="0" macro="[0]!shtMain.cmdSetting">
                <anchor moveWithCells="1">
                  <from>
                    <xdr:col>1</xdr:col>
                    <xdr:colOff>0</xdr:colOff>
                    <xdr:row>5</xdr:row>
                    <xdr:rowOff>88900</xdr:rowOff>
                  </from>
                  <to>
                    <xdr:col>2</xdr:col>
                    <xdr:colOff>279400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0" name="Button 112">
              <controlPr defaultSize="0" print="0" autoFill="0" autoPict="0" macro="[0]!shtMain.cmdUpdate">
                <anchor moveWithCells="1">
                  <from>
                    <xdr:col>2</xdr:col>
                    <xdr:colOff>381000</xdr:colOff>
                    <xdr:row>5</xdr:row>
                    <xdr:rowOff>88900</xdr:rowOff>
                  </from>
                  <to>
                    <xdr:col>4</xdr:col>
                    <xdr:colOff>12700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AD1EB9-012D-4E57-87A7-B386B0CDA8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D9:D10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RepTemplate1"/>
  <dimension ref="B1:BK76"/>
  <sheetViews>
    <sheetView showGridLines="0" showRowColHeaders="0" zoomScaleNormal="100" workbookViewId="0">
      <pane ySplit="10" topLeftCell="A11" activePane="bottomLeft" state="frozen"/>
      <selection pane="bottomLeft" activeCell="C3" sqref="C3"/>
    </sheetView>
  </sheetViews>
  <sheetFormatPr baseColWidth="10" defaultColWidth="9.1640625" defaultRowHeight="15" x14ac:dyDescent="0.2"/>
  <cols>
    <col min="1" max="1" width="1.6640625" style="46" customWidth="1"/>
    <col min="2" max="2" width="13.33203125" style="46" customWidth="1"/>
    <col min="3" max="3" width="9.33203125" style="46" customWidth="1"/>
    <col min="4" max="4" width="11.6640625" style="46" customWidth="1"/>
    <col min="5" max="5" width="1.6640625" style="46" customWidth="1"/>
    <col min="6" max="6" width="7.6640625" style="46" customWidth="1"/>
    <col min="7" max="8" width="11.6640625" style="46" customWidth="1"/>
    <col min="9" max="9" width="10.6640625" style="46" customWidth="1"/>
    <col min="10" max="10" width="13.6640625" style="46" customWidth="1"/>
    <col min="11" max="11" width="1.6640625" style="46" customWidth="1"/>
    <col min="12" max="12" width="13.33203125" style="46" customWidth="1"/>
    <col min="13" max="13" width="8.33203125" style="46" customWidth="1"/>
    <col min="14" max="15" width="9.6640625" style="46" customWidth="1"/>
    <col min="16" max="17" width="11.6640625" style="46" customWidth="1"/>
    <col min="18" max="18" width="10.6640625" style="46" customWidth="1"/>
    <col min="19" max="19" width="13.6640625" style="46" customWidth="1"/>
    <col min="20" max="22" width="10.6640625" style="46" customWidth="1"/>
    <col min="23" max="55" width="9.1640625" style="46"/>
    <col min="56" max="56" width="25.6640625" style="46" customWidth="1"/>
    <col min="57" max="57" width="10.6640625" style="46" customWidth="1"/>
    <col min="58" max="63" width="5.6640625" style="46" customWidth="1"/>
    <col min="64" max="16384" width="9.1640625" style="46"/>
  </cols>
  <sheetData>
    <row r="1" spans="2:63" ht="5" customHeight="1" x14ac:dyDescent="0.2"/>
    <row r="2" spans="2:63" ht="15" customHeight="1" x14ac:dyDescent="0.2"/>
    <row r="3" spans="2:63" ht="15" customHeight="1" x14ac:dyDescent="0.2">
      <c r="C3" s="250" t="s">
        <v>141</v>
      </c>
    </row>
    <row r="4" spans="2:63" ht="15" customHeight="1" x14ac:dyDescent="0.2"/>
    <row r="5" spans="2:63" ht="5" customHeight="1" x14ac:dyDescent="0.2"/>
    <row r="6" spans="2:63" ht="5" customHeight="1" x14ac:dyDescent="0.2"/>
    <row r="7" spans="2:63" x14ac:dyDescent="0.2">
      <c r="B7" s="53" t="s">
        <v>128</v>
      </c>
      <c r="C7" s="182" t="s">
        <v>73</v>
      </c>
      <c r="D7" s="182"/>
      <c r="E7" s="182"/>
      <c r="F7" s="182"/>
      <c r="G7" s="182"/>
      <c r="H7" s="182"/>
      <c r="I7" s="183"/>
      <c r="J7" s="49"/>
      <c r="L7" s="49"/>
      <c r="M7" s="192" t="s">
        <v>7923</v>
      </c>
      <c r="N7" s="180" t="s">
        <v>134</v>
      </c>
      <c r="O7" s="177">
        <v>9301.9549480000005</v>
      </c>
      <c r="Q7" s="53" t="s">
        <v>133</v>
      </c>
      <c r="R7" s="57">
        <v>263</v>
      </c>
    </row>
    <row r="8" spans="2:63" x14ac:dyDescent="0.2">
      <c r="B8" s="54" t="s">
        <v>130</v>
      </c>
      <c r="C8" s="184" t="s">
        <v>7464</v>
      </c>
      <c r="D8" s="184"/>
      <c r="E8" s="184"/>
      <c r="F8" s="184"/>
      <c r="G8" s="184"/>
      <c r="H8" s="184"/>
      <c r="I8" s="185"/>
      <c r="L8" s="49"/>
      <c r="M8" s="193"/>
      <c r="N8" s="170" t="s">
        <v>135</v>
      </c>
      <c r="O8" s="178">
        <v>-7535.1749722999939</v>
      </c>
      <c r="Q8" s="54" t="s">
        <v>112</v>
      </c>
      <c r="R8" s="56">
        <v>2221.898209423201</v>
      </c>
    </row>
    <row r="9" spans="2:63" x14ac:dyDescent="0.2">
      <c r="B9" s="55" t="s">
        <v>129</v>
      </c>
      <c r="C9" s="186" t="str">
        <f>"Report ("&amp;Ccy&amp;") from "&amp;TEXT(StartDate,"dd-mmm-yyyy")&amp;" to "&amp;TEXT(EndDate,"dd-mmm-yyyy")&amp;" on "&amp;Per</f>
        <v>Report (USD) from 02-Jan-2017 to 27-Jan-2024 on Daily</v>
      </c>
      <c r="D9" s="187"/>
      <c r="E9" s="187"/>
      <c r="F9" s="187"/>
      <c r="G9" s="187"/>
      <c r="H9" s="187"/>
      <c r="I9" s="188"/>
      <c r="L9" s="49"/>
      <c r="M9" s="194"/>
      <c r="N9" s="181" t="s">
        <v>136</v>
      </c>
      <c r="O9" s="179">
        <f>SUM($O$7:$O$8)</f>
        <v>1766.7799757000066</v>
      </c>
      <c r="Q9" s="55" t="s">
        <v>137</v>
      </c>
      <c r="R9" s="58">
        <f>$R$8/Main!$E$16</f>
        <v>0.80330045044828102</v>
      </c>
    </row>
    <row r="10" spans="2:63" ht="5" customHeight="1" x14ac:dyDescent="0.2"/>
    <row r="11" spans="2:63" ht="5" customHeight="1" x14ac:dyDescent="0.2"/>
    <row r="12" spans="2:63" ht="15" customHeight="1" x14ac:dyDescent="0.2">
      <c r="B12" s="195" t="str">
        <f>"Breakdown Top 10 Figures (by "&amp;$BG$13&amp;")"</f>
        <v>Breakdown Top 10 Figures (by Market Cap)</v>
      </c>
      <c r="C12" s="196"/>
      <c r="D12" s="197"/>
      <c r="F12" s="189" t="str">
        <f>$C$7</f>
        <v>Equity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1"/>
      <c r="BD12" s="48" t="s">
        <v>138</v>
      </c>
      <c r="BE12" s="48">
        <f>MAX(COUNTA($BD$14:$BD$1048576),1)</f>
        <v>5</v>
      </c>
    </row>
    <row r="13" spans="2:63" x14ac:dyDescent="0.2">
      <c r="B13" s="198"/>
      <c r="C13" s="199"/>
      <c r="D13" s="200"/>
      <c r="F13" s="62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4"/>
      <c r="BD13" s="47" t="s">
        <v>139</v>
      </c>
      <c r="BE13" s="47" t="s">
        <v>140</v>
      </c>
      <c r="BF13" s="47" t="s">
        <v>18</v>
      </c>
      <c r="BG13" s="47" t="s">
        <v>6</v>
      </c>
    </row>
    <row r="14" spans="2:63" x14ac:dyDescent="0.2">
      <c r="B14" s="206" t="str">
        <f>$BG$13</f>
        <v>Market Cap</v>
      </c>
      <c r="C14" s="207"/>
      <c r="D14" s="59" t="str">
        <f>"Flow ("&amp;PROPER([0]!Unit)&amp;")"</f>
        <v>Flow (Bln)</v>
      </c>
      <c r="F14" s="65"/>
      <c r="S14" s="66"/>
      <c r="BD14" s="50" t="s">
        <v>7457</v>
      </c>
      <c r="BE14" s="51">
        <v>1162.258570500001</v>
      </c>
      <c r="BF14" s="52">
        <f>RANK($BE14,$BE$14:$BE$65)</f>
        <v>1</v>
      </c>
      <c r="BG14" s="46">
        <v>1</v>
      </c>
      <c r="BH14" s="46" t="str">
        <f>INDEX($BD$14:$BD$65,MATCH($BG14,$BF$14:$BF$65,0))</f>
        <v>Large-cap</v>
      </c>
      <c r="BI14" s="46">
        <f>INDEX($BE$14:$BE$65,MATCH($BG14,$BF$14:$BF$65,0))</f>
        <v>1162.258570500001</v>
      </c>
      <c r="BJ14" s="46">
        <f>IF($BI14&gt;=0,$BI14,NA())</f>
        <v>1162.258570500001</v>
      </c>
      <c r="BK14" s="46" t="e">
        <f>IF($BI14&lt;0,$BI14,NA())</f>
        <v>#N/A</v>
      </c>
    </row>
    <row r="15" spans="2:63" x14ac:dyDescent="0.2">
      <c r="B15" s="204" t="str">
        <f>IF(ISERROR($BH14),"",$BH14)</f>
        <v>Large-cap</v>
      </c>
      <c r="C15" s="205"/>
      <c r="D15" s="60">
        <f>IF(ISERROR($BI14),"",$BI14)</f>
        <v>1162.258570500001</v>
      </c>
      <c r="F15" s="65"/>
      <c r="S15" s="66"/>
      <c r="BD15" s="50" t="s">
        <v>7458</v>
      </c>
      <c r="BE15" s="51">
        <v>89.360178499999876</v>
      </c>
      <c r="BF15" s="52">
        <f t="shared" ref="BF15:BF65" si="0">RANK($BE15,$BE$14:$BE$65)</f>
        <v>3</v>
      </c>
      <c r="BG15" s="46">
        <v>2</v>
      </c>
      <c r="BH15" s="46" t="str">
        <f t="shared" ref="BH15:BH65" si="1">INDEX($BD$14:$BD$65,MATCH($BG15,$BF$14:$BF$65,0))</f>
        <v>Broad Market</v>
      </c>
      <c r="BI15" s="46">
        <f t="shared" ref="BI15:BI65" si="2">INDEX($BE$14:$BE$65,MATCH($BG15,$BF$14:$BF$65,0))</f>
        <v>468.62850379999844</v>
      </c>
      <c r="BJ15" s="46">
        <f t="shared" ref="BJ15:BJ65" si="3">IF($BI15&gt;=0,$BI15,NA())</f>
        <v>468.62850379999844</v>
      </c>
      <c r="BK15" s="46" t="e">
        <f t="shared" ref="BK15:BK65" si="4">IF($BI15&lt;0,$BI15,NA())</f>
        <v>#N/A</v>
      </c>
    </row>
    <row r="16" spans="2:63" x14ac:dyDescent="0.2">
      <c r="B16" s="204" t="str">
        <f t="shared" ref="B16:B24" si="5">IF(ISERROR($BH15),"",$BH15)</f>
        <v>Broad Market</v>
      </c>
      <c r="C16" s="205"/>
      <c r="D16" s="60">
        <f t="shared" ref="D16:D24" si="6">IF(ISERROR($BI15),"",$BI15)</f>
        <v>468.62850379999844</v>
      </c>
      <c r="F16" s="65"/>
      <c r="S16" s="66"/>
      <c r="BD16" s="50" t="s">
        <v>79</v>
      </c>
      <c r="BE16" s="51">
        <v>468.62850379999844</v>
      </c>
      <c r="BF16" s="52">
        <f t="shared" si="0"/>
        <v>2</v>
      </c>
      <c r="BG16" s="46">
        <v>3</v>
      </c>
      <c r="BH16" s="46" t="str">
        <f t="shared" si="1"/>
        <v>Small-cap</v>
      </c>
      <c r="BI16" s="46">
        <f t="shared" si="2"/>
        <v>89.360178499999876</v>
      </c>
      <c r="BJ16" s="46">
        <f t="shared" si="3"/>
        <v>89.360178499999876</v>
      </c>
      <c r="BK16" s="46" t="e">
        <f t="shared" si="4"/>
        <v>#N/A</v>
      </c>
    </row>
    <row r="17" spans="2:63" x14ac:dyDescent="0.2">
      <c r="B17" s="204" t="str">
        <f t="shared" si="5"/>
        <v>Small-cap</v>
      </c>
      <c r="C17" s="205"/>
      <c r="D17" s="60">
        <f t="shared" si="6"/>
        <v>89.360178499999876</v>
      </c>
      <c r="F17" s="65"/>
      <c r="S17" s="66"/>
      <c r="BD17" s="50" t="s">
        <v>7459</v>
      </c>
      <c r="BE17" s="51">
        <v>47.534776800000095</v>
      </c>
      <c r="BF17" s="52">
        <f t="shared" si="0"/>
        <v>4</v>
      </c>
      <c r="BG17" s="46">
        <v>4</v>
      </c>
      <c r="BH17" s="46" t="str">
        <f t="shared" si="1"/>
        <v>Mid-cap</v>
      </c>
      <c r="BI17" s="46">
        <f t="shared" si="2"/>
        <v>47.534776800000095</v>
      </c>
      <c r="BJ17" s="46">
        <f t="shared" si="3"/>
        <v>47.534776800000095</v>
      </c>
      <c r="BK17" s="46" t="e">
        <f t="shared" si="4"/>
        <v>#N/A</v>
      </c>
    </row>
    <row r="18" spans="2:63" x14ac:dyDescent="0.2">
      <c r="B18" s="204" t="str">
        <f t="shared" si="5"/>
        <v>Mid-cap</v>
      </c>
      <c r="C18" s="205"/>
      <c r="D18" s="60">
        <f t="shared" si="6"/>
        <v>47.534776800000095</v>
      </c>
      <c r="F18" s="65"/>
      <c r="S18" s="66"/>
      <c r="BD18" s="50" t="s">
        <v>7465</v>
      </c>
      <c r="BE18" s="51">
        <v>-1.0020538999999993</v>
      </c>
      <c r="BF18" s="52">
        <f t="shared" si="0"/>
        <v>5</v>
      </c>
      <c r="BG18" s="46">
        <v>5</v>
      </c>
      <c r="BH18" s="46" t="str">
        <f t="shared" si="1"/>
        <v>Other</v>
      </c>
      <c r="BI18" s="46">
        <f t="shared" si="2"/>
        <v>-1.0020538999999993</v>
      </c>
      <c r="BJ18" s="46" t="e">
        <f t="shared" si="3"/>
        <v>#N/A</v>
      </c>
      <c r="BK18" s="46">
        <f t="shared" si="4"/>
        <v>-1.0020538999999993</v>
      </c>
    </row>
    <row r="19" spans="2:63" x14ac:dyDescent="0.2">
      <c r="B19" s="204" t="str">
        <f t="shared" si="5"/>
        <v>Other</v>
      </c>
      <c r="C19" s="205"/>
      <c r="D19" s="60">
        <f t="shared" si="6"/>
        <v>-1.0020538999999993</v>
      </c>
      <c r="F19" s="65"/>
      <c r="S19" s="66"/>
      <c r="BD19" s="50"/>
      <c r="BE19" s="51"/>
      <c r="BF19" s="52" t="e">
        <f t="shared" si="0"/>
        <v>#N/A</v>
      </c>
      <c r="BG19" s="46">
        <v>6</v>
      </c>
      <c r="BH19" s="46" t="e">
        <f t="shared" si="1"/>
        <v>#N/A</v>
      </c>
      <c r="BI19" s="46" t="e">
        <f t="shared" si="2"/>
        <v>#N/A</v>
      </c>
      <c r="BJ19" s="46" t="e">
        <f t="shared" si="3"/>
        <v>#N/A</v>
      </c>
      <c r="BK19" s="46" t="e">
        <f t="shared" si="4"/>
        <v>#N/A</v>
      </c>
    </row>
    <row r="20" spans="2:63" x14ac:dyDescent="0.2">
      <c r="B20" s="204" t="str">
        <f t="shared" si="5"/>
        <v/>
      </c>
      <c r="C20" s="205"/>
      <c r="D20" s="60" t="str">
        <f t="shared" si="6"/>
        <v/>
      </c>
      <c r="F20" s="65"/>
      <c r="S20" s="66"/>
      <c r="BD20" s="50"/>
      <c r="BE20" s="51"/>
      <c r="BF20" s="52" t="e">
        <f t="shared" si="0"/>
        <v>#N/A</v>
      </c>
      <c r="BG20" s="46">
        <v>7</v>
      </c>
      <c r="BH20" s="46" t="e">
        <f t="shared" si="1"/>
        <v>#N/A</v>
      </c>
      <c r="BI20" s="46" t="e">
        <f t="shared" si="2"/>
        <v>#N/A</v>
      </c>
      <c r="BJ20" s="46" t="e">
        <f t="shared" si="3"/>
        <v>#N/A</v>
      </c>
      <c r="BK20" s="46" t="e">
        <f t="shared" si="4"/>
        <v>#N/A</v>
      </c>
    </row>
    <row r="21" spans="2:63" x14ac:dyDescent="0.2">
      <c r="B21" s="204" t="str">
        <f t="shared" si="5"/>
        <v/>
      </c>
      <c r="C21" s="205"/>
      <c r="D21" s="60" t="str">
        <f t="shared" si="6"/>
        <v/>
      </c>
      <c r="F21" s="65"/>
      <c r="S21" s="66"/>
      <c r="BD21" s="50"/>
      <c r="BE21" s="51"/>
      <c r="BF21" s="52" t="e">
        <f t="shared" si="0"/>
        <v>#N/A</v>
      </c>
      <c r="BG21" s="46">
        <v>8</v>
      </c>
      <c r="BH21" s="46" t="e">
        <f t="shared" si="1"/>
        <v>#N/A</v>
      </c>
      <c r="BI21" s="46" t="e">
        <f t="shared" si="2"/>
        <v>#N/A</v>
      </c>
      <c r="BJ21" s="46" t="e">
        <f t="shared" si="3"/>
        <v>#N/A</v>
      </c>
      <c r="BK21" s="46" t="e">
        <f t="shared" si="4"/>
        <v>#N/A</v>
      </c>
    </row>
    <row r="22" spans="2:63" x14ac:dyDescent="0.2">
      <c r="B22" s="204" t="str">
        <f t="shared" si="5"/>
        <v/>
      </c>
      <c r="C22" s="205"/>
      <c r="D22" s="60" t="str">
        <f t="shared" si="6"/>
        <v/>
      </c>
      <c r="F22" s="65"/>
      <c r="S22" s="66"/>
      <c r="BD22" s="50"/>
      <c r="BE22" s="51"/>
      <c r="BF22" s="52" t="e">
        <f t="shared" si="0"/>
        <v>#N/A</v>
      </c>
      <c r="BG22" s="46">
        <v>9</v>
      </c>
      <c r="BH22" s="46" t="e">
        <f t="shared" si="1"/>
        <v>#N/A</v>
      </c>
      <c r="BI22" s="46" t="e">
        <f t="shared" si="2"/>
        <v>#N/A</v>
      </c>
      <c r="BJ22" s="46" t="e">
        <f t="shared" si="3"/>
        <v>#N/A</v>
      </c>
      <c r="BK22" s="46" t="e">
        <f t="shared" si="4"/>
        <v>#N/A</v>
      </c>
    </row>
    <row r="23" spans="2:63" x14ac:dyDescent="0.2">
      <c r="B23" s="204" t="str">
        <f t="shared" si="5"/>
        <v/>
      </c>
      <c r="C23" s="205"/>
      <c r="D23" s="60" t="str">
        <f t="shared" si="6"/>
        <v/>
      </c>
      <c r="F23" s="65"/>
      <c r="S23" s="66"/>
      <c r="BD23" s="50"/>
      <c r="BE23" s="51"/>
      <c r="BF23" s="52" t="e">
        <f t="shared" si="0"/>
        <v>#N/A</v>
      </c>
      <c r="BG23" s="46">
        <v>10</v>
      </c>
      <c r="BH23" s="46" t="e">
        <f t="shared" si="1"/>
        <v>#N/A</v>
      </c>
      <c r="BI23" s="46" t="e">
        <f t="shared" si="2"/>
        <v>#N/A</v>
      </c>
      <c r="BJ23" s="46" t="e">
        <f t="shared" si="3"/>
        <v>#N/A</v>
      </c>
      <c r="BK23" s="46" t="e">
        <f t="shared" si="4"/>
        <v>#N/A</v>
      </c>
    </row>
    <row r="24" spans="2:63" x14ac:dyDescent="0.2">
      <c r="B24" s="211" t="str">
        <f t="shared" si="5"/>
        <v/>
      </c>
      <c r="C24" s="212"/>
      <c r="D24" s="61" t="str">
        <f t="shared" si="6"/>
        <v/>
      </c>
      <c r="F24" s="67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9"/>
      <c r="BD24" s="50"/>
      <c r="BE24" s="51"/>
      <c r="BF24" s="52" t="e">
        <f t="shared" si="0"/>
        <v>#N/A</v>
      </c>
      <c r="BG24" s="46">
        <v>11</v>
      </c>
      <c r="BH24" s="46" t="e">
        <f t="shared" si="1"/>
        <v>#N/A</v>
      </c>
      <c r="BI24" s="46" t="e">
        <f t="shared" si="2"/>
        <v>#N/A</v>
      </c>
      <c r="BJ24" s="46" t="e">
        <f t="shared" si="3"/>
        <v>#N/A</v>
      </c>
      <c r="BK24" s="46" t="e">
        <f t="shared" si="4"/>
        <v>#N/A</v>
      </c>
    </row>
    <row r="25" spans="2:63" ht="5" customHeight="1" x14ac:dyDescent="0.2">
      <c r="BD25" s="50"/>
      <c r="BE25" s="51"/>
      <c r="BF25" s="52" t="e">
        <f t="shared" si="0"/>
        <v>#N/A</v>
      </c>
      <c r="BG25" s="46">
        <v>12</v>
      </c>
      <c r="BH25" s="46" t="e">
        <f t="shared" si="1"/>
        <v>#N/A</v>
      </c>
      <c r="BI25" s="46" t="e">
        <f t="shared" si="2"/>
        <v>#N/A</v>
      </c>
      <c r="BJ25" s="46" t="e">
        <f t="shared" si="3"/>
        <v>#N/A</v>
      </c>
      <c r="BK25" s="46" t="e">
        <f t="shared" si="4"/>
        <v>#N/A</v>
      </c>
    </row>
    <row r="26" spans="2:63" x14ac:dyDescent="0.2">
      <c r="B26" s="192" t="s">
        <v>131</v>
      </c>
      <c r="C26" s="201"/>
      <c r="D26" s="201"/>
      <c r="E26" s="201"/>
      <c r="F26" s="201"/>
      <c r="G26" s="201"/>
      <c r="H26" s="201"/>
      <c r="I26" s="201"/>
      <c r="J26" s="202"/>
      <c r="L26" s="192" t="s">
        <v>132</v>
      </c>
      <c r="M26" s="201"/>
      <c r="N26" s="201"/>
      <c r="O26" s="201"/>
      <c r="P26" s="201"/>
      <c r="Q26" s="201"/>
      <c r="R26" s="201"/>
      <c r="S26" s="202"/>
      <c r="BD26" s="50"/>
      <c r="BE26" s="51"/>
      <c r="BF26" s="52" t="e">
        <f t="shared" si="0"/>
        <v>#N/A</v>
      </c>
      <c r="BG26" s="46">
        <v>13</v>
      </c>
      <c r="BH26" s="46" t="e">
        <f t="shared" si="1"/>
        <v>#N/A</v>
      </c>
      <c r="BI26" s="46" t="e">
        <f t="shared" si="2"/>
        <v>#N/A</v>
      </c>
      <c r="BJ26" s="46" t="e">
        <f t="shared" si="3"/>
        <v>#N/A</v>
      </c>
      <c r="BK26" s="46" t="e">
        <f t="shared" si="4"/>
        <v>#N/A</v>
      </c>
    </row>
    <row r="27" spans="2:63" x14ac:dyDescent="0.2">
      <c r="B27" s="54" t="s">
        <v>50</v>
      </c>
      <c r="C27" s="203" t="s">
        <v>51</v>
      </c>
      <c r="D27" s="203"/>
      <c r="E27" s="203"/>
      <c r="F27" s="203"/>
      <c r="G27" s="70" t="str">
        <f>"Flow ("&amp;PROPER([0]!Unit)&amp;")"</f>
        <v>Flow (Bln)</v>
      </c>
      <c r="H27" s="70" t="str">
        <f>"AUM ("&amp;PROPER([0]!Unit)&amp;")"</f>
        <v>AUM (Bln)</v>
      </c>
      <c r="I27" s="70" t="s">
        <v>115</v>
      </c>
      <c r="J27" s="71" t="str">
        <f>$BG$13</f>
        <v>Market Cap</v>
      </c>
      <c r="L27" s="54" t="s">
        <v>50</v>
      </c>
      <c r="M27" s="203" t="s">
        <v>51</v>
      </c>
      <c r="N27" s="203"/>
      <c r="O27" s="203"/>
      <c r="P27" s="70" t="str">
        <f>"Flow ("&amp;PROPER([0]!Unit)&amp;")"</f>
        <v>Flow (Bln)</v>
      </c>
      <c r="Q27" s="70" t="str">
        <f>"AUM ("&amp;PROPER([0]!Unit)&amp;")"</f>
        <v>AUM (Bln)</v>
      </c>
      <c r="R27" s="70" t="s">
        <v>115</v>
      </c>
      <c r="S27" s="71" t="str">
        <f>$BG$13</f>
        <v>Market Cap</v>
      </c>
      <c r="BD27" s="50"/>
      <c r="BE27" s="51"/>
      <c r="BF27" s="52" t="e">
        <f t="shared" si="0"/>
        <v>#N/A</v>
      </c>
      <c r="BG27" s="46">
        <v>14</v>
      </c>
      <c r="BH27" s="46" t="e">
        <f t="shared" si="1"/>
        <v>#N/A</v>
      </c>
      <c r="BI27" s="46" t="e">
        <f t="shared" si="2"/>
        <v>#N/A</v>
      </c>
      <c r="BJ27" s="46" t="e">
        <f t="shared" si="3"/>
        <v>#N/A</v>
      </c>
      <c r="BK27" s="46" t="e">
        <f t="shared" si="4"/>
        <v>#N/A</v>
      </c>
    </row>
    <row r="28" spans="2:63" x14ac:dyDescent="0.2">
      <c r="B28" s="159" t="str">
        <f>HYPERLINK("bbg://securities/VOO%20US%20EQUITY/DES%20?panel=1","VOO US")</f>
        <v>VOO US</v>
      </c>
      <c r="C28" s="247" t="e">
        <f ca="1">IF($B28="","",HYPERLINK("bbg://securities/"&amp;$B28&amp;" Equity/MHD%20?panel=1",_xll.BDP($B28&amp;" Equity","SECURITY_NAME")))</f>
        <v>#NAME?</v>
      </c>
      <c r="D28" s="209"/>
      <c r="E28" s="209"/>
      <c r="F28" s="209"/>
      <c r="G28" s="162" t="str">
        <f>HYPERLINK("bbg://securities/VOO%20US%20EQUITY/EFMF%20?panel=1","200.89")</f>
        <v>200.89</v>
      </c>
      <c r="H28" s="81">
        <v>56.570599999999999</v>
      </c>
      <c r="I28" s="72">
        <v>3.5511144923334714</v>
      </c>
      <c r="J28" s="75" t="e">
        <f ca="1">IF($B28="","",_xll.BDP($B28&amp;" Equity",$BF$13,"fill=NA"))</f>
        <v>#NAME?</v>
      </c>
      <c r="L28" s="159" t="str">
        <f>HYPERLINK("bbg://securities/EFA%20US%20EQUITY/DES%20?panel=1","EFA US")</f>
        <v>EFA US</v>
      </c>
      <c r="M28" s="247" t="e">
        <f ca="1">IF($L28="","",HYPERLINK("bbg://securities/"&amp;$L28&amp;" Equity/MHD%20?panel=1",_xll.BDP($L28&amp;" Equity","SECURITY_NAME")))</f>
        <v>#NAME?</v>
      </c>
      <c r="N28" s="209"/>
      <c r="O28" s="209"/>
      <c r="P28" s="162" t="str">
        <f>HYPERLINK("bbg://securities/EFA%20US%20EQUITY/EFMF%20?panel=1","-22.35")</f>
        <v>-22.35</v>
      </c>
      <c r="Q28" s="81">
        <v>59.438800000000001</v>
      </c>
      <c r="R28" s="72">
        <v>-0.37609182890637088</v>
      </c>
      <c r="S28" s="75" t="e">
        <f ca="1">IF($L28="","",_xll.BDP($L28&amp;" Equity",$BF$13,"fill=NA"))</f>
        <v>#NAME?</v>
      </c>
      <c r="BD28" s="50"/>
      <c r="BE28" s="51"/>
      <c r="BF28" s="52" t="e">
        <f t="shared" si="0"/>
        <v>#N/A</v>
      </c>
      <c r="BG28" s="46">
        <v>15</v>
      </c>
      <c r="BH28" s="46" t="e">
        <f t="shared" si="1"/>
        <v>#N/A</v>
      </c>
      <c r="BI28" s="46" t="e">
        <f t="shared" si="2"/>
        <v>#N/A</v>
      </c>
      <c r="BJ28" s="46" t="e">
        <f t="shared" si="3"/>
        <v>#N/A</v>
      </c>
      <c r="BK28" s="46" t="e">
        <f t="shared" si="4"/>
        <v>#N/A</v>
      </c>
    </row>
    <row r="29" spans="2:63" x14ac:dyDescent="0.2">
      <c r="B29" s="160" t="str">
        <f>HYPERLINK("bbg://securities/IVV%20US%20EQUITY/DES%20?panel=1","IVV US")</f>
        <v>IVV US</v>
      </c>
      <c r="C29" s="249" t="e">
        <f ca="1">IF($B29="","",HYPERLINK("bbg://securities/"&amp;$B29&amp;" Equity/MHD%20?panel=1",_xll.BDP($B29&amp;" Equity","SECURITY_NAME")))</f>
        <v>#NAME?</v>
      </c>
      <c r="D29" s="208"/>
      <c r="E29" s="208"/>
      <c r="F29" s="208"/>
      <c r="G29" s="163" t="str">
        <f>HYPERLINK("bbg://securities/IVV%20US%20EQUITY/EFMF%20?panel=1","160.96")</f>
        <v>160.96</v>
      </c>
      <c r="H29" s="82">
        <v>90.760999999999996</v>
      </c>
      <c r="I29" s="73">
        <v>1.7734276870021273</v>
      </c>
      <c r="J29" s="76" t="e">
        <f ca="1">IF($B29="","",_xll.BDP($B29&amp;" Equity",$BF$13,"fill=NA"))</f>
        <v>#NAME?</v>
      </c>
      <c r="L29" s="160" t="str">
        <f>HYPERLINK("bbg://securities/EEM%20US%20EQUITY/DES%20?panel=1","EEM US")</f>
        <v>EEM US</v>
      </c>
      <c r="M29" s="249" t="e">
        <f ca="1">IF($L29="","",HYPERLINK("bbg://securities/"&amp;$L29&amp;" Equity/MHD%20?panel=1",_xll.BDP($L29&amp;" Equity","SECURITY_NAME")))</f>
        <v>#NAME?</v>
      </c>
      <c r="N29" s="208"/>
      <c r="O29" s="208"/>
      <c r="P29" s="163" t="str">
        <f>HYPERLINK("bbg://securities/EEM%20US%20EQUITY/EFMF%20?panel=1","-10.08")</f>
        <v>-10.08</v>
      </c>
      <c r="Q29" s="82">
        <v>25.900400000000001</v>
      </c>
      <c r="R29" s="73">
        <v>-0.38901144769964924</v>
      </c>
      <c r="S29" s="76" t="e">
        <f ca="1">IF($L29="","",_xll.BDP($L29&amp;" Equity",$BF$13,"fill=NA"))</f>
        <v>#NAME?</v>
      </c>
      <c r="BD29" s="50"/>
      <c r="BE29" s="51"/>
      <c r="BF29" s="52" t="e">
        <f t="shared" si="0"/>
        <v>#N/A</v>
      </c>
      <c r="BG29" s="46">
        <v>16</v>
      </c>
      <c r="BH29" s="46" t="e">
        <f t="shared" si="1"/>
        <v>#N/A</v>
      </c>
      <c r="BI29" s="46" t="e">
        <f t="shared" si="2"/>
        <v>#N/A</v>
      </c>
      <c r="BJ29" s="46" t="e">
        <f t="shared" si="3"/>
        <v>#N/A</v>
      </c>
      <c r="BK29" s="46" t="e">
        <f t="shared" si="4"/>
        <v>#N/A</v>
      </c>
    </row>
    <row r="30" spans="2:63" x14ac:dyDescent="0.2">
      <c r="B30" s="159" t="str">
        <f>HYPERLINK("bbg://securities/VTI%20US%20EQUITY/DES%20?panel=1","VTI US")</f>
        <v>VTI US</v>
      </c>
      <c r="C30" s="247" t="e">
        <f ca="1">IF($B30="","",HYPERLINK("bbg://securities/"&amp;$B30&amp;" Equity/MHD%20?panel=1",_xll.BDP($B30&amp;" Equity","SECURITY_NAME")))</f>
        <v>#NAME?</v>
      </c>
      <c r="D30" s="209"/>
      <c r="E30" s="209"/>
      <c r="F30" s="209"/>
      <c r="G30" s="162" t="str">
        <f>HYPERLINK("bbg://securities/VTI%20US%20EQUITY/EFMF%20?panel=1","160.88")</f>
        <v>160.88</v>
      </c>
      <c r="H30" s="81">
        <v>69.622899999999987</v>
      </c>
      <c r="I30" s="72">
        <v>2.3107878873186873</v>
      </c>
      <c r="J30" s="75" t="e">
        <f ca="1">IF($B30="","",_xll.BDP($B30&amp;" Equity",$BF$13,"fill=NA"))</f>
        <v>#NAME?</v>
      </c>
      <c r="L30" s="159" t="str">
        <f>HYPERLINK("bbg://securities/HEDJ%20US%20EQUITY/DES%20?panel=1","HEDJ US")</f>
        <v>HEDJ US</v>
      </c>
      <c r="M30" s="247" t="e">
        <f ca="1">IF($L30="","",HYPERLINK("bbg://securities/"&amp;$L30&amp;" Equity/MHD%20?panel=1",_xll.BDP($L30&amp;" Equity","SECURITY_NAME")))</f>
        <v>#NAME?</v>
      </c>
      <c r="N30" s="209"/>
      <c r="O30" s="209"/>
      <c r="P30" s="162" t="str">
        <f>HYPERLINK("bbg://securities/HEDJ%20US%20EQUITY/EFMF%20?panel=1","-8.97")</f>
        <v>-8.97</v>
      </c>
      <c r="Q30" s="81">
        <v>9.2241800000000005</v>
      </c>
      <c r="R30" s="72">
        <v>-0.9719479997137962</v>
      </c>
      <c r="S30" s="75" t="e">
        <f ca="1">IF($L30="","",_xll.BDP($L30&amp;" Equity",$BF$13,"fill=NA"))</f>
        <v>#NAME?</v>
      </c>
      <c r="BD30" s="50"/>
      <c r="BE30" s="51"/>
      <c r="BF30" s="52" t="e">
        <f t="shared" si="0"/>
        <v>#N/A</v>
      </c>
      <c r="BG30" s="46">
        <v>17</v>
      </c>
      <c r="BH30" s="46" t="e">
        <f t="shared" si="1"/>
        <v>#N/A</v>
      </c>
      <c r="BI30" s="46" t="e">
        <f t="shared" si="2"/>
        <v>#N/A</v>
      </c>
      <c r="BJ30" s="46" t="e">
        <f t="shared" si="3"/>
        <v>#N/A</v>
      </c>
      <c r="BK30" s="46" t="e">
        <f t="shared" si="4"/>
        <v>#N/A</v>
      </c>
    </row>
    <row r="31" spans="2:63" x14ac:dyDescent="0.2">
      <c r="B31" s="160" t="str">
        <f>HYPERLINK("bbg://securities/1306%20JP%20EQUITY/DES%20?panel=1","1306 JP")</f>
        <v>1306 JP</v>
      </c>
      <c r="C31" s="249" t="e">
        <f ca="1">IF($B31="","",HYPERLINK("bbg://securities/"&amp;$B31&amp;" Equity/MHD%20?panel=1",_xll.BDP($B31&amp;" Equity","SECURITY_NAME")))</f>
        <v>#NAME?</v>
      </c>
      <c r="D31" s="208"/>
      <c r="E31" s="208"/>
      <c r="F31" s="208"/>
      <c r="G31" s="163" t="str">
        <f>HYPERLINK("bbg://securities/1306%20JP%20EQUITY/EFMF%20?panel=1","84.94")</f>
        <v>84.94</v>
      </c>
      <c r="H31" s="82">
        <v>33.273233900000001</v>
      </c>
      <c r="I31" s="73">
        <v>2.5528324314757933</v>
      </c>
      <c r="J31" s="76" t="e">
        <f ca="1">IF($B31="","",_xll.BDP($B31&amp;" Equity",$BF$13,"fill=NA"))</f>
        <v>#NAME?</v>
      </c>
      <c r="L31" s="160" t="str">
        <f>HYPERLINK("bbg://securities/IWF%20US%20EQUITY/DES%20?panel=1","IWF US")</f>
        <v>IWF US</v>
      </c>
      <c r="M31" s="249" t="e">
        <f ca="1">IF($L31="","",HYPERLINK("bbg://securities/"&amp;$L31&amp;" Equity/MHD%20?panel=1",_xll.BDP($L31&amp;" Equity","SECURITY_NAME")))</f>
        <v>#NAME?</v>
      </c>
      <c r="N31" s="208"/>
      <c r="O31" s="208"/>
      <c r="P31" s="163" t="str">
        <f>HYPERLINK("bbg://securities/IWF%20US%20EQUITY/EFMF%20?panel=1","-7.83")</f>
        <v>-7.83</v>
      </c>
      <c r="Q31" s="82">
        <v>32.414099999999998</v>
      </c>
      <c r="R31" s="73">
        <v>-0.24141914783998303</v>
      </c>
      <c r="S31" s="76" t="e">
        <f ca="1">IF($L31="","",_xll.BDP($L31&amp;" Equity",$BF$13,"fill=NA"))</f>
        <v>#NAME?</v>
      </c>
      <c r="BD31" s="50"/>
      <c r="BE31" s="51"/>
      <c r="BF31" s="52" t="e">
        <f t="shared" si="0"/>
        <v>#N/A</v>
      </c>
      <c r="BG31" s="46">
        <v>18</v>
      </c>
      <c r="BH31" s="46" t="e">
        <f t="shared" si="1"/>
        <v>#N/A</v>
      </c>
      <c r="BI31" s="46" t="e">
        <f t="shared" si="2"/>
        <v>#N/A</v>
      </c>
      <c r="BJ31" s="46" t="e">
        <f t="shared" si="3"/>
        <v>#N/A</v>
      </c>
      <c r="BK31" s="46" t="e">
        <f t="shared" si="4"/>
        <v>#N/A</v>
      </c>
    </row>
    <row r="32" spans="2:63" x14ac:dyDescent="0.2">
      <c r="B32" s="159" t="str">
        <f>HYPERLINK("bbg://securities/IEFA%20US%20EQUITY/DES%20?panel=1","IEFA US")</f>
        <v>IEFA US</v>
      </c>
      <c r="C32" s="247" t="e">
        <f ca="1">IF($B32="","",HYPERLINK("bbg://securities/"&amp;$B32&amp;" Equity/MHD%20?panel=1",_xll.BDP($B32&amp;" Equity","SECURITY_NAME")))</f>
        <v>#NAME?</v>
      </c>
      <c r="D32" s="209"/>
      <c r="E32" s="209"/>
      <c r="F32" s="209"/>
      <c r="G32" s="162" t="str">
        <f>HYPERLINK("bbg://securities/IEFA%20US%20EQUITY/EFMF%20?panel=1","81.08")</f>
        <v>81.08</v>
      </c>
      <c r="H32" s="81">
        <v>15.724299999999999</v>
      </c>
      <c r="I32" s="72">
        <v>5.1565530611855523</v>
      </c>
      <c r="J32" s="75" t="e">
        <f ca="1">IF($B32="","",_xll.BDP($B32&amp;" Equity",$BF$13,"fill=NA"))</f>
        <v>#NAME?</v>
      </c>
      <c r="L32" s="159" t="str">
        <f>HYPERLINK("bbg://securities/MDY%20US%20EQUITY/DES%20?panel=1","MDY US")</f>
        <v>MDY US</v>
      </c>
      <c r="M32" s="247" t="e">
        <f ca="1">IF($L32="","",HYPERLINK("bbg://securities/"&amp;$L32&amp;" Equity/MHD%20?panel=1",_xll.BDP($L32&amp;" Equity","SECURITY_NAME")))</f>
        <v>#NAME?</v>
      </c>
      <c r="N32" s="209"/>
      <c r="O32" s="209"/>
      <c r="P32" s="162" t="str">
        <f>HYPERLINK("bbg://securities/MDY%20US%20EQUITY/EFMF%20?panel=1","-7.40")</f>
        <v>-7.40</v>
      </c>
      <c r="Q32" s="81">
        <v>18.800599999999999</v>
      </c>
      <c r="R32" s="72">
        <v>-0.39363714987819604</v>
      </c>
      <c r="S32" s="75" t="e">
        <f ca="1">IF($L32="","",_xll.BDP($L32&amp;" Equity",$BF$13,"fill=NA"))</f>
        <v>#NAME?</v>
      </c>
      <c r="BD32" s="50"/>
      <c r="BE32" s="51"/>
      <c r="BF32" s="52" t="e">
        <f t="shared" si="0"/>
        <v>#N/A</v>
      </c>
      <c r="BG32" s="46">
        <v>19</v>
      </c>
      <c r="BH32" s="46" t="e">
        <f t="shared" si="1"/>
        <v>#N/A</v>
      </c>
      <c r="BI32" s="46" t="e">
        <f t="shared" si="2"/>
        <v>#N/A</v>
      </c>
      <c r="BJ32" s="46" t="e">
        <f t="shared" si="3"/>
        <v>#N/A</v>
      </c>
      <c r="BK32" s="46" t="e">
        <f t="shared" si="4"/>
        <v>#N/A</v>
      </c>
    </row>
    <row r="33" spans="2:63" x14ac:dyDescent="0.2">
      <c r="B33" s="160" t="str">
        <f>HYPERLINK("bbg://securities/VEA%20US%20EQUITY/DES%20?panel=1","VEA US")</f>
        <v>VEA US</v>
      </c>
      <c r="C33" s="249" t="e">
        <f ca="1">IF($B33="","",HYPERLINK("bbg://securities/"&amp;$B33&amp;" Equity/MHD%20?panel=1",_xll.BDP($B33&amp;" Equity","SECURITY_NAME")))</f>
        <v>#NAME?</v>
      </c>
      <c r="D33" s="208"/>
      <c r="E33" s="208"/>
      <c r="F33" s="208"/>
      <c r="G33" s="163" t="str">
        <f>HYPERLINK("bbg://securities/VEA%20US%20EQUITY/EFMF%20?panel=1","65.98")</f>
        <v>65.98</v>
      </c>
      <c r="H33" s="82">
        <v>40.202400000000004</v>
      </c>
      <c r="I33" s="73">
        <v>1.6411897026048214</v>
      </c>
      <c r="J33" s="76" t="e">
        <f ca="1">IF($B33="","",_xll.BDP($B33&amp;" Equity",$BF$13,"fill=NA"))</f>
        <v>#NAME?</v>
      </c>
      <c r="L33" s="160" t="str">
        <f>HYPERLINK("bbg://securities/MSE%20FP%20EQUITY/DES%20?panel=1","MSE FP")</f>
        <v>MSE FP</v>
      </c>
      <c r="M33" s="249" t="e">
        <f ca="1">IF($L33="","",HYPERLINK("bbg://securities/"&amp;$L33&amp;" Equity/MHD%20?panel=1",_xll.BDP($L33&amp;" Equity","SECURITY_NAME")))</f>
        <v>#NAME?</v>
      </c>
      <c r="N33" s="208"/>
      <c r="O33" s="208"/>
      <c r="P33" s="163" t="str">
        <f>HYPERLINK("bbg://securities/MSE%20FP%20EQUITY/EFMF%20?panel=1","-6.85")</f>
        <v>-6.85</v>
      </c>
      <c r="Q33" s="82">
        <v>7.4129695</v>
      </c>
      <c r="R33" s="73">
        <v>-0.9236427723060241</v>
      </c>
      <c r="S33" s="76" t="e">
        <f ca="1">IF($L33="","",_xll.BDP($L33&amp;" Equity",$BF$13,"fill=NA"))</f>
        <v>#NAME?</v>
      </c>
      <c r="BD33" s="50"/>
      <c r="BE33" s="51"/>
      <c r="BF33" s="52" t="e">
        <f t="shared" si="0"/>
        <v>#N/A</v>
      </c>
      <c r="BG33" s="46">
        <v>20</v>
      </c>
      <c r="BH33" s="46" t="e">
        <f t="shared" si="1"/>
        <v>#N/A</v>
      </c>
      <c r="BI33" s="46" t="e">
        <f t="shared" si="2"/>
        <v>#N/A</v>
      </c>
      <c r="BJ33" s="46" t="e">
        <f t="shared" si="3"/>
        <v>#N/A</v>
      </c>
      <c r="BK33" s="46" t="e">
        <f t="shared" si="4"/>
        <v>#N/A</v>
      </c>
    </row>
    <row r="34" spans="2:63" x14ac:dyDescent="0.2">
      <c r="B34" s="159" t="str">
        <f>HYPERLINK("bbg://securities/QQQ%20US%20EQUITY/DES%20?panel=1","QQQ US")</f>
        <v>QQQ US</v>
      </c>
      <c r="C34" s="247" t="e">
        <f ca="1">IF($B34="","",HYPERLINK("bbg://securities/"&amp;$B34&amp;" Equity/MHD%20?panel=1",_xll.BDP($B34&amp;" Equity","SECURITY_NAME")))</f>
        <v>#NAME?</v>
      </c>
      <c r="D34" s="209"/>
      <c r="E34" s="209"/>
      <c r="F34" s="209"/>
      <c r="G34" s="162" t="str">
        <f>HYPERLINK("bbg://securities/QQQ%20US%20EQUITY/EFMF%20?panel=1","62.80")</f>
        <v>62.80</v>
      </c>
      <c r="H34" s="81">
        <v>41.023699999999998</v>
      </c>
      <c r="I34" s="72">
        <v>1.5308806031635387</v>
      </c>
      <c r="J34" s="75" t="e">
        <f ca="1">IF($B34="","",_xll.BDP($B34&amp;" Equity",$BF$13,"fill=NA"))</f>
        <v>#NAME?</v>
      </c>
      <c r="L34" s="159" t="str">
        <f>HYPERLINK("bbg://securities/DXJ%20US%20EQUITY/DES%20?panel=1","DXJ US")</f>
        <v>DXJ US</v>
      </c>
      <c r="M34" s="247" t="e">
        <f ca="1">IF($L34="","",HYPERLINK("bbg://securities/"&amp;$L34&amp;" Equity/MHD%20?panel=1",_xll.BDP($L34&amp;" Equity","SECURITY_NAME")))</f>
        <v>#NAME?</v>
      </c>
      <c r="N34" s="209"/>
      <c r="O34" s="209"/>
      <c r="P34" s="162" t="str">
        <f>HYPERLINK("bbg://securities/DXJ%20US%20EQUITY/EFMF%20?panel=1","-6.07")</f>
        <v>-6.07</v>
      </c>
      <c r="Q34" s="81">
        <v>7.9660299999999999</v>
      </c>
      <c r="R34" s="72">
        <v>-0.76195684676055664</v>
      </c>
      <c r="S34" s="75" t="e">
        <f ca="1">IF($L34="","",_xll.BDP($L34&amp;" Equity",$BF$13,"fill=NA"))</f>
        <v>#NAME?</v>
      </c>
      <c r="BD34" s="50"/>
      <c r="BE34" s="51"/>
      <c r="BF34" s="52" t="e">
        <f t="shared" si="0"/>
        <v>#N/A</v>
      </c>
      <c r="BG34" s="46">
        <v>21</v>
      </c>
      <c r="BH34" s="46" t="e">
        <f t="shared" si="1"/>
        <v>#N/A</v>
      </c>
      <c r="BI34" s="46" t="e">
        <f t="shared" si="2"/>
        <v>#N/A</v>
      </c>
      <c r="BJ34" s="46" t="e">
        <f t="shared" si="3"/>
        <v>#N/A</v>
      </c>
      <c r="BK34" s="46" t="e">
        <f t="shared" si="4"/>
        <v>#N/A</v>
      </c>
    </row>
    <row r="35" spans="2:63" x14ac:dyDescent="0.2">
      <c r="B35" s="160" t="str">
        <f>HYPERLINK("bbg://securities/IEMG%20US%20EQUITY/DES%20?panel=1","IEMG US")</f>
        <v>IEMG US</v>
      </c>
      <c r="C35" s="249" t="e">
        <f ca="1">IF($B35="","",HYPERLINK("bbg://securities/"&amp;$B35&amp;" Equity/MHD%20?panel=1",_xll.BDP($B35&amp;" Equity","SECURITY_NAME")))</f>
        <v>#NAME?</v>
      </c>
      <c r="D35" s="208"/>
      <c r="E35" s="208"/>
      <c r="F35" s="208"/>
      <c r="G35" s="163" t="str">
        <f>HYPERLINK("bbg://securities/IEMG%20US%20EQUITY/EFMF%20?panel=1","58.58")</f>
        <v>58.58</v>
      </c>
      <c r="H35" s="82">
        <v>17.752599999999997</v>
      </c>
      <c r="I35" s="73">
        <v>3.2998785135698445</v>
      </c>
      <c r="J35" s="76" t="e">
        <f ca="1">IF($B35="","",_xll.BDP($B35&amp;" Equity",$BF$13,"fill=NA"))</f>
        <v>#NAME?</v>
      </c>
      <c r="L35" s="160" t="str">
        <f>HYPERLINK("bbg://securities/1570%20JP%20EQUITY/DES%20?panel=1","1570 JP")</f>
        <v>1570 JP</v>
      </c>
      <c r="M35" s="249" t="e">
        <f ca="1">IF($L35="","",HYPERLINK("bbg://securities/"&amp;$L35&amp;" Equity/MHD%20?panel=1",_xll.BDP($L35&amp;" Equity","SECURITY_NAME")))</f>
        <v>#NAME?</v>
      </c>
      <c r="N35" s="208"/>
      <c r="O35" s="208"/>
      <c r="P35" s="163" t="str">
        <f>HYPERLINK("bbg://securities/1570%20JP%20EQUITY/EFMF%20?panel=1","-5.95")</f>
        <v>-5.95</v>
      </c>
      <c r="Q35" s="82">
        <v>2.8528034999999998</v>
      </c>
      <c r="R35" s="73">
        <v>-2.0873199994321352</v>
      </c>
      <c r="S35" s="76" t="e">
        <f ca="1">IF($L35="","",_xll.BDP($L35&amp;" Equity",$BF$13,"fill=NA"))</f>
        <v>#NAME?</v>
      </c>
      <c r="BD35" s="50"/>
      <c r="BE35" s="51"/>
      <c r="BF35" s="52" t="e">
        <f t="shared" si="0"/>
        <v>#N/A</v>
      </c>
      <c r="BG35" s="46">
        <v>22</v>
      </c>
      <c r="BH35" s="46" t="e">
        <f t="shared" si="1"/>
        <v>#N/A</v>
      </c>
      <c r="BI35" s="46" t="e">
        <f t="shared" si="2"/>
        <v>#N/A</v>
      </c>
      <c r="BJ35" s="46" t="e">
        <f t="shared" si="3"/>
        <v>#N/A</v>
      </c>
      <c r="BK35" s="46" t="e">
        <f t="shared" si="4"/>
        <v>#N/A</v>
      </c>
    </row>
    <row r="36" spans="2:63" x14ac:dyDescent="0.2">
      <c r="B36" s="159" t="str">
        <f>HYPERLINK("bbg://securities/VXUS%20US%20EQUITY/DES%20?panel=1","VXUS US")</f>
        <v>VXUS US</v>
      </c>
      <c r="C36" s="247" t="e">
        <f ca="1">IF($B36="","",HYPERLINK("bbg://securities/"&amp;$B36&amp;" Equity/MHD%20?panel=1",_xll.BDP($B36&amp;" Equity","SECURITY_NAME")))</f>
        <v>#NAME?</v>
      </c>
      <c r="D36" s="209"/>
      <c r="E36" s="209"/>
      <c r="F36" s="209"/>
      <c r="G36" s="162" t="str">
        <f>HYPERLINK("bbg://securities/VXUS%20US%20EQUITY/EFMF%20?panel=1","53.99")</f>
        <v>53.99</v>
      </c>
      <c r="H36" s="81">
        <v>6.4169200000000002</v>
      </c>
      <c r="I36" s="72">
        <v>8.4142172257095265</v>
      </c>
      <c r="J36" s="75" t="e">
        <f ca="1">IF($B36="","",_xll.BDP($B36&amp;" Equity",$BF$13,"fill=NA"))</f>
        <v>#NAME?</v>
      </c>
      <c r="L36" s="159" t="str">
        <f>HYPERLINK("bbg://securities/DAXEX%20GR%20EQUITY/DES%20?panel=1","DAXEX GR")</f>
        <v>DAXEX GR</v>
      </c>
      <c r="M36" s="247" t="e">
        <f ca="1">IF($L36="","",HYPERLINK("bbg://securities/"&amp;$L36&amp;" Equity/MHD%20?panel=1",_xll.BDP($L36&amp;" Equity","SECURITY_NAME")))</f>
        <v>#NAME?</v>
      </c>
      <c r="N36" s="209"/>
      <c r="O36" s="209"/>
      <c r="P36" s="162" t="str">
        <f>HYPERLINK("bbg://securities/DAXEX%20GR%20EQUITY/EFMF%20?panel=1","-5.33")</f>
        <v>-5.33</v>
      </c>
      <c r="Q36" s="81">
        <v>8.5188223999999995</v>
      </c>
      <c r="R36" s="72">
        <v>-0.62539451462211604</v>
      </c>
      <c r="S36" s="75" t="e">
        <f ca="1">IF($L36="","",_xll.BDP($L36&amp;" Equity",$BF$13,"fill=NA"))</f>
        <v>#NAME?</v>
      </c>
      <c r="BD36" s="50"/>
      <c r="BE36" s="51"/>
      <c r="BF36" s="52" t="e">
        <f t="shared" si="0"/>
        <v>#N/A</v>
      </c>
      <c r="BG36" s="46">
        <v>23</v>
      </c>
      <c r="BH36" s="46" t="e">
        <f t="shared" si="1"/>
        <v>#N/A</v>
      </c>
      <c r="BI36" s="46" t="e">
        <f t="shared" si="2"/>
        <v>#N/A</v>
      </c>
      <c r="BJ36" s="46" t="e">
        <f t="shared" si="3"/>
        <v>#N/A</v>
      </c>
      <c r="BK36" s="46" t="e">
        <f t="shared" si="4"/>
        <v>#N/A</v>
      </c>
    </row>
    <row r="37" spans="2:63" x14ac:dyDescent="0.2">
      <c r="B37" s="161" t="str">
        <f>HYPERLINK("bbg://securities/VTV%20US%20EQUITY/DES%20?panel=1","VTV US")</f>
        <v>VTV US</v>
      </c>
      <c r="C37" s="248" t="e">
        <f ca="1">IF($B37="","",HYPERLINK("bbg://securities/"&amp;$B37&amp;" Equity/MHD%20?panel=1",_xll.BDP($B37&amp;" Equity","SECURITY_NAME")))</f>
        <v>#NAME?</v>
      </c>
      <c r="D37" s="210"/>
      <c r="E37" s="210"/>
      <c r="F37" s="210"/>
      <c r="G37" s="164" t="str">
        <f>HYPERLINK("bbg://securities/VTV%20US%20EQUITY/EFMF%20?panel=1","50.33")</f>
        <v>50.33</v>
      </c>
      <c r="H37" s="83">
        <v>27.141500000000001</v>
      </c>
      <c r="I37" s="74">
        <v>1.8544779249488834</v>
      </c>
      <c r="J37" s="77" t="e">
        <f ca="1">IF($B37="","",_xll.BDP($B37&amp;" Equity",$BF$13,"fill=NA"))</f>
        <v>#NAME?</v>
      </c>
      <c r="L37" s="161" t="str">
        <f>HYPERLINK("bbg://securities/DBEF%20US%20EQUITY/DES%20?panel=1","DBEF US")</f>
        <v>DBEF US</v>
      </c>
      <c r="M37" s="248" t="e">
        <f ca="1">IF($L37="","",HYPERLINK("bbg://securities/"&amp;$L37&amp;" Equity/MHD%20?panel=1",_xll.BDP($L37&amp;" Equity","SECURITY_NAME")))</f>
        <v>#NAME?</v>
      </c>
      <c r="N37" s="210"/>
      <c r="O37" s="210"/>
      <c r="P37" s="164" t="str">
        <f>HYPERLINK("bbg://securities/DBEF%20US%20EQUITY/EFMF%20?panel=1","-4.35")</f>
        <v>-4.35</v>
      </c>
      <c r="Q37" s="83">
        <v>7.7768500000000005</v>
      </c>
      <c r="R37" s="74">
        <v>-0.55892374161775071</v>
      </c>
      <c r="S37" s="77" t="e">
        <f ca="1">IF($L37="","",_xll.BDP($L37&amp;" Equity",$BF$13,"fill=NA"))</f>
        <v>#NAME?</v>
      </c>
      <c r="BD37" s="50"/>
      <c r="BE37" s="51"/>
      <c r="BF37" s="52" t="e">
        <f t="shared" si="0"/>
        <v>#N/A</v>
      </c>
      <c r="BG37" s="46">
        <v>24</v>
      </c>
      <c r="BH37" s="46" t="e">
        <f t="shared" si="1"/>
        <v>#N/A</v>
      </c>
      <c r="BI37" s="46" t="e">
        <f t="shared" si="2"/>
        <v>#N/A</v>
      </c>
      <c r="BJ37" s="46" t="e">
        <f t="shared" si="3"/>
        <v>#N/A</v>
      </c>
      <c r="BK37" s="46" t="e">
        <f t="shared" si="4"/>
        <v>#N/A</v>
      </c>
    </row>
    <row r="38" spans="2:63" ht="5" customHeight="1" x14ac:dyDescent="0.2">
      <c r="BD38" s="50"/>
      <c r="BE38" s="51"/>
      <c r="BF38" s="52" t="e">
        <f t="shared" si="0"/>
        <v>#N/A</v>
      </c>
      <c r="BG38" s="46">
        <v>25</v>
      </c>
      <c r="BH38" s="46" t="e">
        <f t="shared" si="1"/>
        <v>#N/A</v>
      </c>
      <c r="BI38" s="46" t="e">
        <f t="shared" si="2"/>
        <v>#N/A</v>
      </c>
      <c r="BJ38" s="46" t="e">
        <f t="shared" si="3"/>
        <v>#N/A</v>
      </c>
      <c r="BK38" s="46" t="e">
        <f t="shared" si="4"/>
        <v>#N/A</v>
      </c>
    </row>
    <row r="39" spans="2:63" x14ac:dyDescent="0.2">
      <c r="B39" s="192" t="s">
        <v>209</v>
      </c>
      <c r="C39" s="201"/>
      <c r="D39" s="201"/>
      <c r="E39" s="201"/>
      <c r="F39" s="201"/>
      <c r="G39" s="201"/>
      <c r="H39" s="201"/>
      <c r="I39" s="201"/>
      <c r="J39" s="202"/>
      <c r="L39" s="192" t="s">
        <v>210</v>
      </c>
      <c r="M39" s="201"/>
      <c r="N39" s="201"/>
      <c r="O39" s="201"/>
      <c r="P39" s="201"/>
      <c r="Q39" s="201"/>
      <c r="R39" s="201"/>
      <c r="S39" s="202"/>
      <c r="BD39" s="50"/>
      <c r="BE39" s="51"/>
      <c r="BF39" s="52" t="e">
        <f t="shared" si="0"/>
        <v>#N/A</v>
      </c>
      <c r="BG39" s="46">
        <v>26</v>
      </c>
      <c r="BH39" s="46" t="e">
        <f t="shared" si="1"/>
        <v>#N/A</v>
      </c>
      <c r="BI39" s="46" t="e">
        <f t="shared" si="2"/>
        <v>#N/A</v>
      </c>
      <c r="BJ39" s="46" t="e">
        <f t="shared" si="3"/>
        <v>#N/A</v>
      </c>
      <c r="BK39" s="46" t="e">
        <f t="shared" si="4"/>
        <v>#N/A</v>
      </c>
    </row>
    <row r="40" spans="2:63" x14ac:dyDescent="0.2">
      <c r="B40" s="54" t="s">
        <v>50</v>
      </c>
      <c r="C40" s="203" t="s">
        <v>51</v>
      </c>
      <c r="D40" s="203"/>
      <c r="E40" s="203"/>
      <c r="F40" s="203"/>
      <c r="G40" s="70" t="s">
        <v>207</v>
      </c>
      <c r="H40" s="70" t="s">
        <v>208</v>
      </c>
      <c r="I40" s="70" t="s">
        <v>115</v>
      </c>
      <c r="J40" s="71" t="str">
        <f>$BG$13</f>
        <v>Market Cap</v>
      </c>
      <c r="L40" s="54" t="s">
        <v>50</v>
      </c>
      <c r="M40" s="203" t="s">
        <v>51</v>
      </c>
      <c r="N40" s="203"/>
      <c r="O40" s="203"/>
      <c r="P40" s="70" t="s">
        <v>207</v>
      </c>
      <c r="Q40" s="70" t="s">
        <v>208</v>
      </c>
      <c r="R40" s="70" t="s">
        <v>115</v>
      </c>
      <c r="S40" s="71" t="str">
        <f>$BG$13</f>
        <v>Market Cap</v>
      </c>
      <c r="BD40" s="50"/>
      <c r="BE40" s="51"/>
      <c r="BF40" s="52" t="e">
        <f t="shared" si="0"/>
        <v>#N/A</v>
      </c>
      <c r="BG40" s="46">
        <v>27</v>
      </c>
      <c r="BH40" s="46" t="e">
        <f t="shared" si="1"/>
        <v>#N/A</v>
      </c>
      <c r="BI40" s="46" t="e">
        <f t="shared" si="2"/>
        <v>#N/A</v>
      </c>
      <c r="BJ40" s="46" t="e">
        <f t="shared" si="3"/>
        <v>#N/A</v>
      </c>
      <c r="BK40" s="46" t="e">
        <f t="shared" si="4"/>
        <v>#N/A</v>
      </c>
    </row>
    <row r="41" spans="2:63" x14ac:dyDescent="0.2">
      <c r="B41" s="159" t="str">
        <f>HYPERLINK("bbg://securities/510180%20CH%20EQUITY/DES%20?panel=1","510180 CH")</f>
        <v>510180 CH</v>
      </c>
      <c r="C41" s="247" t="e">
        <f ca="1">IF($B41="","",HYPERLINK("bbg://securities/"&amp;$B41&amp;" Equity/MHD%20?panel=1",_xll.BDP($B41&amp;" Equity","SECURITY_NAME")))</f>
        <v>#NAME?</v>
      </c>
      <c r="D41" s="209"/>
      <c r="E41" s="209"/>
      <c r="F41" s="209"/>
      <c r="G41" s="162" t="str">
        <f>HYPERLINK("bbg://securities/510180%20CH%20EQUITY/EFMF%20?panel=1","38.08")</f>
        <v>38.08</v>
      </c>
      <c r="H41" s="81">
        <v>2465.1498000000001</v>
      </c>
      <c r="I41" s="72">
        <v>1.544827012135323E-2</v>
      </c>
      <c r="J41" s="75" t="e">
        <f ca="1">IF($B41="","",_xll.BDP($B41&amp;" Equity",$BF$13,"fill=NA"))</f>
        <v>#NAME?</v>
      </c>
      <c r="L41" s="159" t="str">
        <f>HYPERLINK("bbg://securities/TPHG%20FP%20EQUITY/DES%20?panel=1","TPHG FP")</f>
        <v>TPHG FP</v>
      </c>
      <c r="M41" s="247" t="e">
        <f ca="1">IF($L41="","",HYPERLINK("bbg://securities/"&amp;$L41&amp;" Equity/MHD%20?panel=1",_xll.BDP($L41&amp;" Equity","SECURITY_NAME")))</f>
        <v>#NAME?</v>
      </c>
      <c r="N41" s="209"/>
      <c r="O41" s="209"/>
      <c r="P41" s="162" t="str">
        <f>HYPERLINK("bbg://securities/TPHG%20FP%20EQUITY/EFMF%20?panel=1","-1.82")</f>
        <v>-1.82</v>
      </c>
      <c r="Q41" s="81">
        <v>4.2455999999999996</v>
      </c>
      <c r="R41" s="72">
        <v>-0.42879687205577571</v>
      </c>
      <c r="S41" s="75" t="e">
        <f ca="1">IF($L41="","",_xll.BDP($L41&amp;" Equity",$BF$13,"fill=NA"))</f>
        <v>#NAME?</v>
      </c>
      <c r="BD41" s="50"/>
      <c r="BE41" s="51"/>
      <c r="BF41" s="52" t="e">
        <f t="shared" si="0"/>
        <v>#N/A</v>
      </c>
      <c r="BG41" s="46">
        <v>28</v>
      </c>
      <c r="BH41" s="46" t="e">
        <f t="shared" si="1"/>
        <v>#N/A</v>
      </c>
      <c r="BI41" s="46" t="e">
        <f t="shared" si="2"/>
        <v>#N/A</v>
      </c>
      <c r="BJ41" s="46" t="e">
        <f t="shared" si="3"/>
        <v>#N/A</v>
      </c>
      <c r="BK41" s="46" t="e">
        <f t="shared" si="4"/>
        <v>#N/A</v>
      </c>
    </row>
    <row r="42" spans="2:63" x14ac:dyDescent="0.2">
      <c r="B42" s="160" t="str">
        <f>HYPERLINK("bbg://securities/EWA%20US%20EQUITY/DES%20?panel=1","EWA US")</f>
        <v>EWA US</v>
      </c>
      <c r="C42" s="249" t="e">
        <f ca="1">IF($B42="","",HYPERLINK("bbg://securities/"&amp;$B42&amp;" Equity/MHD%20?panel=1",_xll.BDP($B42&amp;" Equity","SECURITY_NAME")))</f>
        <v>#NAME?</v>
      </c>
      <c r="D42" s="208"/>
      <c r="E42" s="208"/>
      <c r="F42" s="208"/>
      <c r="G42" s="163" t="str">
        <f>HYPERLINK("bbg://securities/EWA%20US%20EQUITY/EFMF%20?panel=1","93.43")</f>
        <v>93.43</v>
      </c>
      <c r="H42" s="82">
        <v>1699.32</v>
      </c>
      <c r="I42" s="73">
        <v>5.4983463973824823E-2</v>
      </c>
      <c r="J42" s="76" t="e">
        <f ca="1">IF($B42="","",_xll.BDP($B42&amp;" Equity",$BF$13,"fill=NA"))</f>
        <v>#NAME?</v>
      </c>
      <c r="L42" s="160" t="str">
        <f>HYPERLINK("bbg://securities/IYH%20US%20EQUITY/DES%20?panel=1","IYH US")</f>
        <v>IYH US</v>
      </c>
      <c r="M42" s="249" t="e">
        <f ca="1">IF($L42="","",HYPERLINK("bbg://securities/"&amp;$L42&amp;" Equity/MHD%20?panel=1",_xll.BDP($L42&amp;" Equity","SECURITY_NAME")))</f>
        <v>#NAME?</v>
      </c>
      <c r="N42" s="208"/>
      <c r="O42" s="208"/>
      <c r="P42" s="163" t="str">
        <f>HYPERLINK("bbg://securities/IYH%20US%20EQUITY/EFMF%20?panel=1","-83.84")</f>
        <v>-83.84</v>
      </c>
      <c r="Q42" s="82">
        <v>1823.24</v>
      </c>
      <c r="R42" s="73">
        <v>-4.5986211359996698E-2</v>
      </c>
      <c r="S42" s="76" t="e">
        <f ca="1">IF($L42="","",_xll.BDP($L42&amp;" Equity",$BF$13,"fill=NA"))</f>
        <v>#NAME?</v>
      </c>
      <c r="BD42" s="50"/>
      <c r="BE42" s="51"/>
      <c r="BF42" s="52" t="e">
        <f t="shared" si="0"/>
        <v>#N/A</v>
      </c>
      <c r="BG42" s="46">
        <v>29</v>
      </c>
      <c r="BH42" s="46" t="e">
        <f t="shared" si="1"/>
        <v>#N/A</v>
      </c>
      <c r="BI42" s="46" t="e">
        <f t="shared" si="2"/>
        <v>#N/A</v>
      </c>
      <c r="BJ42" s="46" t="e">
        <f t="shared" si="3"/>
        <v>#N/A</v>
      </c>
      <c r="BK42" s="46" t="e">
        <f t="shared" si="4"/>
        <v>#N/A</v>
      </c>
    </row>
    <row r="43" spans="2:63" x14ac:dyDescent="0.2">
      <c r="B43" s="159" t="str">
        <f>HYPERLINK("bbg://securities/XLB%20US%20EQUITY/DES%20?panel=1","XLB US")</f>
        <v>XLB US</v>
      </c>
      <c r="C43" s="247" t="e">
        <f ca="1">IF($B43="","",HYPERLINK("bbg://securities/"&amp;$B43&amp;" Equity/MHD%20?panel=1",_xll.BDP($B43&amp;" Equity","SECURITY_NAME")))</f>
        <v>#NAME?</v>
      </c>
      <c r="D43" s="209"/>
      <c r="E43" s="209"/>
      <c r="F43" s="209"/>
      <c r="G43" s="162" t="str">
        <f>HYPERLINK("bbg://securities/XLB%20US%20EQUITY/EFMF%20?panel=1","98.82")</f>
        <v>98.82</v>
      </c>
      <c r="H43" s="81">
        <v>3649.1729999999998</v>
      </c>
      <c r="I43" s="72">
        <v>2.7080848181217462E-2</v>
      </c>
      <c r="J43" s="75" t="e">
        <f ca="1">IF($B43="","",_xll.BDP($B43&amp;" Equity",$BF$13,"fill=NA"))</f>
        <v>#NAME?</v>
      </c>
      <c r="L43" s="159" t="str">
        <f>HYPERLINK("bbg://securities/DES%20US%20EQUITY/DES%20?panel=1","DES US")</f>
        <v>DES US</v>
      </c>
      <c r="M43" s="247" t="e">
        <f ca="1">IF($L43="","",HYPERLINK("bbg://securities/"&amp;$L43&amp;" Equity/MHD%20?panel=1",_xll.BDP($L43&amp;" Equity","SECURITY_NAME")))</f>
        <v>#NAME?</v>
      </c>
      <c r="N43" s="209"/>
      <c r="O43" s="209"/>
      <c r="P43" s="162" t="str">
        <f>HYPERLINK("bbg://securities/DES%20US%20EQUITY/EFMF%20?panel=1","-115.45")</f>
        <v>-115.45</v>
      </c>
      <c r="Q43" s="81">
        <v>1964.6</v>
      </c>
      <c r="R43" s="72">
        <v>-5.8763616003257642E-2</v>
      </c>
      <c r="S43" s="75" t="e">
        <f ca="1">IF($L43="","",_xll.BDP($L43&amp;" Equity",$BF$13,"fill=NA"))</f>
        <v>#NAME?</v>
      </c>
      <c r="BD43" s="50"/>
      <c r="BE43" s="51"/>
      <c r="BF43" s="52" t="e">
        <f t="shared" si="0"/>
        <v>#N/A</v>
      </c>
      <c r="BG43" s="46">
        <v>30</v>
      </c>
      <c r="BH43" s="46" t="e">
        <f t="shared" si="1"/>
        <v>#N/A</v>
      </c>
      <c r="BI43" s="46" t="e">
        <f t="shared" si="2"/>
        <v>#N/A</v>
      </c>
      <c r="BJ43" s="46" t="e">
        <f t="shared" si="3"/>
        <v>#N/A</v>
      </c>
      <c r="BK43" s="46" t="e">
        <f t="shared" si="4"/>
        <v>#N/A</v>
      </c>
    </row>
    <row r="44" spans="2:63" x14ac:dyDescent="0.2">
      <c r="B44" s="160" t="str">
        <f>HYPERLINK("bbg://securities/VAW%20US%20EQUITY/DES%20?panel=1","VAW US")</f>
        <v>VAW US</v>
      </c>
      <c r="C44" s="249" t="e">
        <f ca="1">IF($B44="","",HYPERLINK("bbg://securities/"&amp;$B44&amp;" Equity/MHD%20?panel=1",_xll.BDP($B44&amp;" Equity","SECURITY_NAME")))</f>
        <v>#NAME?</v>
      </c>
      <c r="D44" s="208"/>
      <c r="E44" s="208"/>
      <c r="F44" s="208"/>
      <c r="G44" s="163" t="str">
        <f>HYPERLINK("bbg://securities/VAW%20US%20EQUITY/EFMF%20?panel=1","172.51")</f>
        <v>172.51</v>
      </c>
      <c r="H44" s="82">
        <v>1671.15</v>
      </c>
      <c r="I44" s="73">
        <v>0.1032262813032942</v>
      </c>
      <c r="J44" s="76" t="e">
        <f ca="1">IF($B44="","",_xll.BDP($B44&amp;" Equity",$BF$13,"fill=NA"))</f>
        <v>#NAME?</v>
      </c>
      <c r="L44" s="160" t="str">
        <f>HYPERLINK("bbg://securities/CSSX5E%20SW%20EQUITY/DES%20?panel=1","CSSX5E SW")</f>
        <v>CSSX5E SW</v>
      </c>
      <c r="M44" s="249" t="e">
        <f ca="1">IF($L44="","",HYPERLINK("bbg://securities/"&amp;$L44&amp;" Equity/MHD%20?panel=1",_xll.BDP($L44&amp;" Equity","SECURITY_NAME")))</f>
        <v>#NAME?</v>
      </c>
      <c r="N44" s="208"/>
      <c r="O44" s="208"/>
      <c r="P44" s="163" t="str">
        <f>HYPERLINK("bbg://securities/CSSX5E%20SW%20EQUITY/EFMF%20?panel=1","-119.16")</f>
        <v>-119.16</v>
      </c>
      <c r="Q44" s="82">
        <v>2374.1086</v>
      </c>
      <c r="R44" s="73">
        <v>-5.0189700673339818E-2</v>
      </c>
      <c r="S44" s="76" t="e">
        <f ca="1">IF($L44="","",_xll.BDP($L44&amp;" Equity",$BF$13,"fill=NA"))</f>
        <v>#NAME?</v>
      </c>
      <c r="BD44" s="50"/>
      <c r="BE44" s="51"/>
      <c r="BF44" s="52" t="e">
        <f t="shared" si="0"/>
        <v>#N/A</v>
      </c>
      <c r="BG44" s="46">
        <v>31</v>
      </c>
      <c r="BH44" s="46" t="e">
        <f t="shared" si="1"/>
        <v>#N/A</v>
      </c>
      <c r="BI44" s="46" t="e">
        <f t="shared" si="2"/>
        <v>#N/A</v>
      </c>
      <c r="BJ44" s="46" t="e">
        <f t="shared" si="3"/>
        <v>#N/A</v>
      </c>
      <c r="BK44" s="46" t="e">
        <f t="shared" si="4"/>
        <v>#N/A</v>
      </c>
    </row>
    <row r="45" spans="2:63" x14ac:dyDescent="0.2">
      <c r="B45" s="159" t="str">
        <f>HYPERLINK("bbg://securities/HEFA%20US%20EQUITY/DES%20?panel=1","HEFA US")</f>
        <v>HEFA US</v>
      </c>
      <c r="C45" s="247" t="e">
        <f ca="1">IF($B45="","",HYPERLINK("bbg://securities/"&amp;$B45&amp;" Equity/MHD%20?panel=1",_xll.BDP($B45&amp;" Equity","SECURITY_NAME")))</f>
        <v>#NAME?</v>
      </c>
      <c r="D45" s="209"/>
      <c r="E45" s="209"/>
      <c r="F45" s="209"/>
      <c r="G45" s="162" t="str">
        <f>HYPERLINK("bbg://securities/HEFA%20US%20EQUITY/EFMF%20?panel=1","173.28")</f>
        <v>173.28</v>
      </c>
      <c r="H45" s="81">
        <v>3211.45</v>
      </c>
      <c r="I45" s="72">
        <v>5.3957931775366279E-2</v>
      </c>
      <c r="J45" s="75" t="e">
        <f ca="1">IF($B45="","",_xll.BDP($B45&amp;" Equity",$BF$13,"fill=NA"))</f>
        <v>#NAME?</v>
      </c>
      <c r="L45" s="159" t="str">
        <f>HYPERLINK("bbg://securities/FXR%20US%20EQUITY/DES%20?panel=1","FXR US")</f>
        <v>FXR US</v>
      </c>
      <c r="M45" s="247" t="e">
        <f ca="1">IF($L45="","",HYPERLINK("bbg://securities/"&amp;$L45&amp;" Equity/MHD%20?panel=1",_xll.BDP($L45&amp;" Equity","SECURITY_NAME")))</f>
        <v>#NAME?</v>
      </c>
      <c r="N45" s="209"/>
      <c r="O45" s="209"/>
      <c r="P45" s="162" t="str">
        <f>HYPERLINK("bbg://securities/FXR%20US%20EQUITY/EFMF%20?panel=1","-181.05")</f>
        <v>-181.05</v>
      </c>
      <c r="Q45" s="81">
        <v>1380.96</v>
      </c>
      <c r="R45" s="72">
        <v>-0.13110763526821953</v>
      </c>
      <c r="S45" s="75" t="e">
        <f ca="1">IF($L45="","",_xll.BDP($L45&amp;" Equity",$BF$13,"fill=NA"))</f>
        <v>#NAME?</v>
      </c>
      <c r="BD45" s="50"/>
      <c r="BE45" s="51"/>
      <c r="BF45" s="52" t="e">
        <f t="shared" si="0"/>
        <v>#N/A</v>
      </c>
      <c r="BG45" s="46">
        <v>32</v>
      </c>
      <c r="BH45" s="46" t="e">
        <f t="shared" si="1"/>
        <v>#N/A</v>
      </c>
      <c r="BI45" s="46" t="e">
        <f t="shared" si="2"/>
        <v>#N/A</v>
      </c>
      <c r="BJ45" s="46" t="e">
        <f t="shared" si="3"/>
        <v>#N/A</v>
      </c>
      <c r="BK45" s="46" t="e">
        <f t="shared" si="4"/>
        <v>#N/A</v>
      </c>
    </row>
    <row r="46" spans="2:63" x14ac:dyDescent="0.2">
      <c r="B46" s="160" t="str">
        <f>HYPERLINK("bbg://securities/SPHD%20US%20EQUITY/DES%20?panel=1","SPHD US")</f>
        <v>SPHD US</v>
      </c>
      <c r="C46" s="249" t="e">
        <f ca="1">IF($B46="","",HYPERLINK("bbg://securities/"&amp;$B46&amp;" Equity/MHD%20?panel=1",_xll.BDP($B46&amp;" Equity","SECURITY_NAME")))</f>
        <v>#NAME?</v>
      </c>
      <c r="D46" s="208"/>
      <c r="E46" s="208"/>
      <c r="F46" s="208"/>
      <c r="G46" s="163" t="str">
        <f>HYPERLINK("bbg://securities/SPHD%20US%20EQUITY/EFMF%20?panel=1","180.70")</f>
        <v>180.70</v>
      </c>
      <c r="H46" s="82">
        <v>2803.33</v>
      </c>
      <c r="I46" s="73">
        <v>6.4457734194689809E-2</v>
      </c>
      <c r="J46" s="76" t="e">
        <f ca="1">IF($B46="","",_xll.BDP($B46&amp;" Equity",$BF$13,"fill=NA"))</f>
        <v>#NAME?</v>
      </c>
      <c r="L46" s="160" t="str">
        <f>HYPERLINK("bbg://securities/PRFZ%20US%20EQUITY/DES%20?panel=1","PRFZ US")</f>
        <v>PRFZ US</v>
      </c>
      <c r="M46" s="249" t="e">
        <f ca="1">IF($L46="","",HYPERLINK("bbg://securities/"&amp;$L46&amp;" Equity/MHD%20?panel=1",_xll.BDP($L46&amp;" Equity","SECURITY_NAME")))</f>
        <v>#NAME?</v>
      </c>
      <c r="N46" s="208"/>
      <c r="O46" s="208"/>
      <c r="P46" s="163" t="str">
        <f>HYPERLINK("bbg://securities/PRFZ%20US%20EQUITY/EFMF%20?panel=1","-182.52")</f>
        <v>-182.52</v>
      </c>
      <c r="Q46" s="82">
        <v>1585.24</v>
      </c>
      <c r="R46" s="73">
        <v>-0.11513606772476102</v>
      </c>
      <c r="S46" s="76" t="e">
        <f ca="1">IF($L46="","",_xll.BDP($L46&amp;" Equity",$BF$13,"fill=NA"))</f>
        <v>#NAME?</v>
      </c>
      <c r="BD46" s="50"/>
      <c r="BE46" s="51"/>
      <c r="BF46" s="52" t="e">
        <f t="shared" si="0"/>
        <v>#N/A</v>
      </c>
      <c r="BG46" s="46">
        <v>33</v>
      </c>
      <c r="BH46" s="46" t="e">
        <f t="shared" si="1"/>
        <v>#N/A</v>
      </c>
      <c r="BI46" s="46" t="e">
        <f t="shared" si="2"/>
        <v>#N/A</v>
      </c>
      <c r="BJ46" s="46" t="e">
        <f t="shared" si="3"/>
        <v>#N/A</v>
      </c>
      <c r="BK46" s="46" t="e">
        <f t="shared" si="4"/>
        <v>#N/A</v>
      </c>
    </row>
    <row r="47" spans="2:63" x14ac:dyDescent="0.2">
      <c r="B47" s="159" t="str">
        <f>HYPERLINK("bbg://securities/DON%20US%20EQUITY/DES%20?panel=1","DON US")</f>
        <v>DON US</v>
      </c>
      <c r="C47" s="247" t="e">
        <f ca="1">IF($B47="","",HYPERLINK("bbg://securities/"&amp;$B47&amp;" Equity/MHD%20?panel=1",_xll.BDP($B47&amp;" Equity","SECURITY_NAME")))</f>
        <v>#NAME?</v>
      </c>
      <c r="D47" s="209"/>
      <c r="E47" s="209"/>
      <c r="F47" s="209"/>
      <c r="G47" s="162" t="str">
        <f>HYPERLINK("bbg://securities/DON%20US%20EQUITY/EFMF%20?panel=1","187.98")</f>
        <v>187.98</v>
      </c>
      <c r="H47" s="81">
        <v>2439.7199999999998</v>
      </c>
      <c r="I47" s="72">
        <v>7.7050030331349245E-2</v>
      </c>
      <c r="J47" s="75" t="e">
        <f ca="1">IF($B47="","",_xll.BDP($B47&amp;" Equity",$BF$13,"fill=NA"))</f>
        <v>#NAME?</v>
      </c>
      <c r="L47" s="159" t="str">
        <f>HYPERLINK("bbg://securities/IPRP%20LN%20EQUITY/DES%20?panel=1","IPRP LN")</f>
        <v>IPRP LN</v>
      </c>
      <c r="M47" s="247" t="e">
        <f ca="1">IF($L47="","",HYPERLINK("bbg://securities/"&amp;$L47&amp;" Equity/MHD%20?panel=1",_xll.BDP($L47&amp;" Equity","SECURITY_NAME")))</f>
        <v>#NAME?</v>
      </c>
      <c r="N47" s="209"/>
      <c r="O47" s="209"/>
      <c r="P47" s="162" t="str">
        <f>HYPERLINK("bbg://securities/IPRP%20LN%20EQUITY/EFMF%20?panel=1","-205.78")</f>
        <v>-205.78</v>
      </c>
      <c r="Q47" s="81">
        <v>1587.0362</v>
      </c>
      <c r="R47" s="72">
        <v>-0.12966396103630143</v>
      </c>
      <c r="S47" s="75" t="e">
        <f ca="1">IF($L47="","",_xll.BDP($L47&amp;" Equity",$BF$13,"fill=NA"))</f>
        <v>#NAME?</v>
      </c>
      <c r="BD47" s="50"/>
      <c r="BE47" s="51"/>
      <c r="BF47" s="52" t="e">
        <f t="shared" si="0"/>
        <v>#N/A</v>
      </c>
      <c r="BG47" s="46">
        <v>34</v>
      </c>
      <c r="BH47" s="46" t="e">
        <f t="shared" si="1"/>
        <v>#N/A</v>
      </c>
      <c r="BI47" s="46" t="e">
        <f t="shared" si="2"/>
        <v>#N/A</v>
      </c>
      <c r="BJ47" s="46" t="e">
        <f t="shared" si="3"/>
        <v>#N/A</v>
      </c>
      <c r="BK47" s="46" t="e">
        <f t="shared" si="4"/>
        <v>#N/A</v>
      </c>
    </row>
    <row r="48" spans="2:63" x14ac:dyDescent="0.2">
      <c r="B48" s="160" t="str">
        <f>HYPERLINK("bbg://securities/UDVD%20LN%20EQUITY/DES%20?panel=1","UDVD LN")</f>
        <v>UDVD LN</v>
      </c>
      <c r="C48" s="249" t="e">
        <f ca="1">IF($B48="","",HYPERLINK("bbg://securities/"&amp;$B48&amp;" Equity/MHD%20?panel=1",_xll.BDP($B48&amp;" Equity","SECURITY_NAME")))</f>
        <v>#NAME?</v>
      </c>
      <c r="D48" s="208"/>
      <c r="E48" s="208"/>
      <c r="F48" s="208"/>
      <c r="G48" s="163" t="str">
        <f>HYPERLINK("bbg://securities/UDVD%20LN%20EQUITY/EFMF%20?panel=1","198.46")</f>
        <v>198.46</v>
      </c>
      <c r="H48" s="82">
        <v>2682.33</v>
      </c>
      <c r="I48" s="73">
        <v>7.3988733675573029E-2</v>
      </c>
      <c r="J48" s="76" t="e">
        <f ca="1">IF($B48="","",_xll.BDP($B48&amp;" Equity",$BF$13,"fill=NA"))</f>
        <v>#NAME?</v>
      </c>
      <c r="L48" s="160" t="str">
        <f>HYPERLINK("bbg://securities/ESD%20FP%20EQUITY/DES%20?panel=1","ESD FP")</f>
        <v>ESD FP</v>
      </c>
      <c r="M48" s="249" t="e">
        <f ca="1">IF($L48="","",HYPERLINK("bbg://securities/"&amp;$L48&amp;" Equity/MHD%20?panel=1",_xll.BDP($L48&amp;" Equity","SECURITY_NAME")))</f>
        <v>#NAME?</v>
      </c>
      <c r="N48" s="208"/>
      <c r="O48" s="208"/>
      <c r="P48" s="163" t="str">
        <f>HYPERLINK("bbg://securities/ESD%20FP%20EQUITY/EFMF%20?panel=1","-210.22")</f>
        <v>-210.22</v>
      </c>
      <c r="Q48" s="82">
        <v>682.798</v>
      </c>
      <c r="R48" s="73">
        <v>-0.30788227264871804</v>
      </c>
      <c r="S48" s="76" t="e">
        <f ca="1">IF($L48="","",_xll.BDP($L48&amp;" Equity",$BF$13,"fill=NA"))</f>
        <v>#NAME?</v>
      </c>
      <c r="BD48" s="50"/>
      <c r="BE48" s="51"/>
      <c r="BF48" s="52" t="e">
        <f t="shared" si="0"/>
        <v>#N/A</v>
      </c>
      <c r="BG48" s="46">
        <v>35</v>
      </c>
      <c r="BH48" s="46" t="e">
        <f t="shared" si="1"/>
        <v>#N/A</v>
      </c>
      <c r="BI48" s="46" t="e">
        <f t="shared" si="2"/>
        <v>#N/A</v>
      </c>
      <c r="BJ48" s="46" t="e">
        <f t="shared" si="3"/>
        <v>#N/A</v>
      </c>
      <c r="BK48" s="46" t="e">
        <f t="shared" si="4"/>
        <v>#N/A</v>
      </c>
    </row>
    <row r="49" spans="2:63" x14ac:dyDescent="0.2">
      <c r="B49" s="159" t="str">
        <f>HYPERLINK("bbg://securities/IWN%20US%20EQUITY/DES%20?panel=1","IWN US")</f>
        <v>IWN US</v>
      </c>
      <c r="C49" s="247" t="e">
        <f ca="1">IF($B49="","",HYPERLINK("bbg://securities/"&amp;$B49&amp;" Equity/MHD%20?panel=1",_xll.BDP($B49&amp;" Equity","SECURITY_NAME")))</f>
        <v>#NAME?</v>
      </c>
      <c r="D49" s="209"/>
      <c r="E49" s="209"/>
      <c r="F49" s="209"/>
      <c r="G49" s="162" t="str">
        <f>HYPERLINK("bbg://securities/IWN%20US%20EQUITY/EFMF%20?panel=1","273.41")</f>
        <v>273.41</v>
      </c>
      <c r="H49" s="81">
        <v>8670.73</v>
      </c>
      <c r="I49" s="72">
        <v>3.153225852955896E-2</v>
      </c>
      <c r="J49" s="75" t="e">
        <f ca="1">IF($B49="","",_xll.BDP($B49&amp;" Equity",$BF$13,"fill=NA"))</f>
        <v>#NAME?</v>
      </c>
      <c r="L49" s="159" t="str">
        <f>HYPERLINK("bbg://securities/FEZ%20US%20EQUITY/DES%20?panel=1","FEZ US")</f>
        <v>FEZ US</v>
      </c>
      <c r="M49" s="247" t="e">
        <f ca="1">IF($L49="","",HYPERLINK("bbg://securities/"&amp;$L49&amp;" Equity/MHD%20?panel=1",_xll.BDP($L49&amp;" Equity","SECURITY_NAME")))</f>
        <v>#NAME?</v>
      </c>
      <c r="N49" s="209"/>
      <c r="O49" s="209"/>
      <c r="P49" s="162" t="str">
        <f>HYPERLINK("bbg://securities/FEZ%20US%20EQUITY/EFMF%20?panel=1","-289.91")</f>
        <v>-289.91</v>
      </c>
      <c r="Q49" s="81">
        <v>2307.1</v>
      </c>
      <c r="R49" s="72">
        <v>-0.12566186987993602</v>
      </c>
      <c r="S49" s="75" t="e">
        <f ca="1">IF($L49="","",_xll.BDP($L49&amp;" Equity",$BF$13,"fill=NA"))</f>
        <v>#NAME?</v>
      </c>
      <c r="BD49" s="50"/>
      <c r="BE49" s="51"/>
      <c r="BF49" s="52" t="e">
        <f t="shared" si="0"/>
        <v>#N/A</v>
      </c>
      <c r="BG49" s="46">
        <v>36</v>
      </c>
      <c r="BH49" s="46" t="e">
        <f t="shared" si="1"/>
        <v>#N/A</v>
      </c>
      <c r="BI49" s="46" t="e">
        <f t="shared" si="2"/>
        <v>#N/A</v>
      </c>
      <c r="BJ49" s="46" t="e">
        <f t="shared" si="3"/>
        <v>#N/A</v>
      </c>
      <c r="BK49" s="46" t="e">
        <f t="shared" si="4"/>
        <v>#N/A</v>
      </c>
    </row>
    <row r="50" spans="2:63" x14ac:dyDescent="0.2">
      <c r="B50" s="161" t="str">
        <f>HYPERLINK("bbg://securities/XESX%20GR%20EQUITY/DES%20?panel=1","XESX GR")</f>
        <v>XESX GR</v>
      </c>
      <c r="C50" s="248" t="e">
        <f ca="1">IF($B50="","",HYPERLINK("bbg://securities/"&amp;$B50&amp;" Equity/MHD%20?panel=1",_xll.BDP($B50&amp;" Equity","SECURITY_NAME")))</f>
        <v>#NAME?</v>
      </c>
      <c r="D50" s="210"/>
      <c r="E50" s="210"/>
      <c r="F50" s="210"/>
      <c r="G50" s="164" t="str">
        <f>HYPERLINK("bbg://securities/XESX%20GR%20EQUITY/EFMF%20?panel=1","294.48")</f>
        <v>294.48</v>
      </c>
      <c r="H50" s="83">
        <v>2341.9719</v>
      </c>
      <c r="I50" s="74">
        <v>0.12573998005697684</v>
      </c>
      <c r="J50" s="77" t="e">
        <f ca="1">IF($B50="","",_xll.BDP($B50&amp;" Equity",$BF$13,"fill=NA"))</f>
        <v>#NAME?</v>
      </c>
      <c r="L50" s="161" t="str">
        <f>HYPERLINK("bbg://securities/IYR%20US%20EQUITY/DES%20?panel=1","IYR US")</f>
        <v>IYR US</v>
      </c>
      <c r="M50" s="248" t="e">
        <f ca="1">IF($L50="","",HYPERLINK("bbg://securities/"&amp;$L50&amp;" Equity/MHD%20?panel=1",_xll.BDP($L50&amp;" Equity","SECURITY_NAME")))</f>
        <v>#NAME?</v>
      </c>
      <c r="N50" s="210"/>
      <c r="O50" s="210"/>
      <c r="P50" s="164" t="str">
        <f>HYPERLINK("bbg://securities/IYR%20US%20EQUITY/EFMF%20?panel=1","-333.83")</f>
        <v>-333.83</v>
      </c>
      <c r="Q50" s="83">
        <v>4239.3900000000003</v>
      </c>
      <c r="R50" s="74">
        <v>-7.8744394830388836E-2</v>
      </c>
      <c r="S50" s="77" t="e">
        <f ca="1">IF($L50="","",_xll.BDP($L50&amp;" Equity",$BF$13,"fill=NA"))</f>
        <v>#NAME?</v>
      </c>
      <c r="BD50" s="50"/>
      <c r="BE50" s="51"/>
      <c r="BF50" s="52" t="e">
        <f t="shared" si="0"/>
        <v>#N/A</v>
      </c>
      <c r="BG50" s="46">
        <v>37</v>
      </c>
      <c r="BH50" s="46" t="e">
        <f t="shared" si="1"/>
        <v>#N/A</v>
      </c>
      <c r="BI50" s="46" t="e">
        <f t="shared" si="2"/>
        <v>#N/A</v>
      </c>
      <c r="BJ50" s="46" t="e">
        <f t="shared" si="3"/>
        <v>#N/A</v>
      </c>
      <c r="BK50" s="46" t="e">
        <f t="shared" si="4"/>
        <v>#N/A</v>
      </c>
    </row>
    <row r="51" spans="2:63" ht="5" customHeight="1" x14ac:dyDescent="0.2">
      <c r="BD51" s="50"/>
      <c r="BE51" s="51"/>
      <c r="BF51" s="52" t="e">
        <f t="shared" si="0"/>
        <v>#N/A</v>
      </c>
      <c r="BG51" s="46">
        <v>38</v>
      </c>
      <c r="BH51" s="46" t="e">
        <f t="shared" si="1"/>
        <v>#N/A</v>
      </c>
      <c r="BI51" s="46" t="e">
        <f t="shared" si="2"/>
        <v>#N/A</v>
      </c>
      <c r="BJ51" s="46" t="e">
        <f t="shared" si="3"/>
        <v>#N/A</v>
      </c>
      <c r="BK51" s="46" t="e">
        <f t="shared" si="4"/>
        <v>#N/A</v>
      </c>
    </row>
    <row r="52" spans="2:63" x14ac:dyDescent="0.2">
      <c r="B52" s="192" t="s">
        <v>204</v>
      </c>
      <c r="C52" s="201"/>
      <c r="D52" s="201"/>
      <c r="E52" s="201"/>
      <c r="F52" s="201"/>
      <c r="G52" s="201"/>
      <c r="H52" s="201"/>
      <c r="I52" s="201"/>
      <c r="J52" s="202"/>
      <c r="L52" s="192" t="s">
        <v>205</v>
      </c>
      <c r="M52" s="201"/>
      <c r="N52" s="201"/>
      <c r="O52" s="201"/>
      <c r="P52" s="201"/>
      <c r="Q52" s="201"/>
      <c r="R52" s="201"/>
      <c r="S52" s="202"/>
      <c r="BD52" s="50"/>
      <c r="BE52" s="51"/>
      <c r="BF52" s="52" t="e">
        <f t="shared" si="0"/>
        <v>#N/A</v>
      </c>
      <c r="BG52" s="46">
        <v>39</v>
      </c>
      <c r="BH52" s="46" t="e">
        <f t="shared" si="1"/>
        <v>#N/A</v>
      </c>
      <c r="BI52" s="46" t="e">
        <f t="shared" si="2"/>
        <v>#N/A</v>
      </c>
      <c r="BJ52" s="46" t="e">
        <f t="shared" si="3"/>
        <v>#N/A</v>
      </c>
      <c r="BK52" s="46" t="e">
        <f t="shared" si="4"/>
        <v>#N/A</v>
      </c>
    </row>
    <row r="53" spans="2:63" x14ac:dyDescent="0.2">
      <c r="B53" s="54" t="s">
        <v>50</v>
      </c>
      <c r="C53" s="203" t="s">
        <v>51</v>
      </c>
      <c r="D53" s="203"/>
      <c r="E53" s="203"/>
      <c r="F53" s="203"/>
      <c r="G53" s="70" t="str">
        <f>"Flow ("&amp;PROPER([0]!Unit)&amp;")"</f>
        <v>Flow (Bln)</v>
      </c>
      <c r="H53" s="70" t="str">
        <f>"AUM ("&amp;PROPER([0]!Unit)&amp;")"</f>
        <v>AUM (Bln)</v>
      </c>
      <c r="I53" s="70" t="s">
        <v>115</v>
      </c>
      <c r="J53" s="71" t="str">
        <f>$BG$13</f>
        <v>Market Cap</v>
      </c>
      <c r="L53" s="54" t="s">
        <v>50</v>
      </c>
      <c r="M53" s="203" t="s">
        <v>51</v>
      </c>
      <c r="N53" s="203"/>
      <c r="O53" s="203"/>
      <c r="P53" s="70" t="str">
        <f>"Flow ("&amp;PROPER([0]!Unit)&amp;")"</f>
        <v>Flow (Bln)</v>
      </c>
      <c r="Q53" s="70" t="str">
        <f>"AUM ("&amp;PROPER([0]!Unit)&amp;")"</f>
        <v>AUM (Bln)</v>
      </c>
      <c r="R53" s="70" t="s">
        <v>115</v>
      </c>
      <c r="S53" s="71" t="str">
        <f>$BG$13</f>
        <v>Market Cap</v>
      </c>
      <c r="BD53" s="50"/>
      <c r="BE53" s="51"/>
      <c r="BF53" s="52" t="e">
        <f t="shared" si="0"/>
        <v>#N/A</v>
      </c>
      <c r="BG53" s="46">
        <v>40</v>
      </c>
      <c r="BH53" s="46" t="e">
        <f t="shared" si="1"/>
        <v>#N/A</v>
      </c>
      <c r="BI53" s="46" t="e">
        <f t="shared" si="2"/>
        <v>#N/A</v>
      </c>
      <c r="BJ53" s="46" t="e">
        <f t="shared" si="3"/>
        <v>#N/A</v>
      </c>
      <c r="BK53" s="46" t="e">
        <f t="shared" si="4"/>
        <v>#N/A</v>
      </c>
    </row>
    <row r="54" spans="2:63" x14ac:dyDescent="0.2">
      <c r="B54" s="159" t="str">
        <f>HYPERLINK("bbg://securities/VXUS%20US%20EQUITY/DES%20?panel=1","VXUS US")</f>
        <v>VXUS US</v>
      </c>
      <c r="C54" s="247" t="e">
        <f ca="1">IF($B54="","",HYPERLINK("bbg://securities/"&amp;$B54&amp;" Equity/MHD%20?panel=1",_xll.BDP($B54&amp;" Equity","SECURITY_NAME")))</f>
        <v>#NAME?</v>
      </c>
      <c r="D54" s="209"/>
      <c r="E54" s="209"/>
      <c r="F54" s="209"/>
      <c r="G54" s="162" t="str">
        <f>HYPERLINK("bbg://securities/VXUS%20US%20EQUITY/EFMF%20?panel=1","53.99")</f>
        <v>53.99</v>
      </c>
      <c r="H54" s="81">
        <v>6.4169200000000002</v>
      </c>
      <c r="I54" s="72">
        <v>8.4142172257095265</v>
      </c>
      <c r="J54" s="75" t="e">
        <f ca="1">IF($B54="","",_xll.BDP($B54&amp;" Equity",$BF$13,"fill=NA"))</f>
        <v>#NAME?</v>
      </c>
      <c r="L54" s="159" t="str">
        <f>HYPERLINK("bbg://securities/1570%20JP%20EQUITY/DES%20?panel=1","1570 JP")</f>
        <v>1570 JP</v>
      </c>
      <c r="M54" s="247" t="e">
        <f ca="1">IF($L54="","",HYPERLINK("bbg://securities/"&amp;$L54&amp;" Equity/MHD%20?panel=1",_xll.BDP($L54&amp;" Equity","SECURITY_NAME")))</f>
        <v>#NAME?</v>
      </c>
      <c r="N54" s="209"/>
      <c r="O54" s="209"/>
      <c r="P54" s="162" t="str">
        <f>HYPERLINK("bbg://securities/1570%20JP%20EQUITY/EFMF%20?panel=1","-5.95")</f>
        <v>-5.95</v>
      </c>
      <c r="Q54" s="81">
        <v>2.8528034999999998</v>
      </c>
      <c r="R54" s="72">
        <v>-2.0873199994321352</v>
      </c>
      <c r="S54" s="75" t="e">
        <f ca="1">IF($L54="","",_xll.BDP($L54&amp;" Equity",$BF$13,"fill=NA"))</f>
        <v>#NAME?</v>
      </c>
      <c r="BD54" s="50"/>
      <c r="BE54" s="51"/>
      <c r="BF54" s="52" t="e">
        <f t="shared" si="0"/>
        <v>#N/A</v>
      </c>
      <c r="BG54" s="46">
        <v>41</v>
      </c>
      <c r="BH54" s="46" t="e">
        <f t="shared" si="1"/>
        <v>#N/A</v>
      </c>
      <c r="BI54" s="46" t="e">
        <f t="shared" si="2"/>
        <v>#N/A</v>
      </c>
      <c r="BJ54" s="46" t="e">
        <f t="shared" si="3"/>
        <v>#N/A</v>
      </c>
      <c r="BK54" s="46" t="e">
        <f t="shared" si="4"/>
        <v>#N/A</v>
      </c>
    </row>
    <row r="55" spans="2:63" x14ac:dyDescent="0.2">
      <c r="B55" s="160" t="str">
        <f>HYPERLINK("bbg://securities/510300%20CH%20EQUITY/DES%20?panel=1","510300 CH")</f>
        <v>510300 CH</v>
      </c>
      <c r="C55" s="249" t="e">
        <f ca="1">IF($B55="","",HYPERLINK("bbg://securities/"&amp;$B55&amp;" Equity/MHD%20?panel=1",_xll.BDP($B55&amp;" Equity","SECURITY_NAME")))</f>
        <v>#NAME?</v>
      </c>
      <c r="D55" s="208"/>
      <c r="E55" s="208"/>
      <c r="F55" s="208"/>
      <c r="G55" s="163" t="str">
        <f>HYPERLINK("bbg://securities/510300%20CH%20EQUITY/EFMF%20?panel=1","20.92")</f>
        <v>20.92</v>
      </c>
      <c r="H55" s="82">
        <v>2.5737711999999999</v>
      </c>
      <c r="I55" s="73">
        <v>8.1297026713174851</v>
      </c>
      <c r="J55" s="76" t="e">
        <f ca="1">IF($B55="","",_xll.BDP($B55&amp;" Equity",$BF$13,"fill=NA"))</f>
        <v>#NAME?</v>
      </c>
      <c r="L55" s="160" t="str">
        <f>HYPERLINK("bbg://securities/EGUSAS%20SW%20EQUITY/DES%20?panel=1","EGUSAS SW")</f>
        <v>EGUSAS SW</v>
      </c>
      <c r="M55" s="249" t="e">
        <f ca="1">IF($L55="","",HYPERLINK("bbg://securities/"&amp;$L55&amp;" Equity/MHD%20?panel=1",_xll.BDP($L55&amp;" Equity","SECURITY_NAME")))</f>
        <v>#NAME?</v>
      </c>
      <c r="N55" s="208"/>
      <c r="O55" s="208"/>
      <c r="P55" s="163" t="str">
        <f>HYPERLINK("bbg://securities/EGUSAS%20SW%20EQUITY/EFMF%20?panel=1","-2.76")</f>
        <v>-2.76</v>
      </c>
      <c r="Q55" s="82">
        <v>2.4895100000000001</v>
      </c>
      <c r="R55" s="73">
        <v>-1.1073418865559892</v>
      </c>
      <c r="S55" s="76" t="e">
        <f ca="1">IF($L55="","",_xll.BDP($L55&amp;" Equity",$BF$13,"fill=NA"))</f>
        <v>#NAME?</v>
      </c>
      <c r="BD55" s="50"/>
      <c r="BE55" s="51"/>
      <c r="BF55" s="52" t="e">
        <f t="shared" si="0"/>
        <v>#N/A</v>
      </c>
      <c r="BG55" s="46">
        <v>42</v>
      </c>
      <c r="BH55" s="46" t="e">
        <f t="shared" si="1"/>
        <v>#N/A</v>
      </c>
      <c r="BI55" s="46" t="e">
        <f t="shared" si="2"/>
        <v>#N/A</v>
      </c>
      <c r="BJ55" s="46" t="e">
        <f t="shared" si="3"/>
        <v>#N/A</v>
      </c>
      <c r="BK55" s="46" t="e">
        <f t="shared" si="4"/>
        <v>#N/A</v>
      </c>
    </row>
    <row r="56" spans="2:63" x14ac:dyDescent="0.2">
      <c r="B56" s="159" t="str">
        <f>HYPERLINK("bbg://securities/SCHD%20US%20EQUITY/DES%20?panel=1","SCHD US")</f>
        <v>SCHD US</v>
      </c>
      <c r="C56" s="247" t="e">
        <f ca="1">IF($B56="","",HYPERLINK("bbg://securities/"&amp;$B56&amp;" Equity/MHD%20?panel=1",_xll.BDP($B56&amp;" Equity","SECURITY_NAME")))</f>
        <v>#NAME?</v>
      </c>
      <c r="D56" s="209"/>
      <c r="E56" s="209"/>
      <c r="F56" s="209"/>
      <c r="G56" s="162" t="str">
        <f>HYPERLINK("bbg://securities/SCHD%20US%20EQUITY/EFMF%20?panel=1","39.85")</f>
        <v>39.85</v>
      </c>
      <c r="H56" s="81">
        <v>4.9386599999999996</v>
      </c>
      <c r="I56" s="72">
        <v>8.0681656562711463</v>
      </c>
      <c r="J56" s="75" t="e">
        <f ca="1">IF($B56="","",_xll.BDP($B56&amp;" Equity",$BF$13,"fill=NA"))</f>
        <v>#NAME?</v>
      </c>
      <c r="L56" s="159" t="str">
        <f>HYPERLINK("bbg://securities/INAA%20LN%20EQUITY/DES%20?panel=1","INAA LN")</f>
        <v>INAA LN</v>
      </c>
      <c r="M56" s="247" t="e">
        <f ca="1">IF($L56="","",HYPERLINK("bbg://securities/"&amp;$L56&amp;" Equity/MHD%20?panel=1",_xll.BDP($L56&amp;" Equity","SECURITY_NAME")))</f>
        <v>#NAME?</v>
      </c>
      <c r="N56" s="209"/>
      <c r="O56" s="209"/>
      <c r="P56" s="162" t="str">
        <f>HYPERLINK("bbg://securities/INAA%20LN%20EQUITY/EFMF%20?panel=1","-2.16")</f>
        <v>-2.16</v>
      </c>
      <c r="Q56" s="81">
        <v>2.1274508999999999</v>
      </c>
      <c r="R56" s="72">
        <v>-1.0151240153180505</v>
      </c>
      <c r="S56" s="75" t="e">
        <f ca="1">IF($L56="","",_xll.BDP($L56&amp;" Equity",$BF$13,"fill=NA"))</f>
        <v>#NAME?</v>
      </c>
      <c r="BD56" s="50"/>
      <c r="BE56" s="51"/>
      <c r="BF56" s="52" t="e">
        <f t="shared" si="0"/>
        <v>#N/A</v>
      </c>
      <c r="BG56" s="46">
        <v>43</v>
      </c>
      <c r="BH56" s="46" t="e">
        <f t="shared" si="1"/>
        <v>#N/A</v>
      </c>
      <c r="BI56" s="46" t="e">
        <f t="shared" si="2"/>
        <v>#N/A</v>
      </c>
      <c r="BJ56" s="46" t="e">
        <f t="shared" si="3"/>
        <v>#N/A</v>
      </c>
      <c r="BK56" s="46" t="e">
        <f t="shared" si="4"/>
        <v>#N/A</v>
      </c>
    </row>
    <row r="57" spans="2:63" x14ac:dyDescent="0.2">
      <c r="B57" s="160" t="str">
        <f>HYPERLINK("bbg://securities/IXUS%20US%20EQUITY/DES%20?panel=1","IXUS US")</f>
        <v>IXUS US</v>
      </c>
      <c r="C57" s="249" t="e">
        <f ca="1">IF($B57="","",HYPERLINK("bbg://securities/"&amp;$B57&amp;" Equity/MHD%20?panel=1",_xll.BDP($B57&amp;" Equity","SECURITY_NAME")))</f>
        <v>#NAME?</v>
      </c>
      <c r="D57" s="208"/>
      <c r="E57" s="208"/>
      <c r="F57" s="208"/>
      <c r="G57" s="163" t="str">
        <f>HYPERLINK("bbg://securities/IXUS%20US%20EQUITY/EFMF%20?panel=1","27.20")</f>
        <v>27.20</v>
      </c>
      <c r="H57" s="82">
        <v>3.6049899999999999</v>
      </c>
      <c r="I57" s="73">
        <v>7.5462442614265184</v>
      </c>
      <c r="J57" s="76" t="e">
        <f ca="1">IF($B57="","",_xll.BDP($B57&amp;" Equity",$BF$13,"fill=NA"))</f>
        <v>#NAME?</v>
      </c>
      <c r="L57" s="160" t="str">
        <f>HYPERLINK("bbg://securities/IJPE%20LN%20EQUITY/DES%20?panel=1","IJPE LN")</f>
        <v>IJPE LN</v>
      </c>
      <c r="M57" s="249" t="e">
        <f ca="1">IF($L57="","",HYPERLINK("bbg://securities/"&amp;$L57&amp;" Equity/MHD%20?panel=1",_xll.BDP($L57&amp;" Equity","SECURITY_NAME")))</f>
        <v>#NAME?</v>
      </c>
      <c r="N57" s="208"/>
      <c r="O57" s="208"/>
      <c r="P57" s="163" t="str">
        <f>HYPERLINK("bbg://securities/IJPE%20LN%20EQUITY/EFMF%20?panel=1","-2.47")</f>
        <v>-2.47</v>
      </c>
      <c r="Q57" s="82">
        <v>2.4687363000000002</v>
      </c>
      <c r="R57" s="73">
        <v>-0.99884301130096398</v>
      </c>
      <c r="S57" s="76" t="e">
        <f ca="1">IF($L57="","",_xll.BDP($L57&amp;" Equity",$BF$13,"fill=NA"))</f>
        <v>#NAME?</v>
      </c>
      <c r="BD57" s="50"/>
      <c r="BE57" s="51"/>
      <c r="BF57" s="52" t="e">
        <f t="shared" si="0"/>
        <v>#N/A</v>
      </c>
      <c r="BG57" s="46">
        <v>44</v>
      </c>
      <c r="BH57" s="46" t="e">
        <f t="shared" si="1"/>
        <v>#N/A</v>
      </c>
      <c r="BI57" s="46" t="e">
        <f t="shared" si="2"/>
        <v>#N/A</v>
      </c>
      <c r="BJ57" s="46" t="e">
        <f t="shared" si="3"/>
        <v>#N/A</v>
      </c>
      <c r="BK57" s="46" t="e">
        <f t="shared" si="4"/>
        <v>#N/A</v>
      </c>
    </row>
    <row r="58" spans="2:63" x14ac:dyDescent="0.2">
      <c r="B58" s="159" t="str">
        <f>HYPERLINK("bbg://securities/FNDF%20US%20EQUITY/DES%20?panel=1","FNDF US")</f>
        <v>FNDF US</v>
      </c>
      <c r="C58" s="247" t="e">
        <f ca="1">IF($B58="","",HYPERLINK("bbg://securities/"&amp;$B58&amp;" Equity/MHD%20?panel=1",_xll.BDP($B58&amp;" Equity","SECURITY_NAME")))</f>
        <v>#NAME?</v>
      </c>
      <c r="D58" s="209"/>
      <c r="E58" s="209"/>
      <c r="F58" s="209"/>
      <c r="G58" s="162" t="str">
        <f>HYPERLINK("bbg://securities/FNDF%20US%20EQUITY/EFMF%20?panel=1","8.69")</f>
        <v>8.69</v>
      </c>
      <c r="H58" s="81">
        <v>1.6089100000000001</v>
      </c>
      <c r="I58" s="72">
        <v>5.4031545580548332</v>
      </c>
      <c r="J58" s="75" t="e">
        <f ca="1">IF($B58="","",_xll.BDP($B58&amp;" Equity",$BF$13,"fill=NA"))</f>
        <v>#NAME?</v>
      </c>
      <c r="L58" s="159" t="str">
        <f>HYPERLINK("bbg://securities/DBJP%20US%20EQUITY/DES%20?panel=1","DBJP US")</f>
        <v>DBJP US</v>
      </c>
      <c r="M58" s="247" t="e">
        <f ca="1">IF($L58="","",HYPERLINK("bbg://securities/"&amp;$L58&amp;" Equity/MHD%20?panel=1",_xll.BDP($L58&amp;" Equity","SECURITY_NAME")))</f>
        <v>#NAME?</v>
      </c>
      <c r="N58" s="209"/>
      <c r="O58" s="209"/>
      <c r="P58" s="162" t="str">
        <f>HYPERLINK("bbg://securities/DBJP%20US%20EQUITY/EFMF%20?panel=1","-2.04")</f>
        <v>-2.04</v>
      </c>
      <c r="Q58" s="81">
        <v>2.07504</v>
      </c>
      <c r="R58" s="72">
        <v>-0.98186396406816168</v>
      </c>
      <c r="S58" s="75" t="e">
        <f ca="1">IF($L58="","",_xll.BDP($L58&amp;" Equity",$BF$13,"fill=NA"))</f>
        <v>#NAME?</v>
      </c>
      <c r="BD58" s="50"/>
      <c r="BE58" s="51"/>
      <c r="BF58" s="52" t="e">
        <f t="shared" si="0"/>
        <v>#N/A</v>
      </c>
      <c r="BG58" s="46">
        <v>45</v>
      </c>
      <c r="BH58" s="46" t="e">
        <f t="shared" si="1"/>
        <v>#N/A</v>
      </c>
      <c r="BI58" s="46" t="e">
        <f t="shared" si="2"/>
        <v>#N/A</v>
      </c>
      <c r="BJ58" s="46" t="e">
        <f t="shared" si="3"/>
        <v>#N/A</v>
      </c>
      <c r="BK58" s="46" t="e">
        <f t="shared" si="4"/>
        <v>#N/A</v>
      </c>
    </row>
    <row r="59" spans="2:63" x14ac:dyDescent="0.2">
      <c r="B59" s="160" t="str">
        <f>HYPERLINK("bbg://securities/IEFA%20US%20EQUITY/DES%20?panel=1","IEFA US")</f>
        <v>IEFA US</v>
      </c>
      <c r="C59" s="249" t="e">
        <f ca="1">IF($B59="","",HYPERLINK("bbg://securities/"&amp;$B59&amp;" Equity/MHD%20?panel=1",_xll.BDP($B59&amp;" Equity","SECURITY_NAME")))</f>
        <v>#NAME?</v>
      </c>
      <c r="D59" s="208"/>
      <c r="E59" s="208"/>
      <c r="F59" s="208"/>
      <c r="G59" s="163" t="str">
        <f>HYPERLINK("bbg://securities/IEFA%20US%20EQUITY/EFMF%20?panel=1","81.08")</f>
        <v>81.08</v>
      </c>
      <c r="H59" s="82">
        <v>15.724299999999999</v>
      </c>
      <c r="I59" s="73">
        <v>5.1565530611855523</v>
      </c>
      <c r="J59" s="76" t="e">
        <f ca="1">IF($B59="","",_xll.BDP($B59&amp;" Equity",$BF$13,"fill=NA"))</f>
        <v>#NAME?</v>
      </c>
      <c r="L59" s="160" t="str">
        <f>HYPERLINK("bbg://securities/HEDJ%20US%20EQUITY/DES%20?panel=1","HEDJ US")</f>
        <v>HEDJ US</v>
      </c>
      <c r="M59" s="249" t="e">
        <f ca="1">IF($L59="","",HYPERLINK("bbg://securities/"&amp;$L59&amp;" Equity/MHD%20?panel=1",_xll.BDP($L59&amp;" Equity","SECURITY_NAME")))</f>
        <v>#NAME?</v>
      </c>
      <c r="N59" s="208"/>
      <c r="O59" s="208"/>
      <c r="P59" s="163" t="str">
        <f>HYPERLINK("bbg://securities/HEDJ%20US%20EQUITY/EFMF%20?panel=1","-8.97")</f>
        <v>-8.97</v>
      </c>
      <c r="Q59" s="82">
        <v>9.2241800000000005</v>
      </c>
      <c r="R59" s="73">
        <v>-0.9719479997137962</v>
      </c>
      <c r="S59" s="76" t="e">
        <f ca="1">IF($L59="","",_xll.BDP($L59&amp;" Equity",$BF$13,"fill=NA"))</f>
        <v>#NAME?</v>
      </c>
      <c r="BD59" s="50"/>
      <c r="BE59" s="51"/>
      <c r="BF59" s="52" t="e">
        <f t="shared" si="0"/>
        <v>#N/A</v>
      </c>
      <c r="BG59" s="46">
        <v>46</v>
      </c>
      <c r="BH59" s="46" t="e">
        <f t="shared" si="1"/>
        <v>#N/A</v>
      </c>
      <c r="BI59" s="46" t="e">
        <f t="shared" si="2"/>
        <v>#N/A</v>
      </c>
      <c r="BJ59" s="46" t="e">
        <f t="shared" si="3"/>
        <v>#N/A</v>
      </c>
      <c r="BK59" s="46" t="e">
        <f t="shared" si="4"/>
        <v>#N/A</v>
      </c>
    </row>
    <row r="60" spans="2:63" x14ac:dyDescent="0.2">
      <c r="B60" s="159" t="str">
        <f>HYPERLINK("bbg://securities/QUAL%20US%20EQUITY/DES%20?panel=1","QUAL US")</f>
        <v>QUAL US</v>
      </c>
      <c r="C60" s="247" t="e">
        <f ca="1">IF($B60="","",HYPERLINK("bbg://securities/"&amp;$B60&amp;" Equity/MHD%20?panel=1",_xll.BDP($B60&amp;" Equity","SECURITY_NAME")))</f>
        <v>#NAME?</v>
      </c>
      <c r="D60" s="209"/>
      <c r="E60" s="209"/>
      <c r="F60" s="209"/>
      <c r="G60" s="162" t="str">
        <f>HYPERLINK("bbg://securities/QUAL%20US%20EQUITY/EFMF%20?panel=1","17.80")</f>
        <v>17.80</v>
      </c>
      <c r="H60" s="81">
        <v>3.4929999999999999</v>
      </c>
      <c r="I60" s="72">
        <v>5.0952751789292812</v>
      </c>
      <c r="J60" s="75" t="e">
        <f ca="1">IF($B60="","",_xll.BDP($B60&amp;" Equity",$BF$13,"fill=NA"))</f>
        <v>#NAME?</v>
      </c>
      <c r="L60" s="159" t="str">
        <f>HYPERLINK("bbg://securities/MSE%20FP%20EQUITY/DES%20?panel=1","MSE FP")</f>
        <v>MSE FP</v>
      </c>
      <c r="M60" s="247" t="e">
        <f ca="1">IF($L60="","",HYPERLINK("bbg://securities/"&amp;$L60&amp;" Equity/MHD%20?panel=1",_xll.BDP($L60&amp;" Equity","SECURITY_NAME")))</f>
        <v>#NAME?</v>
      </c>
      <c r="N60" s="209"/>
      <c r="O60" s="209"/>
      <c r="P60" s="162" t="str">
        <f>HYPERLINK("bbg://securities/MSE%20FP%20EQUITY/EFMF%20?panel=1","-6.85")</f>
        <v>-6.85</v>
      </c>
      <c r="Q60" s="81">
        <v>7.4129695</v>
      </c>
      <c r="R60" s="72">
        <v>-0.9236427723060241</v>
      </c>
      <c r="S60" s="75" t="e">
        <f ca="1">IF($L60="","",_xll.BDP($L60&amp;" Equity",$BF$13,"fill=NA"))</f>
        <v>#NAME?</v>
      </c>
      <c r="BD60" s="50"/>
      <c r="BE60" s="51"/>
      <c r="BF60" s="52" t="e">
        <f t="shared" si="0"/>
        <v>#N/A</v>
      </c>
      <c r="BG60" s="46">
        <v>47</v>
      </c>
      <c r="BH60" s="46" t="e">
        <f t="shared" si="1"/>
        <v>#N/A</v>
      </c>
      <c r="BI60" s="46" t="e">
        <f t="shared" si="2"/>
        <v>#N/A</v>
      </c>
      <c r="BJ60" s="46" t="e">
        <f t="shared" si="3"/>
        <v>#N/A</v>
      </c>
      <c r="BK60" s="46" t="e">
        <f t="shared" si="4"/>
        <v>#N/A</v>
      </c>
    </row>
    <row r="61" spans="2:63" x14ac:dyDescent="0.2">
      <c r="B61" s="160" t="str">
        <f>HYPERLINK("bbg://securities/SWDA%20LN%20EQUITY/DES%20?panel=1","SWDA LN")</f>
        <v>SWDA LN</v>
      </c>
      <c r="C61" s="249" t="e">
        <f ca="1">IF($B61="","",HYPERLINK("bbg://securities/"&amp;$B61&amp;" Equity/MHD%20?panel=1",_xll.BDP($B61&amp;" Equity","SECURITY_NAME")))</f>
        <v>#NAME?</v>
      </c>
      <c r="D61" s="208"/>
      <c r="E61" s="208"/>
      <c r="F61" s="208"/>
      <c r="G61" s="163" t="str">
        <f>HYPERLINK("bbg://securities/SWDA%20LN%20EQUITY/EFMF%20?panel=1","37.62")</f>
        <v>37.62</v>
      </c>
      <c r="H61" s="82">
        <v>8.4126484000000001</v>
      </c>
      <c r="I61" s="73">
        <v>4.4716281260488682</v>
      </c>
      <c r="J61" s="76" t="e">
        <f ca="1">IF($B61="","",_xll.BDP($B61&amp;" Equity",$BF$13,"fill=NA"))</f>
        <v>#NAME?</v>
      </c>
      <c r="L61" s="160" t="str">
        <f>HYPERLINK("bbg://securities/DBEU%20US%20EQUITY/DES%20?panel=1","DBEU US")</f>
        <v>DBEU US</v>
      </c>
      <c r="M61" s="249" t="e">
        <f ca="1">IF($L61="","",HYPERLINK("bbg://securities/"&amp;$L61&amp;" Equity/MHD%20?panel=1",_xll.BDP($L61&amp;" Equity","SECURITY_NAME")))</f>
        <v>#NAME?</v>
      </c>
      <c r="N61" s="208"/>
      <c r="O61" s="208"/>
      <c r="P61" s="163" t="str">
        <f>HYPERLINK("bbg://securities/DBEU%20US%20EQUITY/EFMF%20?panel=1","-2.00")</f>
        <v>-2.00</v>
      </c>
      <c r="Q61" s="82">
        <v>2.2262199999999996</v>
      </c>
      <c r="R61" s="73">
        <v>-0.90043661453046075</v>
      </c>
      <c r="S61" s="76" t="e">
        <f ca="1">IF($L61="","",_xll.BDP($L61&amp;" Equity",$BF$13,"fill=NA"))</f>
        <v>#NAME?</v>
      </c>
      <c r="BD61" s="50"/>
      <c r="BE61" s="51"/>
      <c r="BF61" s="52" t="e">
        <f t="shared" si="0"/>
        <v>#N/A</v>
      </c>
      <c r="BG61" s="46">
        <v>48</v>
      </c>
      <c r="BH61" s="46" t="e">
        <f t="shared" si="1"/>
        <v>#N/A</v>
      </c>
      <c r="BI61" s="46" t="e">
        <f t="shared" si="2"/>
        <v>#N/A</v>
      </c>
      <c r="BJ61" s="46" t="e">
        <f t="shared" si="3"/>
        <v>#N/A</v>
      </c>
      <c r="BK61" s="46" t="e">
        <f t="shared" si="4"/>
        <v>#N/A</v>
      </c>
    </row>
    <row r="62" spans="2:63" x14ac:dyDescent="0.2">
      <c r="B62" s="159" t="str">
        <f>HYPERLINK("bbg://securities/FNDX%20US%20EQUITY/DES%20?panel=1","FNDX US")</f>
        <v>FNDX US</v>
      </c>
      <c r="C62" s="247" t="e">
        <f ca="1">IF($B62="","",HYPERLINK("bbg://securities/"&amp;$B62&amp;" Equity/MHD%20?panel=1",_xll.BDP($B62&amp;" Equity","SECURITY_NAME")))</f>
        <v>#NAME?</v>
      </c>
      <c r="D62" s="209"/>
      <c r="E62" s="209"/>
      <c r="F62" s="209"/>
      <c r="G62" s="162" t="str">
        <f>HYPERLINK("bbg://securities/FNDX%20US%20EQUITY/EFMF%20?panel=1","8.02")</f>
        <v>8.02</v>
      </c>
      <c r="H62" s="81">
        <v>1.8648</v>
      </c>
      <c r="I62" s="72">
        <v>4.3030649935649876</v>
      </c>
      <c r="J62" s="75" t="e">
        <f ca="1">IF($B62="","",_xll.BDP($B62&amp;" Equity",$BF$13,"fill=NA"))</f>
        <v>#NAME?</v>
      </c>
      <c r="L62" s="159" t="str">
        <f>HYPERLINK("bbg://securities/EMUEUA%20GR%20EQUITY/DES%20?panel=1","EMUEUA GR")</f>
        <v>EMUEUA GR</v>
      </c>
      <c r="M62" s="247" t="e">
        <f ca="1">IF($L62="","",HYPERLINK("bbg://securities/"&amp;$L62&amp;" Equity/MHD%20?panel=1",_xll.BDP($L62&amp;" Equity","SECURITY_NAME")))</f>
        <v>#NAME?</v>
      </c>
      <c r="N62" s="209"/>
      <c r="O62" s="209"/>
      <c r="P62" s="162" t="str">
        <f>HYPERLINK("bbg://securities/EMUEUA%20GR%20EQUITY/EFMF%20?panel=1","-1.48")</f>
        <v>-1.48</v>
      </c>
      <c r="Q62" s="81">
        <v>1.6785972</v>
      </c>
      <c r="R62" s="72">
        <v>-0.88188804318272396</v>
      </c>
      <c r="S62" s="75" t="e">
        <f ca="1">IF($L62="","",_xll.BDP($L62&amp;" Equity",$BF$13,"fill=NA"))</f>
        <v>#NAME?</v>
      </c>
      <c r="BD62" s="50"/>
      <c r="BE62" s="51"/>
      <c r="BF62" s="52" t="e">
        <f t="shared" si="0"/>
        <v>#N/A</v>
      </c>
      <c r="BG62" s="46">
        <v>49</v>
      </c>
      <c r="BH62" s="46" t="e">
        <f t="shared" si="1"/>
        <v>#N/A</v>
      </c>
      <c r="BI62" s="46" t="e">
        <f t="shared" si="2"/>
        <v>#N/A</v>
      </c>
      <c r="BJ62" s="46" t="e">
        <f t="shared" si="3"/>
        <v>#N/A</v>
      </c>
      <c r="BK62" s="46" t="e">
        <f t="shared" si="4"/>
        <v>#N/A</v>
      </c>
    </row>
    <row r="63" spans="2:63" x14ac:dyDescent="0.2">
      <c r="B63" s="161" t="str">
        <f>HYPERLINK("bbg://securities/500USD%20SW%20EQUITY/DES%20?panel=1","500USD SW")</f>
        <v>500USD SW</v>
      </c>
      <c r="C63" s="248" t="e">
        <f ca="1">IF($B63="","",HYPERLINK("bbg://securities/"&amp;$B63&amp;" Equity/MHD%20?panel=1",_xll.BDP($B63&amp;" Equity","SECURITY_NAME")))</f>
        <v>#NAME?</v>
      </c>
      <c r="D63" s="210"/>
      <c r="E63" s="210"/>
      <c r="F63" s="210"/>
      <c r="G63" s="164" t="str">
        <f>HYPERLINK("bbg://securities/500USD%20SW%20EQUITY/EFMF%20?panel=1","1.47")</f>
        <v>1.47</v>
      </c>
      <c r="H63" s="83">
        <v>0.34882400000000002</v>
      </c>
      <c r="I63" s="74">
        <v>4.2276652409238</v>
      </c>
      <c r="J63" s="77" t="e">
        <f ca="1">IF($B63="","",_xll.BDP($B63&amp;" Equity",$BF$13,"fill=NA"))</f>
        <v>#NAME?</v>
      </c>
      <c r="L63" s="161" t="str">
        <f>HYPERLINK("bbg://securities/XMEM%20GR%20EQUITY/DES%20?panel=1","XMEM GR")</f>
        <v>XMEM GR</v>
      </c>
      <c r="M63" s="248" t="e">
        <f ca="1">IF($L63="","",HYPERLINK("bbg://securities/"&amp;$L63&amp;" Equity/MHD%20?panel=1",_xll.BDP($L63&amp;" Equity","SECURITY_NAME")))</f>
        <v>#NAME?</v>
      </c>
      <c r="N63" s="210"/>
      <c r="O63" s="210"/>
      <c r="P63" s="164" t="str">
        <f>HYPERLINK("bbg://securities/XMEM%20GR%20EQUITY/EFMF%20?panel=1","-1.25")</f>
        <v>-1.25</v>
      </c>
      <c r="Q63" s="83">
        <v>1.47041</v>
      </c>
      <c r="R63" s="74">
        <v>-0.85206615841839994</v>
      </c>
      <c r="S63" s="77" t="e">
        <f ca="1">IF($L63="","",_xll.BDP($L63&amp;" Equity",$BF$13,"fill=NA"))</f>
        <v>#NAME?</v>
      </c>
      <c r="BD63" s="50"/>
      <c r="BE63" s="51"/>
      <c r="BF63" s="52" t="e">
        <f t="shared" si="0"/>
        <v>#N/A</v>
      </c>
      <c r="BG63" s="46">
        <v>50</v>
      </c>
      <c r="BH63" s="46" t="e">
        <f t="shared" si="1"/>
        <v>#N/A</v>
      </c>
      <c r="BI63" s="46" t="e">
        <f t="shared" si="2"/>
        <v>#N/A</v>
      </c>
      <c r="BJ63" s="46" t="e">
        <f t="shared" si="3"/>
        <v>#N/A</v>
      </c>
      <c r="BK63" s="46" t="e">
        <f t="shared" si="4"/>
        <v>#N/A</v>
      </c>
    </row>
    <row r="64" spans="2:63" ht="5" customHeight="1" x14ac:dyDescent="0.2">
      <c r="BD64" s="50"/>
      <c r="BE64" s="51"/>
      <c r="BF64" s="52" t="e">
        <f t="shared" si="0"/>
        <v>#N/A</v>
      </c>
      <c r="BG64" s="46">
        <v>51</v>
      </c>
      <c r="BH64" s="46" t="e">
        <f t="shared" si="1"/>
        <v>#N/A</v>
      </c>
      <c r="BI64" s="46" t="e">
        <f t="shared" si="2"/>
        <v>#N/A</v>
      </c>
      <c r="BJ64" s="46" t="e">
        <f t="shared" si="3"/>
        <v>#N/A</v>
      </c>
      <c r="BK64" s="46" t="e">
        <f t="shared" si="4"/>
        <v>#N/A</v>
      </c>
    </row>
    <row r="65" spans="2:63" x14ac:dyDescent="0.2">
      <c r="B65" s="192" t="s">
        <v>211</v>
      </c>
      <c r="C65" s="201"/>
      <c r="D65" s="201"/>
      <c r="E65" s="201"/>
      <c r="F65" s="201"/>
      <c r="G65" s="201"/>
      <c r="H65" s="201"/>
      <c r="I65" s="201"/>
      <c r="J65" s="202"/>
      <c r="L65" s="192" t="s">
        <v>212</v>
      </c>
      <c r="M65" s="201"/>
      <c r="N65" s="201"/>
      <c r="O65" s="201"/>
      <c r="P65" s="201"/>
      <c r="Q65" s="201"/>
      <c r="R65" s="201"/>
      <c r="S65" s="202"/>
      <c r="BD65" s="50"/>
      <c r="BE65" s="51"/>
      <c r="BF65" s="52" t="e">
        <f t="shared" si="0"/>
        <v>#N/A</v>
      </c>
      <c r="BG65" s="46">
        <v>52</v>
      </c>
      <c r="BH65" s="46" t="e">
        <f t="shared" si="1"/>
        <v>#N/A</v>
      </c>
      <c r="BI65" s="46" t="e">
        <f t="shared" si="2"/>
        <v>#N/A</v>
      </c>
      <c r="BJ65" s="46" t="e">
        <f t="shared" si="3"/>
        <v>#N/A</v>
      </c>
      <c r="BK65" s="46" t="e">
        <f t="shared" si="4"/>
        <v>#N/A</v>
      </c>
    </row>
    <row r="66" spans="2:63" x14ac:dyDescent="0.2">
      <c r="B66" s="54" t="s">
        <v>50</v>
      </c>
      <c r="C66" s="203" t="s">
        <v>51</v>
      </c>
      <c r="D66" s="203"/>
      <c r="E66" s="203"/>
      <c r="F66" s="203"/>
      <c r="G66" s="70" t="s">
        <v>207</v>
      </c>
      <c r="H66" s="70" t="s">
        <v>208</v>
      </c>
      <c r="I66" s="70" t="s">
        <v>115</v>
      </c>
      <c r="J66" s="71" t="str">
        <f>$BG$13</f>
        <v>Market Cap</v>
      </c>
      <c r="L66" s="54" t="s">
        <v>50</v>
      </c>
      <c r="M66" s="203" t="s">
        <v>51</v>
      </c>
      <c r="N66" s="203"/>
      <c r="O66" s="203"/>
      <c r="P66" s="70" t="s">
        <v>207</v>
      </c>
      <c r="Q66" s="70" t="s">
        <v>208</v>
      </c>
      <c r="R66" s="70" t="s">
        <v>115</v>
      </c>
      <c r="S66" s="71" t="str">
        <f>$BG$13</f>
        <v>Market Cap</v>
      </c>
    </row>
    <row r="67" spans="2:63" x14ac:dyDescent="0.2">
      <c r="B67" s="159" t="str">
        <f>HYPERLINK("bbg://securities/510180%20CH%20EQUITY/DES%20?panel=1","510180 CH")</f>
        <v>510180 CH</v>
      </c>
      <c r="C67" s="247" t="e">
        <f ca="1">IF($B67="","",HYPERLINK("bbg://securities/"&amp;$B67&amp;" Equity/MHD%20?panel=1",_xll.BDP($B67&amp;" Equity","SECURITY_NAME")))</f>
        <v>#NAME?</v>
      </c>
      <c r="D67" s="209"/>
      <c r="E67" s="209"/>
      <c r="F67" s="209"/>
      <c r="G67" s="162" t="str">
        <f>HYPERLINK("bbg://securities/510180%20CH%20EQUITY/EFMF%20?panel=1","38.08")</f>
        <v>38.08</v>
      </c>
      <c r="H67" s="81">
        <v>2465.1498000000001</v>
      </c>
      <c r="I67" s="72">
        <v>1.544827012135323E-2</v>
      </c>
      <c r="J67" s="75" t="e">
        <f ca="1">IF($B67="","",_xll.BDP($B67&amp;" Equity",$BF$13,"fill=NA"))</f>
        <v>#NAME?</v>
      </c>
      <c r="L67" s="159" t="str">
        <f>HYPERLINK("bbg://securities/IWD%20US%20EQUITY/DES%20?panel=1","IWD US")</f>
        <v>IWD US</v>
      </c>
      <c r="M67" s="247" t="e">
        <f ca="1">IF($L67="","",HYPERLINK("bbg://securities/"&amp;$L67&amp;" Equity/MHD%20?panel=1",_xll.BDP($L67&amp;" Equity","SECURITY_NAME")))</f>
        <v>#NAME?</v>
      </c>
      <c r="N67" s="209"/>
      <c r="O67" s="209"/>
      <c r="P67" s="162" t="str">
        <f>HYPERLINK("bbg://securities/IWD%20US%20EQUITY/EFMF%20?panel=1","-364.94")</f>
        <v>-364.94</v>
      </c>
      <c r="Q67" s="81">
        <v>34925.4</v>
      </c>
      <c r="R67" s="72">
        <v>-1.0449057133203828E-2</v>
      </c>
      <c r="S67" s="75" t="e">
        <f ca="1">IF($L67="","",_xll.BDP($L67&amp;" Equity",$BF$13,"fill=NA"))</f>
        <v>#NAME?</v>
      </c>
    </row>
    <row r="68" spans="2:63" x14ac:dyDescent="0.2">
      <c r="B68" s="160" t="str">
        <f>HYPERLINK("bbg://securities/XLB%20US%20EQUITY/DES%20?panel=1","XLB US")</f>
        <v>XLB US</v>
      </c>
      <c r="C68" s="249" t="e">
        <f ca="1">IF($B68="","",HYPERLINK("bbg://securities/"&amp;$B68&amp;" Equity/MHD%20?panel=1",_xll.BDP($B68&amp;" Equity","SECURITY_NAME")))</f>
        <v>#NAME?</v>
      </c>
      <c r="D68" s="208"/>
      <c r="E68" s="208"/>
      <c r="F68" s="208"/>
      <c r="G68" s="163" t="str">
        <f>HYPERLINK("bbg://securities/XLB%20US%20EQUITY/EFMF%20?panel=1","98.82")</f>
        <v>98.82</v>
      </c>
      <c r="H68" s="82">
        <v>3649.1729999999998</v>
      </c>
      <c r="I68" s="73">
        <v>2.7080848181217462E-2</v>
      </c>
      <c r="J68" s="76" t="e">
        <f ca="1">IF($B68="","",_xll.BDP($B68&amp;" Equity",$BF$13,"fill=NA"))</f>
        <v>#NAME?</v>
      </c>
      <c r="L68" s="160" t="str">
        <f>HYPERLINK("bbg://securities/IWS%20US%20EQUITY/DES%20?panel=1","IWS US")</f>
        <v>IWS US</v>
      </c>
      <c r="M68" s="249" t="e">
        <f ca="1">IF($L68="","",HYPERLINK("bbg://securities/"&amp;$L68&amp;" Equity/MHD%20?panel=1",_xll.BDP($L68&amp;" Equity","SECURITY_NAME")))</f>
        <v>#NAME?</v>
      </c>
      <c r="N68" s="208"/>
      <c r="O68" s="208"/>
      <c r="P68" s="163" t="str">
        <f>HYPERLINK("bbg://securities/IWS%20US%20EQUITY/EFMF%20?panel=1","-380.76")</f>
        <v>-380.76</v>
      </c>
      <c r="Q68" s="82">
        <v>9112.7199999999993</v>
      </c>
      <c r="R68" s="73">
        <v>-4.178283761599174E-2</v>
      </c>
      <c r="S68" s="76" t="e">
        <f ca="1">IF($L68="","",_xll.BDP($L68&amp;" Equity",$BF$13,"fill=NA"))</f>
        <v>#NAME?</v>
      </c>
    </row>
    <row r="69" spans="2:63" x14ac:dyDescent="0.2">
      <c r="B69" s="159" t="str">
        <f>HYPERLINK("bbg://securities/IWN%20US%20EQUITY/DES%20?panel=1","IWN US")</f>
        <v>IWN US</v>
      </c>
      <c r="C69" s="247" t="e">
        <f ca="1">IF($B69="","",HYPERLINK("bbg://securities/"&amp;$B69&amp;" Equity/MHD%20?panel=1",_xll.BDP($B69&amp;" Equity","SECURITY_NAME")))</f>
        <v>#NAME?</v>
      </c>
      <c r="D69" s="209"/>
      <c r="E69" s="209"/>
      <c r="F69" s="209"/>
      <c r="G69" s="162" t="str">
        <f>HYPERLINK("bbg://securities/IWN%20US%20EQUITY/EFMF%20?panel=1","273.41")</f>
        <v>273.41</v>
      </c>
      <c r="H69" s="81">
        <v>8670.73</v>
      </c>
      <c r="I69" s="72">
        <v>3.153225852955896E-2</v>
      </c>
      <c r="J69" s="75" t="e">
        <f ca="1">IF($B69="","",_xll.BDP($B69&amp;" Equity",$BF$13,"fill=NA"))</f>
        <v>#NAME?</v>
      </c>
      <c r="L69" s="159" t="str">
        <f>HYPERLINK("bbg://securities/SDY%20US%20EQUITY/DES%20?panel=1","SDY US")</f>
        <v>SDY US</v>
      </c>
      <c r="M69" s="247" t="e">
        <f ca="1">IF($L69="","",HYPERLINK("bbg://securities/"&amp;$L69&amp;" Equity/MHD%20?panel=1",_xll.BDP($L69&amp;" Equity","SECURITY_NAME")))</f>
        <v>#NAME?</v>
      </c>
      <c r="N69" s="209"/>
      <c r="O69" s="209"/>
      <c r="P69" s="162" t="str">
        <f>HYPERLINK("bbg://securities/SDY%20US%20EQUITY/EFMF%20?panel=1","-654.09")</f>
        <v>-654.09</v>
      </c>
      <c r="Q69" s="81">
        <v>14977.62</v>
      </c>
      <c r="R69" s="72">
        <v>-4.3671070570624693E-2</v>
      </c>
      <c r="S69" s="75" t="e">
        <f ca="1">IF($L69="","",_xll.BDP($L69&amp;" Equity",$BF$13,"fill=NA"))</f>
        <v>#NAME?</v>
      </c>
    </row>
    <row r="70" spans="2:63" x14ac:dyDescent="0.2">
      <c r="B70" s="160" t="str">
        <f>HYPERLINK("bbg://securities/VNQ%20US%20EQUITY/DES%20?panel=1","VNQ US")</f>
        <v>VNQ US</v>
      </c>
      <c r="C70" s="249" t="e">
        <f ca="1">IF($B70="","",HYPERLINK("bbg://securities/"&amp;$B70&amp;" Equity/MHD%20?panel=1",_xll.BDP($B70&amp;" Equity","SECURITY_NAME")))</f>
        <v>#NAME?</v>
      </c>
      <c r="D70" s="208"/>
      <c r="E70" s="208"/>
      <c r="F70" s="208"/>
      <c r="G70" s="163" t="str">
        <f>HYPERLINK("bbg://securities/VNQ%20US%20EQUITY/EFMF%20?panel=1","1466.09")</f>
        <v>1466.09</v>
      </c>
      <c r="H70" s="82">
        <v>32630.2</v>
      </c>
      <c r="I70" s="73">
        <v>4.4930518354162723E-2</v>
      </c>
      <c r="J70" s="76" t="e">
        <f ca="1">IF($B70="","",_xll.BDP($B70&amp;" Equity",$BF$13,"fill=NA"))</f>
        <v>#NAME?</v>
      </c>
      <c r="L70" s="160" t="str">
        <f>HYPERLINK("bbg://securities/IYH%20US%20EQUITY/DES%20?panel=1","IYH US")</f>
        <v>IYH US</v>
      </c>
      <c r="M70" s="249" t="e">
        <f ca="1">IF($L70="","",HYPERLINK("bbg://securities/"&amp;$L70&amp;" Equity/MHD%20?panel=1",_xll.BDP($L70&amp;" Equity","SECURITY_NAME")))</f>
        <v>#NAME?</v>
      </c>
      <c r="N70" s="208"/>
      <c r="O70" s="208"/>
      <c r="P70" s="163" t="str">
        <f>HYPERLINK("bbg://securities/IYH%20US%20EQUITY/EFMF%20?panel=1","-83.84")</f>
        <v>-83.84</v>
      </c>
      <c r="Q70" s="82">
        <v>1823.24</v>
      </c>
      <c r="R70" s="73">
        <v>-4.5986211359996698E-2</v>
      </c>
      <c r="S70" s="76" t="e">
        <f ca="1">IF($L70="","",_xll.BDP($L70&amp;" Equity",$BF$13,"fill=NA"))</f>
        <v>#NAME?</v>
      </c>
    </row>
    <row r="71" spans="2:63" x14ac:dyDescent="0.2">
      <c r="B71" s="159" t="str">
        <f>HYPERLINK("bbg://securities/HEFA%20US%20EQUITY/DES%20?panel=1","HEFA US")</f>
        <v>HEFA US</v>
      </c>
      <c r="C71" s="247" t="e">
        <f ca="1">IF($B71="","",HYPERLINK("bbg://securities/"&amp;$B71&amp;" Equity/MHD%20?panel=1",_xll.BDP($B71&amp;" Equity","SECURITY_NAME")))</f>
        <v>#NAME?</v>
      </c>
      <c r="D71" s="209"/>
      <c r="E71" s="209"/>
      <c r="F71" s="209"/>
      <c r="G71" s="162" t="str">
        <f>HYPERLINK("bbg://securities/HEFA%20US%20EQUITY/EFMF%20?panel=1","173.28")</f>
        <v>173.28</v>
      </c>
      <c r="H71" s="81">
        <v>3211.45</v>
      </c>
      <c r="I71" s="72">
        <v>5.3957931775366279E-2</v>
      </c>
      <c r="J71" s="75" t="e">
        <f ca="1">IF($B71="","",_xll.BDP($B71&amp;" Equity",$BF$13,"fill=NA"))</f>
        <v>#NAME?</v>
      </c>
      <c r="L71" s="159" t="str">
        <f>HYPERLINK("bbg://securities/CSSX5E%20SW%20EQUITY/DES%20?panel=1","CSSX5E SW")</f>
        <v>CSSX5E SW</v>
      </c>
      <c r="M71" s="247" t="e">
        <f ca="1">IF($L71="","",HYPERLINK("bbg://securities/"&amp;$L71&amp;" Equity/MHD%20?panel=1",_xll.BDP($L71&amp;" Equity","SECURITY_NAME")))</f>
        <v>#NAME?</v>
      </c>
      <c r="N71" s="209"/>
      <c r="O71" s="209"/>
      <c r="P71" s="162" t="str">
        <f>HYPERLINK("bbg://securities/CSSX5E%20SW%20EQUITY/EFMF%20?panel=1","-119.16")</f>
        <v>-119.16</v>
      </c>
      <c r="Q71" s="81">
        <v>2374.1086</v>
      </c>
      <c r="R71" s="72">
        <v>-5.0189700673339818E-2</v>
      </c>
      <c r="S71" s="75" t="e">
        <f ca="1">IF($L71="","",_xll.BDP($L71&amp;" Equity",$BF$13,"fill=NA"))</f>
        <v>#NAME?</v>
      </c>
    </row>
    <row r="72" spans="2:63" x14ac:dyDescent="0.2">
      <c r="B72" s="160" t="str">
        <f>HYPERLINK("bbg://securities/EWA%20US%20EQUITY/DES%20?panel=1","EWA US")</f>
        <v>EWA US</v>
      </c>
      <c r="C72" s="249" t="e">
        <f ca="1">IF($B72="","",HYPERLINK("bbg://securities/"&amp;$B72&amp;" Equity/MHD%20?panel=1",_xll.BDP($B72&amp;" Equity","SECURITY_NAME")))</f>
        <v>#NAME?</v>
      </c>
      <c r="D72" s="208"/>
      <c r="E72" s="208"/>
      <c r="F72" s="208"/>
      <c r="G72" s="163" t="str">
        <f>HYPERLINK("bbg://securities/EWA%20US%20EQUITY/EFMF%20?panel=1","93.43")</f>
        <v>93.43</v>
      </c>
      <c r="H72" s="82">
        <v>1699.32</v>
      </c>
      <c r="I72" s="73">
        <v>5.4983463973824823E-2</v>
      </c>
      <c r="J72" s="76" t="e">
        <f ca="1">IF($B72="","",_xll.BDP($B72&amp;" Equity",$BF$13,"fill=NA"))</f>
        <v>#NAME?</v>
      </c>
      <c r="L72" s="160" t="str">
        <f>HYPERLINK("bbg://securities/IUSA%20LN%20EQUITY/DES%20?panel=1","IUSA LN")</f>
        <v>IUSA LN</v>
      </c>
      <c r="M72" s="249" t="e">
        <f ca="1">IF($L72="","",HYPERLINK("bbg://securities/"&amp;$L72&amp;" Equity/MHD%20?panel=1",_xll.BDP($L72&amp;" Equity","SECURITY_NAME")))</f>
        <v>#NAME?</v>
      </c>
      <c r="N72" s="208"/>
      <c r="O72" s="208"/>
      <c r="P72" s="163" t="str">
        <f>HYPERLINK("bbg://securities/IUSA%20LN%20EQUITY/EFMF%20?panel=1","-405.39")</f>
        <v>-405.39</v>
      </c>
      <c r="Q72" s="82">
        <v>7948.8837999999996</v>
      </c>
      <c r="R72" s="73">
        <v>-5.0999386857309439E-2</v>
      </c>
      <c r="S72" s="76" t="e">
        <f ca="1">IF($L72="","",_xll.BDP($L72&amp;" Equity",$BF$13,"fill=NA"))</f>
        <v>#NAME?</v>
      </c>
    </row>
    <row r="73" spans="2:63" x14ac:dyDescent="0.2">
      <c r="B73" s="159" t="str">
        <f>HYPERLINK("bbg://securities/SPHD%20US%20EQUITY/DES%20?panel=1","SPHD US")</f>
        <v>SPHD US</v>
      </c>
      <c r="C73" s="247" t="e">
        <f ca="1">IF($B73="","",HYPERLINK("bbg://securities/"&amp;$B73&amp;" Equity/MHD%20?panel=1",_xll.BDP($B73&amp;" Equity","SECURITY_NAME")))</f>
        <v>#NAME?</v>
      </c>
      <c r="D73" s="209"/>
      <c r="E73" s="209"/>
      <c r="F73" s="209"/>
      <c r="G73" s="162" t="str">
        <f>HYPERLINK("bbg://securities/SPHD%20US%20EQUITY/EFMF%20?panel=1","180.70")</f>
        <v>180.70</v>
      </c>
      <c r="H73" s="81">
        <v>2803.33</v>
      </c>
      <c r="I73" s="72">
        <v>6.4457734194689809E-2</v>
      </c>
      <c r="J73" s="75" t="e">
        <f ca="1">IF($B73="","",_xll.BDP($B73&amp;" Equity",$BF$13,"fill=NA"))</f>
        <v>#NAME?</v>
      </c>
      <c r="L73" s="159" t="str">
        <f>HYPERLINK("bbg://securities/DES%20US%20EQUITY/DES%20?panel=1","DES US")</f>
        <v>DES US</v>
      </c>
      <c r="M73" s="247" t="e">
        <f ca="1">IF($L73="","",HYPERLINK("bbg://securities/"&amp;$L73&amp;" Equity/MHD%20?panel=1",_xll.BDP($L73&amp;" Equity","SECURITY_NAME")))</f>
        <v>#NAME?</v>
      </c>
      <c r="N73" s="209"/>
      <c r="O73" s="209"/>
      <c r="P73" s="162" t="str">
        <f>HYPERLINK("bbg://securities/DES%20US%20EQUITY/EFMF%20?panel=1","-115.45")</f>
        <v>-115.45</v>
      </c>
      <c r="Q73" s="81">
        <v>1964.6</v>
      </c>
      <c r="R73" s="72">
        <v>-5.8763616003257642E-2</v>
      </c>
      <c r="S73" s="75" t="e">
        <f ca="1">IF($L73="","",_xll.BDP($L73&amp;" Equity",$BF$13,"fill=NA"))</f>
        <v>#NAME?</v>
      </c>
    </row>
    <row r="74" spans="2:63" x14ac:dyDescent="0.2">
      <c r="B74" s="160" t="str">
        <f>HYPERLINK("bbg://securities/1330%20JP%20EQUITY/DES%20?panel=1","1330 JP")</f>
        <v>1330 JP</v>
      </c>
      <c r="C74" s="249" t="e">
        <f ca="1">IF($B74="","",HYPERLINK("bbg://securities/"&amp;$B74&amp;" Equity/MHD%20?panel=1",_xll.BDP($B74&amp;" Equity","SECURITY_NAME")))</f>
        <v>#NAME?</v>
      </c>
      <c r="D74" s="208"/>
      <c r="E74" s="208"/>
      <c r="F74" s="208"/>
      <c r="G74" s="163" t="str">
        <f>HYPERLINK("bbg://securities/1330%20JP%20EQUITY/EFMF%20?panel=1","1146.57")</f>
        <v>1146.57</v>
      </c>
      <c r="H74" s="82">
        <v>16982.510300000002</v>
      </c>
      <c r="I74" s="73">
        <v>6.7514806689091281E-2</v>
      </c>
      <c r="J74" s="76" t="e">
        <f ca="1">IF($B74="","",_xll.BDP($B74&amp;" Equity",$BF$13,"fill=NA"))</f>
        <v>#NAME?</v>
      </c>
      <c r="L74" s="160" t="str">
        <f>HYPERLINK("bbg://securities/2833%20HK%20EQUITY/DES%20?panel=1","2833 HK")</f>
        <v>2833 HK</v>
      </c>
      <c r="M74" s="249" t="e">
        <f ca="1">IF($L74="","",HYPERLINK("bbg://securities/"&amp;$L74&amp;" Equity/MHD%20?panel=1",_xll.BDP($L74&amp;" Equity","SECURITY_NAME")))</f>
        <v>#NAME?</v>
      </c>
      <c r="N74" s="208"/>
      <c r="O74" s="208"/>
      <c r="P74" s="163" t="str">
        <f>HYPERLINK("bbg://securities/2833%20HK%20EQUITY/EFMF%20?panel=1","-404.80")</f>
        <v>-404.80</v>
      </c>
      <c r="Q74" s="82">
        <v>5661.9507999999996</v>
      </c>
      <c r="R74" s="73">
        <v>-7.1495340439906532E-2</v>
      </c>
      <c r="S74" s="76" t="e">
        <f ca="1">IF($L74="","",_xll.BDP($L74&amp;" Equity",$BF$13,"fill=NA"))</f>
        <v>#NAME?</v>
      </c>
    </row>
    <row r="75" spans="2:63" x14ac:dyDescent="0.2">
      <c r="B75" s="159" t="str">
        <f>HYPERLINK("bbg://securities/UDVD%20LN%20EQUITY/DES%20?panel=1","UDVD LN")</f>
        <v>UDVD LN</v>
      </c>
      <c r="C75" s="247" t="e">
        <f ca="1">IF($B75="","",HYPERLINK("bbg://securities/"&amp;$B75&amp;" Equity/MHD%20?panel=1",_xll.BDP($B75&amp;" Equity","SECURITY_NAME")))</f>
        <v>#NAME?</v>
      </c>
      <c r="D75" s="209"/>
      <c r="E75" s="209"/>
      <c r="F75" s="209"/>
      <c r="G75" s="162" t="str">
        <f>HYPERLINK("bbg://securities/UDVD%20LN%20EQUITY/EFMF%20?panel=1","198.46")</f>
        <v>198.46</v>
      </c>
      <c r="H75" s="81">
        <v>2682.33</v>
      </c>
      <c r="I75" s="72">
        <v>7.3988733675573029E-2</v>
      </c>
      <c r="J75" s="75" t="e">
        <f ca="1">IF($B75="","",_xll.BDP($B75&amp;" Equity",$BF$13,"fill=NA"))</f>
        <v>#NAME?</v>
      </c>
      <c r="L75" s="159" t="str">
        <f>HYPERLINK("bbg://securities/IYR%20US%20EQUITY/DES%20?panel=1","IYR US")</f>
        <v>IYR US</v>
      </c>
      <c r="M75" s="247" t="e">
        <f ca="1">IF($L75="","",HYPERLINK("bbg://securities/"&amp;$L75&amp;" Equity/MHD%20?panel=1",_xll.BDP($L75&amp;" Equity","SECURITY_NAME")))</f>
        <v>#NAME?</v>
      </c>
      <c r="N75" s="209"/>
      <c r="O75" s="209"/>
      <c r="P75" s="162" t="str">
        <f>HYPERLINK("bbg://securities/IYR%20US%20EQUITY/EFMF%20?panel=1","-333.83")</f>
        <v>-333.83</v>
      </c>
      <c r="Q75" s="81">
        <v>4239.3900000000003</v>
      </c>
      <c r="R75" s="72">
        <v>-7.8744394830388836E-2</v>
      </c>
      <c r="S75" s="75" t="e">
        <f ca="1">IF($L75="","",_xll.BDP($L75&amp;" Equity",$BF$13,"fill=NA"))</f>
        <v>#NAME?</v>
      </c>
    </row>
    <row r="76" spans="2:63" x14ac:dyDescent="0.2">
      <c r="B76" s="161" t="str">
        <f>HYPERLINK("bbg://securities/EFAV%20US%20EQUITY/DES%20?panel=1","EFAV US")</f>
        <v>EFAV US</v>
      </c>
      <c r="C76" s="248" t="e">
        <f ca="1">IF($B76="","",HYPERLINK("bbg://securities/"&amp;$B76&amp;" Equity/MHD%20?panel=1",_xll.BDP($B76&amp;" Equity","SECURITY_NAME")))</f>
        <v>#NAME?</v>
      </c>
      <c r="D76" s="210"/>
      <c r="E76" s="210"/>
      <c r="F76" s="210"/>
      <c r="G76" s="164" t="str">
        <f>HYPERLINK("bbg://securities/EFAV%20US%20EQUITY/EFMF%20?panel=1","435.52")</f>
        <v>435.52</v>
      </c>
      <c r="H76" s="83">
        <v>5883.24</v>
      </c>
      <c r="I76" s="74">
        <v>7.4026488805488608E-2</v>
      </c>
      <c r="J76" s="77" t="e">
        <f ca="1">IF($B76="","",_xll.BDP($B76&amp;" Equity",$BF$13,"fill=NA"))</f>
        <v>#NAME?</v>
      </c>
      <c r="L76" s="161" t="str">
        <f>HYPERLINK("bbg://securities/IWO%20US%20EQUITY/DES%20?panel=1","IWO US")</f>
        <v>IWO US</v>
      </c>
      <c r="M76" s="248" t="e">
        <f ca="1">IF($L76="","",HYPERLINK("bbg://securities/"&amp;$L76&amp;" Equity/MHD%20?panel=1",_xll.BDP($L76&amp;" Equity","SECURITY_NAME")))</f>
        <v>#NAME?</v>
      </c>
      <c r="N76" s="210"/>
      <c r="O76" s="210"/>
      <c r="P76" s="164" t="str">
        <f>HYPERLINK("bbg://securities/IWO%20US%20EQUITY/EFMF%20?panel=1","-596.27")</f>
        <v>-596.27</v>
      </c>
      <c r="Q76" s="83">
        <v>7050.45</v>
      </c>
      <c r="R76" s="74">
        <v>-8.4571892574232949E-2</v>
      </c>
      <c r="S76" s="77" t="e">
        <f ca="1">IF($L76="","",_xll.BDP($L76&amp;" Equity",$BF$13,"fill=NA"))</f>
        <v>#NAME?</v>
      </c>
    </row>
  </sheetData>
  <mergeCells count="113">
    <mergeCell ref="C7:I7"/>
    <mergeCell ref="M7:M9"/>
    <mergeCell ref="C8:I8"/>
    <mergeCell ref="C9:I9"/>
    <mergeCell ref="B12:D13"/>
    <mergeCell ref="F12:S12"/>
    <mergeCell ref="B20:C20"/>
    <mergeCell ref="B21:C21"/>
    <mergeCell ref="B22:C22"/>
    <mergeCell ref="B23:C23"/>
    <mergeCell ref="B24:C24"/>
    <mergeCell ref="B26:J26"/>
    <mergeCell ref="B14:C14"/>
    <mergeCell ref="B15:C15"/>
    <mergeCell ref="B16:C16"/>
    <mergeCell ref="B17:C17"/>
    <mergeCell ref="B18:C18"/>
    <mergeCell ref="B19:C19"/>
    <mergeCell ref="C30:F30"/>
    <mergeCell ref="M30:O30"/>
    <mergeCell ref="C31:F31"/>
    <mergeCell ref="M31:O31"/>
    <mergeCell ref="C32:F32"/>
    <mergeCell ref="M32:O32"/>
    <mergeCell ref="L26:S26"/>
    <mergeCell ref="C27:F27"/>
    <mergeCell ref="M27:O27"/>
    <mergeCell ref="C28:F28"/>
    <mergeCell ref="M28:O28"/>
    <mergeCell ref="C29:F29"/>
    <mergeCell ref="M29:O29"/>
    <mergeCell ref="C36:F36"/>
    <mergeCell ref="M36:O36"/>
    <mergeCell ref="C37:F37"/>
    <mergeCell ref="M37:O37"/>
    <mergeCell ref="B39:J39"/>
    <mergeCell ref="L39:S39"/>
    <mergeCell ref="C33:F33"/>
    <mergeCell ref="M33:O33"/>
    <mergeCell ref="C34:F34"/>
    <mergeCell ref="M34:O34"/>
    <mergeCell ref="C35:F35"/>
    <mergeCell ref="M35:O35"/>
    <mergeCell ref="C43:F43"/>
    <mergeCell ref="M43:O43"/>
    <mergeCell ref="C44:F44"/>
    <mergeCell ref="M44:O44"/>
    <mergeCell ref="C45:F45"/>
    <mergeCell ref="M45:O45"/>
    <mergeCell ref="C40:F40"/>
    <mergeCell ref="M40:O40"/>
    <mergeCell ref="C41:F41"/>
    <mergeCell ref="M41:O41"/>
    <mergeCell ref="C42:F42"/>
    <mergeCell ref="M42:O42"/>
    <mergeCell ref="C49:F49"/>
    <mergeCell ref="M49:O49"/>
    <mergeCell ref="C50:F50"/>
    <mergeCell ref="M50:O50"/>
    <mergeCell ref="B52:J52"/>
    <mergeCell ref="L52:S52"/>
    <mergeCell ref="C46:F46"/>
    <mergeCell ref="M46:O46"/>
    <mergeCell ref="C47:F47"/>
    <mergeCell ref="M47:O47"/>
    <mergeCell ref="C48:F48"/>
    <mergeCell ref="M48:O48"/>
    <mergeCell ref="C56:F56"/>
    <mergeCell ref="M56:O56"/>
    <mergeCell ref="C57:F57"/>
    <mergeCell ref="M57:O57"/>
    <mergeCell ref="C58:F58"/>
    <mergeCell ref="M58:O58"/>
    <mergeCell ref="C53:F53"/>
    <mergeCell ref="M53:O53"/>
    <mergeCell ref="C54:F54"/>
    <mergeCell ref="M54:O54"/>
    <mergeCell ref="C55:F55"/>
    <mergeCell ref="M55:O55"/>
    <mergeCell ref="C62:F62"/>
    <mergeCell ref="M62:O62"/>
    <mergeCell ref="C63:F63"/>
    <mergeCell ref="M63:O63"/>
    <mergeCell ref="B65:J65"/>
    <mergeCell ref="L65:S65"/>
    <mergeCell ref="C59:F59"/>
    <mergeCell ref="M59:O59"/>
    <mergeCell ref="C60:F60"/>
    <mergeCell ref="M60:O60"/>
    <mergeCell ref="C61:F61"/>
    <mergeCell ref="M61:O61"/>
    <mergeCell ref="C69:F69"/>
    <mergeCell ref="M69:O69"/>
    <mergeCell ref="C70:F70"/>
    <mergeCell ref="M70:O70"/>
    <mergeCell ref="C71:F71"/>
    <mergeCell ref="M71:O71"/>
    <mergeCell ref="C66:F66"/>
    <mergeCell ref="M66:O66"/>
    <mergeCell ref="C67:F67"/>
    <mergeCell ref="M67:O67"/>
    <mergeCell ref="C68:F68"/>
    <mergeCell ref="M68:O68"/>
    <mergeCell ref="C75:F75"/>
    <mergeCell ref="M75:O75"/>
    <mergeCell ref="C76:F76"/>
    <mergeCell ref="M76:O76"/>
    <mergeCell ref="C72:F72"/>
    <mergeCell ref="M72:O72"/>
    <mergeCell ref="C73:F73"/>
    <mergeCell ref="M73:O73"/>
    <mergeCell ref="C74:F74"/>
    <mergeCell ref="M74:O74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RepTemplate2"/>
  <dimension ref="B1:BK76"/>
  <sheetViews>
    <sheetView showGridLines="0" showRowColHeaders="0" zoomScaleNormal="100" workbookViewId="0">
      <pane ySplit="10" topLeftCell="A11" activePane="bottomLeft" state="frozen"/>
      <selection pane="bottomLeft" activeCell="C7" sqref="C7:I7"/>
    </sheetView>
  </sheetViews>
  <sheetFormatPr baseColWidth="10" defaultColWidth="9.1640625" defaultRowHeight="15" x14ac:dyDescent="0.2"/>
  <cols>
    <col min="1" max="1" width="1.6640625" style="46" customWidth="1"/>
    <col min="2" max="2" width="13.33203125" style="46" customWidth="1"/>
    <col min="3" max="3" width="9.33203125" style="46" customWidth="1"/>
    <col min="4" max="4" width="11.6640625" style="46" customWidth="1"/>
    <col min="5" max="5" width="1.6640625" style="46" customWidth="1"/>
    <col min="6" max="6" width="7.6640625" style="46" customWidth="1"/>
    <col min="7" max="8" width="11.6640625" style="46" customWidth="1"/>
    <col min="9" max="9" width="10.6640625" style="46" customWidth="1"/>
    <col min="10" max="10" width="13.6640625" style="46" customWidth="1"/>
    <col min="11" max="11" width="1.6640625" style="46" customWidth="1"/>
    <col min="12" max="12" width="13.33203125" style="46" customWidth="1"/>
    <col min="13" max="13" width="8.33203125" style="46" customWidth="1"/>
    <col min="14" max="15" width="9.6640625" style="46" customWidth="1"/>
    <col min="16" max="17" width="11.6640625" style="46" customWidth="1"/>
    <col min="18" max="18" width="10.6640625" style="46" customWidth="1"/>
    <col min="19" max="19" width="13.6640625" style="46" customWidth="1"/>
    <col min="20" max="22" width="10.6640625" style="46" customWidth="1"/>
    <col min="23" max="55" width="9.1640625" style="46"/>
    <col min="56" max="56" width="25.6640625" style="46" customWidth="1"/>
    <col min="57" max="57" width="10.6640625" style="46" customWidth="1"/>
    <col min="58" max="63" width="5.6640625" style="46" customWidth="1"/>
    <col min="64" max="16384" width="9.1640625" style="46"/>
  </cols>
  <sheetData>
    <row r="1" spans="2:63" ht="5" customHeight="1" x14ac:dyDescent="0.2"/>
    <row r="2" spans="2:63" ht="15" customHeight="1" x14ac:dyDescent="0.2"/>
    <row r="3" spans="2:63" ht="15" customHeight="1" x14ac:dyDescent="0.2">
      <c r="C3" s="46" t="s">
        <v>141</v>
      </c>
    </row>
    <row r="4" spans="2:63" ht="15" customHeight="1" x14ac:dyDescent="0.2"/>
    <row r="5" spans="2:63" ht="5" customHeight="1" x14ac:dyDescent="0.2"/>
    <row r="6" spans="2:63" ht="5" customHeight="1" x14ac:dyDescent="0.2"/>
    <row r="7" spans="2:63" x14ac:dyDescent="0.2">
      <c r="B7" s="53" t="s">
        <v>128</v>
      </c>
      <c r="C7" s="182" t="s">
        <v>7925</v>
      </c>
      <c r="D7" s="182"/>
      <c r="E7" s="182"/>
      <c r="F7" s="182"/>
      <c r="G7" s="182"/>
      <c r="H7" s="182"/>
      <c r="I7" s="183"/>
      <c r="J7" s="49"/>
      <c r="L7" s="49"/>
      <c r="M7" s="192" t="s">
        <v>7923</v>
      </c>
      <c r="N7" s="180" t="s">
        <v>134</v>
      </c>
      <c r="O7" s="177">
        <v>2516.4579237999992</v>
      </c>
      <c r="Q7" s="53" t="s">
        <v>133</v>
      </c>
      <c r="R7" s="57">
        <v>80</v>
      </c>
    </row>
    <row r="8" spans="2:63" x14ac:dyDescent="0.2">
      <c r="B8" s="54" t="s">
        <v>130</v>
      </c>
      <c r="C8" s="184" t="s">
        <v>203</v>
      </c>
      <c r="D8" s="184"/>
      <c r="E8" s="184"/>
      <c r="F8" s="184"/>
      <c r="G8" s="184"/>
      <c r="H8" s="184"/>
      <c r="I8" s="185"/>
      <c r="L8" s="49"/>
      <c r="M8" s="193"/>
      <c r="N8" s="170" t="s">
        <v>135</v>
      </c>
      <c r="O8" s="178">
        <v>-1878.8418209000013</v>
      </c>
      <c r="Q8" s="54" t="s">
        <v>112</v>
      </c>
      <c r="R8" s="56">
        <v>456.4539552</v>
      </c>
    </row>
    <row r="9" spans="2:63" x14ac:dyDescent="0.2">
      <c r="B9" s="55" t="s">
        <v>129</v>
      </c>
      <c r="C9" s="186" t="str">
        <f>"Report ("&amp;Ccy&amp;") from "&amp;TEXT(StartDate,"dd-mmm-yyyy")&amp;" to "&amp;TEXT(EndDate,"dd-mmm-yyyy")&amp;" on "&amp;Per</f>
        <v>Report (USD) from 02-Jan-2017 to 27-Jan-2024 on Daily</v>
      </c>
      <c r="D9" s="187"/>
      <c r="E9" s="187"/>
      <c r="F9" s="187"/>
      <c r="G9" s="187"/>
      <c r="H9" s="187"/>
      <c r="I9" s="188"/>
      <c r="L9" s="49"/>
      <c r="M9" s="194"/>
      <c r="N9" s="181" t="s">
        <v>136</v>
      </c>
      <c r="O9" s="179">
        <f>SUM($O$7:$O$8)</f>
        <v>637.61610289999794</v>
      </c>
      <c r="Q9" s="55" t="s">
        <v>137</v>
      </c>
      <c r="R9" s="58">
        <f>$R$8/Main!$E$16</f>
        <v>0.16502541217504557</v>
      </c>
    </row>
    <row r="10" spans="2:63" ht="5" customHeight="1" x14ac:dyDescent="0.2"/>
    <row r="11" spans="2:63" ht="5" customHeight="1" x14ac:dyDescent="0.2"/>
    <row r="12" spans="2:63" ht="15" customHeight="1" x14ac:dyDescent="0.2">
      <c r="B12" s="195" t="str">
        <f>"Breakdown Top 10 Figures (by "&amp;$BG$13&amp;")"</f>
        <v>Breakdown Top 10 Figures (by Rating Class)</v>
      </c>
      <c r="C12" s="196"/>
      <c r="D12" s="197"/>
      <c r="F12" s="189" t="str">
        <f>$C$7</f>
        <v>FI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1"/>
      <c r="BD12" s="48" t="s">
        <v>138</v>
      </c>
      <c r="BE12" s="48">
        <f>MAX(COUNTA($BD$14:$BD$1048576),1)</f>
        <v>4</v>
      </c>
    </row>
    <row r="13" spans="2:63" x14ac:dyDescent="0.2">
      <c r="B13" s="198"/>
      <c r="C13" s="199"/>
      <c r="D13" s="200"/>
      <c r="F13" s="62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4"/>
      <c r="BD13" s="47" t="s">
        <v>139</v>
      </c>
      <c r="BE13" s="47" t="s">
        <v>140</v>
      </c>
      <c r="BF13" s="47" t="s">
        <v>28</v>
      </c>
      <c r="BG13" s="47" t="s">
        <v>8</v>
      </c>
    </row>
    <row r="14" spans="2:63" x14ac:dyDescent="0.2">
      <c r="B14" s="206" t="str">
        <f>$BG$13</f>
        <v>Rating Class</v>
      </c>
      <c r="C14" s="207"/>
      <c r="D14" s="59" t="str">
        <f>"Flow ("&amp;PROPER([0]!Unit)&amp;")"</f>
        <v>Flow (Bln)</v>
      </c>
      <c r="F14" s="65"/>
      <c r="S14" s="66"/>
      <c r="BD14" s="50" t="s">
        <v>7928</v>
      </c>
      <c r="BE14" s="51">
        <v>376.49731180000049</v>
      </c>
      <c r="BF14" s="52">
        <f>RANK($BE14,$BE$14:$BE$65)</f>
        <v>1</v>
      </c>
      <c r="BG14" s="46">
        <v>1</v>
      </c>
      <c r="BH14" s="46" t="str">
        <f>INDEX($BD$14:$BD$65,MATCH($BG14,$BF$14:$BF$65,0))</f>
        <v>Investment Grade BBB or higher</v>
      </c>
      <c r="BI14" s="46">
        <f>INDEX($BE$14:$BE$65,MATCH($BG14,$BF$14:$BF$65,0))</f>
        <v>376.49731180000049</v>
      </c>
      <c r="BJ14" s="46">
        <f>IF($BI14&gt;=0,$BI14,NA())</f>
        <v>376.49731180000049</v>
      </c>
      <c r="BK14" s="46" t="e">
        <f>IF($BI14&lt;0,$BI14,NA())</f>
        <v>#N/A</v>
      </c>
    </row>
    <row r="15" spans="2:63" x14ac:dyDescent="0.2">
      <c r="B15" s="204" t="str">
        <f>IF(ISERROR($BH14),"",$BH14)</f>
        <v>Investment Grade BBB or higher</v>
      </c>
      <c r="C15" s="205"/>
      <c r="D15" s="60">
        <f>IF(ISERROR($BI14),"",$BI14)</f>
        <v>376.49731180000049</v>
      </c>
      <c r="F15" s="65"/>
      <c r="S15" s="66"/>
      <c r="BD15" s="50" t="s">
        <v>7465</v>
      </c>
      <c r="BE15" s="51">
        <v>26.814960000000074</v>
      </c>
      <c r="BF15" s="52">
        <f t="shared" ref="BF15:BF65" si="0">RANK($BE15,$BE$14:$BE$65)</f>
        <v>3</v>
      </c>
      <c r="BG15" s="46">
        <v>2</v>
      </c>
      <c r="BH15" s="46" t="str">
        <f t="shared" ref="BH15:BH65" si="1">INDEX($BD$14:$BD$65,MATCH($BG15,$BF$14:$BF$65,0))</f>
        <v>Investment Grade A or higher</v>
      </c>
      <c r="BI15" s="46">
        <f t="shared" ref="BI15:BI65" si="2">INDEX($BE$14:$BE$65,MATCH($BG15,$BF$14:$BF$65,0))</f>
        <v>231.13158110000023</v>
      </c>
      <c r="BJ15" s="46">
        <f t="shared" ref="BJ15:BJ65" si="3">IF($BI15&gt;=0,$BI15,NA())</f>
        <v>231.13158110000023</v>
      </c>
      <c r="BK15" s="46" t="e">
        <f t="shared" ref="BK15:BK65" si="4">IF($BI15&lt;0,$BI15,NA())</f>
        <v>#N/A</v>
      </c>
    </row>
    <row r="16" spans="2:63" x14ac:dyDescent="0.2">
      <c r="B16" s="204" t="str">
        <f t="shared" ref="B16:B24" si="5">IF(ISERROR($BH15),"",$BH15)</f>
        <v>Investment Grade A or higher</v>
      </c>
      <c r="C16" s="205"/>
      <c r="D16" s="60">
        <f t="shared" ref="D16:D24" si="6">IF(ISERROR($BI15),"",$BI15)</f>
        <v>231.13158110000023</v>
      </c>
      <c r="F16" s="65"/>
      <c r="S16" s="66"/>
      <c r="BD16" s="50" t="s">
        <v>7493</v>
      </c>
      <c r="BE16" s="51">
        <v>231.13158110000023</v>
      </c>
      <c r="BF16" s="52">
        <f t="shared" si="0"/>
        <v>2</v>
      </c>
      <c r="BG16" s="46">
        <v>3</v>
      </c>
      <c r="BH16" s="46" t="str">
        <f t="shared" si="1"/>
        <v>Other</v>
      </c>
      <c r="BI16" s="46">
        <f t="shared" si="2"/>
        <v>26.814960000000074</v>
      </c>
      <c r="BJ16" s="46">
        <f t="shared" si="3"/>
        <v>26.814960000000074</v>
      </c>
      <c r="BK16" s="46" t="e">
        <f t="shared" si="4"/>
        <v>#N/A</v>
      </c>
    </row>
    <row r="17" spans="2:63" x14ac:dyDescent="0.2">
      <c r="B17" s="204" t="str">
        <f t="shared" si="5"/>
        <v>Other</v>
      </c>
      <c r="C17" s="205"/>
      <c r="D17" s="60">
        <f t="shared" si="6"/>
        <v>26.814960000000074</v>
      </c>
      <c r="F17" s="65"/>
      <c r="S17" s="66"/>
      <c r="BD17" s="50" t="s">
        <v>7929</v>
      </c>
      <c r="BE17" s="51">
        <v>3.1722499999999827</v>
      </c>
      <c r="BF17" s="52">
        <f t="shared" si="0"/>
        <v>4</v>
      </c>
      <c r="BG17" s="46">
        <v>4</v>
      </c>
      <c r="BH17" s="46" t="str">
        <f t="shared" si="1"/>
        <v>High Yield</v>
      </c>
      <c r="BI17" s="46">
        <f t="shared" si="2"/>
        <v>3.1722499999999827</v>
      </c>
      <c r="BJ17" s="46">
        <f t="shared" si="3"/>
        <v>3.1722499999999827</v>
      </c>
      <c r="BK17" s="46" t="e">
        <f t="shared" si="4"/>
        <v>#N/A</v>
      </c>
    </row>
    <row r="18" spans="2:63" x14ac:dyDescent="0.2">
      <c r="B18" s="204" t="str">
        <f t="shared" si="5"/>
        <v>High Yield</v>
      </c>
      <c r="C18" s="205"/>
      <c r="D18" s="60">
        <f t="shared" si="6"/>
        <v>3.1722499999999827</v>
      </c>
      <c r="F18" s="65"/>
      <c r="S18" s="66"/>
      <c r="BD18" s="50"/>
      <c r="BE18" s="51"/>
      <c r="BF18" s="52" t="e">
        <f t="shared" si="0"/>
        <v>#N/A</v>
      </c>
      <c r="BG18" s="46">
        <v>5</v>
      </c>
      <c r="BH18" s="46" t="e">
        <f t="shared" si="1"/>
        <v>#N/A</v>
      </c>
      <c r="BI18" s="46" t="e">
        <f t="shared" si="2"/>
        <v>#N/A</v>
      </c>
      <c r="BJ18" s="46" t="e">
        <f t="shared" si="3"/>
        <v>#N/A</v>
      </c>
      <c r="BK18" s="46" t="e">
        <f t="shared" si="4"/>
        <v>#N/A</v>
      </c>
    </row>
    <row r="19" spans="2:63" x14ac:dyDescent="0.2">
      <c r="B19" s="204" t="str">
        <f t="shared" si="5"/>
        <v/>
      </c>
      <c r="C19" s="205"/>
      <c r="D19" s="60" t="str">
        <f t="shared" si="6"/>
        <v/>
      </c>
      <c r="F19" s="65"/>
      <c r="S19" s="66"/>
      <c r="BD19" s="50"/>
      <c r="BE19" s="51"/>
      <c r="BF19" s="52" t="e">
        <f t="shared" si="0"/>
        <v>#N/A</v>
      </c>
      <c r="BG19" s="46">
        <v>6</v>
      </c>
      <c r="BH19" s="46" t="e">
        <f t="shared" si="1"/>
        <v>#N/A</v>
      </c>
      <c r="BI19" s="46" t="e">
        <f t="shared" si="2"/>
        <v>#N/A</v>
      </c>
      <c r="BJ19" s="46" t="e">
        <f t="shared" si="3"/>
        <v>#N/A</v>
      </c>
      <c r="BK19" s="46" t="e">
        <f t="shared" si="4"/>
        <v>#N/A</v>
      </c>
    </row>
    <row r="20" spans="2:63" x14ac:dyDescent="0.2">
      <c r="B20" s="204" t="str">
        <f t="shared" si="5"/>
        <v/>
      </c>
      <c r="C20" s="205"/>
      <c r="D20" s="60" t="str">
        <f t="shared" si="6"/>
        <v/>
      </c>
      <c r="F20" s="65"/>
      <c r="S20" s="66"/>
      <c r="BD20" s="50"/>
      <c r="BE20" s="51"/>
      <c r="BF20" s="52" t="e">
        <f t="shared" si="0"/>
        <v>#N/A</v>
      </c>
      <c r="BG20" s="46">
        <v>7</v>
      </c>
      <c r="BH20" s="46" t="e">
        <f t="shared" si="1"/>
        <v>#N/A</v>
      </c>
      <c r="BI20" s="46" t="e">
        <f t="shared" si="2"/>
        <v>#N/A</v>
      </c>
      <c r="BJ20" s="46" t="e">
        <f t="shared" si="3"/>
        <v>#N/A</v>
      </c>
      <c r="BK20" s="46" t="e">
        <f t="shared" si="4"/>
        <v>#N/A</v>
      </c>
    </row>
    <row r="21" spans="2:63" x14ac:dyDescent="0.2">
      <c r="B21" s="204" t="str">
        <f t="shared" si="5"/>
        <v/>
      </c>
      <c r="C21" s="205"/>
      <c r="D21" s="60" t="str">
        <f t="shared" si="6"/>
        <v/>
      </c>
      <c r="F21" s="65"/>
      <c r="S21" s="66"/>
      <c r="BD21" s="50"/>
      <c r="BE21" s="51"/>
      <c r="BF21" s="52" t="e">
        <f t="shared" si="0"/>
        <v>#N/A</v>
      </c>
      <c r="BG21" s="46">
        <v>8</v>
      </c>
      <c r="BH21" s="46" t="e">
        <f t="shared" si="1"/>
        <v>#N/A</v>
      </c>
      <c r="BI21" s="46" t="e">
        <f t="shared" si="2"/>
        <v>#N/A</v>
      </c>
      <c r="BJ21" s="46" t="e">
        <f t="shared" si="3"/>
        <v>#N/A</v>
      </c>
      <c r="BK21" s="46" t="e">
        <f t="shared" si="4"/>
        <v>#N/A</v>
      </c>
    </row>
    <row r="22" spans="2:63" x14ac:dyDescent="0.2">
      <c r="B22" s="204" t="str">
        <f t="shared" si="5"/>
        <v/>
      </c>
      <c r="C22" s="205"/>
      <c r="D22" s="60" t="str">
        <f t="shared" si="6"/>
        <v/>
      </c>
      <c r="F22" s="65"/>
      <c r="S22" s="66"/>
      <c r="BD22" s="50"/>
      <c r="BE22" s="51"/>
      <c r="BF22" s="52" t="e">
        <f t="shared" si="0"/>
        <v>#N/A</v>
      </c>
      <c r="BG22" s="46">
        <v>9</v>
      </c>
      <c r="BH22" s="46" t="e">
        <f t="shared" si="1"/>
        <v>#N/A</v>
      </c>
      <c r="BI22" s="46" t="e">
        <f t="shared" si="2"/>
        <v>#N/A</v>
      </c>
      <c r="BJ22" s="46" t="e">
        <f t="shared" si="3"/>
        <v>#N/A</v>
      </c>
      <c r="BK22" s="46" t="e">
        <f t="shared" si="4"/>
        <v>#N/A</v>
      </c>
    </row>
    <row r="23" spans="2:63" x14ac:dyDescent="0.2">
      <c r="B23" s="204" t="str">
        <f t="shared" si="5"/>
        <v/>
      </c>
      <c r="C23" s="205"/>
      <c r="D23" s="60" t="str">
        <f t="shared" si="6"/>
        <v/>
      </c>
      <c r="F23" s="65"/>
      <c r="S23" s="66"/>
      <c r="BD23" s="50"/>
      <c r="BE23" s="51"/>
      <c r="BF23" s="52" t="e">
        <f t="shared" si="0"/>
        <v>#N/A</v>
      </c>
      <c r="BG23" s="46">
        <v>10</v>
      </c>
      <c r="BH23" s="46" t="e">
        <f t="shared" si="1"/>
        <v>#N/A</v>
      </c>
      <c r="BI23" s="46" t="e">
        <f t="shared" si="2"/>
        <v>#N/A</v>
      </c>
      <c r="BJ23" s="46" t="e">
        <f t="shared" si="3"/>
        <v>#N/A</v>
      </c>
      <c r="BK23" s="46" t="e">
        <f t="shared" si="4"/>
        <v>#N/A</v>
      </c>
    </row>
    <row r="24" spans="2:63" x14ac:dyDescent="0.2">
      <c r="B24" s="211" t="str">
        <f t="shared" si="5"/>
        <v/>
      </c>
      <c r="C24" s="212"/>
      <c r="D24" s="61" t="str">
        <f t="shared" si="6"/>
        <v/>
      </c>
      <c r="F24" s="67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9"/>
      <c r="BD24" s="50"/>
      <c r="BE24" s="51"/>
      <c r="BF24" s="52" t="e">
        <f t="shared" si="0"/>
        <v>#N/A</v>
      </c>
      <c r="BG24" s="46">
        <v>11</v>
      </c>
      <c r="BH24" s="46" t="e">
        <f t="shared" si="1"/>
        <v>#N/A</v>
      </c>
      <c r="BI24" s="46" t="e">
        <f t="shared" si="2"/>
        <v>#N/A</v>
      </c>
      <c r="BJ24" s="46" t="e">
        <f t="shared" si="3"/>
        <v>#N/A</v>
      </c>
      <c r="BK24" s="46" t="e">
        <f t="shared" si="4"/>
        <v>#N/A</v>
      </c>
    </row>
    <row r="25" spans="2:63" ht="5" customHeight="1" x14ac:dyDescent="0.2">
      <c r="BD25" s="50"/>
      <c r="BE25" s="51"/>
      <c r="BF25" s="52" t="e">
        <f t="shared" si="0"/>
        <v>#N/A</v>
      </c>
      <c r="BG25" s="46">
        <v>12</v>
      </c>
      <c r="BH25" s="46" t="e">
        <f t="shared" si="1"/>
        <v>#N/A</v>
      </c>
      <c r="BI25" s="46" t="e">
        <f t="shared" si="2"/>
        <v>#N/A</v>
      </c>
      <c r="BJ25" s="46" t="e">
        <f t="shared" si="3"/>
        <v>#N/A</v>
      </c>
      <c r="BK25" s="46" t="e">
        <f t="shared" si="4"/>
        <v>#N/A</v>
      </c>
    </row>
    <row r="26" spans="2:63" x14ac:dyDescent="0.2">
      <c r="B26" s="192" t="s">
        <v>131</v>
      </c>
      <c r="C26" s="201"/>
      <c r="D26" s="201"/>
      <c r="E26" s="201"/>
      <c r="F26" s="201"/>
      <c r="G26" s="201"/>
      <c r="H26" s="201"/>
      <c r="I26" s="201"/>
      <c r="J26" s="202"/>
      <c r="L26" s="192" t="s">
        <v>132</v>
      </c>
      <c r="M26" s="201"/>
      <c r="N26" s="201"/>
      <c r="O26" s="201"/>
      <c r="P26" s="201"/>
      <c r="Q26" s="201"/>
      <c r="R26" s="201"/>
      <c r="S26" s="202"/>
      <c r="BD26" s="50"/>
      <c r="BE26" s="51"/>
      <c r="BF26" s="52" t="e">
        <f t="shared" si="0"/>
        <v>#N/A</v>
      </c>
      <c r="BG26" s="46">
        <v>13</v>
      </c>
      <c r="BH26" s="46" t="e">
        <f t="shared" si="1"/>
        <v>#N/A</v>
      </c>
      <c r="BI26" s="46" t="e">
        <f t="shared" si="2"/>
        <v>#N/A</v>
      </c>
      <c r="BJ26" s="46" t="e">
        <f t="shared" si="3"/>
        <v>#N/A</v>
      </c>
      <c r="BK26" s="46" t="e">
        <f t="shared" si="4"/>
        <v>#N/A</v>
      </c>
    </row>
    <row r="27" spans="2:63" x14ac:dyDescent="0.2">
      <c r="B27" s="54" t="s">
        <v>50</v>
      </c>
      <c r="C27" s="203" t="s">
        <v>51</v>
      </c>
      <c r="D27" s="203"/>
      <c r="E27" s="203"/>
      <c r="F27" s="203"/>
      <c r="G27" s="70" t="str">
        <f>"Flow ("&amp;PROPER([0]!Unit)&amp;")"</f>
        <v>Flow (Bln)</v>
      </c>
      <c r="H27" s="70" t="str">
        <f>"AUM ("&amp;PROPER([0]!Unit)&amp;")"</f>
        <v>AUM (Bln)</v>
      </c>
      <c r="I27" s="70" t="s">
        <v>115</v>
      </c>
      <c r="J27" s="71" t="str">
        <f>$BG$13</f>
        <v>Rating Class</v>
      </c>
      <c r="L27" s="54" t="s">
        <v>50</v>
      </c>
      <c r="M27" s="203" t="s">
        <v>51</v>
      </c>
      <c r="N27" s="203"/>
      <c r="O27" s="203"/>
      <c r="P27" s="70" t="str">
        <f>"Flow ("&amp;PROPER([0]!Unit)&amp;")"</f>
        <v>Flow (Bln)</v>
      </c>
      <c r="Q27" s="70" t="str">
        <f>"AUM ("&amp;PROPER([0]!Unit)&amp;")"</f>
        <v>AUM (Bln)</v>
      </c>
      <c r="R27" s="70" t="s">
        <v>115</v>
      </c>
      <c r="S27" s="71" t="str">
        <f>$BG$13</f>
        <v>Rating Class</v>
      </c>
      <c r="BD27" s="50"/>
      <c r="BE27" s="51"/>
      <c r="BF27" s="52" t="e">
        <f t="shared" si="0"/>
        <v>#N/A</v>
      </c>
      <c r="BG27" s="46">
        <v>14</v>
      </c>
      <c r="BH27" s="46" t="e">
        <f t="shared" si="1"/>
        <v>#N/A</v>
      </c>
      <c r="BI27" s="46" t="e">
        <f t="shared" si="2"/>
        <v>#N/A</v>
      </c>
      <c r="BJ27" s="46" t="e">
        <f t="shared" si="3"/>
        <v>#N/A</v>
      </c>
      <c r="BK27" s="46" t="e">
        <f t="shared" si="4"/>
        <v>#N/A</v>
      </c>
    </row>
    <row r="28" spans="2:63" x14ac:dyDescent="0.2">
      <c r="B28" s="159" t="str">
        <f>HYPERLINK("bbg://securities/BND%20US%20EQUITY/DES%20?panel=1","BND US")</f>
        <v>BND US</v>
      </c>
      <c r="C28" s="247" t="e">
        <f ca="1">IF($B28="","",HYPERLINK("bbg://securities/"&amp;$B28&amp;" Equity/MHD%20?panel=1",_xll.BDP($B28&amp;" Equity","SECURITY_NAME")))</f>
        <v>#NAME?</v>
      </c>
      <c r="D28" s="209"/>
      <c r="E28" s="209"/>
      <c r="F28" s="209"/>
      <c r="G28" s="162" t="str">
        <f>HYPERLINK("bbg://securities/BND%20US%20EQUITY/EFMF%20?panel=1","84.49")</f>
        <v>84.49</v>
      </c>
      <c r="H28" s="81">
        <v>31.501900000000003</v>
      </c>
      <c r="I28" s="72">
        <v>2.6819596913202113</v>
      </c>
      <c r="J28" s="75" t="e">
        <f ca="1">IF($B28="","",_xll.BDP($B28&amp;" Equity",$BF$13,"fill=NA"))</f>
        <v>#NAME?</v>
      </c>
      <c r="L28" s="159" t="str">
        <f>HYPERLINK("bbg://securities/IBCS%20GR%20EQUITY/DES%20?panel=1","IBCS GR")</f>
        <v>IBCS GR</v>
      </c>
      <c r="M28" s="247" t="e">
        <f ca="1">IF($L28="","",HYPERLINK("bbg://securities/"&amp;$L28&amp;" Equity/MHD%20?panel=1",_xll.BDP($L28&amp;" Equity","SECURITY_NAME")))</f>
        <v>#NAME?</v>
      </c>
      <c r="N28" s="209"/>
      <c r="O28" s="209"/>
      <c r="P28" s="162" t="str">
        <f>HYPERLINK("bbg://securities/IBCS%20GR%20EQUITY/EFMF%20?panel=1","-2.79")</f>
        <v>-2.79</v>
      </c>
      <c r="Q28" s="81">
        <v>5.3919323000000006</v>
      </c>
      <c r="R28" s="72">
        <v>-0.51790694775600221</v>
      </c>
      <c r="S28" s="75" t="e">
        <f ca="1">IF($L28="","",_xll.BDP($L28&amp;" Equity",$BF$13,"fill=NA"))</f>
        <v>#NAME?</v>
      </c>
      <c r="BD28" s="50"/>
      <c r="BE28" s="51"/>
      <c r="BF28" s="52" t="e">
        <f t="shared" si="0"/>
        <v>#N/A</v>
      </c>
      <c r="BG28" s="46">
        <v>15</v>
      </c>
      <c r="BH28" s="46" t="e">
        <f t="shared" si="1"/>
        <v>#N/A</v>
      </c>
      <c r="BI28" s="46" t="e">
        <f t="shared" si="2"/>
        <v>#N/A</v>
      </c>
      <c r="BJ28" s="46" t="e">
        <f t="shared" si="3"/>
        <v>#N/A</v>
      </c>
      <c r="BK28" s="46" t="e">
        <f t="shared" si="4"/>
        <v>#N/A</v>
      </c>
    </row>
    <row r="29" spans="2:63" x14ac:dyDescent="0.2">
      <c r="B29" s="160" t="str">
        <f>HYPERLINK("bbg://securities/AGG%20US%20EQUITY/DES%20?panel=1","AGG US")</f>
        <v>AGG US</v>
      </c>
      <c r="C29" s="249" t="e">
        <f ca="1">IF($B29="","",HYPERLINK("bbg://securities/"&amp;$B29&amp;" Equity/MHD%20?panel=1",_xll.BDP($B29&amp;" Equity","SECURITY_NAME")))</f>
        <v>#NAME?</v>
      </c>
      <c r="D29" s="208"/>
      <c r="E29" s="208"/>
      <c r="F29" s="208"/>
      <c r="G29" s="163" t="str">
        <f>HYPERLINK("bbg://securities/AGG%20US%20EQUITY/EFMF%20?panel=1","68.82")</f>
        <v>68.82</v>
      </c>
      <c r="H29" s="82">
        <v>41.570699999999995</v>
      </c>
      <c r="I29" s="73">
        <v>1.6554289006439635</v>
      </c>
      <c r="J29" s="76" t="e">
        <f ca="1">IF($B29="","",_xll.BDP($B29&amp;" Equity",$BF$13,"fill=NA"))</f>
        <v>#NAME?</v>
      </c>
      <c r="L29" s="160" t="str">
        <f>HYPERLINK("bbg://securities/JNK%20US%20EQUITY/DES%20?panel=1","JNK US")</f>
        <v>JNK US</v>
      </c>
      <c r="M29" s="249" t="e">
        <f ca="1">IF($L29="","",HYPERLINK("bbg://securities/"&amp;$L29&amp;" Equity/MHD%20?panel=1",_xll.BDP($L29&amp;" Equity","SECURITY_NAME")))</f>
        <v>#NAME?</v>
      </c>
      <c r="N29" s="208"/>
      <c r="O29" s="208"/>
      <c r="P29" s="163" t="str">
        <f>HYPERLINK("bbg://securities/JNK%20US%20EQUITY/EFMF%20?panel=1","-2.48")</f>
        <v>-2.48</v>
      </c>
      <c r="Q29" s="82">
        <v>12.06583</v>
      </c>
      <c r="R29" s="73">
        <v>-0.20593093885791491</v>
      </c>
      <c r="S29" s="76" t="e">
        <f ca="1">IF($L29="","",_xll.BDP($L29&amp;" Equity",$BF$13,"fill=NA"))</f>
        <v>#NAME?</v>
      </c>
      <c r="BD29" s="50"/>
      <c r="BE29" s="51"/>
      <c r="BF29" s="52" t="e">
        <f t="shared" si="0"/>
        <v>#N/A</v>
      </c>
      <c r="BG29" s="46">
        <v>16</v>
      </c>
      <c r="BH29" s="46" t="e">
        <f t="shared" si="1"/>
        <v>#N/A</v>
      </c>
      <c r="BI29" s="46" t="e">
        <f t="shared" si="2"/>
        <v>#N/A</v>
      </c>
      <c r="BJ29" s="46" t="e">
        <f t="shared" si="3"/>
        <v>#N/A</v>
      </c>
      <c r="BK29" s="46" t="e">
        <f t="shared" si="4"/>
        <v>#N/A</v>
      </c>
    </row>
    <row r="30" spans="2:63" x14ac:dyDescent="0.2">
      <c r="B30" s="159" t="str">
        <f>HYPERLINK("bbg://securities/BNDX%20US%20EQUITY/DES%20?panel=1","BNDX US")</f>
        <v>BNDX US</v>
      </c>
      <c r="C30" s="247" t="e">
        <f ca="1">IF($B30="","",HYPERLINK("bbg://securities/"&amp;$B30&amp;" Equity/MHD%20?panel=1",_xll.BDP($B30&amp;" Equity","SECURITY_NAME")))</f>
        <v>#NAME?</v>
      </c>
      <c r="D30" s="209"/>
      <c r="E30" s="209"/>
      <c r="F30" s="209"/>
      <c r="G30" s="162" t="str">
        <f>HYPERLINK("bbg://securities/BNDX%20US%20EQUITY/EFMF%20?panel=1","55.09")</f>
        <v>55.09</v>
      </c>
      <c r="H30" s="81">
        <v>6.0893500000000005</v>
      </c>
      <c r="I30" s="72">
        <v>9.0465422746270256</v>
      </c>
      <c r="J30" s="75" t="e">
        <f ca="1">IF($B30="","",_xll.BDP($B30&amp;" Equity",$BF$13,"fill=NA"))</f>
        <v>#NAME?</v>
      </c>
      <c r="L30" s="159" t="str">
        <f>HYPERLINK("bbg://securities/TBT%20US%20EQUITY/DES%20?panel=1","TBT US")</f>
        <v>TBT US</v>
      </c>
      <c r="M30" s="247" t="e">
        <f ca="1">IF($L30="","",HYPERLINK("bbg://securities/"&amp;$L30&amp;" Equity/MHD%20?panel=1",_xll.BDP($L30&amp;" Equity","SECURITY_NAME")))</f>
        <v>#NAME?</v>
      </c>
      <c r="N30" s="209"/>
      <c r="O30" s="209"/>
      <c r="P30" s="162" t="str">
        <f>HYPERLINK("bbg://securities/TBT%20US%20EQUITY/EFMF%20?panel=1","-1.84")</f>
        <v>-1.84</v>
      </c>
      <c r="Q30" s="81">
        <v>2.1310899999999999</v>
      </c>
      <c r="R30" s="72">
        <v>-0.86349750597112318</v>
      </c>
      <c r="S30" s="75" t="e">
        <f ca="1">IF($L30="","",_xll.BDP($L30&amp;" Equity",$BF$13,"fill=NA"))</f>
        <v>#NAME?</v>
      </c>
      <c r="BD30" s="50"/>
      <c r="BE30" s="51"/>
      <c r="BF30" s="52" t="e">
        <f t="shared" si="0"/>
        <v>#N/A</v>
      </c>
      <c r="BG30" s="46">
        <v>17</v>
      </c>
      <c r="BH30" s="46" t="e">
        <f t="shared" si="1"/>
        <v>#N/A</v>
      </c>
      <c r="BI30" s="46" t="e">
        <f t="shared" si="2"/>
        <v>#N/A</v>
      </c>
      <c r="BJ30" s="46" t="e">
        <f t="shared" si="3"/>
        <v>#N/A</v>
      </c>
      <c r="BK30" s="46" t="e">
        <f t="shared" si="4"/>
        <v>#N/A</v>
      </c>
    </row>
    <row r="31" spans="2:63" x14ac:dyDescent="0.2">
      <c r="B31" s="160" t="str">
        <f>HYPERLINK("bbg://securities/TLT%20US%20EQUITY/DES%20?panel=1","TLT US")</f>
        <v>TLT US</v>
      </c>
      <c r="C31" s="249" t="e">
        <f ca="1">IF($B31="","",HYPERLINK("bbg://securities/"&amp;$B31&amp;" Equity/MHD%20?panel=1",_xll.BDP($B31&amp;" Equity","SECURITY_NAME")))</f>
        <v>#NAME?</v>
      </c>
      <c r="D31" s="208"/>
      <c r="E31" s="208"/>
      <c r="F31" s="208"/>
      <c r="G31" s="163" t="str">
        <f>HYPERLINK("bbg://securities/TLT%20US%20EQUITY/EFMF%20?panel=1","50.95")</f>
        <v>50.95</v>
      </c>
      <c r="H31" s="82">
        <v>5.1345000000000001</v>
      </c>
      <c r="I31" s="73">
        <v>9.9224157951114993</v>
      </c>
      <c r="J31" s="76" t="e">
        <f ca="1">IF($B31="","",_xll.BDP($B31&amp;" Equity",$BF$13,"fill=NA"))</f>
        <v>#NAME?</v>
      </c>
      <c r="L31" s="160" t="str">
        <f>HYPERLINK("bbg://securities/PCY%20US%20EQUITY/DES%20?panel=1","PCY US")</f>
        <v>PCY US</v>
      </c>
      <c r="M31" s="249" t="e">
        <f ca="1">IF($L31="","",HYPERLINK("bbg://securities/"&amp;$L31&amp;" Equity/MHD%20?panel=1",_xll.BDP($L31&amp;" Equity","SECURITY_NAME")))</f>
        <v>#NAME?</v>
      </c>
      <c r="N31" s="208"/>
      <c r="O31" s="208"/>
      <c r="P31" s="163" t="str">
        <f>HYPERLINK("bbg://securities/PCY%20US%20EQUITY/EFMF%20?panel=1","-1.28")</f>
        <v>-1.28</v>
      </c>
      <c r="Q31" s="82">
        <v>3.7783600000000002</v>
      </c>
      <c r="R31" s="73">
        <v>-0.33755142442752922</v>
      </c>
      <c r="S31" s="76" t="e">
        <f ca="1">IF($L31="","",_xll.BDP($L31&amp;" Equity",$BF$13,"fill=NA"))</f>
        <v>#NAME?</v>
      </c>
      <c r="BD31" s="50"/>
      <c r="BE31" s="51"/>
      <c r="BF31" s="52" t="e">
        <f t="shared" si="0"/>
        <v>#N/A</v>
      </c>
      <c r="BG31" s="46">
        <v>18</v>
      </c>
      <c r="BH31" s="46" t="e">
        <f t="shared" si="1"/>
        <v>#N/A</v>
      </c>
      <c r="BI31" s="46" t="e">
        <f t="shared" si="2"/>
        <v>#N/A</v>
      </c>
      <c r="BJ31" s="46" t="e">
        <f t="shared" si="3"/>
        <v>#N/A</v>
      </c>
      <c r="BK31" s="46" t="e">
        <f t="shared" si="4"/>
        <v>#N/A</v>
      </c>
    </row>
    <row r="32" spans="2:63" x14ac:dyDescent="0.2">
      <c r="B32" s="159" t="str">
        <f>HYPERLINK("bbg://securities/VCIT%20US%20EQUITY/DES%20?panel=1","VCIT US")</f>
        <v>VCIT US</v>
      </c>
      <c r="C32" s="247" t="e">
        <f ca="1">IF($B32="","",HYPERLINK("bbg://securities/"&amp;$B32&amp;" Equity/MHD%20?panel=1",_xll.BDP($B32&amp;" Equity","SECURITY_NAME")))</f>
        <v>#NAME?</v>
      </c>
      <c r="D32" s="209"/>
      <c r="E32" s="209"/>
      <c r="F32" s="209"/>
      <c r="G32" s="162" t="str">
        <f>HYPERLINK("bbg://securities/VCIT%20US%20EQUITY/EFMF%20?panel=1","41.39")</f>
        <v>41.39</v>
      </c>
      <c r="H32" s="81">
        <v>10.344899999999999</v>
      </c>
      <c r="I32" s="72">
        <v>4.0012994422372374</v>
      </c>
      <c r="J32" s="75" t="e">
        <f ca="1">IF($B32="","",_xll.BDP($B32&amp;" Equity",$BF$13,"fill=NA"))</f>
        <v>#NAME?</v>
      </c>
      <c r="L32" s="159" t="str">
        <f>HYPERLINK("bbg://securities/PJS1%20GR%20EQUITY/DES%20?panel=1","PJS1 GR")</f>
        <v>PJS1 GR</v>
      </c>
      <c r="M32" s="247" t="e">
        <f ca="1">IF($L32="","",HYPERLINK("bbg://securities/"&amp;$L32&amp;" Equity/MHD%20?panel=1",_xll.BDP($L32&amp;" Equity","SECURITY_NAME")))</f>
        <v>#NAME?</v>
      </c>
      <c r="N32" s="209"/>
      <c r="O32" s="209"/>
      <c r="P32" s="162" t="str">
        <f>HYPERLINK("bbg://securities/PJS1%20GR%20EQUITY/EFMF%20?panel=1","-1.22")</f>
        <v>-1.22</v>
      </c>
      <c r="Q32" s="81">
        <v>2.3900557</v>
      </c>
      <c r="R32" s="72">
        <v>-0.50847794049318562</v>
      </c>
      <c r="S32" s="75" t="e">
        <f ca="1">IF($L32="","",_xll.BDP($L32&amp;" Equity",$BF$13,"fill=NA"))</f>
        <v>#NAME?</v>
      </c>
      <c r="BD32" s="50"/>
      <c r="BE32" s="51"/>
      <c r="BF32" s="52" t="e">
        <f t="shared" si="0"/>
        <v>#N/A</v>
      </c>
      <c r="BG32" s="46">
        <v>19</v>
      </c>
      <c r="BH32" s="46" t="e">
        <f t="shared" si="1"/>
        <v>#N/A</v>
      </c>
      <c r="BI32" s="46" t="e">
        <f t="shared" si="2"/>
        <v>#N/A</v>
      </c>
      <c r="BJ32" s="46" t="e">
        <f t="shared" si="3"/>
        <v>#N/A</v>
      </c>
      <c r="BK32" s="46" t="e">
        <f t="shared" si="4"/>
        <v>#N/A</v>
      </c>
    </row>
    <row r="33" spans="2:63" x14ac:dyDescent="0.2">
      <c r="B33" s="160" t="str">
        <f>HYPERLINK("bbg://securities/BIL%20US%20EQUITY/DES%20?panel=1","BIL US")</f>
        <v>BIL US</v>
      </c>
      <c r="C33" s="249" t="e">
        <f ca="1">IF($B33="","",HYPERLINK("bbg://securities/"&amp;$B33&amp;" Equity/MHD%20?panel=1",_xll.BDP($B33&amp;" Equity","SECURITY_NAME")))</f>
        <v>#NAME?</v>
      </c>
      <c r="D33" s="208"/>
      <c r="E33" s="208"/>
      <c r="F33" s="208"/>
      <c r="G33" s="163" t="str">
        <f>HYPERLINK("bbg://securities/BIL%20US%20EQUITY/EFMF%20?panel=1","31.97")</f>
        <v>31.97</v>
      </c>
      <c r="H33" s="82">
        <v>1.5720799999999999</v>
      </c>
      <c r="I33" s="73">
        <v>20.333328074907104</v>
      </c>
      <c r="J33" s="76" t="e">
        <f ca="1">IF($B33="","",_xll.BDP($B33&amp;" Equity",$BF$13,"fill=NA"))</f>
        <v>#NAME?</v>
      </c>
      <c r="L33" s="160" t="str">
        <f>HYPERLINK("bbg://securities/CWB%20US%20EQUITY/DES%20?panel=1","CWB US")</f>
        <v>CWB US</v>
      </c>
      <c r="M33" s="249" t="e">
        <f ca="1">IF($L33="","",HYPERLINK("bbg://securities/"&amp;$L33&amp;" Equity/MHD%20?panel=1",_xll.BDP($L33&amp;" Equity","SECURITY_NAME")))</f>
        <v>#NAME?</v>
      </c>
      <c r="N33" s="208"/>
      <c r="O33" s="208"/>
      <c r="P33" s="163" t="str">
        <f>HYPERLINK("bbg://securities/CWB%20US%20EQUITY/EFMF%20?panel=1","-1.16")</f>
        <v>-1.16</v>
      </c>
      <c r="Q33" s="82">
        <v>3.1270250000000002</v>
      </c>
      <c r="R33" s="73">
        <v>-0.37096425516265413</v>
      </c>
      <c r="S33" s="76" t="e">
        <f ca="1">IF($L33="","",_xll.BDP($L33&amp;" Equity",$BF$13,"fill=NA"))</f>
        <v>#NAME?</v>
      </c>
      <c r="BD33" s="50"/>
      <c r="BE33" s="51"/>
      <c r="BF33" s="52" t="e">
        <f t="shared" si="0"/>
        <v>#N/A</v>
      </c>
      <c r="BG33" s="46">
        <v>20</v>
      </c>
      <c r="BH33" s="46" t="e">
        <f t="shared" si="1"/>
        <v>#N/A</v>
      </c>
      <c r="BI33" s="46" t="e">
        <f t="shared" si="2"/>
        <v>#N/A</v>
      </c>
      <c r="BJ33" s="46" t="e">
        <f t="shared" si="3"/>
        <v>#N/A</v>
      </c>
      <c r="BK33" s="46" t="e">
        <f t="shared" si="4"/>
        <v>#N/A</v>
      </c>
    </row>
    <row r="34" spans="2:63" x14ac:dyDescent="0.2">
      <c r="B34" s="159" t="str">
        <f>HYPERLINK("bbg://securities/MUB%20US%20EQUITY/DES%20?panel=1","MUB US")</f>
        <v>MUB US</v>
      </c>
      <c r="C34" s="247" t="e">
        <f ca="1">IF($B34="","",HYPERLINK("bbg://securities/"&amp;$B34&amp;" Equity/MHD%20?panel=1",_xll.BDP($B34&amp;" Equity","SECURITY_NAME")))</f>
        <v>#NAME?</v>
      </c>
      <c r="D34" s="209"/>
      <c r="E34" s="209"/>
      <c r="F34" s="209"/>
      <c r="G34" s="162" t="str">
        <f>HYPERLINK("bbg://securities/MUB%20US%20EQUITY/EFMF%20?panel=1","29.15")</f>
        <v>29.15</v>
      </c>
      <c r="H34" s="81">
        <v>8.2108600000000003</v>
      </c>
      <c r="I34" s="72">
        <v>3.5506521850329906</v>
      </c>
      <c r="J34" s="75" t="e">
        <f ca="1">IF($B34="","",_xll.BDP($B34&amp;" Equity",$BF$13,"fill=NA"))</f>
        <v>#NAME?</v>
      </c>
      <c r="L34" s="159" t="str">
        <f>HYPERLINK("bbg://securities/IEXF%20LN%20EQUITY/DES%20?panel=1","IEXF LN")</f>
        <v>IEXF LN</v>
      </c>
      <c r="M34" s="247" t="e">
        <f ca="1">IF($L34="","",HYPERLINK("bbg://securities/"&amp;$L34&amp;" Equity/MHD%20?panel=1",_xll.BDP($L34&amp;" Equity","SECURITY_NAME")))</f>
        <v>#NAME?</v>
      </c>
      <c r="N34" s="209"/>
      <c r="O34" s="209"/>
      <c r="P34" s="162" t="str">
        <f>HYPERLINK("bbg://securities/IEXF%20LN%20EQUITY/EFMF%20?panel=1","-1.02")</f>
        <v>-1.02</v>
      </c>
      <c r="Q34" s="81">
        <v>2.3307393000000003</v>
      </c>
      <c r="R34" s="72">
        <v>-0.43928134733901841</v>
      </c>
      <c r="S34" s="75" t="e">
        <f ca="1">IF($L34="","",_xll.BDP($L34&amp;" Equity",$BF$13,"fill=NA"))</f>
        <v>#NAME?</v>
      </c>
      <c r="BD34" s="50"/>
      <c r="BE34" s="51"/>
      <c r="BF34" s="52" t="e">
        <f t="shared" si="0"/>
        <v>#N/A</v>
      </c>
      <c r="BG34" s="46">
        <v>21</v>
      </c>
      <c r="BH34" s="46" t="e">
        <f t="shared" si="1"/>
        <v>#N/A</v>
      </c>
      <c r="BI34" s="46" t="e">
        <f t="shared" si="2"/>
        <v>#N/A</v>
      </c>
      <c r="BJ34" s="46" t="e">
        <f t="shared" si="3"/>
        <v>#N/A</v>
      </c>
      <c r="BK34" s="46" t="e">
        <f t="shared" si="4"/>
        <v>#N/A</v>
      </c>
    </row>
    <row r="35" spans="2:63" x14ac:dyDescent="0.2">
      <c r="B35" s="160" t="str">
        <f>HYPERLINK("bbg://securities/IEF%20US%20EQUITY/DES%20?panel=1","IEF US")</f>
        <v>IEF US</v>
      </c>
      <c r="C35" s="249" t="e">
        <f ca="1">IF($B35="","",HYPERLINK("bbg://securities/"&amp;$B35&amp;" Equity/MHD%20?panel=1",_xll.BDP($B35&amp;" Equity","SECURITY_NAME")))</f>
        <v>#NAME?</v>
      </c>
      <c r="D35" s="208"/>
      <c r="E35" s="208"/>
      <c r="F35" s="208"/>
      <c r="G35" s="163" t="str">
        <f>HYPERLINK("bbg://securities/IEF%20US%20EQUITY/EFMF%20?panel=1","22.81")</f>
        <v>22.81</v>
      </c>
      <c r="H35" s="82">
        <v>7.54704</v>
      </c>
      <c r="I35" s="73">
        <v>3.0220259863469714</v>
      </c>
      <c r="J35" s="76" t="e">
        <f ca="1">IF($B35="","",_xll.BDP($B35&amp;" Equity",$BF$13,"fill=NA"))</f>
        <v>#NAME?</v>
      </c>
      <c r="L35" s="160" t="str">
        <f>HYPERLINK("bbg://securities/CBO%20CN%20EQUITY/DES%20?panel=1","CBO CN")</f>
        <v>CBO CN</v>
      </c>
      <c r="M35" s="249" t="e">
        <f ca="1">IF($L35="","",HYPERLINK("bbg://securities/"&amp;$L35&amp;" Equity/MHD%20?panel=1",_xll.BDP($L35&amp;" Equity","SECURITY_NAME")))</f>
        <v>#NAME?</v>
      </c>
      <c r="N35" s="208"/>
      <c r="O35" s="208"/>
      <c r="P35" s="163" t="str">
        <f>HYPERLINK("bbg://securities/CBO%20CN%20EQUITY/EFMF%20?panel=1","-0.85")</f>
        <v>-0.85</v>
      </c>
      <c r="Q35" s="82">
        <v>1.4327657999999999</v>
      </c>
      <c r="R35" s="73">
        <v>-0.59056699985440797</v>
      </c>
      <c r="S35" s="76" t="e">
        <f ca="1">IF($L35="","",_xll.BDP($L35&amp;" Equity",$BF$13,"fill=NA"))</f>
        <v>#NAME?</v>
      </c>
      <c r="BD35" s="50"/>
      <c r="BE35" s="51"/>
      <c r="BF35" s="52" t="e">
        <f t="shared" si="0"/>
        <v>#N/A</v>
      </c>
      <c r="BG35" s="46">
        <v>22</v>
      </c>
      <c r="BH35" s="46" t="e">
        <f t="shared" si="1"/>
        <v>#N/A</v>
      </c>
      <c r="BI35" s="46" t="e">
        <f t="shared" si="2"/>
        <v>#N/A</v>
      </c>
      <c r="BJ35" s="46" t="e">
        <f t="shared" si="3"/>
        <v>#N/A</v>
      </c>
      <c r="BK35" s="46" t="e">
        <f t="shared" si="4"/>
        <v>#N/A</v>
      </c>
    </row>
    <row r="36" spans="2:63" x14ac:dyDescent="0.2">
      <c r="B36" s="159" t="str">
        <f>HYPERLINK("bbg://securities/VCSH%20US%20EQUITY/DES%20?panel=1","VCSH US")</f>
        <v>VCSH US</v>
      </c>
      <c r="C36" s="247" t="e">
        <f ca="1">IF($B36="","",HYPERLINK("bbg://securities/"&amp;$B36&amp;" Equity/MHD%20?panel=1",_xll.BDP($B36&amp;" Equity","SECURITY_NAME")))</f>
        <v>#NAME?</v>
      </c>
      <c r="D36" s="209"/>
      <c r="E36" s="209"/>
      <c r="F36" s="209"/>
      <c r="G36" s="162" t="str">
        <f>HYPERLINK("bbg://securities/VCSH%20US%20EQUITY/EFMF%20?panel=1","22.48")</f>
        <v>22.48</v>
      </c>
      <c r="H36" s="81">
        <v>15.816799999999999</v>
      </c>
      <c r="I36" s="72">
        <v>1.4213457652622528</v>
      </c>
      <c r="J36" s="75" t="e">
        <f ca="1">IF($B36="","",_xll.BDP($B36&amp;" Equity",$BF$13,"fill=NA"))</f>
        <v>#NAME?</v>
      </c>
      <c r="L36" s="159" t="str">
        <f>HYPERLINK("bbg://securities/EEX5%20LN%20EQUITY/DES%20?panel=1","EEX5 LN")</f>
        <v>EEX5 LN</v>
      </c>
      <c r="M36" s="247" t="e">
        <f ca="1">IF($L36="","",HYPERLINK("bbg://securities/"&amp;$L36&amp;" Equity/MHD%20?panel=1",_xll.BDP($L36&amp;" Equity","SECURITY_NAME")))</f>
        <v>#NAME?</v>
      </c>
      <c r="N36" s="209"/>
      <c r="O36" s="209"/>
      <c r="P36" s="162" t="str">
        <f>HYPERLINK("bbg://securities/EEX5%20LN%20EQUITY/EFMF%20?panel=1","-0.78")</f>
        <v>-0.78</v>
      </c>
      <c r="Q36" s="81">
        <v>1.9779036000000001</v>
      </c>
      <c r="R36" s="72">
        <v>-0.3932094061611498</v>
      </c>
      <c r="S36" s="75" t="e">
        <f ca="1">IF($L36="","",_xll.BDP($L36&amp;" Equity",$BF$13,"fill=NA"))</f>
        <v>#NAME?</v>
      </c>
      <c r="BD36" s="50"/>
      <c r="BE36" s="51"/>
      <c r="BF36" s="52" t="e">
        <f t="shared" si="0"/>
        <v>#N/A</v>
      </c>
      <c r="BG36" s="46">
        <v>23</v>
      </c>
      <c r="BH36" s="46" t="e">
        <f t="shared" si="1"/>
        <v>#N/A</v>
      </c>
      <c r="BI36" s="46" t="e">
        <f t="shared" si="2"/>
        <v>#N/A</v>
      </c>
      <c r="BJ36" s="46" t="e">
        <f t="shared" si="3"/>
        <v>#N/A</v>
      </c>
      <c r="BK36" s="46" t="e">
        <f t="shared" si="4"/>
        <v>#N/A</v>
      </c>
    </row>
    <row r="37" spans="2:63" x14ac:dyDescent="0.2">
      <c r="B37" s="161" t="str">
        <f>HYPERLINK("bbg://securities/MBB%20US%20EQUITY/DES%20?panel=1","MBB US")</f>
        <v>MBB US</v>
      </c>
      <c r="C37" s="248" t="e">
        <f ca="1">IF($B37="","",HYPERLINK("bbg://securities/"&amp;$B37&amp;" Equity/MHD%20?panel=1",_xll.BDP($B37&amp;" Equity","SECURITY_NAME")))</f>
        <v>#NAME?</v>
      </c>
      <c r="D37" s="210"/>
      <c r="E37" s="210"/>
      <c r="F37" s="210"/>
      <c r="G37" s="164" t="str">
        <f>HYPERLINK("bbg://securities/MBB%20US%20EQUITY/EFMF%20?panel=1","22.35")</f>
        <v>22.35</v>
      </c>
      <c r="H37" s="83">
        <v>9.2196800000000003</v>
      </c>
      <c r="I37" s="74">
        <v>2.4237716493414108</v>
      </c>
      <c r="J37" s="77" t="e">
        <f ca="1">IF($B37="","",_xll.BDP($B37&amp;" Equity",$BF$13,"fill=NA"))</f>
        <v>#NAME?</v>
      </c>
      <c r="L37" s="161" t="str">
        <f>HYPERLINK("bbg://securities/ITPS%20LN%20EQUITY/DES%20?panel=1","ITPS LN")</f>
        <v>ITPS LN</v>
      </c>
      <c r="M37" s="248" t="e">
        <f ca="1">IF($L37="","",HYPERLINK("bbg://securities/"&amp;$L37&amp;" Equity/MHD%20?panel=1",_xll.BDP($L37&amp;" Equity","SECURITY_NAME")))</f>
        <v>#NAME?</v>
      </c>
      <c r="N37" s="210"/>
      <c r="O37" s="210"/>
      <c r="P37" s="164" t="str">
        <f>HYPERLINK("bbg://securities/ITPS%20LN%20EQUITY/EFMF%20?panel=1","-0.76")</f>
        <v>-0.76</v>
      </c>
      <c r="Q37" s="83">
        <v>3.4333914000000001</v>
      </c>
      <c r="R37" s="74">
        <v>-0.22174797781575389</v>
      </c>
      <c r="S37" s="77" t="e">
        <f ca="1">IF($L37="","",_xll.BDP($L37&amp;" Equity",$BF$13,"fill=NA"))</f>
        <v>#NAME?</v>
      </c>
      <c r="BD37" s="50"/>
      <c r="BE37" s="51"/>
      <c r="BF37" s="52" t="e">
        <f t="shared" si="0"/>
        <v>#N/A</v>
      </c>
      <c r="BG37" s="46">
        <v>24</v>
      </c>
      <c r="BH37" s="46" t="e">
        <f t="shared" si="1"/>
        <v>#N/A</v>
      </c>
      <c r="BI37" s="46" t="e">
        <f t="shared" si="2"/>
        <v>#N/A</v>
      </c>
      <c r="BJ37" s="46" t="e">
        <f t="shared" si="3"/>
        <v>#N/A</v>
      </c>
      <c r="BK37" s="46" t="e">
        <f t="shared" si="4"/>
        <v>#N/A</v>
      </c>
    </row>
    <row r="38" spans="2:63" ht="5" customHeight="1" x14ac:dyDescent="0.2">
      <c r="BD38" s="50"/>
      <c r="BE38" s="51"/>
      <c r="BF38" s="52" t="e">
        <f t="shared" si="0"/>
        <v>#N/A</v>
      </c>
      <c r="BG38" s="46">
        <v>25</v>
      </c>
      <c r="BH38" s="46" t="e">
        <f t="shared" si="1"/>
        <v>#N/A</v>
      </c>
      <c r="BI38" s="46" t="e">
        <f t="shared" si="2"/>
        <v>#N/A</v>
      </c>
      <c r="BJ38" s="46" t="e">
        <f t="shared" si="3"/>
        <v>#N/A</v>
      </c>
      <c r="BK38" s="46" t="e">
        <f t="shared" si="4"/>
        <v>#N/A</v>
      </c>
    </row>
    <row r="39" spans="2:63" x14ac:dyDescent="0.2">
      <c r="B39" s="192" t="s">
        <v>209</v>
      </c>
      <c r="C39" s="201"/>
      <c r="D39" s="201"/>
      <c r="E39" s="201"/>
      <c r="F39" s="201"/>
      <c r="G39" s="201"/>
      <c r="H39" s="201"/>
      <c r="I39" s="201"/>
      <c r="J39" s="202"/>
      <c r="L39" s="192" t="s">
        <v>210</v>
      </c>
      <c r="M39" s="201"/>
      <c r="N39" s="201"/>
      <c r="O39" s="201"/>
      <c r="P39" s="201"/>
      <c r="Q39" s="201"/>
      <c r="R39" s="201"/>
      <c r="S39" s="202"/>
      <c r="BD39" s="50"/>
      <c r="BE39" s="51"/>
      <c r="BF39" s="52" t="e">
        <f t="shared" si="0"/>
        <v>#N/A</v>
      </c>
      <c r="BG39" s="46">
        <v>26</v>
      </c>
      <c r="BH39" s="46" t="e">
        <f t="shared" si="1"/>
        <v>#N/A</v>
      </c>
      <c r="BI39" s="46" t="e">
        <f t="shared" si="2"/>
        <v>#N/A</v>
      </c>
      <c r="BJ39" s="46" t="e">
        <f t="shared" si="3"/>
        <v>#N/A</v>
      </c>
      <c r="BK39" s="46" t="e">
        <f t="shared" si="4"/>
        <v>#N/A</v>
      </c>
    </row>
    <row r="40" spans="2:63" x14ac:dyDescent="0.2">
      <c r="B40" s="54" t="s">
        <v>50</v>
      </c>
      <c r="C40" s="203" t="s">
        <v>51</v>
      </c>
      <c r="D40" s="203"/>
      <c r="E40" s="203"/>
      <c r="F40" s="203"/>
      <c r="G40" s="70" t="s">
        <v>207</v>
      </c>
      <c r="H40" s="70" t="s">
        <v>208</v>
      </c>
      <c r="I40" s="70" t="s">
        <v>115</v>
      </c>
      <c r="J40" s="71" t="str">
        <f>$BG$13</f>
        <v>Rating Class</v>
      </c>
      <c r="L40" s="54" t="s">
        <v>50</v>
      </c>
      <c r="M40" s="203" t="s">
        <v>51</v>
      </c>
      <c r="N40" s="203"/>
      <c r="O40" s="203"/>
      <c r="P40" s="70" t="s">
        <v>207</v>
      </c>
      <c r="Q40" s="70" t="s">
        <v>208</v>
      </c>
      <c r="R40" s="70" t="s">
        <v>115</v>
      </c>
      <c r="S40" s="71" t="str">
        <f>$BG$13</f>
        <v>Rating Class</v>
      </c>
      <c r="BD40" s="50"/>
      <c r="BE40" s="51"/>
      <c r="BF40" s="52" t="e">
        <f t="shared" si="0"/>
        <v>#N/A</v>
      </c>
      <c r="BG40" s="46">
        <v>27</v>
      </c>
      <c r="BH40" s="46" t="e">
        <f t="shared" si="1"/>
        <v>#N/A</v>
      </c>
      <c r="BI40" s="46" t="e">
        <f t="shared" si="2"/>
        <v>#N/A</v>
      </c>
      <c r="BJ40" s="46" t="e">
        <f t="shared" si="3"/>
        <v>#N/A</v>
      </c>
      <c r="BK40" s="46" t="e">
        <f t="shared" si="4"/>
        <v>#N/A</v>
      </c>
    </row>
    <row r="41" spans="2:63" x14ac:dyDescent="0.2">
      <c r="B41" s="159" t="str">
        <f>HYPERLINK("bbg://securities/XSB%20CN%20EQUITY/DES%20?panel=1","XSB CN")</f>
        <v>XSB CN</v>
      </c>
      <c r="C41" s="247" t="e">
        <f ca="1">IF($B41="","",HYPERLINK("bbg://securities/"&amp;$B41&amp;" Equity/MHD%20?panel=1",_xll.BDP($B41&amp;" Equity","SECURITY_NAME")))</f>
        <v>#NAME?</v>
      </c>
      <c r="D41" s="209"/>
      <c r="E41" s="209"/>
      <c r="F41" s="209"/>
      <c r="G41" s="162" t="str">
        <f>HYPERLINK("bbg://securities/XSB%20CN%20EQUITY/EFMF%20?panel=1","107.15")</f>
        <v>107.15</v>
      </c>
      <c r="H41" s="81">
        <v>1743.4795999999999</v>
      </c>
      <c r="I41" s="72">
        <v>6.1456010153488137E-2</v>
      </c>
      <c r="J41" s="75" t="e">
        <f ca="1">IF($B41="","",_xll.BDP($B41&amp;" Equity",$BF$13,"fill=NA"))</f>
        <v>#NAME?</v>
      </c>
      <c r="L41" s="159" t="str">
        <f>HYPERLINK("bbg://securities/IBGS%20LN%20EQUITY/DES%20?panel=1","IBGS LN")</f>
        <v>IBGS LN</v>
      </c>
      <c r="M41" s="247" t="e">
        <f ca="1">IF($L41="","",HYPERLINK("bbg://securities/"&amp;$L41&amp;" Equity/MHD%20?panel=1",_xll.BDP($L41&amp;" Equity","SECURITY_NAME")))</f>
        <v>#NAME?</v>
      </c>
      <c r="N41" s="209"/>
      <c r="O41" s="209"/>
      <c r="P41" s="162" t="str">
        <f>HYPERLINK("bbg://securities/IBGS%20LN%20EQUITY/EFMF%20?panel=1","-0.22")</f>
        <v>-0.22</v>
      </c>
      <c r="Q41" s="81">
        <v>1506.4849999999999</v>
      </c>
      <c r="R41" s="72">
        <v>-1.4663272452126311E-4</v>
      </c>
      <c r="S41" s="75" t="e">
        <f ca="1">IF($L41="","",_xll.BDP($L41&amp;" Equity",$BF$13,"fill=NA"))</f>
        <v>#NAME?</v>
      </c>
      <c r="BD41" s="50"/>
      <c r="BE41" s="51"/>
      <c r="BF41" s="52" t="e">
        <f t="shared" si="0"/>
        <v>#N/A</v>
      </c>
      <c r="BG41" s="46">
        <v>28</v>
      </c>
      <c r="BH41" s="46" t="e">
        <f t="shared" si="1"/>
        <v>#N/A</v>
      </c>
      <c r="BI41" s="46" t="e">
        <f t="shared" si="2"/>
        <v>#N/A</v>
      </c>
      <c r="BJ41" s="46" t="e">
        <f t="shared" si="3"/>
        <v>#N/A</v>
      </c>
      <c r="BK41" s="46" t="e">
        <f t="shared" si="4"/>
        <v>#N/A</v>
      </c>
    </row>
    <row r="42" spans="2:63" x14ac:dyDescent="0.2">
      <c r="B42" s="160" t="str">
        <f>HYPERLINK("bbg://securities/TDTT%20US%20EQUITY/DES%20?panel=1","TDTT US")</f>
        <v>TDTT US</v>
      </c>
      <c r="C42" s="249" t="e">
        <f ca="1">IF($B42="","",HYPERLINK("bbg://securities/"&amp;$B42&amp;" Equity/MHD%20?panel=1",_xll.BDP($B42&amp;" Equity","SECURITY_NAME")))</f>
        <v>#NAME?</v>
      </c>
      <c r="D42" s="208"/>
      <c r="E42" s="208"/>
      <c r="F42" s="208"/>
      <c r="G42" s="163" t="str">
        <f>HYPERLINK("bbg://securities/TDTT%20US%20EQUITY/EFMF%20?panel=1","148.82")</f>
        <v>148.82</v>
      </c>
      <c r="H42" s="82">
        <v>1873.59</v>
      </c>
      <c r="I42" s="73">
        <v>7.9430665193559194E-2</v>
      </c>
      <c r="J42" s="76" t="e">
        <f ca="1">IF($B42="","",_xll.BDP($B42&amp;" Equity",$BF$13,"fill=NA"))</f>
        <v>#NAME?</v>
      </c>
      <c r="L42" s="160" t="str">
        <f>HYPERLINK("bbg://securities/2821%20HK%20EQUITY/DES%20?panel=1","2821 HK")</f>
        <v>2821 HK</v>
      </c>
      <c r="M42" s="249" t="e">
        <f ca="1">IF($L42="","",HYPERLINK("bbg://securities/"&amp;$L42&amp;" Equity/MHD%20?panel=1",_xll.BDP($L42&amp;" Equity","SECURITY_NAME")))</f>
        <v>#NAME?</v>
      </c>
      <c r="N42" s="208"/>
      <c r="O42" s="208"/>
      <c r="P42" s="163" t="str">
        <f>HYPERLINK("bbg://securities/2821%20HK%20EQUITY/EFMF%20?panel=1","-187.51")</f>
        <v>-187.51</v>
      </c>
      <c r="Q42" s="82">
        <v>3748.43</v>
      </c>
      <c r="R42" s="73">
        <v>-5.002328975064229E-2</v>
      </c>
      <c r="S42" s="76" t="e">
        <f ca="1">IF($L42="","",_xll.BDP($L42&amp;" Equity",$BF$13,"fill=NA"))</f>
        <v>#NAME?</v>
      </c>
      <c r="BD42" s="50"/>
      <c r="BE42" s="51"/>
      <c r="BF42" s="52" t="e">
        <f t="shared" si="0"/>
        <v>#N/A</v>
      </c>
      <c r="BG42" s="46">
        <v>29</v>
      </c>
      <c r="BH42" s="46" t="e">
        <f t="shared" si="1"/>
        <v>#N/A</v>
      </c>
      <c r="BI42" s="46" t="e">
        <f t="shared" si="2"/>
        <v>#N/A</v>
      </c>
      <c r="BJ42" s="46" t="e">
        <f t="shared" si="3"/>
        <v>#N/A</v>
      </c>
      <c r="BK42" s="46" t="e">
        <f t="shared" si="4"/>
        <v>#N/A</v>
      </c>
    </row>
    <row r="43" spans="2:63" x14ac:dyDescent="0.2">
      <c r="B43" s="159" t="str">
        <f>HYPERLINK("bbg://securities/IEAG%20LN%20EQUITY/DES%20?panel=1","IEAG LN")</f>
        <v>IEAG LN</v>
      </c>
      <c r="C43" s="247" t="e">
        <f ca="1">IF($B43="","",HYPERLINK("bbg://securities/"&amp;$B43&amp;" Equity/MHD%20?panel=1",_xll.BDP($B43&amp;" Equity","SECURITY_NAME")))</f>
        <v>#NAME?</v>
      </c>
      <c r="D43" s="209"/>
      <c r="E43" s="209"/>
      <c r="F43" s="209"/>
      <c r="G43" s="162" t="str">
        <f>HYPERLINK("bbg://securities/IEAG%20LN%20EQUITY/EFMF%20?panel=1","242.97")</f>
        <v>242.97</v>
      </c>
      <c r="H43" s="81">
        <v>1928.1709000000001</v>
      </c>
      <c r="I43" s="72">
        <v>0.1260118592184957</v>
      </c>
      <c r="J43" s="75" t="e">
        <f ca="1">IF($B43="","",_xll.BDP($B43&amp;" Equity",$BF$13,"fill=NA"))</f>
        <v>#NAME?</v>
      </c>
      <c r="L43" s="159" t="str">
        <f>HYPERLINK("bbg://securities/AFLT%20FP%20EQUITY/DES%20?panel=1","AFLT FP")</f>
        <v>AFLT FP</v>
      </c>
      <c r="M43" s="247" t="e">
        <f ca="1">IF($L43="","",HYPERLINK("bbg://securities/"&amp;$L43&amp;" Equity/MHD%20?panel=1",_xll.BDP($L43&amp;" Equity","SECURITY_NAME")))</f>
        <v>#NAME?</v>
      </c>
      <c r="N43" s="209"/>
      <c r="O43" s="209"/>
      <c r="P43" s="162" t="str">
        <f>HYPERLINK("bbg://securities/AFLT%20FP%20EQUITY/EFMF%20?panel=1","-190.74")</f>
        <v>-190.74</v>
      </c>
      <c r="Q43" s="81">
        <v>352.91399999999999</v>
      </c>
      <c r="R43" s="72">
        <v>-0.5404812503896127</v>
      </c>
      <c r="S43" s="75" t="e">
        <f ca="1">IF($L43="","",_xll.BDP($L43&amp;" Equity",$BF$13,"fill=NA"))</f>
        <v>#NAME?</v>
      </c>
      <c r="BD43" s="50"/>
      <c r="BE43" s="51"/>
      <c r="BF43" s="52" t="e">
        <f t="shared" si="0"/>
        <v>#N/A</v>
      </c>
      <c r="BG43" s="46">
        <v>30</v>
      </c>
      <c r="BH43" s="46" t="e">
        <f t="shared" si="1"/>
        <v>#N/A</v>
      </c>
      <c r="BI43" s="46" t="e">
        <f t="shared" si="2"/>
        <v>#N/A</v>
      </c>
      <c r="BJ43" s="46" t="e">
        <f t="shared" si="3"/>
        <v>#N/A</v>
      </c>
      <c r="BK43" s="46" t="e">
        <f t="shared" si="4"/>
        <v>#N/A</v>
      </c>
    </row>
    <row r="44" spans="2:63" x14ac:dyDescent="0.2">
      <c r="B44" s="160" t="str">
        <f>HYPERLINK("bbg://securities/IHYU%20LN%20EQUITY/DES%20?panel=1","IHYU LN")</f>
        <v>IHYU LN</v>
      </c>
      <c r="C44" s="249" t="e">
        <f ca="1">IF($B44="","",HYPERLINK("bbg://securities/"&amp;$B44&amp;" Equity/MHD%20?panel=1",_xll.BDP($B44&amp;" Equity","SECURITY_NAME")))</f>
        <v>#NAME?</v>
      </c>
      <c r="D44" s="208"/>
      <c r="E44" s="208"/>
      <c r="F44" s="208"/>
      <c r="G44" s="163" t="str">
        <f>HYPERLINK("bbg://securities/IHYU%20LN%20EQUITY/EFMF%20?panel=1","279.12")</f>
        <v>279.12</v>
      </c>
      <c r="H44" s="82">
        <v>3691.04</v>
      </c>
      <c r="I44" s="73">
        <v>7.5620638085742903E-2</v>
      </c>
      <c r="J44" s="76" t="e">
        <f ca="1">IF($B44="","",_xll.BDP($B44&amp;" Equity",$BF$13,"fill=NA"))</f>
        <v>#NAME?</v>
      </c>
      <c r="L44" s="160" t="str">
        <f>HYPERLINK("bbg://securities/LQDE%20LN%20EQUITY/DES%20?panel=1","LQDE LN")</f>
        <v>LQDE LN</v>
      </c>
      <c r="M44" s="249" t="e">
        <f ca="1">IF($L44="","",HYPERLINK("bbg://securities/"&amp;$L44&amp;" Equity/MHD%20?panel=1",_xll.BDP($L44&amp;" Equity","SECURITY_NAME")))</f>
        <v>#NAME?</v>
      </c>
      <c r="N44" s="208"/>
      <c r="O44" s="208"/>
      <c r="P44" s="163" t="str">
        <f>HYPERLINK("bbg://securities/LQDE%20LN%20EQUITY/EFMF%20?panel=1","-191.78")</f>
        <v>-191.78</v>
      </c>
      <c r="Q44" s="82">
        <v>4851.55</v>
      </c>
      <c r="R44" s="73">
        <v>-3.9530232606074828E-2</v>
      </c>
      <c r="S44" s="76" t="e">
        <f ca="1">IF($L44="","",_xll.BDP($L44&amp;" Equity",$BF$13,"fill=NA"))</f>
        <v>#NAME?</v>
      </c>
      <c r="BD44" s="50"/>
      <c r="BE44" s="51"/>
      <c r="BF44" s="52" t="e">
        <f t="shared" si="0"/>
        <v>#N/A</v>
      </c>
      <c r="BG44" s="46">
        <v>31</v>
      </c>
      <c r="BH44" s="46" t="e">
        <f t="shared" si="1"/>
        <v>#N/A</v>
      </c>
      <c r="BI44" s="46" t="e">
        <f t="shared" si="2"/>
        <v>#N/A</v>
      </c>
      <c r="BJ44" s="46" t="e">
        <f t="shared" si="3"/>
        <v>#N/A</v>
      </c>
      <c r="BK44" s="46" t="e">
        <f t="shared" si="4"/>
        <v>#N/A</v>
      </c>
    </row>
    <row r="45" spans="2:63" x14ac:dyDescent="0.2">
      <c r="B45" s="159" t="str">
        <f>HYPERLINK("bbg://securities/MINT%20LN%20EQUITY/DES%20?panel=1","MINT LN")</f>
        <v>MINT LN</v>
      </c>
      <c r="C45" s="247" t="e">
        <f ca="1">IF($B45="","",HYPERLINK("bbg://securities/"&amp;$B45&amp;" Equity/MHD%20?panel=1",_xll.BDP($B45&amp;" Equity","SECURITY_NAME")))</f>
        <v>#NAME?</v>
      </c>
      <c r="D45" s="209"/>
      <c r="E45" s="209"/>
      <c r="F45" s="209"/>
      <c r="G45" s="162" t="str">
        <f>HYPERLINK("bbg://securities/MINT%20LN%20EQUITY/EFMF%20?panel=1","301.03")</f>
        <v>301.03</v>
      </c>
      <c r="H45" s="81">
        <v>1862.01</v>
      </c>
      <c r="I45" s="72">
        <v>0.16166996954903384</v>
      </c>
      <c r="J45" s="75" t="e">
        <f ca="1">IF($B45="","",_xll.BDP($B45&amp;" Equity",$BF$13,"fill=NA"))</f>
        <v>#NAME?</v>
      </c>
      <c r="L45" s="159" t="str">
        <f>HYPERLINK("bbg://securities/PGF%20US%20EQUITY/DES%20?panel=1","PGF US")</f>
        <v>PGF US</v>
      </c>
      <c r="M45" s="247" t="e">
        <f ca="1">IF($L45="","",HYPERLINK("bbg://securities/"&amp;$L45&amp;" Equity/MHD%20?panel=1",_xll.BDP($L45&amp;" Equity","SECURITY_NAME")))</f>
        <v>#NAME?</v>
      </c>
      <c r="N45" s="209"/>
      <c r="O45" s="209"/>
      <c r="P45" s="162" t="str">
        <f>HYPERLINK("bbg://securities/PGF%20US%20EQUITY/EFMF%20?panel=1","-453.35")</f>
        <v>-453.35</v>
      </c>
      <c r="Q45" s="81">
        <v>1675.67</v>
      </c>
      <c r="R45" s="72">
        <v>-0.27054969057153261</v>
      </c>
      <c r="S45" s="75" t="e">
        <f ca="1">IF($L45="","",_xll.BDP($L45&amp;" Equity",$BF$13,"fill=NA"))</f>
        <v>#NAME?</v>
      </c>
      <c r="BD45" s="50"/>
      <c r="BE45" s="51"/>
      <c r="BF45" s="52" t="e">
        <f t="shared" si="0"/>
        <v>#N/A</v>
      </c>
      <c r="BG45" s="46">
        <v>32</v>
      </c>
      <c r="BH45" s="46" t="e">
        <f t="shared" si="1"/>
        <v>#N/A</v>
      </c>
      <c r="BI45" s="46" t="e">
        <f t="shared" si="2"/>
        <v>#N/A</v>
      </c>
      <c r="BJ45" s="46" t="e">
        <f t="shared" si="3"/>
        <v>#N/A</v>
      </c>
      <c r="BK45" s="46" t="e">
        <f t="shared" si="4"/>
        <v>#N/A</v>
      </c>
    </row>
    <row r="46" spans="2:63" x14ac:dyDescent="0.2">
      <c r="B46" s="160" t="str">
        <f>HYPERLINK("bbg://securities/IHYG%20LN%20EQUITY/DES%20?panel=1","IHYG LN")</f>
        <v>IHYG LN</v>
      </c>
      <c r="C46" s="249" t="e">
        <f ca="1">IF($B46="","",HYPERLINK("bbg://securities/"&amp;$B46&amp;" Equity/MHD%20?panel=1",_xll.BDP($B46&amp;" Equity","SECURITY_NAME")))</f>
        <v>#NAME?</v>
      </c>
      <c r="D46" s="208"/>
      <c r="E46" s="208"/>
      <c r="F46" s="208"/>
      <c r="G46" s="163" t="str">
        <f>HYPERLINK("bbg://securities/IHYG%20LN%20EQUITY/EFMF%20?panel=1","319.03")</f>
        <v>319.03</v>
      </c>
      <c r="H46" s="82">
        <v>6107.2403999999997</v>
      </c>
      <c r="I46" s="73">
        <v>5.2238028815764351E-2</v>
      </c>
      <c r="J46" s="76" t="e">
        <f ca="1">IF($B46="","",_xll.BDP($B46&amp;" Equity",$BF$13,"fill=NA"))</f>
        <v>#NAME?</v>
      </c>
      <c r="L46" s="160" t="str">
        <f>HYPERLINK("bbg://securities/HYG%20US%20EQUITY/DES%20?panel=1","HYG US")</f>
        <v>HYG US</v>
      </c>
      <c r="M46" s="249" t="e">
        <f ca="1">IF($L46="","",HYPERLINK("bbg://securities/"&amp;$L46&amp;" Equity/MHD%20?panel=1",_xll.BDP($L46&amp;" Equity","SECURITY_NAME")))</f>
        <v>#NAME?</v>
      </c>
      <c r="N46" s="208"/>
      <c r="O46" s="208"/>
      <c r="P46" s="163" t="str">
        <f>HYPERLINK("bbg://securities/HYG%20US%20EQUITY/EFMF%20?panel=1","-465.68")</f>
        <v>-465.68</v>
      </c>
      <c r="Q46" s="82">
        <v>18954.5</v>
      </c>
      <c r="R46" s="73">
        <v>-2.4568123664565209E-2</v>
      </c>
      <c r="S46" s="76" t="e">
        <f ca="1">IF($L46="","",_xll.BDP($L46&amp;" Equity",$BF$13,"fill=NA"))</f>
        <v>#NAME?</v>
      </c>
      <c r="BD46" s="50"/>
      <c r="BE46" s="51"/>
      <c r="BF46" s="52" t="e">
        <f t="shared" si="0"/>
        <v>#N/A</v>
      </c>
      <c r="BG46" s="46">
        <v>33</v>
      </c>
      <c r="BH46" s="46" t="e">
        <f t="shared" si="1"/>
        <v>#N/A</v>
      </c>
      <c r="BI46" s="46" t="e">
        <f t="shared" si="2"/>
        <v>#N/A</v>
      </c>
      <c r="BJ46" s="46" t="e">
        <f t="shared" si="3"/>
        <v>#N/A</v>
      </c>
      <c r="BK46" s="46" t="e">
        <f t="shared" si="4"/>
        <v>#N/A</v>
      </c>
    </row>
    <row r="47" spans="2:63" x14ac:dyDescent="0.2">
      <c r="B47" s="159" t="str">
        <f>HYPERLINK("bbg://securities/PFF%20US%20EQUITY/DES%20?panel=1","PFF US")</f>
        <v>PFF US</v>
      </c>
      <c r="C47" s="247" t="e">
        <f ca="1">IF($B47="","",HYPERLINK("bbg://securities/"&amp;$B47&amp;" Equity/MHD%20?panel=1",_xll.BDP($B47&amp;" Equity","SECURITY_NAME")))</f>
        <v>#NAME?</v>
      </c>
      <c r="D47" s="209"/>
      <c r="E47" s="209"/>
      <c r="F47" s="209"/>
      <c r="G47" s="162" t="str">
        <f>HYPERLINK("bbg://securities/PFF%20US%20EQUITY/EFMF%20?panel=1","509.60")</f>
        <v>509.60</v>
      </c>
      <c r="H47" s="81">
        <v>16556.599999999999</v>
      </c>
      <c r="I47" s="72">
        <v>3.0779453510986415E-2</v>
      </c>
      <c r="J47" s="75" t="e">
        <f ca="1">IF($B47="","",_xll.BDP($B47&amp;" Equity",$BF$13,"fill=NA"))</f>
        <v>#NAME?</v>
      </c>
      <c r="L47" s="159" t="str">
        <f>HYPERLINK("bbg://securities/BKLN%20US%20EQUITY/DES%20?panel=1","BKLN US")</f>
        <v>BKLN US</v>
      </c>
      <c r="M47" s="247" t="e">
        <f ca="1">IF($L47="","",HYPERLINK("bbg://securities/"&amp;$L47&amp;" Equity/MHD%20?panel=1",_xll.BDP($L47&amp;" Equity","SECURITY_NAME")))</f>
        <v>#NAME?</v>
      </c>
      <c r="N47" s="209"/>
      <c r="O47" s="209"/>
      <c r="P47" s="162" t="str">
        <f>HYPERLINK("bbg://securities/BKLN%20US%20EQUITY/EFMF%20?panel=1","-630.43")</f>
        <v>-630.43</v>
      </c>
      <c r="Q47" s="81">
        <v>7919.04</v>
      </c>
      <c r="R47" s="72">
        <v>-7.9610015860509517E-2</v>
      </c>
      <c r="S47" s="75" t="e">
        <f ca="1">IF($L47="","",_xll.BDP($L47&amp;" Equity",$BF$13,"fill=NA"))</f>
        <v>#NAME?</v>
      </c>
      <c r="BD47" s="50"/>
      <c r="BE47" s="51"/>
      <c r="BF47" s="52" t="e">
        <f t="shared" si="0"/>
        <v>#N/A</v>
      </c>
      <c r="BG47" s="46">
        <v>34</v>
      </c>
      <c r="BH47" s="46" t="e">
        <f t="shared" si="1"/>
        <v>#N/A</v>
      </c>
      <c r="BI47" s="46" t="e">
        <f t="shared" si="2"/>
        <v>#N/A</v>
      </c>
      <c r="BJ47" s="46" t="e">
        <f t="shared" si="3"/>
        <v>#N/A</v>
      </c>
      <c r="BK47" s="46" t="e">
        <f t="shared" si="4"/>
        <v>#N/A</v>
      </c>
    </row>
    <row r="48" spans="2:63" x14ac:dyDescent="0.2">
      <c r="B48" s="160" t="str">
        <f>HYPERLINK("bbg://securities/TIP%20US%20EQUITY/DES%20?panel=1","TIP US")</f>
        <v>TIP US</v>
      </c>
      <c r="C48" s="249" t="e">
        <f ca="1">IF($B48="","",HYPERLINK("bbg://securities/"&amp;$B48&amp;" Equity/MHD%20?panel=1",_xll.BDP($B48&amp;" Equity","SECURITY_NAME")))</f>
        <v>#NAME?</v>
      </c>
      <c r="D48" s="208"/>
      <c r="E48" s="208"/>
      <c r="F48" s="208"/>
      <c r="G48" s="163" t="str">
        <f>HYPERLINK("bbg://securities/TIP%20US%20EQUITY/EFMF%20?panel=1","594.18")</f>
        <v>594.18</v>
      </c>
      <c r="H48" s="82">
        <v>21355.200000000001</v>
      </c>
      <c r="I48" s="73">
        <v>2.7823480932043929E-2</v>
      </c>
      <c r="J48" s="76" t="e">
        <f ca="1">IF($B48="","",_xll.BDP($B48&amp;" Equity",$BF$13,"fill=NA"))</f>
        <v>#NAME?</v>
      </c>
      <c r="L48" s="160" t="str">
        <f>HYPERLINK("bbg://securities/HYS%20US%20EQUITY/DES%20?panel=1","HYS US")</f>
        <v>HYS US</v>
      </c>
      <c r="M48" s="249" t="e">
        <f ca="1">IF($L48="","",HYPERLINK("bbg://securities/"&amp;$L48&amp;" Equity/MHD%20?panel=1",_xll.BDP($L48&amp;" Equity","SECURITY_NAME")))</f>
        <v>#NAME?</v>
      </c>
      <c r="N48" s="208"/>
      <c r="O48" s="208"/>
      <c r="P48" s="163" t="str">
        <f>HYPERLINK("bbg://securities/HYS%20US%20EQUITY/EFMF%20?panel=1","-728.50")</f>
        <v>-728.50</v>
      </c>
      <c r="Q48" s="82">
        <v>2261.83</v>
      </c>
      <c r="R48" s="73">
        <v>-0.32208313622155493</v>
      </c>
      <c r="S48" s="76" t="e">
        <f ca="1">IF($L48="","",_xll.BDP($L48&amp;" Equity",$BF$13,"fill=NA"))</f>
        <v>#NAME?</v>
      </c>
      <c r="BD48" s="50"/>
      <c r="BE48" s="51"/>
      <c r="BF48" s="52" t="e">
        <f t="shared" si="0"/>
        <v>#N/A</v>
      </c>
      <c r="BG48" s="46">
        <v>35</v>
      </c>
      <c r="BH48" s="46" t="e">
        <f t="shared" si="1"/>
        <v>#N/A</v>
      </c>
      <c r="BI48" s="46" t="e">
        <f t="shared" si="2"/>
        <v>#N/A</v>
      </c>
      <c r="BJ48" s="46" t="e">
        <f t="shared" si="3"/>
        <v>#N/A</v>
      </c>
      <c r="BK48" s="46" t="e">
        <f t="shared" si="4"/>
        <v>#N/A</v>
      </c>
    </row>
    <row r="49" spans="2:63" x14ac:dyDescent="0.2">
      <c r="B49" s="159" t="str">
        <f>HYPERLINK("bbg://securities/SHM%20US%20EQUITY/DES%20?panel=1","SHM US")</f>
        <v>SHM US</v>
      </c>
      <c r="C49" s="247" t="e">
        <f ca="1">IF($B49="","",HYPERLINK("bbg://securities/"&amp;$B49&amp;" Equity/MHD%20?panel=1",_xll.BDP($B49&amp;" Equity","SECURITY_NAME")))</f>
        <v>#NAME?</v>
      </c>
      <c r="D49" s="209"/>
      <c r="E49" s="209"/>
      <c r="F49" s="209"/>
      <c r="G49" s="162" t="str">
        <f>HYPERLINK("bbg://securities/SHM%20US%20EQUITY/EFMF%20?panel=1","613.99")</f>
        <v>613.99</v>
      </c>
      <c r="H49" s="81">
        <v>3372.627</v>
      </c>
      <c r="I49" s="72">
        <v>0.18205111327164261</v>
      </c>
      <c r="J49" s="75" t="e">
        <f ca="1">IF($B49="","",_xll.BDP($B49&amp;" Equity",$BF$13,"fill=NA"))</f>
        <v>#NAME?</v>
      </c>
      <c r="L49" s="159" t="str">
        <f>HYPERLINK("bbg://securities/ITPS%20LN%20EQUITY/DES%20?panel=1","ITPS LN")</f>
        <v>ITPS LN</v>
      </c>
      <c r="M49" s="247" t="e">
        <f ca="1">IF($L49="","",HYPERLINK("bbg://securities/"&amp;$L49&amp;" Equity/MHD%20?panel=1",_xll.BDP($L49&amp;" Equity","SECURITY_NAME")))</f>
        <v>#NAME?</v>
      </c>
      <c r="N49" s="209"/>
      <c r="O49" s="209"/>
      <c r="P49" s="162" t="str">
        <f>HYPERLINK("bbg://securities/ITPS%20LN%20EQUITY/EFMF%20?panel=1","-761.35")</f>
        <v>-761.35</v>
      </c>
      <c r="Q49" s="81">
        <v>3433.3914</v>
      </c>
      <c r="R49" s="72">
        <v>-0.22174797781575389</v>
      </c>
      <c r="S49" s="75" t="e">
        <f ca="1">IF($L49="","",_xll.BDP($L49&amp;" Equity",$BF$13,"fill=NA"))</f>
        <v>#NAME?</v>
      </c>
      <c r="BD49" s="50"/>
      <c r="BE49" s="51"/>
      <c r="BF49" s="52" t="e">
        <f t="shared" si="0"/>
        <v>#N/A</v>
      </c>
      <c r="BG49" s="46">
        <v>36</v>
      </c>
      <c r="BH49" s="46" t="e">
        <f t="shared" si="1"/>
        <v>#N/A</v>
      </c>
      <c r="BI49" s="46" t="e">
        <f t="shared" si="2"/>
        <v>#N/A</v>
      </c>
      <c r="BJ49" s="46" t="e">
        <f t="shared" si="3"/>
        <v>#N/A</v>
      </c>
      <c r="BK49" s="46" t="e">
        <f t="shared" si="4"/>
        <v>#N/A</v>
      </c>
    </row>
    <row r="50" spans="2:63" x14ac:dyDescent="0.2">
      <c r="B50" s="161" t="str">
        <f>HYPERLINK("bbg://securities/IEMB%20LN%20EQUITY/DES%20?panel=1","IEMB LN")</f>
        <v>IEMB LN</v>
      </c>
      <c r="C50" s="248" t="e">
        <f ca="1">IF($B50="","",HYPERLINK("bbg://securities/"&amp;$B50&amp;" Equity/MHD%20?panel=1",_xll.BDP($B50&amp;" Equity","SECURITY_NAME")))</f>
        <v>#NAME?</v>
      </c>
      <c r="D50" s="210"/>
      <c r="E50" s="210"/>
      <c r="F50" s="210"/>
      <c r="G50" s="164" t="str">
        <f>HYPERLINK("bbg://securities/IEMB%20LN%20EQUITY/EFMF%20?panel=1","621.94")</f>
        <v>621.94</v>
      </c>
      <c r="H50" s="83">
        <v>5723.4</v>
      </c>
      <c r="I50" s="74">
        <v>0.10866561833874967</v>
      </c>
      <c r="J50" s="77" t="e">
        <f ca="1">IF($B50="","",_xll.BDP($B50&amp;" Equity",$BF$13,"fill=NA"))</f>
        <v>#NAME?</v>
      </c>
      <c r="L50" s="161" t="str">
        <f>HYPERLINK("bbg://securities/EEX5%20LN%20EQUITY/DES%20?panel=1","EEX5 LN")</f>
        <v>EEX5 LN</v>
      </c>
      <c r="M50" s="248" t="e">
        <f ca="1">IF($L50="","",HYPERLINK("bbg://securities/"&amp;$L50&amp;" Equity/MHD%20?panel=1",_xll.BDP($L50&amp;" Equity","SECURITY_NAME")))</f>
        <v>#NAME?</v>
      </c>
      <c r="N50" s="210"/>
      <c r="O50" s="210"/>
      <c r="P50" s="164" t="str">
        <f>HYPERLINK("bbg://securities/EEX5%20LN%20EQUITY/EFMF%20?panel=1","-777.73")</f>
        <v>-777.73</v>
      </c>
      <c r="Q50" s="83">
        <v>1977.9036000000001</v>
      </c>
      <c r="R50" s="74">
        <v>-0.3932094061611498</v>
      </c>
      <c r="S50" s="77" t="e">
        <f ca="1">IF($L50="","",_xll.BDP($L50&amp;" Equity",$BF$13,"fill=NA"))</f>
        <v>#NAME?</v>
      </c>
      <c r="BD50" s="50"/>
      <c r="BE50" s="51"/>
      <c r="BF50" s="52" t="e">
        <f t="shared" si="0"/>
        <v>#N/A</v>
      </c>
      <c r="BG50" s="46">
        <v>37</v>
      </c>
      <c r="BH50" s="46" t="e">
        <f t="shared" si="1"/>
        <v>#N/A</v>
      </c>
      <c r="BI50" s="46" t="e">
        <f t="shared" si="2"/>
        <v>#N/A</v>
      </c>
      <c r="BJ50" s="46" t="e">
        <f t="shared" si="3"/>
        <v>#N/A</v>
      </c>
      <c r="BK50" s="46" t="e">
        <f t="shared" si="4"/>
        <v>#N/A</v>
      </c>
    </row>
    <row r="51" spans="2:63" ht="5" customHeight="1" x14ac:dyDescent="0.2">
      <c r="BD51" s="50"/>
      <c r="BE51" s="51"/>
      <c r="BF51" s="52" t="e">
        <f t="shared" si="0"/>
        <v>#N/A</v>
      </c>
      <c r="BG51" s="46">
        <v>38</v>
      </c>
      <c r="BH51" s="46" t="e">
        <f t="shared" si="1"/>
        <v>#N/A</v>
      </c>
      <c r="BI51" s="46" t="e">
        <f t="shared" si="2"/>
        <v>#N/A</v>
      </c>
      <c r="BJ51" s="46" t="e">
        <f t="shared" si="3"/>
        <v>#N/A</v>
      </c>
      <c r="BK51" s="46" t="e">
        <f t="shared" si="4"/>
        <v>#N/A</v>
      </c>
    </row>
    <row r="52" spans="2:63" x14ac:dyDescent="0.2">
      <c r="B52" s="192" t="s">
        <v>204</v>
      </c>
      <c r="C52" s="201"/>
      <c r="D52" s="201"/>
      <c r="E52" s="201"/>
      <c r="F52" s="201"/>
      <c r="G52" s="201"/>
      <c r="H52" s="201"/>
      <c r="I52" s="201"/>
      <c r="J52" s="202"/>
      <c r="L52" s="192" t="s">
        <v>205</v>
      </c>
      <c r="M52" s="201"/>
      <c r="N52" s="201"/>
      <c r="O52" s="201"/>
      <c r="P52" s="201"/>
      <c r="Q52" s="201"/>
      <c r="R52" s="201"/>
      <c r="S52" s="202"/>
      <c r="BD52" s="50"/>
      <c r="BE52" s="51"/>
      <c r="BF52" s="52" t="e">
        <f t="shared" si="0"/>
        <v>#N/A</v>
      </c>
      <c r="BG52" s="46">
        <v>39</v>
      </c>
      <c r="BH52" s="46" t="e">
        <f t="shared" si="1"/>
        <v>#N/A</v>
      </c>
      <c r="BI52" s="46" t="e">
        <f t="shared" si="2"/>
        <v>#N/A</v>
      </c>
      <c r="BJ52" s="46" t="e">
        <f t="shared" si="3"/>
        <v>#N/A</v>
      </c>
      <c r="BK52" s="46" t="e">
        <f t="shared" si="4"/>
        <v>#N/A</v>
      </c>
    </row>
    <row r="53" spans="2:63" x14ac:dyDescent="0.2">
      <c r="B53" s="54" t="s">
        <v>50</v>
      </c>
      <c r="C53" s="203" t="s">
        <v>51</v>
      </c>
      <c r="D53" s="203"/>
      <c r="E53" s="203"/>
      <c r="F53" s="203"/>
      <c r="G53" s="70" t="str">
        <f>"Flow ("&amp;PROPER([0]!Unit)&amp;")"</f>
        <v>Flow (Bln)</v>
      </c>
      <c r="H53" s="70" t="str">
        <f>"AUM ("&amp;PROPER([0]!Unit)&amp;")"</f>
        <v>AUM (Bln)</v>
      </c>
      <c r="I53" s="70" t="s">
        <v>115</v>
      </c>
      <c r="J53" s="71" t="str">
        <f>$BG$13</f>
        <v>Rating Class</v>
      </c>
      <c r="L53" s="54" t="s">
        <v>50</v>
      </c>
      <c r="M53" s="203" t="s">
        <v>51</v>
      </c>
      <c r="N53" s="203"/>
      <c r="O53" s="203"/>
      <c r="P53" s="70" t="str">
        <f>"Flow ("&amp;PROPER([0]!Unit)&amp;")"</f>
        <v>Flow (Bln)</v>
      </c>
      <c r="Q53" s="70" t="str">
        <f>"AUM ("&amp;PROPER([0]!Unit)&amp;")"</f>
        <v>AUM (Bln)</v>
      </c>
      <c r="R53" s="70" t="s">
        <v>115</v>
      </c>
      <c r="S53" s="71" t="str">
        <f>$BG$13</f>
        <v>Rating Class</v>
      </c>
      <c r="BD53" s="50"/>
      <c r="BE53" s="51"/>
      <c r="BF53" s="52" t="e">
        <f t="shared" si="0"/>
        <v>#N/A</v>
      </c>
      <c r="BG53" s="46">
        <v>40</v>
      </c>
      <c r="BH53" s="46" t="e">
        <f t="shared" si="1"/>
        <v>#N/A</v>
      </c>
      <c r="BI53" s="46" t="e">
        <f t="shared" si="2"/>
        <v>#N/A</v>
      </c>
      <c r="BJ53" s="46" t="e">
        <f t="shared" si="3"/>
        <v>#N/A</v>
      </c>
      <c r="BK53" s="46" t="e">
        <f t="shared" si="4"/>
        <v>#N/A</v>
      </c>
    </row>
    <row r="54" spans="2:63" x14ac:dyDescent="0.2">
      <c r="B54" s="159" t="str">
        <f>HYPERLINK("bbg://securities/BIL%20US%20EQUITY/DES%20?panel=1","BIL US")</f>
        <v>BIL US</v>
      </c>
      <c r="C54" s="247" t="e">
        <f ca="1">IF($B54="","",HYPERLINK("bbg://securities/"&amp;$B54&amp;" Equity/MHD%20?panel=1",_xll.BDP($B54&amp;" Equity","SECURITY_NAME")))</f>
        <v>#NAME?</v>
      </c>
      <c r="D54" s="209"/>
      <c r="E54" s="209"/>
      <c r="F54" s="209"/>
      <c r="G54" s="162" t="str">
        <f>HYPERLINK("bbg://securities/BIL%20US%20EQUITY/EFMF%20?panel=1","31.97")</f>
        <v>31.97</v>
      </c>
      <c r="H54" s="81">
        <v>1.5720799999999999</v>
      </c>
      <c r="I54" s="72">
        <v>20.333328074907104</v>
      </c>
      <c r="J54" s="75" t="e">
        <f ca="1">IF($B54="","",_xll.BDP($B54&amp;" Equity",$BF$13,"fill=NA"))</f>
        <v>#NAME?</v>
      </c>
      <c r="L54" s="159" t="str">
        <f>HYPERLINK("bbg://securities/TBT%20US%20EQUITY/DES%20?panel=1","TBT US")</f>
        <v>TBT US</v>
      </c>
      <c r="M54" s="247" t="e">
        <f ca="1">IF($L54="","",HYPERLINK("bbg://securities/"&amp;$L54&amp;" Equity/MHD%20?panel=1",_xll.BDP($L54&amp;" Equity","SECURITY_NAME")))</f>
        <v>#NAME?</v>
      </c>
      <c r="N54" s="209"/>
      <c r="O54" s="209"/>
      <c r="P54" s="162" t="str">
        <f>HYPERLINK("bbg://securities/TBT%20US%20EQUITY/EFMF%20?panel=1","-1.84")</f>
        <v>-1.84</v>
      </c>
      <c r="Q54" s="81">
        <v>2.1310899999999999</v>
      </c>
      <c r="R54" s="72">
        <v>-0.86349750597112318</v>
      </c>
      <c r="S54" s="75" t="e">
        <f ca="1">IF($L54="","",_xll.BDP($L54&amp;" Equity",$BF$13,"fill=NA"))</f>
        <v>#NAME?</v>
      </c>
      <c r="BD54" s="50"/>
      <c r="BE54" s="51"/>
      <c r="BF54" s="52" t="e">
        <f t="shared" si="0"/>
        <v>#N/A</v>
      </c>
      <c r="BG54" s="46">
        <v>41</v>
      </c>
      <c r="BH54" s="46" t="e">
        <f t="shared" si="1"/>
        <v>#N/A</v>
      </c>
      <c r="BI54" s="46" t="e">
        <f t="shared" si="2"/>
        <v>#N/A</v>
      </c>
      <c r="BJ54" s="46" t="e">
        <f t="shared" si="3"/>
        <v>#N/A</v>
      </c>
      <c r="BK54" s="46" t="e">
        <f t="shared" si="4"/>
        <v>#N/A</v>
      </c>
    </row>
    <row r="55" spans="2:63" x14ac:dyDescent="0.2">
      <c r="B55" s="160" t="str">
        <f>HYPERLINK("bbg://securities/TLT%20US%20EQUITY/DES%20?panel=1","TLT US")</f>
        <v>TLT US</v>
      </c>
      <c r="C55" s="249" t="e">
        <f ca="1">IF($B55="","",HYPERLINK("bbg://securities/"&amp;$B55&amp;" Equity/MHD%20?panel=1",_xll.BDP($B55&amp;" Equity","SECURITY_NAME")))</f>
        <v>#NAME?</v>
      </c>
      <c r="D55" s="208"/>
      <c r="E55" s="208"/>
      <c r="F55" s="208"/>
      <c r="G55" s="163" t="str">
        <f>HYPERLINK("bbg://securities/TLT%20US%20EQUITY/EFMF%20?panel=1","50.95")</f>
        <v>50.95</v>
      </c>
      <c r="H55" s="82">
        <v>5.1345000000000001</v>
      </c>
      <c r="I55" s="73">
        <v>9.9224157951114993</v>
      </c>
      <c r="J55" s="76" t="e">
        <f ca="1">IF($B55="","",_xll.BDP($B55&amp;" Equity",$BF$13,"fill=NA"))</f>
        <v>#NAME?</v>
      </c>
      <c r="L55" s="160" t="str">
        <f>HYPERLINK("bbg://securities/CBO%20CN%20EQUITY/DES%20?panel=1","CBO CN")</f>
        <v>CBO CN</v>
      </c>
      <c r="M55" s="249" t="e">
        <f ca="1">IF($L55="","",HYPERLINK("bbg://securities/"&amp;$L55&amp;" Equity/MHD%20?panel=1",_xll.BDP($L55&amp;" Equity","SECURITY_NAME")))</f>
        <v>#NAME?</v>
      </c>
      <c r="N55" s="208"/>
      <c r="O55" s="208"/>
      <c r="P55" s="163" t="str">
        <f>HYPERLINK("bbg://securities/CBO%20CN%20EQUITY/EFMF%20?panel=1","-0.85")</f>
        <v>-0.85</v>
      </c>
      <c r="Q55" s="82">
        <v>1.4327657999999999</v>
      </c>
      <c r="R55" s="73">
        <v>-0.59056699985440797</v>
      </c>
      <c r="S55" s="76" t="e">
        <f ca="1">IF($L55="","",_xll.BDP($L55&amp;" Equity",$BF$13,"fill=NA"))</f>
        <v>#NAME?</v>
      </c>
      <c r="BD55" s="50"/>
      <c r="BE55" s="51"/>
      <c r="BF55" s="52" t="e">
        <f t="shared" si="0"/>
        <v>#N/A</v>
      </c>
      <c r="BG55" s="46">
        <v>42</v>
      </c>
      <c r="BH55" s="46" t="e">
        <f t="shared" si="1"/>
        <v>#N/A</v>
      </c>
      <c r="BI55" s="46" t="e">
        <f t="shared" si="2"/>
        <v>#N/A</v>
      </c>
      <c r="BJ55" s="46" t="e">
        <f t="shared" si="3"/>
        <v>#N/A</v>
      </c>
      <c r="BK55" s="46" t="e">
        <f t="shared" si="4"/>
        <v>#N/A</v>
      </c>
    </row>
    <row r="56" spans="2:63" x14ac:dyDescent="0.2">
      <c r="B56" s="159" t="str">
        <f>HYPERLINK("bbg://securities/BNDX%20US%20EQUITY/DES%20?panel=1","BNDX US")</f>
        <v>BNDX US</v>
      </c>
      <c r="C56" s="247" t="e">
        <f ca="1">IF($B56="","",HYPERLINK("bbg://securities/"&amp;$B56&amp;" Equity/MHD%20?panel=1",_xll.BDP($B56&amp;" Equity","SECURITY_NAME")))</f>
        <v>#NAME?</v>
      </c>
      <c r="D56" s="209"/>
      <c r="E56" s="209"/>
      <c r="F56" s="209"/>
      <c r="G56" s="162" t="str">
        <f>HYPERLINK("bbg://securities/BNDX%20US%20EQUITY/EFMF%20?panel=1","55.09")</f>
        <v>55.09</v>
      </c>
      <c r="H56" s="81">
        <v>6.0893500000000005</v>
      </c>
      <c r="I56" s="72">
        <v>9.0465422746270256</v>
      </c>
      <c r="J56" s="75" t="e">
        <f ca="1">IF($B56="","",_xll.BDP($B56&amp;" Equity",$BF$13,"fill=NA"))</f>
        <v>#NAME?</v>
      </c>
      <c r="L56" s="159" t="str">
        <f>HYPERLINK("bbg://securities/AFLT%20FP%20EQUITY/DES%20?panel=1","AFLT FP")</f>
        <v>AFLT FP</v>
      </c>
      <c r="M56" s="247" t="e">
        <f ca="1">IF($L56="","",HYPERLINK("bbg://securities/"&amp;$L56&amp;" Equity/MHD%20?panel=1",_xll.BDP($L56&amp;" Equity","SECURITY_NAME")))</f>
        <v>#NAME?</v>
      </c>
      <c r="N56" s="209"/>
      <c r="O56" s="209"/>
      <c r="P56" s="162" t="str">
        <f>HYPERLINK("bbg://securities/AFLT%20FP%20EQUITY/EFMF%20?panel=1","-0.19")</f>
        <v>-0.19</v>
      </c>
      <c r="Q56" s="81">
        <v>0.35291400000000001</v>
      </c>
      <c r="R56" s="72">
        <v>-0.5404812503896127</v>
      </c>
      <c r="S56" s="75" t="e">
        <f ca="1">IF($L56="","",_xll.BDP($L56&amp;" Equity",$BF$13,"fill=NA"))</f>
        <v>#NAME?</v>
      </c>
      <c r="BD56" s="50"/>
      <c r="BE56" s="51"/>
      <c r="BF56" s="52" t="e">
        <f t="shared" si="0"/>
        <v>#N/A</v>
      </c>
      <c r="BG56" s="46">
        <v>43</v>
      </c>
      <c r="BH56" s="46" t="e">
        <f t="shared" si="1"/>
        <v>#N/A</v>
      </c>
      <c r="BI56" s="46" t="e">
        <f t="shared" si="2"/>
        <v>#N/A</v>
      </c>
      <c r="BJ56" s="46" t="e">
        <f t="shared" si="3"/>
        <v>#N/A</v>
      </c>
      <c r="BK56" s="46" t="e">
        <f t="shared" si="4"/>
        <v>#N/A</v>
      </c>
    </row>
    <row r="57" spans="2:63" x14ac:dyDescent="0.2">
      <c r="B57" s="160" t="str">
        <f>HYPERLINK("bbg://securities/GOVT%20US%20EQUITY/DES%20?panel=1","GOVT US")</f>
        <v>GOVT US</v>
      </c>
      <c r="C57" s="249" t="e">
        <f ca="1">IF($B57="","",HYPERLINK("bbg://securities/"&amp;$B57&amp;" Equity/MHD%20?panel=1",_xll.BDP($B57&amp;" Equity","SECURITY_NAME")))</f>
        <v>#NAME?</v>
      </c>
      <c r="D57" s="208"/>
      <c r="E57" s="208"/>
      <c r="F57" s="208"/>
      <c r="G57" s="163" t="str">
        <f>HYPERLINK("bbg://securities/GOVT%20US%20EQUITY/EFMF%20?panel=1","21.89")</f>
        <v>21.89</v>
      </c>
      <c r="H57" s="82">
        <v>2.8121</v>
      </c>
      <c r="I57" s="73">
        <v>7.7857081896091946</v>
      </c>
      <c r="J57" s="76" t="e">
        <f ca="1">IF($B57="","",_xll.BDP($B57&amp;" Equity",$BF$13,"fill=NA"))</f>
        <v>#NAME?</v>
      </c>
      <c r="L57" s="160" t="str">
        <f>HYPERLINK("bbg://securities/IBCS%20GR%20EQUITY/DES%20?panel=1","IBCS GR")</f>
        <v>IBCS GR</v>
      </c>
      <c r="M57" s="249" t="e">
        <f ca="1">IF($L57="","",HYPERLINK("bbg://securities/"&amp;$L57&amp;" Equity/MHD%20?panel=1",_xll.BDP($L57&amp;" Equity","SECURITY_NAME")))</f>
        <v>#NAME?</v>
      </c>
      <c r="N57" s="208"/>
      <c r="O57" s="208"/>
      <c r="P57" s="163" t="str">
        <f>HYPERLINK("bbg://securities/IBCS%20GR%20EQUITY/EFMF%20?panel=1","-2.79")</f>
        <v>-2.79</v>
      </c>
      <c r="Q57" s="82">
        <v>5.3919323000000006</v>
      </c>
      <c r="R57" s="73">
        <v>-0.51790694775600221</v>
      </c>
      <c r="S57" s="76" t="e">
        <f ca="1">IF($L57="","",_xll.BDP($L57&amp;" Equity",$BF$13,"fill=NA"))</f>
        <v>#NAME?</v>
      </c>
      <c r="BD57" s="50"/>
      <c r="BE57" s="51"/>
      <c r="BF57" s="52" t="e">
        <f t="shared" si="0"/>
        <v>#N/A</v>
      </c>
      <c r="BG57" s="46">
        <v>44</v>
      </c>
      <c r="BH57" s="46" t="e">
        <f t="shared" si="1"/>
        <v>#N/A</v>
      </c>
      <c r="BI57" s="46" t="e">
        <f t="shared" si="2"/>
        <v>#N/A</v>
      </c>
      <c r="BJ57" s="46" t="e">
        <f t="shared" si="3"/>
        <v>#N/A</v>
      </c>
      <c r="BK57" s="46" t="e">
        <f t="shared" si="4"/>
        <v>#N/A</v>
      </c>
    </row>
    <row r="58" spans="2:63" x14ac:dyDescent="0.2">
      <c r="B58" s="159" t="str">
        <f>HYPERLINK("bbg://securities/SCHP%20US%20EQUITY/DES%20?panel=1","SCHP US")</f>
        <v>SCHP US</v>
      </c>
      <c r="C58" s="247" t="e">
        <f ca="1">IF($B58="","",HYPERLINK("bbg://securities/"&amp;$B58&amp;" Equity/MHD%20?panel=1",_xll.BDP($B58&amp;" Equity","SECURITY_NAME")))</f>
        <v>#NAME?</v>
      </c>
      <c r="D58" s="209"/>
      <c r="E58" s="209"/>
      <c r="F58" s="209"/>
      <c r="G58" s="162" t="str">
        <f>HYPERLINK("bbg://securities/SCHP%20US%20EQUITY/EFMF%20?panel=1","11.69")</f>
        <v>11.69</v>
      </c>
      <c r="H58" s="81">
        <v>1.61504</v>
      </c>
      <c r="I58" s="72">
        <v>7.2379272340003933</v>
      </c>
      <c r="J58" s="75" t="e">
        <f ca="1">IF($B58="","",_xll.BDP($B58&amp;" Equity",$BF$13,"fill=NA"))</f>
        <v>#NAME?</v>
      </c>
      <c r="L58" s="159" t="str">
        <f>HYPERLINK("bbg://securities/PJS1%20GR%20EQUITY/DES%20?panel=1","PJS1 GR")</f>
        <v>PJS1 GR</v>
      </c>
      <c r="M58" s="247" t="e">
        <f ca="1">IF($L58="","",HYPERLINK("bbg://securities/"&amp;$L58&amp;" Equity/MHD%20?panel=1",_xll.BDP($L58&amp;" Equity","SECURITY_NAME")))</f>
        <v>#NAME?</v>
      </c>
      <c r="N58" s="209"/>
      <c r="O58" s="209"/>
      <c r="P58" s="162" t="str">
        <f>HYPERLINK("bbg://securities/PJS1%20GR%20EQUITY/EFMF%20?panel=1","-1.22")</f>
        <v>-1.22</v>
      </c>
      <c r="Q58" s="81">
        <v>2.3900557</v>
      </c>
      <c r="R58" s="72">
        <v>-0.50847794049318562</v>
      </c>
      <c r="S58" s="75" t="e">
        <f ca="1">IF($L58="","",_xll.BDP($L58&amp;" Equity",$BF$13,"fill=NA"))</f>
        <v>#NAME?</v>
      </c>
      <c r="BD58" s="50"/>
      <c r="BE58" s="51"/>
      <c r="BF58" s="52" t="e">
        <f t="shared" si="0"/>
        <v>#N/A</v>
      </c>
      <c r="BG58" s="46">
        <v>45</v>
      </c>
      <c r="BH58" s="46" t="e">
        <f t="shared" si="1"/>
        <v>#N/A</v>
      </c>
      <c r="BI58" s="46" t="e">
        <f t="shared" si="2"/>
        <v>#N/A</v>
      </c>
      <c r="BJ58" s="46" t="e">
        <f t="shared" si="3"/>
        <v>#N/A</v>
      </c>
      <c r="BK58" s="46" t="e">
        <f t="shared" si="4"/>
        <v>#N/A</v>
      </c>
    </row>
    <row r="59" spans="2:63" x14ac:dyDescent="0.2">
      <c r="B59" s="160" t="str">
        <f>HYPERLINK("bbg://securities/VMBS%20US%20EQUITY/DES%20?panel=1","VMBS US")</f>
        <v>VMBS US</v>
      </c>
      <c r="C59" s="249" t="e">
        <f ca="1">IF($B59="","",HYPERLINK("bbg://securities/"&amp;$B59&amp;" Equity/MHD%20?panel=1",_xll.BDP($B59&amp;" Equity","SECURITY_NAME")))</f>
        <v>#NAME?</v>
      </c>
      <c r="D59" s="208"/>
      <c r="E59" s="208"/>
      <c r="F59" s="208"/>
      <c r="G59" s="163" t="str">
        <f>HYPERLINK("bbg://securities/VMBS%20US%20EQUITY/EFMF%20?panel=1","16.79")</f>
        <v>16.79</v>
      </c>
      <c r="H59" s="82">
        <v>2.9609800000000002</v>
      </c>
      <c r="I59" s="73">
        <v>5.6703584961735523</v>
      </c>
      <c r="J59" s="76" t="e">
        <f ca="1">IF($B59="","",_xll.BDP($B59&amp;" Equity",$BF$13,"fill=NA"))</f>
        <v>#NAME?</v>
      </c>
      <c r="L59" s="160" t="str">
        <f>HYPERLINK("bbg://securities/IEXF%20LN%20EQUITY/DES%20?panel=1","IEXF LN")</f>
        <v>IEXF LN</v>
      </c>
      <c r="M59" s="249" t="e">
        <f ca="1">IF($L59="","",HYPERLINK("bbg://securities/"&amp;$L59&amp;" Equity/MHD%20?panel=1",_xll.BDP($L59&amp;" Equity","SECURITY_NAME")))</f>
        <v>#NAME?</v>
      </c>
      <c r="N59" s="208"/>
      <c r="O59" s="208"/>
      <c r="P59" s="163" t="str">
        <f>HYPERLINK("bbg://securities/IEXF%20LN%20EQUITY/EFMF%20?panel=1","-1.02")</f>
        <v>-1.02</v>
      </c>
      <c r="Q59" s="82">
        <v>2.3307393000000003</v>
      </c>
      <c r="R59" s="73">
        <v>-0.43928134733901841</v>
      </c>
      <c r="S59" s="76" t="e">
        <f ca="1">IF($L59="","",_xll.BDP($L59&amp;" Equity",$BF$13,"fill=NA"))</f>
        <v>#NAME?</v>
      </c>
      <c r="BD59" s="50"/>
      <c r="BE59" s="51"/>
      <c r="BF59" s="52" t="e">
        <f t="shared" si="0"/>
        <v>#N/A</v>
      </c>
      <c r="BG59" s="46">
        <v>46</v>
      </c>
      <c r="BH59" s="46" t="e">
        <f t="shared" si="1"/>
        <v>#N/A</v>
      </c>
      <c r="BI59" s="46" t="e">
        <f t="shared" si="2"/>
        <v>#N/A</v>
      </c>
      <c r="BJ59" s="46" t="e">
        <f t="shared" si="3"/>
        <v>#N/A</v>
      </c>
      <c r="BK59" s="46" t="e">
        <f t="shared" si="4"/>
        <v>#N/A</v>
      </c>
    </row>
    <row r="60" spans="2:63" x14ac:dyDescent="0.2">
      <c r="B60" s="159" t="str">
        <f>HYPERLINK("bbg://securities/VCIT%20US%20EQUITY/DES%20?panel=1","VCIT US")</f>
        <v>VCIT US</v>
      </c>
      <c r="C60" s="247" t="e">
        <f ca="1">IF($B60="","",HYPERLINK("bbg://securities/"&amp;$B60&amp;" Equity/MHD%20?panel=1",_xll.BDP($B60&amp;" Equity","SECURITY_NAME")))</f>
        <v>#NAME?</v>
      </c>
      <c r="D60" s="209"/>
      <c r="E60" s="209"/>
      <c r="F60" s="209"/>
      <c r="G60" s="162" t="str">
        <f>HYPERLINK("bbg://securities/VCIT%20US%20EQUITY/EFMF%20?panel=1","41.39")</f>
        <v>41.39</v>
      </c>
      <c r="H60" s="81">
        <v>10.344899999999999</v>
      </c>
      <c r="I60" s="72">
        <v>4.0012994422372374</v>
      </c>
      <c r="J60" s="75" t="e">
        <f ca="1">IF($B60="","",_xll.BDP($B60&amp;" Equity",$BF$13,"fill=NA"))</f>
        <v>#NAME?</v>
      </c>
      <c r="L60" s="159" t="str">
        <f>HYPERLINK("bbg://securities/EEX5%20LN%20EQUITY/DES%20?panel=1","EEX5 LN")</f>
        <v>EEX5 LN</v>
      </c>
      <c r="M60" s="247" t="e">
        <f ca="1">IF($L60="","",HYPERLINK("bbg://securities/"&amp;$L60&amp;" Equity/MHD%20?panel=1",_xll.BDP($L60&amp;" Equity","SECURITY_NAME")))</f>
        <v>#NAME?</v>
      </c>
      <c r="N60" s="209"/>
      <c r="O60" s="209"/>
      <c r="P60" s="162" t="str">
        <f>HYPERLINK("bbg://securities/EEX5%20LN%20EQUITY/EFMF%20?panel=1","-0.78")</f>
        <v>-0.78</v>
      </c>
      <c r="Q60" s="81">
        <v>1.9779036000000001</v>
      </c>
      <c r="R60" s="72">
        <v>-0.3932094061611498</v>
      </c>
      <c r="S60" s="75" t="e">
        <f ca="1">IF($L60="","",_xll.BDP($L60&amp;" Equity",$BF$13,"fill=NA"))</f>
        <v>#NAME?</v>
      </c>
      <c r="BD60" s="50"/>
      <c r="BE60" s="51"/>
      <c r="BF60" s="52" t="e">
        <f t="shared" si="0"/>
        <v>#N/A</v>
      </c>
      <c r="BG60" s="46">
        <v>47</v>
      </c>
      <c r="BH60" s="46" t="e">
        <f t="shared" si="1"/>
        <v>#N/A</v>
      </c>
      <c r="BI60" s="46" t="e">
        <f t="shared" si="2"/>
        <v>#N/A</v>
      </c>
      <c r="BJ60" s="46" t="e">
        <f t="shared" si="3"/>
        <v>#N/A</v>
      </c>
      <c r="BK60" s="46" t="e">
        <f t="shared" si="4"/>
        <v>#N/A</v>
      </c>
    </row>
    <row r="61" spans="2:63" x14ac:dyDescent="0.2">
      <c r="B61" s="160" t="str">
        <f>HYPERLINK("bbg://securities/VCLT%20US%20EQUITY/DES%20?panel=1","VCLT US")</f>
        <v>VCLT US</v>
      </c>
      <c r="C61" s="249" t="e">
        <f ca="1">IF($B61="","",HYPERLINK("bbg://securities/"&amp;$B61&amp;" Equity/MHD%20?panel=1",_xll.BDP($B61&amp;" Equity","SECURITY_NAME")))</f>
        <v>#NAME?</v>
      </c>
      <c r="D61" s="208"/>
      <c r="E61" s="208"/>
      <c r="F61" s="208"/>
      <c r="G61" s="163" t="str">
        <f>HYPERLINK("bbg://securities/VCLT%20US%20EQUITY/EFMF%20?panel=1","5.89")</f>
        <v>5.89</v>
      </c>
      <c r="H61" s="82">
        <v>1.52803</v>
      </c>
      <c r="I61" s="73">
        <v>3.8554389638946889</v>
      </c>
      <c r="J61" s="76" t="e">
        <f ca="1">IF($B61="","",_xll.BDP($B61&amp;" Equity",$BF$13,"fill=NA"))</f>
        <v>#NAME?</v>
      </c>
      <c r="L61" s="160" t="str">
        <f>HYPERLINK("bbg://securities/CWB%20US%20EQUITY/DES%20?panel=1","CWB US")</f>
        <v>CWB US</v>
      </c>
      <c r="M61" s="249" t="e">
        <f ca="1">IF($L61="","",HYPERLINK("bbg://securities/"&amp;$L61&amp;" Equity/MHD%20?panel=1",_xll.BDP($L61&amp;" Equity","SECURITY_NAME")))</f>
        <v>#NAME?</v>
      </c>
      <c r="N61" s="208"/>
      <c r="O61" s="208"/>
      <c r="P61" s="163" t="str">
        <f>HYPERLINK("bbg://securities/CWB%20US%20EQUITY/EFMF%20?panel=1","-1.16")</f>
        <v>-1.16</v>
      </c>
      <c r="Q61" s="82">
        <v>3.1270250000000002</v>
      </c>
      <c r="R61" s="73">
        <v>-0.37096425516265413</v>
      </c>
      <c r="S61" s="76" t="e">
        <f ca="1">IF($L61="","",_xll.BDP($L61&amp;" Equity",$BF$13,"fill=NA"))</f>
        <v>#NAME?</v>
      </c>
      <c r="BD61" s="50"/>
      <c r="BE61" s="51"/>
      <c r="BF61" s="52" t="e">
        <f t="shared" si="0"/>
        <v>#N/A</v>
      </c>
      <c r="BG61" s="46">
        <v>48</v>
      </c>
      <c r="BH61" s="46" t="e">
        <f t="shared" si="1"/>
        <v>#N/A</v>
      </c>
      <c r="BI61" s="46" t="e">
        <f t="shared" si="2"/>
        <v>#N/A</v>
      </c>
      <c r="BJ61" s="46" t="e">
        <f t="shared" si="3"/>
        <v>#N/A</v>
      </c>
      <c r="BK61" s="46" t="e">
        <f t="shared" si="4"/>
        <v>#N/A</v>
      </c>
    </row>
    <row r="62" spans="2:63" x14ac:dyDescent="0.2">
      <c r="B62" s="159" t="str">
        <f>HYPERLINK("bbg://securities/VTIP%20US%20EQUITY/DES%20?panel=1","VTIP US")</f>
        <v>VTIP US</v>
      </c>
      <c r="C62" s="247" t="e">
        <f ca="1">IF($B62="","",HYPERLINK("bbg://securities/"&amp;$B62&amp;" Equity/MHD%20?panel=1",_xll.BDP($B62&amp;" Equity","SECURITY_NAME")))</f>
        <v>#NAME?</v>
      </c>
      <c r="D62" s="209"/>
      <c r="E62" s="209"/>
      <c r="F62" s="209"/>
      <c r="G62" s="162" t="str">
        <f>HYPERLINK("bbg://securities/VTIP%20US%20EQUITY/EFMF%20?panel=1","10.36")</f>
        <v>10.36</v>
      </c>
      <c r="H62" s="81">
        <v>2.9184699999999997</v>
      </c>
      <c r="I62" s="72">
        <v>3.550796753093231</v>
      </c>
      <c r="J62" s="75" t="e">
        <f ca="1">IF($B62="","",_xll.BDP($B62&amp;" Equity",$BF$13,"fill=NA"))</f>
        <v>#NAME?</v>
      </c>
      <c r="L62" s="159" t="str">
        <f>HYPERLINK("bbg://securities/PCY%20US%20EQUITY/DES%20?panel=1","PCY US")</f>
        <v>PCY US</v>
      </c>
      <c r="M62" s="247" t="e">
        <f ca="1">IF($L62="","",HYPERLINK("bbg://securities/"&amp;$L62&amp;" Equity/MHD%20?panel=1",_xll.BDP($L62&amp;" Equity","SECURITY_NAME")))</f>
        <v>#NAME?</v>
      </c>
      <c r="N62" s="209"/>
      <c r="O62" s="209"/>
      <c r="P62" s="162" t="str">
        <f>HYPERLINK("bbg://securities/PCY%20US%20EQUITY/EFMF%20?panel=1","-1.28")</f>
        <v>-1.28</v>
      </c>
      <c r="Q62" s="81">
        <v>3.7783600000000002</v>
      </c>
      <c r="R62" s="72">
        <v>-0.33755142442752922</v>
      </c>
      <c r="S62" s="75" t="e">
        <f ca="1">IF($L62="","",_xll.BDP($L62&amp;" Equity",$BF$13,"fill=NA"))</f>
        <v>#NAME?</v>
      </c>
      <c r="BD62" s="50"/>
      <c r="BE62" s="51"/>
      <c r="BF62" s="52" t="e">
        <f t="shared" si="0"/>
        <v>#N/A</v>
      </c>
      <c r="BG62" s="46">
        <v>49</v>
      </c>
      <c r="BH62" s="46" t="e">
        <f t="shared" si="1"/>
        <v>#N/A</v>
      </c>
      <c r="BI62" s="46" t="e">
        <f t="shared" si="2"/>
        <v>#N/A</v>
      </c>
      <c r="BJ62" s="46" t="e">
        <f t="shared" si="3"/>
        <v>#N/A</v>
      </c>
      <c r="BK62" s="46" t="e">
        <f t="shared" si="4"/>
        <v>#N/A</v>
      </c>
    </row>
    <row r="63" spans="2:63" x14ac:dyDescent="0.2">
      <c r="B63" s="161" t="str">
        <f>HYPERLINK("bbg://securities/MUB%20US%20EQUITY/DES%20?panel=1","MUB US")</f>
        <v>MUB US</v>
      </c>
      <c r="C63" s="248" t="e">
        <f ca="1">IF($B63="","",HYPERLINK("bbg://securities/"&amp;$B63&amp;" Equity/MHD%20?panel=1",_xll.BDP($B63&amp;" Equity","SECURITY_NAME")))</f>
        <v>#NAME?</v>
      </c>
      <c r="D63" s="210"/>
      <c r="E63" s="210"/>
      <c r="F63" s="210"/>
      <c r="G63" s="164" t="str">
        <f>HYPERLINK("bbg://securities/MUB%20US%20EQUITY/EFMF%20?panel=1","29.15")</f>
        <v>29.15</v>
      </c>
      <c r="H63" s="83">
        <v>8.2108600000000003</v>
      </c>
      <c r="I63" s="74">
        <v>3.5506521850329906</v>
      </c>
      <c r="J63" s="77" t="e">
        <f ca="1">IF($B63="","",_xll.BDP($B63&amp;" Equity",$BF$13,"fill=NA"))</f>
        <v>#NAME?</v>
      </c>
      <c r="L63" s="161" t="str">
        <f>HYPERLINK("bbg://securities/HYS%20US%20EQUITY/DES%20?panel=1","HYS US")</f>
        <v>HYS US</v>
      </c>
      <c r="M63" s="248" t="e">
        <f ca="1">IF($L63="","",HYPERLINK("bbg://securities/"&amp;$L63&amp;" Equity/MHD%20?panel=1",_xll.BDP($L63&amp;" Equity","SECURITY_NAME")))</f>
        <v>#NAME?</v>
      </c>
      <c r="N63" s="210"/>
      <c r="O63" s="210"/>
      <c r="P63" s="164" t="str">
        <f>HYPERLINK("bbg://securities/HYS%20US%20EQUITY/EFMF%20?panel=1","-0.73")</f>
        <v>-0.73</v>
      </c>
      <c r="Q63" s="83">
        <v>2.2618299999999998</v>
      </c>
      <c r="R63" s="74">
        <v>-0.32208313622155493</v>
      </c>
      <c r="S63" s="77" t="e">
        <f ca="1">IF($L63="","",_xll.BDP($L63&amp;" Equity",$BF$13,"fill=NA"))</f>
        <v>#NAME?</v>
      </c>
      <c r="BD63" s="50"/>
      <c r="BE63" s="51"/>
      <c r="BF63" s="52" t="e">
        <f t="shared" si="0"/>
        <v>#N/A</v>
      </c>
      <c r="BG63" s="46">
        <v>50</v>
      </c>
      <c r="BH63" s="46" t="e">
        <f t="shared" si="1"/>
        <v>#N/A</v>
      </c>
      <c r="BI63" s="46" t="e">
        <f t="shared" si="2"/>
        <v>#N/A</v>
      </c>
      <c r="BJ63" s="46" t="e">
        <f t="shared" si="3"/>
        <v>#N/A</v>
      </c>
      <c r="BK63" s="46" t="e">
        <f t="shared" si="4"/>
        <v>#N/A</v>
      </c>
    </row>
    <row r="64" spans="2:63" ht="5" customHeight="1" x14ac:dyDescent="0.2">
      <c r="BD64" s="50"/>
      <c r="BE64" s="51"/>
      <c r="BF64" s="52" t="e">
        <f t="shared" si="0"/>
        <v>#N/A</v>
      </c>
      <c r="BG64" s="46">
        <v>51</v>
      </c>
      <c r="BH64" s="46" t="e">
        <f t="shared" si="1"/>
        <v>#N/A</v>
      </c>
      <c r="BI64" s="46" t="e">
        <f t="shared" si="2"/>
        <v>#N/A</v>
      </c>
      <c r="BJ64" s="46" t="e">
        <f t="shared" si="3"/>
        <v>#N/A</v>
      </c>
      <c r="BK64" s="46" t="e">
        <f t="shared" si="4"/>
        <v>#N/A</v>
      </c>
    </row>
    <row r="65" spans="2:63" x14ac:dyDescent="0.2">
      <c r="B65" s="192" t="s">
        <v>211</v>
      </c>
      <c r="C65" s="201"/>
      <c r="D65" s="201"/>
      <c r="E65" s="201"/>
      <c r="F65" s="201"/>
      <c r="G65" s="201"/>
      <c r="H65" s="201"/>
      <c r="I65" s="201"/>
      <c r="J65" s="202"/>
      <c r="L65" s="192" t="s">
        <v>212</v>
      </c>
      <c r="M65" s="201"/>
      <c r="N65" s="201"/>
      <c r="O65" s="201"/>
      <c r="P65" s="201"/>
      <c r="Q65" s="201"/>
      <c r="R65" s="201"/>
      <c r="S65" s="202"/>
      <c r="BD65" s="50"/>
      <c r="BE65" s="51"/>
      <c r="BF65" s="52" t="e">
        <f t="shared" si="0"/>
        <v>#N/A</v>
      </c>
      <c r="BG65" s="46">
        <v>52</v>
      </c>
      <c r="BH65" s="46" t="e">
        <f t="shared" si="1"/>
        <v>#N/A</v>
      </c>
      <c r="BI65" s="46" t="e">
        <f t="shared" si="2"/>
        <v>#N/A</v>
      </c>
      <c r="BJ65" s="46" t="e">
        <f t="shared" si="3"/>
        <v>#N/A</v>
      </c>
      <c r="BK65" s="46" t="e">
        <f t="shared" si="4"/>
        <v>#N/A</v>
      </c>
    </row>
    <row r="66" spans="2:63" x14ac:dyDescent="0.2">
      <c r="B66" s="54" t="s">
        <v>50</v>
      </c>
      <c r="C66" s="203" t="s">
        <v>51</v>
      </c>
      <c r="D66" s="203"/>
      <c r="E66" s="203"/>
      <c r="F66" s="203"/>
      <c r="G66" s="70" t="s">
        <v>207</v>
      </c>
      <c r="H66" s="70" t="s">
        <v>208</v>
      </c>
      <c r="I66" s="70" t="s">
        <v>115</v>
      </c>
      <c r="J66" s="71" t="str">
        <f>$BG$13</f>
        <v>Rating Class</v>
      </c>
      <c r="L66" s="54" t="s">
        <v>50</v>
      </c>
      <c r="M66" s="203" t="s">
        <v>51</v>
      </c>
      <c r="N66" s="203"/>
      <c r="O66" s="203"/>
      <c r="P66" s="70" t="s">
        <v>207</v>
      </c>
      <c r="Q66" s="70" t="s">
        <v>208</v>
      </c>
      <c r="R66" s="70" t="s">
        <v>115</v>
      </c>
      <c r="S66" s="71" t="str">
        <f>$BG$13</f>
        <v>Rating Class</v>
      </c>
    </row>
    <row r="67" spans="2:63" x14ac:dyDescent="0.2">
      <c r="B67" s="159" t="str">
        <f>HYPERLINK("bbg://securities/TIP%20US%20EQUITY/DES%20?panel=1","TIP US")</f>
        <v>TIP US</v>
      </c>
      <c r="C67" s="247" t="e">
        <f ca="1">IF($B67="","",HYPERLINK("bbg://securities/"&amp;$B67&amp;" Equity/MHD%20?panel=1",_xll.BDP($B67&amp;" Equity","SECURITY_NAME")))</f>
        <v>#NAME?</v>
      </c>
      <c r="D67" s="209"/>
      <c r="E67" s="209"/>
      <c r="F67" s="209"/>
      <c r="G67" s="162" t="str">
        <f>HYPERLINK("bbg://securities/TIP%20US%20EQUITY/EFMF%20?panel=1","594.18")</f>
        <v>594.18</v>
      </c>
      <c r="H67" s="81">
        <v>21355.200000000001</v>
      </c>
      <c r="I67" s="72">
        <v>2.7823480932043929E-2</v>
      </c>
      <c r="J67" s="75" t="e">
        <f ca="1">IF($B67="","",_xll.BDP($B67&amp;" Equity",$BF$13,"fill=NA"))</f>
        <v>#NAME?</v>
      </c>
      <c r="L67" s="159" t="str">
        <f>HYPERLINK("bbg://securities/IBGS%20LN%20EQUITY/DES%20?panel=1","IBGS LN")</f>
        <v>IBGS LN</v>
      </c>
      <c r="M67" s="247" t="e">
        <f ca="1">IF($L67="","",HYPERLINK("bbg://securities/"&amp;$L67&amp;" Equity/MHD%20?panel=1",_xll.BDP($L67&amp;" Equity","SECURITY_NAME")))</f>
        <v>#NAME?</v>
      </c>
      <c r="N67" s="209"/>
      <c r="O67" s="209"/>
      <c r="P67" s="162" t="str">
        <f>HYPERLINK("bbg://securities/IBGS%20LN%20EQUITY/EFMF%20?panel=1","-0.22")</f>
        <v>-0.22</v>
      </c>
      <c r="Q67" s="81">
        <v>1506.4849999999999</v>
      </c>
      <c r="R67" s="72">
        <v>-1.4663272452126311E-4</v>
      </c>
      <c r="S67" s="75" t="e">
        <f ca="1">IF($L67="","",_xll.BDP($L67&amp;" Equity",$BF$13,"fill=NA"))</f>
        <v>#NAME?</v>
      </c>
    </row>
    <row r="68" spans="2:63" x14ac:dyDescent="0.2">
      <c r="B68" s="160" t="str">
        <f>HYPERLINK("bbg://securities/PFF%20US%20EQUITY/DES%20?panel=1","PFF US")</f>
        <v>PFF US</v>
      </c>
      <c r="C68" s="249" t="e">
        <f ca="1">IF($B68="","",HYPERLINK("bbg://securities/"&amp;$B68&amp;" Equity/MHD%20?panel=1",_xll.BDP($B68&amp;" Equity","SECURITY_NAME")))</f>
        <v>#NAME?</v>
      </c>
      <c r="D68" s="208"/>
      <c r="E68" s="208"/>
      <c r="F68" s="208"/>
      <c r="G68" s="163" t="str">
        <f>HYPERLINK("bbg://securities/PFF%20US%20EQUITY/EFMF%20?panel=1","509.60")</f>
        <v>509.60</v>
      </c>
      <c r="H68" s="82">
        <v>16556.599999999999</v>
      </c>
      <c r="I68" s="73">
        <v>3.0779453510986415E-2</v>
      </c>
      <c r="J68" s="76" t="e">
        <f ca="1">IF($B68="","",_xll.BDP($B68&amp;" Equity",$BF$13,"fill=NA"))</f>
        <v>#NAME?</v>
      </c>
      <c r="L68" s="160" t="str">
        <f>HYPERLINK("bbg://securities/HYG%20US%20EQUITY/DES%20?panel=1","HYG US")</f>
        <v>HYG US</v>
      </c>
      <c r="M68" s="249" t="e">
        <f ca="1">IF($L68="","",HYPERLINK("bbg://securities/"&amp;$L68&amp;" Equity/MHD%20?panel=1",_xll.BDP($L68&amp;" Equity","SECURITY_NAME")))</f>
        <v>#NAME?</v>
      </c>
      <c r="N68" s="208"/>
      <c r="O68" s="208"/>
      <c r="P68" s="163" t="str">
        <f>HYPERLINK("bbg://securities/HYG%20US%20EQUITY/EFMF%20?panel=1","-465.68")</f>
        <v>-465.68</v>
      </c>
      <c r="Q68" s="82">
        <v>18954.5</v>
      </c>
      <c r="R68" s="73">
        <v>-2.4568123664565209E-2</v>
      </c>
      <c r="S68" s="76" t="e">
        <f ca="1">IF($L68="","",_xll.BDP($L68&amp;" Equity",$BF$13,"fill=NA"))</f>
        <v>#NAME?</v>
      </c>
    </row>
    <row r="69" spans="2:63" x14ac:dyDescent="0.2">
      <c r="B69" s="159" t="str">
        <f>HYPERLINK("bbg://securities/IHYG%20LN%20EQUITY/DES%20?panel=1","IHYG LN")</f>
        <v>IHYG LN</v>
      </c>
      <c r="C69" s="247" t="e">
        <f ca="1">IF($B69="","",HYPERLINK("bbg://securities/"&amp;$B69&amp;" Equity/MHD%20?panel=1",_xll.BDP($B69&amp;" Equity","SECURITY_NAME")))</f>
        <v>#NAME?</v>
      </c>
      <c r="D69" s="209"/>
      <c r="E69" s="209"/>
      <c r="F69" s="209"/>
      <c r="G69" s="162" t="str">
        <f>HYPERLINK("bbg://securities/IHYG%20LN%20EQUITY/EFMF%20?panel=1","319.03")</f>
        <v>319.03</v>
      </c>
      <c r="H69" s="81">
        <v>6107.2403999999997</v>
      </c>
      <c r="I69" s="72">
        <v>5.2238028815764351E-2</v>
      </c>
      <c r="J69" s="75" t="e">
        <f ca="1">IF($B69="","",_xll.BDP($B69&amp;" Equity",$BF$13,"fill=NA"))</f>
        <v>#NAME?</v>
      </c>
      <c r="L69" s="159" t="str">
        <f>HYPERLINK("bbg://securities/LQDE%20LN%20EQUITY/DES%20?panel=1","LQDE LN")</f>
        <v>LQDE LN</v>
      </c>
      <c r="M69" s="247" t="e">
        <f ca="1">IF($L69="","",HYPERLINK("bbg://securities/"&amp;$L69&amp;" Equity/MHD%20?panel=1",_xll.BDP($L69&amp;" Equity","SECURITY_NAME")))</f>
        <v>#NAME?</v>
      </c>
      <c r="N69" s="209"/>
      <c r="O69" s="209"/>
      <c r="P69" s="162" t="str">
        <f>HYPERLINK("bbg://securities/LQDE%20LN%20EQUITY/EFMF%20?panel=1","-191.78")</f>
        <v>-191.78</v>
      </c>
      <c r="Q69" s="81">
        <v>4851.55</v>
      </c>
      <c r="R69" s="72">
        <v>-3.9530232606074828E-2</v>
      </c>
      <c r="S69" s="75" t="e">
        <f ca="1">IF($L69="","",_xll.BDP($L69&amp;" Equity",$BF$13,"fill=NA"))</f>
        <v>#NAME?</v>
      </c>
    </row>
    <row r="70" spans="2:63" x14ac:dyDescent="0.2">
      <c r="B70" s="160" t="str">
        <f>HYPERLINK("bbg://securities/XSB%20CN%20EQUITY/DES%20?panel=1","XSB CN")</f>
        <v>XSB CN</v>
      </c>
      <c r="C70" s="249" t="e">
        <f ca="1">IF($B70="","",HYPERLINK("bbg://securities/"&amp;$B70&amp;" Equity/MHD%20?panel=1",_xll.BDP($B70&amp;" Equity","SECURITY_NAME")))</f>
        <v>#NAME?</v>
      </c>
      <c r="D70" s="208"/>
      <c r="E70" s="208"/>
      <c r="F70" s="208"/>
      <c r="G70" s="163" t="str">
        <f>HYPERLINK("bbg://securities/XSB%20CN%20EQUITY/EFMF%20?panel=1","107.15")</f>
        <v>107.15</v>
      </c>
      <c r="H70" s="82">
        <v>1743.4795999999999</v>
      </c>
      <c r="I70" s="73">
        <v>6.1456010153488137E-2</v>
      </c>
      <c r="J70" s="76" t="e">
        <f ca="1">IF($B70="","",_xll.BDP($B70&amp;" Equity",$BF$13,"fill=NA"))</f>
        <v>#NAME?</v>
      </c>
      <c r="L70" s="160" t="str">
        <f>HYPERLINK("bbg://securities/2821%20HK%20EQUITY/DES%20?panel=1","2821 HK")</f>
        <v>2821 HK</v>
      </c>
      <c r="M70" s="249" t="e">
        <f ca="1">IF($L70="","",HYPERLINK("bbg://securities/"&amp;$L70&amp;" Equity/MHD%20?panel=1",_xll.BDP($L70&amp;" Equity","SECURITY_NAME")))</f>
        <v>#NAME?</v>
      </c>
      <c r="N70" s="208"/>
      <c r="O70" s="208"/>
      <c r="P70" s="163" t="str">
        <f>HYPERLINK("bbg://securities/2821%20HK%20EQUITY/EFMF%20?panel=1","-187.51")</f>
        <v>-187.51</v>
      </c>
      <c r="Q70" s="82">
        <v>3748.43</v>
      </c>
      <c r="R70" s="73">
        <v>-5.002328975064229E-2</v>
      </c>
      <c r="S70" s="76" t="e">
        <f ca="1">IF($L70="","",_xll.BDP($L70&amp;" Equity",$BF$13,"fill=NA"))</f>
        <v>#NAME?</v>
      </c>
    </row>
    <row r="71" spans="2:63" x14ac:dyDescent="0.2">
      <c r="B71" s="159" t="str">
        <f>HYPERLINK("bbg://securities/IHYU%20LN%20EQUITY/DES%20?panel=1","IHYU LN")</f>
        <v>IHYU LN</v>
      </c>
      <c r="C71" s="247" t="e">
        <f ca="1">IF($B71="","",HYPERLINK("bbg://securities/"&amp;$B71&amp;" Equity/MHD%20?panel=1",_xll.BDP($B71&amp;" Equity","SECURITY_NAME")))</f>
        <v>#NAME?</v>
      </c>
      <c r="D71" s="209"/>
      <c r="E71" s="209"/>
      <c r="F71" s="209"/>
      <c r="G71" s="162" t="str">
        <f>HYPERLINK("bbg://securities/IHYU%20LN%20EQUITY/EFMF%20?panel=1","279.12")</f>
        <v>279.12</v>
      </c>
      <c r="H71" s="81">
        <v>3691.04</v>
      </c>
      <c r="I71" s="72">
        <v>7.5620638085742903E-2</v>
      </c>
      <c r="J71" s="75" t="e">
        <f ca="1">IF($B71="","",_xll.BDP($B71&amp;" Equity",$BF$13,"fill=NA"))</f>
        <v>#NAME?</v>
      </c>
      <c r="L71" s="159" t="str">
        <f>HYPERLINK("bbg://securities/BKLN%20US%20EQUITY/DES%20?panel=1","BKLN US")</f>
        <v>BKLN US</v>
      </c>
      <c r="M71" s="247" t="e">
        <f ca="1">IF($L71="","",HYPERLINK("bbg://securities/"&amp;$L71&amp;" Equity/MHD%20?panel=1",_xll.BDP($L71&amp;" Equity","SECURITY_NAME")))</f>
        <v>#NAME?</v>
      </c>
      <c r="N71" s="209"/>
      <c r="O71" s="209"/>
      <c r="P71" s="162" t="str">
        <f>HYPERLINK("bbg://securities/BKLN%20US%20EQUITY/EFMF%20?panel=1","-630.43")</f>
        <v>-630.43</v>
      </c>
      <c r="Q71" s="81">
        <v>7919.04</v>
      </c>
      <c r="R71" s="72">
        <v>-7.9610015860509517E-2</v>
      </c>
      <c r="S71" s="75" t="e">
        <f ca="1">IF($L71="","",_xll.BDP($L71&amp;" Equity",$BF$13,"fill=NA"))</f>
        <v>#NAME?</v>
      </c>
    </row>
    <row r="72" spans="2:63" x14ac:dyDescent="0.2">
      <c r="B72" s="160" t="str">
        <f>HYPERLINK("bbg://securities/TDTT%20US%20EQUITY/DES%20?panel=1","TDTT US")</f>
        <v>TDTT US</v>
      </c>
      <c r="C72" s="249" t="e">
        <f ca="1">IF($B72="","",HYPERLINK("bbg://securities/"&amp;$B72&amp;" Equity/MHD%20?panel=1",_xll.BDP($B72&amp;" Equity","SECURITY_NAME")))</f>
        <v>#NAME?</v>
      </c>
      <c r="D72" s="208"/>
      <c r="E72" s="208"/>
      <c r="F72" s="208"/>
      <c r="G72" s="163" t="str">
        <f>HYPERLINK("bbg://securities/TDTT%20US%20EQUITY/EFMF%20?panel=1","148.82")</f>
        <v>148.82</v>
      </c>
      <c r="H72" s="82">
        <v>1873.59</v>
      </c>
      <c r="I72" s="73">
        <v>7.9430665193559194E-2</v>
      </c>
      <c r="J72" s="76" t="e">
        <f ca="1">IF($B72="","",_xll.BDP($B72&amp;" Equity",$BF$13,"fill=NA"))</f>
        <v>#NAME?</v>
      </c>
      <c r="L72" s="160" t="str">
        <f>HYPERLINK("bbg://securities/JNK%20US%20EQUITY/DES%20?panel=1","JNK US")</f>
        <v>JNK US</v>
      </c>
      <c r="M72" s="249" t="e">
        <f ca="1">IF($L72="","",HYPERLINK("bbg://securities/"&amp;$L72&amp;" Equity/MHD%20?panel=1",_xll.BDP($L72&amp;" Equity","SECURITY_NAME")))</f>
        <v>#NAME?</v>
      </c>
      <c r="N72" s="208"/>
      <c r="O72" s="208"/>
      <c r="P72" s="163" t="str">
        <f>HYPERLINK("bbg://securities/JNK%20US%20EQUITY/EFMF%20?panel=1","-2484.73")</f>
        <v>-2484.73</v>
      </c>
      <c r="Q72" s="82">
        <v>12065.83</v>
      </c>
      <c r="R72" s="73">
        <v>-0.20593093885791491</v>
      </c>
      <c r="S72" s="76" t="e">
        <f ca="1">IF($L72="","",_xll.BDP($L72&amp;" Equity",$BF$13,"fill=NA"))</f>
        <v>#NAME?</v>
      </c>
    </row>
    <row r="73" spans="2:63" x14ac:dyDescent="0.2">
      <c r="B73" s="159" t="str">
        <f>HYPERLINK("bbg://securities/IEMB%20LN%20EQUITY/DES%20?panel=1","IEMB LN")</f>
        <v>IEMB LN</v>
      </c>
      <c r="C73" s="247" t="e">
        <f ca="1">IF($B73="","",HYPERLINK("bbg://securities/"&amp;$B73&amp;" Equity/MHD%20?panel=1",_xll.BDP($B73&amp;" Equity","SECURITY_NAME")))</f>
        <v>#NAME?</v>
      </c>
      <c r="D73" s="209"/>
      <c r="E73" s="209"/>
      <c r="F73" s="209"/>
      <c r="G73" s="162" t="str">
        <f>HYPERLINK("bbg://securities/IEMB%20LN%20EQUITY/EFMF%20?panel=1","621.94")</f>
        <v>621.94</v>
      </c>
      <c r="H73" s="81">
        <v>5723.4</v>
      </c>
      <c r="I73" s="72">
        <v>0.10866561833874967</v>
      </c>
      <c r="J73" s="75" t="e">
        <f ca="1">IF($B73="","",_xll.BDP($B73&amp;" Equity",$BF$13,"fill=NA"))</f>
        <v>#NAME?</v>
      </c>
      <c r="L73" s="159" t="str">
        <f>HYPERLINK("bbg://securities/ITPS%20LN%20EQUITY/DES%20?panel=1","ITPS LN")</f>
        <v>ITPS LN</v>
      </c>
      <c r="M73" s="247" t="e">
        <f ca="1">IF($L73="","",HYPERLINK("bbg://securities/"&amp;$L73&amp;" Equity/MHD%20?panel=1",_xll.BDP($L73&amp;" Equity","SECURITY_NAME")))</f>
        <v>#NAME?</v>
      </c>
      <c r="N73" s="209"/>
      <c r="O73" s="209"/>
      <c r="P73" s="162" t="str">
        <f>HYPERLINK("bbg://securities/ITPS%20LN%20EQUITY/EFMF%20?panel=1","-761.35")</f>
        <v>-761.35</v>
      </c>
      <c r="Q73" s="81">
        <v>3433.3914</v>
      </c>
      <c r="R73" s="72">
        <v>-0.22174797781575389</v>
      </c>
      <c r="S73" s="75" t="e">
        <f ca="1">IF($L73="","",_xll.BDP($L73&amp;" Equity",$BF$13,"fill=NA"))</f>
        <v>#NAME?</v>
      </c>
    </row>
    <row r="74" spans="2:63" x14ac:dyDescent="0.2">
      <c r="B74" s="160" t="str">
        <f>HYPERLINK("bbg://securities/IEAG%20LN%20EQUITY/DES%20?panel=1","IEAG LN")</f>
        <v>IEAG LN</v>
      </c>
      <c r="C74" s="249" t="e">
        <f ca="1">IF($B74="","",HYPERLINK("bbg://securities/"&amp;$B74&amp;" Equity/MHD%20?panel=1",_xll.BDP($B74&amp;" Equity","SECURITY_NAME")))</f>
        <v>#NAME?</v>
      </c>
      <c r="D74" s="208"/>
      <c r="E74" s="208"/>
      <c r="F74" s="208"/>
      <c r="G74" s="163" t="str">
        <f>HYPERLINK("bbg://securities/IEAG%20LN%20EQUITY/EFMF%20?panel=1","242.97")</f>
        <v>242.97</v>
      </c>
      <c r="H74" s="82">
        <v>1928.1709000000001</v>
      </c>
      <c r="I74" s="73">
        <v>0.1260118592184957</v>
      </c>
      <c r="J74" s="76" t="e">
        <f ca="1">IF($B74="","",_xll.BDP($B74&amp;" Equity",$BF$13,"fill=NA"))</f>
        <v>#NAME?</v>
      </c>
      <c r="L74" s="160" t="str">
        <f>HYPERLINK("bbg://securities/PGF%20US%20EQUITY/DES%20?panel=1","PGF US")</f>
        <v>PGF US</v>
      </c>
      <c r="M74" s="249" t="e">
        <f ca="1">IF($L74="","",HYPERLINK("bbg://securities/"&amp;$L74&amp;" Equity/MHD%20?panel=1",_xll.BDP($L74&amp;" Equity","SECURITY_NAME")))</f>
        <v>#NAME?</v>
      </c>
      <c r="N74" s="208"/>
      <c r="O74" s="208"/>
      <c r="P74" s="163" t="str">
        <f>HYPERLINK("bbg://securities/PGF%20US%20EQUITY/EFMF%20?panel=1","-453.35")</f>
        <v>-453.35</v>
      </c>
      <c r="Q74" s="82">
        <v>1675.67</v>
      </c>
      <c r="R74" s="73">
        <v>-0.27054969057153261</v>
      </c>
      <c r="S74" s="76" t="e">
        <f ca="1">IF($L74="","",_xll.BDP($L74&amp;" Equity",$BF$13,"fill=NA"))</f>
        <v>#NAME?</v>
      </c>
    </row>
    <row r="75" spans="2:63" x14ac:dyDescent="0.2">
      <c r="B75" s="159" t="str">
        <f>HYPERLINK("bbg://securities/MINT%20LN%20EQUITY/DES%20?panel=1","MINT LN")</f>
        <v>MINT LN</v>
      </c>
      <c r="C75" s="247" t="e">
        <f ca="1">IF($B75="","",HYPERLINK("bbg://securities/"&amp;$B75&amp;" Equity/MHD%20?panel=1",_xll.BDP($B75&amp;" Equity","SECURITY_NAME")))</f>
        <v>#NAME?</v>
      </c>
      <c r="D75" s="209"/>
      <c r="E75" s="209"/>
      <c r="F75" s="209"/>
      <c r="G75" s="162" t="str">
        <f>HYPERLINK("bbg://securities/MINT%20LN%20EQUITY/EFMF%20?panel=1","301.03")</f>
        <v>301.03</v>
      </c>
      <c r="H75" s="81">
        <v>1862.01</v>
      </c>
      <c r="I75" s="72">
        <v>0.16166996954903384</v>
      </c>
      <c r="J75" s="75" t="e">
        <f ca="1">IF($B75="","",_xll.BDP($B75&amp;" Equity",$BF$13,"fill=NA"))</f>
        <v>#NAME?</v>
      </c>
      <c r="L75" s="159" t="str">
        <f>HYPERLINK("bbg://securities/HYS%20US%20EQUITY/DES%20?panel=1","HYS US")</f>
        <v>HYS US</v>
      </c>
      <c r="M75" s="247" t="e">
        <f ca="1">IF($L75="","",HYPERLINK("bbg://securities/"&amp;$L75&amp;" Equity/MHD%20?panel=1",_xll.BDP($L75&amp;" Equity","SECURITY_NAME")))</f>
        <v>#NAME?</v>
      </c>
      <c r="N75" s="209"/>
      <c r="O75" s="209"/>
      <c r="P75" s="162" t="str">
        <f>HYPERLINK("bbg://securities/HYS%20US%20EQUITY/EFMF%20?panel=1","-728.50")</f>
        <v>-728.50</v>
      </c>
      <c r="Q75" s="81">
        <v>2261.83</v>
      </c>
      <c r="R75" s="72">
        <v>-0.32208313622155493</v>
      </c>
      <c r="S75" s="75" t="e">
        <f ca="1">IF($L75="","",_xll.BDP($L75&amp;" Equity",$BF$13,"fill=NA"))</f>
        <v>#NAME?</v>
      </c>
    </row>
    <row r="76" spans="2:63" x14ac:dyDescent="0.2">
      <c r="B76" s="161" t="str">
        <f>HYPERLINK("bbg://securities/SHM%20US%20EQUITY/DES%20?panel=1","SHM US")</f>
        <v>SHM US</v>
      </c>
      <c r="C76" s="248" t="e">
        <f ca="1">IF($B76="","",HYPERLINK("bbg://securities/"&amp;$B76&amp;" Equity/MHD%20?panel=1",_xll.BDP($B76&amp;" Equity","SECURITY_NAME")))</f>
        <v>#NAME?</v>
      </c>
      <c r="D76" s="210"/>
      <c r="E76" s="210"/>
      <c r="F76" s="210"/>
      <c r="G76" s="164" t="str">
        <f>HYPERLINK("bbg://securities/SHM%20US%20EQUITY/EFMF%20?panel=1","613.99")</f>
        <v>613.99</v>
      </c>
      <c r="H76" s="83">
        <v>3372.627</v>
      </c>
      <c r="I76" s="74">
        <v>0.18205111327164261</v>
      </c>
      <c r="J76" s="77" t="e">
        <f ca="1">IF($B76="","",_xll.BDP($B76&amp;" Equity",$BF$13,"fill=NA"))</f>
        <v>#NAME?</v>
      </c>
      <c r="L76" s="161" t="str">
        <f>HYPERLINK("bbg://securities/PCY%20US%20EQUITY/DES%20?panel=1","PCY US")</f>
        <v>PCY US</v>
      </c>
      <c r="M76" s="248" t="e">
        <f ca="1">IF($L76="","",HYPERLINK("bbg://securities/"&amp;$L76&amp;" Equity/MHD%20?panel=1",_xll.BDP($L76&amp;" Equity","SECURITY_NAME")))</f>
        <v>#NAME?</v>
      </c>
      <c r="N76" s="210"/>
      <c r="O76" s="210"/>
      <c r="P76" s="164" t="str">
        <f>HYPERLINK("bbg://securities/PCY%20US%20EQUITY/EFMF%20?panel=1","-1275.39")</f>
        <v>-1275.39</v>
      </c>
      <c r="Q76" s="83">
        <v>3778.36</v>
      </c>
      <c r="R76" s="74">
        <v>-0.33755142442752922</v>
      </c>
      <c r="S76" s="77" t="e">
        <f ca="1">IF($L76="","",_xll.BDP($L76&amp;" Equity",$BF$13,"fill=NA"))</f>
        <v>#NAME?</v>
      </c>
    </row>
  </sheetData>
  <mergeCells count="113">
    <mergeCell ref="C7:I7"/>
    <mergeCell ref="M7:M9"/>
    <mergeCell ref="C8:I8"/>
    <mergeCell ref="C9:I9"/>
    <mergeCell ref="B12:D13"/>
    <mergeCell ref="F12:S12"/>
    <mergeCell ref="B20:C20"/>
    <mergeCell ref="B21:C21"/>
    <mergeCell ref="B22:C22"/>
    <mergeCell ref="B23:C23"/>
    <mergeCell ref="B24:C24"/>
    <mergeCell ref="B26:J26"/>
    <mergeCell ref="B14:C14"/>
    <mergeCell ref="B15:C15"/>
    <mergeCell ref="B16:C16"/>
    <mergeCell ref="B17:C17"/>
    <mergeCell ref="B18:C18"/>
    <mergeCell ref="B19:C19"/>
    <mergeCell ref="C30:F30"/>
    <mergeCell ref="M30:O30"/>
    <mergeCell ref="C31:F31"/>
    <mergeCell ref="M31:O31"/>
    <mergeCell ref="C32:F32"/>
    <mergeCell ref="M32:O32"/>
    <mergeCell ref="L26:S26"/>
    <mergeCell ref="C27:F27"/>
    <mergeCell ref="M27:O27"/>
    <mergeCell ref="C28:F28"/>
    <mergeCell ref="M28:O28"/>
    <mergeCell ref="C29:F29"/>
    <mergeCell ref="M29:O29"/>
    <mergeCell ref="C36:F36"/>
    <mergeCell ref="M36:O36"/>
    <mergeCell ref="C37:F37"/>
    <mergeCell ref="M37:O37"/>
    <mergeCell ref="B39:J39"/>
    <mergeCell ref="L39:S39"/>
    <mergeCell ref="C33:F33"/>
    <mergeCell ref="M33:O33"/>
    <mergeCell ref="C34:F34"/>
    <mergeCell ref="M34:O34"/>
    <mergeCell ref="C35:F35"/>
    <mergeCell ref="M35:O35"/>
    <mergeCell ref="C43:F43"/>
    <mergeCell ref="M43:O43"/>
    <mergeCell ref="C44:F44"/>
    <mergeCell ref="M44:O44"/>
    <mergeCell ref="C45:F45"/>
    <mergeCell ref="M45:O45"/>
    <mergeCell ref="C40:F40"/>
    <mergeCell ref="M40:O40"/>
    <mergeCell ref="C41:F41"/>
    <mergeCell ref="M41:O41"/>
    <mergeCell ref="C42:F42"/>
    <mergeCell ref="M42:O42"/>
    <mergeCell ref="C49:F49"/>
    <mergeCell ref="M49:O49"/>
    <mergeCell ref="C50:F50"/>
    <mergeCell ref="M50:O50"/>
    <mergeCell ref="B52:J52"/>
    <mergeCell ref="L52:S52"/>
    <mergeCell ref="C46:F46"/>
    <mergeCell ref="M46:O46"/>
    <mergeCell ref="C47:F47"/>
    <mergeCell ref="M47:O47"/>
    <mergeCell ref="C48:F48"/>
    <mergeCell ref="M48:O48"/>
    <mergeCell ref="C56:F56"/>
    <mergeCell ref="M56:O56"/>
    <mergeCell ref="C57:F57"/>
    <mergeCell ref="M57:O57"/>
    <mergeCell ref="C58:F58"/>
    <mergeCell ref="M58:O58"/>
    <mergeCell ref="C53:F53"/>
    <mergeCell ref="M53:O53"/>
    <mergeCell ref="C54:F54"/>
    <mergeCell ref="M54:O54"/>
    <mergeCell ref="C55:F55"/>
    <mergeCell ref="M55:O55"/>
    <mergeCell ref="C62:F62"/>
    <mergeCell ref="M62:O62"/>
    <mergeCell ref="C63:F63"/>
    <mergeCell ref="M63:O63"/>
    <mergeCell ref="B65:J65"/>
    <mergeCell ref="L65:S65"/>
    <mergeCell ref="C59:F59"/>
    <mergeCell ref="M59:O59"/>
    <mergeCell ref="C60:F60"/>
    <mergeCell ref="M60:O60"/>
    <mergeCell ref="C61:F61"/>
    <mergeCell ref="M61:O61"/>
    <mergeCell ref="C69:F69"/>
    <mergeCell ref="M69:O69"/>
    <mergeCell ref="C70:F70"/>
    <mergeCell ref="M70:O70"/>
    <mergeCell ref="C71:F71"/>
    <mergeCell ref="M71:O71"/>
    <mergeCell ref="C66:F66"/>
    <mergeCell ref="M66:O66"/>
    <mergeCell ref="C67:F67"/>
    <mergeCell ref="M67:O67"/>
    <mergeCell ref="C68:F68"/>
    <mergeCell ref="M68:O68"/>
    <mergeCell ref="C75:F75"/>
    <mergeCell ref="M75:O75"/>
    <mergeCell ref="C76:F76"/>
    <mergeCell ref="M76:O76"/>
    <mergeCell ref="C72:F72"/>
    <mergeCell ref="M72:O72"/>
    <mergeCell ref="C73:F73"/>
    <mergeCell ref="M73:O73"/>
    <mergeCell ref="C74:F74"/>
    <mergeCell ref="M74:O7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Exception">
    <tabColor rgb="FFFF0000"/>
  </sheetPr>
  <dimension ref="B1:E158"/>
  <sheetViews>
    <sheetView zoomScaleNormal="100" workbookViewId="0">
      <selection activeCell="D120" sqref="D2:D120"/>
    </sheetView>
  </sheetViews>
  <sheetFormatPr baseColWidth="10" defaultColWidth="9.1640625" defaultRowHeight="14" x14ac:dyDescent="0.2"/>
  <cols>
    <col min="1" max="1" width="1.6640625" style="13" customWidth="1"/>
    <col min="2" max="2" width="30.6640625" style="13" customWidth="1"/>
    <col min="3" max="3" width="1.6640625" style="13" customWidth="1"/>
    <col min="4" max="4" width="30.6640625" style="13" customWidth="1"/>
    <col min="5" max="5" width="10.5" style="13" bestFit="1" customWidth="1"/>
    <col min="6" max="16384" width="9.1640625" style="13"/>
  </cols>
  <sheetData>
    <row r="1" spans="2:5" x14ac:dyDescent="0.2">
      <c r="B1" s="16" t="s">
        <v>7398</v>
      </c>
      <c r="D1" s="16" t="s">
        <v>200</v>
      </c>
    </row>
    <row r="2" spans="2:5" x14ac:dyDescent="0.2">
      <c r="D2" s="13" t="s">
        <v>7497</v>
      </c>
      <c r="E2" s="140"/>
    </row>
    <row r="3" spans="2:5" x14ac:dyDescent="0.2">
      <c r="D3" s="13" t="s">
        <v>7495</v>
      </c>
      <c r="E3" s="140"/>
    </row>
    <row r="4" spans="2:5" x14ac:dyDescent="0.2">
      <c r="D4" s="13" t="s">
        <v>7910</v>
      </c>
      <c r="E4" s="140"/>
    </row>
    <row r="5" spans="2:5" x14ac:dyDescent="0.2">
      <c r="D5" s="13" t="s">
        <v>7500</v>
      </c>
      <c r="E5" s="140"/>
    </row>
    <row r="6" spans="2:5" x14ac:dyDescent="0.2">
      <c r="D6" s="13" t="s">
        <v>7501</v>
      </c>
      <c r="E6" s="140"/>
    </row>
    <row r="7" spans="2:5" x14ac:dyDescent="0.2">
      <c r="E7" s="140"/>
    </row>
    <row r="8" spans="2:5" x14ac:dyDescent="0.2">
      <c r="E8" s="140"/>
    </row>
    <row r="9" spans="2:5" x14ac:dyDescent="0.2">
      <c r="E9" s="140"/>
    </row>
    <row r="10" spans="2:5" x14ac:dyDescent="0.2">
      <c r="E10" s="140"/>
    </row>
    <row r="11" spans="2:5" x14ac:dyDescent="0.2">
      <c r="E11" s="140"/>
    </row>
    <row r="12" spans="2:5" x14ac:dyDescent="0.2">
      <c r="E12" s="140"/>
    </row>
    <row r="13" spans="2:5" x14ac:dyDescent="0.2">
      <c r="E13" s="140"/>
    </row>
    <row r="14" spans="2:5" x14ac:dyDescent="0.2">
      <c r="E14" s="140"/>
    </row>
    <row r="15" spans="2:5" x14ac:dyDescent="0.2">
      <c r="E15" s="140"/>
    </row>
    <row r="16" spans="2:5" x14ac:dyDescent="0.2">
      <c r="E16" s="140"/>
    </row>
    <row r="17" spans="5:5" x14ac:dyDescent="0.2">
      <c r="E17" s="140"/>
    </row>
    <row r="18" spans="5:5" x14ac:dyDescent="0.2">
      <c r="E18" s="140"/>
    </row>
    <row r="19" spans="5:5" x14ac:dyDescent="0.2">
      <c r="E19" s="140"/>
    </row>
    <row r="20" spans="5:5" x14ac:dyDescent="0.2">
      <c r="E20" s="140"/>
    </row>
    <row r="21" spans="5:5" x14ac:dyDescent="0.2">
      <c r="E21" s="140"/>
    </row>
    <row r="22" spans="5:5" x14ac:dyDescent="0.2">
      <c r="E22" s="140"/>
    </row>
    <row r="23" spans="5:5" x14ac:dyDescent="0.2">
      <c r="E23" s="140"/>
    </row>
    <row r="24" spans="5:5" x14ac:dyDescent="0.2">
      <c r="E24" s="140"/>
    </row>
    <row r="25" spans="5:5" x14ac:dyDescent="0.2">
      <c r="E25" s="140"/>
    </row>
    <row r="26" spans="5:5" x14ac:dyDescent="0.2">
      <c r="E26" s="140"/>
    </row>
    <row r="27" spans="5:5" x14ac:dyDescent="0.2">
      <c r="E27" s="140"/>
    </row>
    <row r="28" spans="5:5" x14ac:dyDescent="0.2">
      <c r="E28" s="140"/>
    </row>
    <row r="29" spans="5:5" x14ac:dyDescent="0.2">
      <c r="E29" s="140"/>
    </row>
    <row r="30" spans="5:5" x14ac:dyDescent="0.2">
      <c r="E30" s="140"/>
    </row>
    <row r="31" spans="5:5" x14ac:dyDescent="0.2">
      <c r="E31" s="140"/>
    </row>
    <row r="32" spans="5:5" x14ac:dyDescent="0.2">
      <c r="E32" s="140"/>
    </row>
    <row r="33" spans="5:5" x14ac:dyDescent="0.2">
      <c r="E33" s="140"/>
    </row>
    <row r="34" spans="5:5" x14ac:dyDescent="0.2">
      <c r="E34" s="140"/>
    </row>
    <row r="35" spans="5:5" x14ac:dyDescent="0.2">
      <c r="E35" s="140"/>
    </row>
    <row r="36" spans="5:5" x14ac:dyDescent="0.2">
      <c r="E36" s="140"/>
    </row>
    <row r="37" spans="5:5" x14ac:dyDescent="0.2">
      <c r="E37" s="140"/>
    </row>
    <row r="38" spans="5:5" x14ac:dyDescent="0.2">
      <c r="E38" s="140"/>
    </row>
    <row r="39" spans="5:5" x14ac:dyDescent="0.2">
      <c r="E39" s="140"/>
    </row>
    <row r="40" spans="5:5" x14ac:dyDescent="0.2">
      <c r="E40" s="140"/>
    </row>
    <row r="41" spans="5:5" x14ac:dyDescent="0.2">
      <c r="E41" s="140"/>
    </row>
    <row r="42" spans="5:5" x14ac:dyDescent="0.2">
      <c r="E42" s="140"/>
    </row>
    <row r="43" spans="5:5" x14ac:dyDescent="0.2">
      <c r="E43" s="140"/>
    </row>
    <row r="44" spans="5:5" x14ac:dyDescent="0.2">
      <c r="E44" s="140"/>
    </row>
    <row r="45" spans="5:5" x14ac:dyDescent="0.2">
      <c r="E45" s="140"/>
    </row>
    <row r="46" spans="5:5" x14ac:dyDescent="0.2">
      <c r="E46" s="140"/>
    </row>
    <row r="47" spans="5:5" x14ac:dyDescent="0.2">
      <c r="E47" s="140"/>
    </row>
    <row r="48" spans="5:5" x14ac:dyDescent="0.2">
      <c r="E48" s="140"/>
    </row>
    <row r="49" spans="5:5" x14ac:dyDescent="0.2">
      <c r="E49" s="140"/>
    </row>
    <row r="50" spans="5:5" x14ac:dyDescent="0.2">
      <c r="E50" s="140"/>
    </row>
    <row r="51" spans="5:5" x14ac:dyDescent="0.2">
      <c r="E51" s="140"/>
    </row>
    <row r="52" spans="5:5" x14ac:dyDescent="0.2">
      <c r="E52" s="140"/>
    </row>
    <row r="53" spans="5:5" x14ac:dyDescent="0.2">
      <c r="E53" s="140"/>
    </row>
    <row r="54" spans="5:5" x14ac:dyDescent="0.2">
      <c r="E54" s="140"/>
    </row>
    <row r="55" spans="5:5" x14ac:dyDescent="0.2">
      <c r="E55" s="140"/>
    </row>
    <row r="56" spans="5:5" x14ac:dyDescent="0.2">
      <c r="E56" s="140"/>
    </row>
    <row r="57" spans="5:5" x14ac:dyDescent="0.2">
      <c r="E57" s="140"/>
    </row>
    <row r="58" spans="5:5" x14ac:dyDescent="0.2">
      <c r="E58" s="140"/>
    </row>
    <row r="59" spans="5:5" x14ac:dyDescent="0.2">
      <c r="E59" s="140"/>
    </row>
    <row r="60" spans="5:5" x14ac:dyDescent="0.2">
      <c r="E60" s="140"/>
    </row>
    <row r="61" spans="5:5" x14ac:dyDescent="0.2">
      <c r="E61" s="140"/>
    </row>
    <row r="62" spans="5:5" x14ac:dyDescent="0.2">
      <c r="E62" s="140"/>
    </row>
    <row r="63" spans="5:5" x14ac:dyDescent="0.2">
      <c r="E63" s="140"/>
    </row>
    <row r="64" spans="5:5" x14ac:dyDescent="0.2">
      <c r="E64" s="140"/>
    </row>
    <row r="65" spans="5:5" x14ac:dyDescent="0.2">
      <c r="E65" s="140"/>
    </row>
    <row r="66" spans="5:5" x14ac:dyDescent="0.2">
      <c r="E66" s="140"/>
    </row>
    <row r="67" spans="5:5" x14ac:dyDescent="0.2">
      <c r="E67" s="140"/>
    </row>
    <row r="68" spans="5:5" x14ac:dyDescent="0.2">
      <c r="E68" s="140"/>
    </row>
    <row r="69" spans="5:5" x14ac:dyDescent="0.2">
      <c r="E69" s="140"/>
    </row>
    <row r="70" spans="5:5" x14ac:dyDescent="0.2">
      <c r="E70" s="140"/>
    </row>
    <row r="71" spans="5:5" x14ac:dyDescent="0.2">
      <c r="E71" s="140"/>
    </row>
    <row r="72" spans="5:5" x14ac:dyDescent="0.2">
      <c r="E72" s="140"/>
    </row>
    <row r="73" spans="5:5" x14ac:dyDescent="0.2">
      <c r="E73" s="140"/>
    </row>
    <row r="74" spans="5:5" x14ac:dyDescent="0.2">
      <c r="E74" s="140"/>
    </row>
    <row r="75" spans="5:5" x14ac:dyDescent="0.2">
      <c r="E75" s="140"/>
    </row>
    <row r="76" spans="5:5" x14ac:dyDescent="0.2">
      <c r="E76" s="140"/>
    </row>
    <row r="77" spans="5:5" x14ac:dyDescent="0.2">
      <c r="E77" s="140"/>
    </row>
    <row r="78" spans="5:5" x14ac:dyDescent="0.2">
      <c r="E78" s="140"/>
    </row>
    <row r="79" spans="5:5" x14ac:dyDescent="0.2">
      <c r="E79" s="140"/>
    </row>
    <row r="80" spans="5:5" x14ac:dyDescent="0.2">
      <c r="E80" s="140"/>
    </row>
    <row r="81" spans="5:5" x14ac:dyDescent="0.2">
      <c r="E81" s="140"/>
    </row>
    <row r="82" spans="5:5" x14ac:dyDescent="0.2">
      <c r="E82" s="140"/>
    </row>
    <row r="83" spans="5:5" x14ac:dyDescent="0.2">
      <c r="E83" s="140"/>
    </row>
    <row r="84" spans="5:5" x14ac:dyDescent="0.2">
      <c r="E84" s="140"/>
    </row>
    <row r="85" spans="5:5" x14ac:dyDescent="0.2">
      <c r="E85" s="140"/>
    </row>
    <row r="86" spans="5:5" x14ac:dyDescent="0.2">
      <c r="E86" s="140"/>
    </row>
    <row r="87" spans="5:5" x14ac:dyDescent="0.2">
      <c r="E87" s="140"/>
    </row>
    <row r="88" spans="5:5" x14ac:dyDescent="0.2">
      <c r="E88" s="140"/>
    </row>
    <row r="89" spans="5:5" x14ac:dyDescent="0.2">
      <c r="E89" s="140"/>
    </row>
    <row r="90" spans="5:5" x14ac:dyDescent="0.2">
      <c r="E90" s="140"/>
    </row>
    <row r="91" spans="5:5" x14ac:dyDescent="0.2">
      <c r="E91" s="140"/>
    </row>
    <row r="92" spans="5:5" x14ac:dyDescent="0.2">
      <c r="E92" s="140"/>
    </row>
    <row r="93" spans="5:5" x14ac:dyDescent="0.2">
      <c r="E93" s="140"/>
    </row>
    <row r="94" spans="5:5" x14ac:dyDescent="0.2">
      <c r="E94" s="140"/>
    </row>
    <row r="95" spans="5:5" x14ac:dyDescent="0.2">
      <c r="E95" s="140"/>
    </row>
    <row r="96" spans="5:5" x14ac:dyDescent="0.2">
      <c r="E96" s="140"/>
    </row>
    <row r="97" spans="5:5" x14ac:dyDescent="0.2">
      <c r="E97" s="140"/>
    </row>
    <row r="98" spans="5:5" x14ac:dyDescent="0.2">
      <c r="E98" s="140"/>
    </row>
    <row r="99" spans="5:5" x14ac:dyDescent="0.2">
      <c r="E99" s="140"/>
    </row>
    <row r="100" spans="5:5" x14ac:dyDescent="0.2">
      <c r="E100" s="140"/>
    </row>
    <row r="101" spans="5:5" x14ac:dyDescent="0.2">
      <c r="E101" s="140"/>
    </row>
    <row r="102" spans="5:5" x14ac:dyDescent="0.2">
      <c r="E102" s="140"/>
    </row>
    <row r="103" spans="5:5" x14ac:dyDescent="0.2">
      <c r="E103" s="140"/>
    </row>
    <row r="104" spans="5:5" x14ac:dyDescent="0.2">
      <c r="E104" s="140"/>
    </row>
    <row r="105" spans="5:5" x14ac:dyDescent="0.2">
      <c r="E105" s="140"/>
    </row>
    <row r="106" spans="5:5" x14ac:dyDescent="0.2">
      <c r="E106" s="140"/>
    </row>
    <row r="107" spans="5:5" x14ac:dyDescent="0.2">
      <c r="E107" s="140"/>
    </row>
    <row r="108" spans="5:5" x14ac:dyDescent="0.2">
      <c r="E108" s="140"/>
    </row>
    <row r="109" spans="5:5" x14ac:dyDescent="0.2">
      <c r="E109" s="140"/>
    </row>
    <row r="110" spans="5:5" x14ac:dyDescent="0.2">
      <c r="E110" s="140"/>
    </row>
    <row r="111" spans="5:5" x14ac:dyDescent="0.2">
      <c r="E111" s="140"/>
    </row>
    <row r="112" spans="5:5" x14ac:dyDescent="0.2">
      <c r="E112" s="140"/>
    </row>
    <row r="113" spans="5:5" x14ac:dyDescent="0.2">
      <c r="E113" s="140"/>
    </row>
    <row r="114" spans="5:5" x14ac:dyDescent="0.2">
      <c r="E114" s="140"/>
    </row>
    <row r="115" spans="5:5" x14ac:dyDescent="0.2">
      <c r="E115" s="140"/>
    </row>
    <row r="116" spans="5:5" x14ac:dyDescent="0.2">
      <c r="E116" s="140"/>
    </row>
    <row r="117" spans="5:5" x14ac:dyDescent="0.2">
      <c r="E117" s="140"/>
    </row>
    <row r="118" spans="5:5" x14ac:dyDescent="0.2">
      <c r="E118" s="140"/>
    </row>
    <row r="119" spans="5:5" x14ac:dyDescent="0.2">
      <c r="E119" s="140"/>
    </row>
    <row r="120" spans="5:5" x14ac:dyDescent="0.2">
      <c r="E120" s="140"/>
    </row>
    <row r="121" spans="5:5" x14ac:dyDescent="0.2">
      <c r="E121" s="140"/>
    </row>
    <row r="122" spans="5:5" x14ac:dyDescent="0.2">
      <c r="E122" s="140"/>
    </row>
    <row r="123" spans="5:5" x14ac:dyDescent="0.2">
      <c r="E123" s="140"/>
    </row>
    <row r="124" spans="5:5" x14ac:dyDescent="0.2">
      <c r="E124" s="140"/>
    </row>
    <row r="125" spans="5:5" x14ac:dyDescent="0.2">
      <c r="E125" s="140"/>
    </row>
    <row r="126" spans="5:5" x14ac:dyDescent="0.2">
      <c r="E126" s="140"/>
    </row>
    <row r="127" spans="5:5" x14ac:dyDescent="0.2">
      <c r="E127" s="140"/>
    </row>
    <row r="128" spans="5:5" x14ac:dyDescent="0.2">
      <c r="E128" s="140"/>
    </row>
    <row r="129" spans="5:5" x14ac:dyDescent="0.2">
      <c r="E129" s="140"/>
    </row>
    <row r="130" spans="5:5" x14ac:dyDescent="0.2">
      <c r="E130" s="140"/>
    </row>
    <row r="131" spans="5:5" x14ac:dyDescent="0.2">
      <c r="E131" s="140"/>
    </row>
    <row r="132" spans="5:5" x14ac:dyDescent="0.2">
      <c r="E132" s="140"/>
    </row>
    <row r="133" spans="5:5" x14ac:dyDescent="0.2">
      <c r="E133" s="140"/>
    </row>
    <row r="134" spans="5:5" x14ac:dyDescent="0.2">
      <c r="E134" s="140"/>
    </row>
    <row r="135" spans="5:5" x14ac:dyDescent="0.2">
      <c r="E135" s="140"/>
    </row>
    <row r="136" spans="5:5" x14ac:dyDescent="0.2">
      <c r="E136" s="140"/>
    </row>
    <row r="137" spans="5:5" x14ac:dyDescent="0.2">
      <c r="E137" s="140"/>
    </row>
    <row r="138" spans="5:5" x14ac:dyDescent="0.2">
      <c r="E138" s="140"/>
    </row>
    <row r="139" spans="5:5" x14ac:dyDescent="0.2">
      <c r="E139" s="140"/>
    </row>
    <row r="140" spans="5:5" x14ac:dyDescent="0.2">
      <c r="E140" s="140"/>
    </row>
    <row r="141" spans="5:5" x14ac:dyDescent="0.2">
      <c r="E141" s="140"/>
    </row>
    <row r="142" spans="5:5" x14ac:dyDescent="0.2">
      <c r="E142" s="140"/>
    </row>
    <row r="143" spans="5:5" x14ac:dyDescent="0.2">
      <c r="E143" s="140"/>
    </row>
    <row r="144" spans="5:5" x14ac:dyDescent="0.2">
      <c r="E144" s="140"/>
    </row>
    <row r="145" spans="5:5" x14ac:dyDescent="0.2">
      <c r="E145" s="140"/>
    </row>
    <row r="146" spans="5:5" x14ac:dyDescent="0.2">
      <c r="E146" s="140"/>
    </row>
    <row r="147" spans="5:5" x14ac:dyDescent="0.2">
      <c r="E147" s="140"/>
    </row>
    <row r="148" spans="5:5" x14ac:dyDescent="0.2">
      <c r="E148" s="140"/>
    </row>
    <row r="149" spans="5:5" x14ac:dyDescent="0.2">
      <c r="E149" s="140"/>
    </row>
    <row r="150" spans="5:5" x14ac:dyDescent="0.2">
      <c r="E150" s="140"/>
    </row>
    <row r="151" spans="5:5" x14ac:dyDescent="0.2">
      <c r="E151" s="140"/>
    </row>
    <row r="152" spans="5:5" x14ac:dyDescent="0.2">
      <c r="E152" s="140"/>
    </row>
    <row r="153" spans="5:5" x14ac:dyDescent="0.2">
      <c r="E153" s="140"/>
    </row>
    <row r="154" spans="5:5" x14ac:dyDescent="0.2">
      <c r="E154" s="140"/>
    </row>
    <row r="155" spans="5:5" x14ac:dyDescent="0.2">
      <c r="E155" s="140"/>
    </row>
    <row r="156" spans="5:5" x14ac:dyDescent="0.2">
      <c r="E156" s="140"/>
    </row>
    <row r="157" spans="5:5" x14ac:dyDescent="0.2">
      <c r="E157" s="140"/>
    </row>
    <row r="158" spans="5:5" x14ac:dyDescent="0.2">
      <c r="E158" s="1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Setting"/>
  <dimension ref="A1:Q68"/>
  <sheetViews>
    <sheetView workbookViewId="0">
      <selection activeCell="P43" sqref="P43"/>
    </sheetView>
  </sheetViews>
  <sheetFormatPr baseColWidth="10" defaultColWidth="10.6640625" defaultRowHeight="14" x14ac:dyDescent="0.2"/>
  <cols>
    <col min="1" max="1" width="31.83203125" style="25" bestFit="1" customWidth="1"/>
    <col min="2" max="2" width="26.5" style="25" bestFit="1" customWidth="1"/>
    <col min="3" max="6" width="10.6640625" style="25" customWidth="1"/>
    <col min="7" max="16384" width="10.6640625" style="25"/>
  </cols>
  <sheetData>
    <row r="1" spans="1:11" s="1" customFormat="1" x14ac:dyDescent="0.2">
      <c r="A1" s="18">
        <v>15</v>
      </c>
      <c r="B1" s="19" t="s">
        <v>35</v>
      </c>
      <c r="C1" s="22">
        <f>COUNTA(2:2)-3</f>
        <v>8</v>
      </c>
      <c r="D1" s="4" t="s">
        <v>93</v>
      </c>
    </row>
    <row r="2" spans="1:11" s="24" customFormat="1" x14ac:dyDescent="0.2">
      <c r="A2" s="3" t="s">
        <v>23</v>
      </c>
      <c r="B2" s="3" t="s">
        <v>0</v>
      </c>
      <c r="C2" s="20" t="s">
        <v>34</v>
      </c>
      <c r="D2" s="23" t="s">
        <v>36</v>
      </c>
      <c r="E2" s="23" t="s">
        <v>215</v>
      </c>
      <c r="F2" s="23" t="s">
        <v>216</v>
      </c>
      <c r="G2" s="23" t="s">
        <v>219</v>
      </c>
      <c r="H2" s="23" t="s">
        <v>32</v>
      </c>
      <c r="I2" s="24" t="s">
        <v>7406</v>
      </c>
      <c r="J2" s="24" t="s">
        <v>7473</v>
      </c>
      <c r="K2" s="24" t="s">
        <v>1</v>
      </c>
    </row>
    <row r="3" spans="1:11" s="1" customFormat="1" x14ac:dyDescent="0.2">
      <c r="A3" s="3" t="s">
        <v>30</v>
      </c>
      <c r="B3" s="3" t="s">
        <v>9</v>
      </c>
      <c r="C3" s="31" t="s">
        <v>0</v>
      </c>
      <c r="D3" s="1" t="s">
        <v>23</v>
      </c>
      <c r="E3" s="1" t="s">
        <v>23</v>
      </c>
      <c r="F3" s="1" t="s">
        <v>19</v>
      </c>
      <c r="G3" s="1" t="s">
        <v>217</v>
      </c>
      <c r="H3" s="1" t="s">
        <v>21</v>
      </c>
      <c r="I3" s="1" t="s">
        <v>22</v>
      </c>
      <c r="J3" s="1" t="s">
        <v>22</v>
      </c>
      <c r="K3" s="1" t="s">
        <v>23</v>
      </c>
    </row>
    <row r="4" spans="1:11" s="1" customFormat="1" x14ac:dyDescent="0.2">
      <c r="A4" s="3" t="s">
        <v>16</v>
      </c>
      <c r="B4" s="3" t="s">
        <v>1</v>
      </c>
      <c r="C4" s="31" t="s">
        <v>31</v>
      </c>
      <c r="D4" s="1" t="s">
        <v>19</v>
      </c>
      <c r="E4" s="1" t="s">
        <v>22</v>
      </c>
      <c r="F4" s="1" t="s">
        <v>22</v>
      </c>
      <c r="G4" s="1" t="s">
        <v>218</v>
      </c>
      <c r="H4" s="1" t="s">
        <v>23</v>
      </c>
      <c r="J4" s="1" t="s">
        <v>7471</v>
      </c>
      <c r="K4" s="1" t="s">
        <v>16</v>
      </c>
    </row>
    <row r="5" spans="1:11" s="1" customFormat="1" x14ac:dyDescent="0.2">
      <c r="A5" s="3" t="s">
        <v>24</v>
      </c>
      <c r="B5" s="3" t="s">
        <v>2</v>
      </c>
      <c r="C5" s="31"/>
      <c r="E5" s="1" t="s">
        <v>19</v>
      </c>
      <c r="F5" s="1" t="s">
        <v>23</v>
      </c>
    </row>
    <row r="6" spans="1:11" s="1" customFormat="1" x14ac:dyDescent="0.2">
      <c r="A6" s="3" t="s">
        <v>17</v>
      </c>
      <c r="B6" s="3" t="s">
        <v>3</v>
      </c>
      <c r="C6" s="31"/>
    </row>
    <row r="7" spans="1:11" s="1" customFormat="1" x14ac:dyDescent="0.2">
      <c r="A7" s="3" t="s">
        <v>21</v>
      </c>
      <c r="B7" s="3" t="s">
        <v>32</v>
      </c>
      <c r="C7" s="31"/>
    </row>
    <row r="8" spans="1:11" s="1" customFormat="1" x14ac:dyDescent="0.2">
      <c r="A8" s="3" t="s">
        <v>22</v>
      </c>
      <c r="B8" s="3" t="s">
        <v>4</v>
      </c>
      <c r="C8" s="31"/>
    </row>
    <row r="9" spans="1:11" s="1" customFormat="1" x14ac:dyDescent="0.2">
      <c r="A9" s="3" t="s">
        <v>20</v>
      </c>
      <c r="B9" s="3" t="s">
        <v>5</v>
      </c>
      <c r="C9" s="31"/>
    </row>
    <row r="10" spans="1:11" s="1" customFormat="1" x14ac:dyDescent="0.2">
      <c r="A10" s="3" t="s">
        <v>26</v>
      </c>
      <c r="B10" s="3" t="s">
        <v>37</v>
      </c>
      <c r="C10" s="31"/>
    </row>
    <row r="11" spans="1:11" s="1" customFormat="1" x14ac:dyDescent="0.2">
      <c r="A11" s="3" t="s">
        <v>25</v>
      </c>
      <c r="B11" s="3" t="s">
        <v>38</v>
      </c>
      <c r="C11" s="31"/>
    </row>
    <row r="12" spans="1:11" s="1" customFormat="1" x14ac:dyDescent="0.2">
      <c r="A12" s="3" t="s">
        <v>18</v>
      </c>
      <c r="B12" s="3" t="s">
        <v>6</v>
      </c>
      <c r="C12" s="31"/>
    </row>
    <row r="13" spans="1:11" s="1" customFormat="1" x14ac:dyDescent="0.2">
      <c r="A13" s="3" t="s">
        <v>29</v>
      </c>
      <c r="B13" s="3" t="s">
        <v>7</v>
      </c>
      <c r="C13" s="31"/>
    </row>
    <row r="14" spans="1:11" s="1" customFormat="1" x14ac:dyDescent="0.2">
      <c r="A14" s="3" t="s">
        <v>27</v>
      </c>
      <c r="B14" s="3" t="s">
        <v>39</v>
      </c>
      <c r="C14" s="31"/>
    </row>
    <row r="15" spans="1:11" s="1" customFormat="1" x14ac:dyDescent="0.2">
      <c r="A15" s="3" t="s">
        <v>28</v>
      </c>
      <c r="B15" s="3" t="s">
        <v>8</v>
      </c>
      <c r="C15" s="31"/>
    </row>
    <row r="16" spans="1:11" s="38" customFormat="1" x14ac:dyDescent="0.2">
      <c r="A16" s="37" t="s">
        <v>19</v>
      </c>
      <c r="B16" s="37" t="s">
        <v>31</v>
      </c>
      <c r="C16" s="32"/>
    </row>
    <row r="17" spans="1:3" s="1" customFormat="1" x14ac:dyDescent="0.2">
      <c r="A17" s="2" t="s">
        <v>7407</v>
      </c>
      <c r="B17" s="2" t="s">
        <v>7408</v>
      </c>
      <c r="C17" s="31">
        <f t="shared" ref="C17:C41" si="0">COUNTIF($D$3:$XFD$16,$A17)+COUNTIF($B$62:$XFD$64,1)</f>
        <v>0</v>
      </c>
    </row>
    <row r="18" spans="1:3" s="1" customFormat="1" x14ac:dyDescent="0.2">
      <c r="A18" s="2" t="s">
        <v>7432</v>
      </c>
      <c r="B18" s="2" t="s">
        <v>7433</v>
      </c>
      <c r="C18" s="31">
        <f t="shared" si="0"/>
        <v>0</v>
      </c>
    </row>
    <row r="19" spans="1:3" s="1" customFormat="1" x14ac:dyDescent="0.2">
      <c r="A19" s="2" t="s">
        <v>7455</v>
      </c>
      <c r="B19" s="2" t="s">
        <v>7456</v>
      </c>
      <c r="C19" s="31">
        <f t="shared" si="0"/>
        <v>0</v>
      </c>
    </row>
    <row r="20" spans="1:3" s="1" customFormat="1" x14ac:dyDescent="0.2">
      <c r="A20" s="2" t="s">
        <v>217</v>
      </c>
      <c r="B20" s="2" t="s">
        <v>7467</v>
      </c>
      <c r="C20" s="31">
        <f t="shared" si="0"/>
        <v>1</v>
      </c>
    </row>
    <row r="21" spans="1:3" s="1" customFormat="1" x14ac:dyDescent="0.2">
      <c r="A21" s="2" t="s">
        <v>7468</v>
      </c>
      <c r="B21" s="2" t="s">
        <v>7469</v>
      </c>
      <c r="C21" s="31">
        <f t="shared" si="0"/>
        <v>0</v>
      </c>
    </row>
    <row r="22" spans="1:3" s="1" customFormat="1" x14ac:dyDescent="0.2">
      <c r="A22" s="2" t="s">
        <v>218</v>
      </c>
      <c r="B22" s="2" t="s">
        <v>7470</v>
      </c>
      <c r="C22" s="31">
        <f t="shared" si="0"/>
        <v>1</v>
      </c>
    </row>
    <row r="23" spans="1:3" s="1" customFormat="1" x14ac:dyDescent="0.2">
      <c r="A23" s="2" t="s">
        <v>7471</v>
      </c>
      <c r="B23" s="2" t="s">
        <v>7472</v>
      </c>
      <c r="C23" s="31">
        <f t="shared" si="0"/>
        <v>1</v>
      </c>
    </row>
    <row r="24" spans="1:3" s="1" customFormat="1" x14ac:dyDescent="0.2">
      <c r="A24" s="2"/>
      <c r="B24" s="2"/>
      <c r="C24" s="31">
        <f t="shared" si="0"/>
        <v>0</v>
      </c>
    </row>
    <row r="25" spans="1:3" s="1" customFormat="1" x14ac:dyDescent="0.2">
      <c r="A25" s="2"/>
      <c r="B25" s="2"/>
      <c r="C25" s="31">
        <f t="shared" si="0"/>
        <v>0</v>
      </c>
    </row>
    <row r="26" spans="1:3" s="1" customFormat="1" x14ac:dyDescent="0.2">
      <c r="A26" s="2"/>
      <c r="B26" s="2"/>
      <c r="C26" s="31">
        <f t="shared" si="0"/>
        <v>0</v>
      </c>
    </row>
    <row r="27" spans="1:3" s="1" customFormat="1" x14ac:dyDescent="0.2">
      <c r="A27" s="2"/>
      <c r="B27" s="2"/>
      <c r="C27" s="31">
        <f t="shared" si="0"/>
        <v>0</v>
      </c>
    </row>
    <row r="28" spans="1:3" s="1" customFormat="1" x14ac:dyDescent="0.2">
      <c r="A28" s="2"/>
      <c r="B28" s="2"/>
      <c r="C28" s="31">
        <f t="shared" si="0"/>
        <v>0</v>
      </c>
    </row>
    <row r="29" spans="1:3" s="1" customFormat="1" x14ac:dyDescent="0.2">
      <c r="A29" s="2"/>
      <c r="B29" s="2"/>
      <c r="C29" s="31">
        <f t="shared" si="0"/>
        <v>0</v>
      </c>
    </row>
    <row r="30" spans="1:3" s="1" customFormat="1" x14ac:dyDescent="0.2">
      <c r="A30" s="2"/>
      <c r="B30" s="2"/>
      <c r="C30" s="31">
        <f t="shared" si="0"/>
        <v>0</v>
      </c>
    </row>
    <row r="31" spans="1:3" s="1" customFormat="1" x14ac:dyDescent="0.2">
      <c r="A31" s="2"/>
      <c r="B31" s="2"/>
      <c r="C31" s="31">
        <f t="shared" si="0"/>
        <v>0</v>
      </c>
    </row>
    <row r="32" spans="1:3" s="1" customFormat="1" x14ac:dyDescent="0.2">
      <c r="A32" s="2"/>
      <c r="B32" s="2"/>
      <c r="C32" s="31">
        <f t="shared" si="0"/>
        <v>0</v>
      </c>
    </row>
    <row r="33" spans="1:17" s="1" customFormat="1" x14ac:dyDescent="0.2">
      <c r="A33" s="2"/>
      <c r="B33" s="2"/>
      <c r="C33" s="31">
        <f t="shared" si="0"/>
        <v>0</v>
      </c>
    </row>
    <row r="34" spans="1:17" s="1" customFormat="1" x14ac:dyDescent="0.2">
      <c r="A34" s="2"/>
      <c r="B34" s="2"/>
      <c r="C34" s="31">
        <f t="shared" si="0"/>
        <v>0</v>
      </c>
    </row>
    <row r="35" spans="1:17" s="1" customFormat="1" x14ac:dyDescent="0.2">
      <c r="A35" s="2"/>
      <c r="B35" s="2"/>
      <c r="C35" s="31">
        <f t="shared" si="0"/>
        <v>0</v>
      </c>
    </row>
    <row r="36" spans="1:17" s="1" customFormat="1" x14ac:dyDescent="0.2">
      <c r="A36" s="2"/>
      <c r="B36" s="2"/>
      <c r="C36" s="31">
        <f t="shared" si="0"/>
        <v>0</v>
      </c>
    </row>
    <row r="37" spans="1:17" s="1" customFormat="1" x14ac:dyDescent="0.2">
      <c r="A37" s="2"/>
      <c r="B37" s="2"/>
      <c r="C37" s="31">
        <f t="shared" si="0"/>
        <v>0</v>
      </c>
    </row>
    <row r="38" spans="1:17" s="1" customFormat="1" x14ac:dyDescent="0.2">
      <c r="A38" s="2"/>
      <c r="B38" s="2"/>
      <c r="C38" s="31">
        <f t="shared" si="0"/>
        <v>0</v>
      </c>
    </row>
    <row r="39" spans="1:17" s="1" customFormat="1" x14ac:dyDescent="0.2">
      <c r="A39" s="2"/>
      <c r="B39" s="2"/>
      <c r="C39" s="31">
        <f t="shared" si="0"/>
        <v>0</v>
      </c>
    </row>
    <row r="40" spans="1:17" s="1" customFormat="1" x14ac:dyDescent="0.2">
      <c r="A40" s="2"/>
      <c r="B40" s="2"/>
      <c r="C40" s="31">
        <f t="shared" si="0"/>
        <v>0</v>
      </c>
    </row>
    <row r="41" spans="1:17" s="1" customFormat="1" x14ac:dyDescent="0.2">
      <c r="A41" s="2"/>
      <c r="B41" s="21"/>
      <c r="C41" s="31">
        <f t="shared" si="0"/>
        <v>0</v>
      </c>
    </row>
    <row r="42" spans="1:17" s="17" customFormat="1" x14ac:dyDescent="0.2">
      <c r="B42" s="1"/>
    </row>
    <row r="43" spans="1:17" s="1" customFormat="1" x14ac:dyDescent="0.2">
      <c r="A43" s="26" t="s">
        <v>11</v>
      </c>
      <c r="B43" s="27">
        <v>42737</v>
      </c>
      <c r="C43" s="26" t="s">
        <v>14</v>
      </c>
      <c r="D43" s="28" t="s">
        <v>15</v>
      </c>
      <c r="F43" s="26" t="s">
        <v>123</v>
      </c>
      <c r="G43" s="28"/>
      <c r="I43" s="26" t="s">
        <v>127</v>
      </c>
      <c r="J43" s="29">
        <v>1</v>
      </c>
      <c r="L43" s="26" t="s">
        <v>214</v>
      </c>
      <c r="M43" s="29">
        <v>1</v>
      </c>
      <c r="O43" s="26" t="s">
        <v>220</v>
      </c>
      <c r="P43" s="29">
        <v>3000</v>
      </c>
    </row>
    <row r="44" spans="1:17" s="1" customFormat="1" x14ac:dyDescent="0.2">
      <c r="A44" s="26" t="s">
        <v>12</v>
      </c>
      <c r="B44" s="27">
        <v>45318</v>
      </c>
      <c r="C44" s="26" t="s">
        <v>33</v>
      </c>
      <c r="D44" s="29" t="s">
        <v>36</v>
      </c>
      <c r="F44" s="26" t="s">
        <v>124</v>
      </c>
      <c r="G44" s="28" t="s">
        <v>126</v>
      </c>
      <c r="I44" s="26" t="s">
        <v>142</v>
      </c>
      <c r="J44" s="29" t="s">
        <v>126</v>
      </c>
      <c r="L44" s="26" t="s">
        <v>213</v>
      </c>
      <c r="M44" s="29">
        <v>80</v>
      </c>
      <c r="O44" s="26" t="s">
        <v>7396</v>
      </c>
      <c r="P44" s="29" t="s">
        <v>7397</v>
      </c>
    </row>
    <row r="45" spans="1:17" s="1" customFormat="1" x14ac:dyDescent="0.2">
      <c r="A45" s="26" t="s">
        <v>13</v>
      </c>
      <c r="B45" s="29" t="s">
        <v>7404</v>
      </c>
      <c r="C45" s="26" t="s">
        <v>40</v>
      </c>
      <c r="D45" s="29" t="s">
        <v>41</v>
      </c>
      <c r="F45" s="26" t="s">
        <v>125</v>
      </c>
      <c r="G45" s="28" t="str">
        <f>ShowUpTo</f>
        <v>Strategy</v>
      </c>
      <c r="L45" s="26" t="s">
        <v>7503</v>
      </c>
      <c r="M45" s="29" t="s">
        <v>7504</v>
      </c>
      <c r="O45" s="26" t="s">
        <v>7399</v>
      </c>
      <c r="P45" s="29" t="s">
        <v>126</v>
      </c>
    </row>
    <row r="46" spans="1:17" x14ac:dyDescent="0.2">
      <c r="A46" s="39" t="e">
        <f ca="1">_xll.BTODAY(TRUE)</f>
        <v>#NAME?</v>
      </c>
      <c r="B46" s="39" t="e">
        <f ca="1">_xll.BADDPERIODS($A$46,"numberofperiods=-1")</f>
        <v>#NAME?</v>
      </c>
      <c r="C46" s="25" t="e">
        <f ca="1">5-$C$47</f>
        <v>#VALUE!</v>
      </c>
      <c r="L46" s="25" t="e">
        <f ca="1">YEAR($A$46)</f>
        <v>#NAME?</v>
      </c>
      <c r="M46" s="25" t="e">
        <f ca="1">MONTH($A$46)</f>
        <v>#NAME?</v>
      </c>
    </row>
    <row r="47" spans="1:17" x14ac:dyDescent="0.2">
      <c r="A47" s="25" t="e">
        <f ca="1">MONTH($A$46)</f>
        <v>#NAME?</v>
      </c>
      <c r="B47" s="33" t="s">
        <v>109</v>
      </c>
      <c r="C47" s="25" t="e">
        <f ca="1">WEEKDAY(DtAdd($A$46,-1,"ww"),2)</f>
        <v>#VALUE!</v>
      </c>
      <c r="D47" s="33" t="s">
        <v>42</v>
      </c>
      <c r="F47" s="33" t="s">
        <v>110</v>
      </c>
      <c r="H47" s="33" t="s">
        <v>111</v>
      </c>
      <c r="I47" s="33"/>
      <c r="L47" s="33" t="s">
        <v>7404</v>
      </c>
    </row>
    <row r="48" spans="1:17" s="1" customFormat="1" x14ac:dyDescent="0.2">
      <c r="A48" s="30" t="s">
        <v>87</v>
      </c>
      <c r="B48" s="30" t="s">
        <v>11</v>
      </c>
      <c r="C48" s="30" t="s">
        <v>12</v>
      </c>
      <c r="D48" s="30" t="s">
        <v>11</v>
      </c>
      <c r="E48" s="30" t="s">
        <v>12</v>
      </c>
      <c r="F48" s="30" t="s">
        <v>11</v>
      </c>
      <c r="G48" s="30" t="s">
        <v>12</v>
      </c>
      <c r="H48" s="30" t="s">
        <v>11</v>
      </c>
      <c r="I48" s="30" t="s">
        <v>12</v>
      </c>
      <c r="L48" s="30" t="s">
        <v>11</v>
      </c>
      <c r="M48" s="30" t="s">
        <v>12</v>
      </c>
      <c r="P48" s="1">
        <v>1</v>
      </c>
      <c r="Q48" s="1">
        <v>1</v>
      </c>
    </row>
    <row r="49" spans="1:17" s="1" customFormat="1" x14ac:dyDescent="0.2">
      <c r="A49" s="43" t="s">
        <v>94</v>
      </c>
      <c r="B49" s="14" t="e">
        <f ca="1">DtAdd(DATE(YEAR($C49),1,1),5-WEEKDAY(DATE(YEAR($C49),1,1),2),"w")</f>
        <v>#VALUE!</v>
      </c>
      <c r="C49" s="14" t="e">
        <f ca="1">DtAdd(DtAdd($A$46,-1,"ww"),$C$46,"w")</f>
        <v>#VALUE!</v>
      </c>
      <c r="D49" s="41" t="e">
        <f ca="1">EOMONTH(DATE(YEAR($E49),1,1),0)</f>
        <v>#NAME?</v>
      </c>
      <c r="E49" s="41" t="e">
        <f ca="1">EOMONTH(DATE(YEAR($A$46),MONTH($A$46)-1,1),0)</f>
        <v>#NAME?</v>
      </c>
      <c r="F49" s="14" t="e">
        <f ca="1">EOMONTH(DATE(YEAR($G49),3,1),0)</f>
        <v>#NAME?</v>
      </c>
      <c r="G49" s="14" t="e">
        <f ca="1">EOMONTH(DATE(IF($A$47&lt;=3,YEAR($A$46)-1,YEAR($A$46)),IF($A$47&lt;=3,12,IF($A$47&lt;=6,3,IF($A$47&lt;=9,6,9))),1),0)</f>
        <v>#NAME?</v>
      </c>
      <c r="H49" s="44">
        <v>0</v>
      </c>
      <c r="I49" s="44">
        <v>0</v>
      </c>
      <c r="L49" s="41" t="e">
        <f ca="1">_xll.BADDPERIODS($N$49)</f>
        <v>#NAME?</v>
      </c>
      <c r="M49" s="41" t="e">
        <f ca="1">$B$46</f>
        <v>#NAME?</v>
      </c>
      <c r="N49" s="135" t="e">
        <f ca="1">DATE($L$46,1,1)</f>
        <v>#NAME?</v>
      </c>
      <c r="P49" s="1">
        <v>2</v>
      </c>
      <c r="Q49" s="1">
        <v>1</v>
      </c>
    </row>
    <row r="50" spans="1:17" s="1" customFormat="1" x14ac:dyDescent="0.2">
      <c r="A50" s="43" t="s">
        <v>95</v>
      </c>
      <c r="B50" s="14" t="e">
        <f ca="1">DtAdd($J$50,5-WEEKDAY($J$50,2),"w")</f>
        <v>#VALUE!</v>
      </c>
      <c r="C50" s="14" t="e">
        <f ca="1">$C$49</f>
        <v>#VALUE!</v>
      </c>
      <c r="D50" s="41" t="e">
        <f ca="1">EOMONTH(DATE(YEAR($E50),IF($A$47&lt;=3,1,IF($A$47&lt;=6,4,IF($A$47&lt;=9,7,10))),1),0)</f>
        <v>#NAME?</v>
      </c>
      <c r="E50" s="41" t="e">
        <f ca="1">$E$49</f>
        <v>#NAME?</v>
      </c>
      <c r="F50" s="44">
        <v>0</v>
      </c>
      <c r="G50" s="44">
        <v>0</v>
      </c>
      <c r="H50" s="44">
        <v>0</v>
      </c>
      <c r="I50" s="44">
        <v>0</v>
      </c>
      <c r="J50" s="39" t="e">
        <f ca="1">DATE(YEAR($E50),IF($A$47&lt;=3,1,IF($A$47&lt;=6,4,IF($A$47&lt;=9,7,10))),1)</f>
        <v>#NAME?</v>
      </c>
      <c r="L50" s="41" t="e">
        <f ca="1">_xll.BADDPERIODS($N$50)</f>
        <v>#NAME?</v>
      </c>
      <c r="M50" s="41" t="e">
        <f ca="1">$M$49</f>
        <v>#NAME?</v>
      </c>
      <c r="N50" s="135" t="e">
        <f ca="1">DATE($L$46,VLOOKUP($M$46,$P$48:$Q$59,2,FALSE),1)</f>
        <v>#NAME?</v>
      </c>
      <c r="P50" s="1">
        <v>3</v>
      </c>
      <c r="Q50" s="1">
        <v>1</v>
      </c>
    </row>
    <row r="51" spans="1:17" s="1" customFormat="1" x14ac:dyDescent="0.2">
      <c r="A51" s="43" t="s">
        <v>101</v>
      </c>
      <c r="B51" s="40" t="e">
        <f ca="1">DtAdd($K51,WEEKDAY($K51,2),"w")</f>
        <v>#VALUE!</v>
      </c>
      <c r="C51" s="14" t="e">
        <f t="shared" ref="C51:C58" ca="1" si="1">$C$49</f>
        <v>#VALUE!</v>
      </c>
      <c r="D51" s="42" t="e">
        <f ca="1">DtAdd($E51,-2,"m")</f>
        <v>#VALUE!</v>
      </c>
      <c r="E51" s="41" t="e">
        <f t="shared" ref="E51:E58" ca="1" si="2">$E$49</f>
        <v>#NAME?</v>
      </c>
      <c r="F51" s="44">
        <v>0</v>
      </c>
      <c r="G51" s="44">
        <v>0</v>
      </c>
      <c r="H51" s="44">
        <v>0</v>
      </c>
      <c r="I51" s="44">
        <v>0</v>
      </c>
      <c r="J51" s="39" t="e">
        <f ca="1">DtAdd($C51,-2,"m")</f>
        <v>#VALUE!</v>
      </c>
      <c r="K51" s="39" t="e">
        <f ca="1">DATE(YEAR($J51),MONTH($J51),1)</f>
        <v>#VALUE!</v>
      </c>
      <c r="L51" s="42" t="e">
        <f ca="1">_xll.BADDPERIODS($M51,"Numberofperiods=-"&amp;$N51,"per=m")</f>
        <v>#NAME?</v>
      </c>
      <c r="M51" s="41" t="e">
        <f ca="1">$M$49</f>
        <v>#NAME?</v>
      </c>
      <c r="N51" s="1">
        <v>3</v>
      </c>
      <c r="P51" s="1">
        <v>4</v>
      </c>
      <c r="Q51" s="1">
        <v>4</v>
      </c>
    </row>
    <row r="52" spans="1:17" s="1" customFormat="1" x14ac:dyDescent="0.2">
      <c r="A52" s="43" t="s">
        <v>102</v>
      </c>
      <c r="B52" s="40" t="e">
        <f t="shared" ref="B52:B58" ca="1" si="3">DtAdd($K52,WEEKDAY($K52,2),"w")</f>
        <v>#VALUE!</v>
      </c>
      <c r="C52" s="14" t="e">
        <f t="shared" ca="1" si="1"/>
        <v>#VALUE!</v>
      </c>
      <c r="D52" s="42" t="e">
        <f ca="1">DtAdd($E52,-5,"m")</f>
        <v>#VALUE!</v>
      </c>
      <c r="E52" s="41" t="e">
        <f t="shared" ca="1" si="2"/>
        <v>#NAME?</v>
      </c>
      <c r="F52" s="40" t="e">
        <f ca="1">DtAdd($G52,-1,"q")</f>
        <v>#VALUE!</v>
      </c>
      <c r="G52" s="14" t="e">
        <f t="shared" ref="G52:G58" ca="1" si="4">$G$49</f>
        <v>#NAME?</v>
      </c>
      <c r="H52" s="44">
        <v>0</v>
      </c>
      <c r="I52" s="44">
        <v>0</v>
      </c>
      <c r="J52" s="39" t="e">
        <f ca="1">DtAdd($C52,-5,"m")</f>
        <v>#VALUE!</v>
      </c>
      <c r="K52" s="39" t="e">
        <f t="shared" ref="K52:K58" ca="1" si="5">DATE(YEAR($J52),MONTH($J52),1)</f>
        <v>#VALUE!</v>
      </c>
      <c r="L52" s="42" t="e">
        <f ca="1">_xll.BADDPERIODS($M52,"Numberofperiods=-"&amp;$N52,"per=m")</f>
        <v>#NAME?</v>
      </c>
      <c r="M52" s="41" t="e">
        <f t="shared" ref="M52:M54" ca="1" si="6">$M$49</f>
        <v>#NAME?</v>
      </c>
      <c r="N52" s="1">
        <v>6</v>
      </c>
      <c r="P52" s="1">
        <v>5</v>
      </c>
      <c r="Q52" s="1">
        <v>4</v>
      </c>
    </row>
    <row r="53" spans="1:17" s="1" customFormat="1" x14ac:dyDescent="0.2">
      <c r="A53" s="43" t="s">
        <v>103</v>
      </c>
      <c r="B53" s="40" t="e">
        <f t="shared" ca="1" si="3"/>
        <v>#VALUE!</v>
      </c>
      <c r="C53" s="14" t="e">
        <f t="shared" ca="1" si="1"/>
        <v>#VALUE!</v>
      </c>
      <c r="D53" s="42" t="e">
        <f ca="1">DtAdd($E53,-8,"m")</f>
        <v>#VALUE!</v>
      </c>
      <c r="E53" s="41" t="e">
        <f t="shared" ca="1" si="2"/>
        <v>#NAME?</v>
      </c>
      <c r="F53" s="40" t="e">
        <f ca="1">DtAdd($G53,-2,"q")</f>
        <v>#VALUE!</v>
      </c>
      <c r="G53" s="14" t="e">
        <f t="shared" ca="1" si="4"/>
        <v>#NAME?</v>
      </c>
      <c r="H53" s="44">
        <v>0</v>
      </c>
      <c r="I53" s="44">
        <v>0</v>
      </c>
      <c r="J53" s="39" t="e">
        <f ca="1">DtAdd($C53,-8,"m")</f>
        <v>#VALUE!</v>
      </c>
      <c r="K53" s="39" t="e">
        <f t="shared" ca="1" si="5"/>
        <v>#VALUE!</v>
      </c>
      <c r="L53" s="42" t="e">
        <f ca="1">_xll.BADDPERIODS($M53,"Numberofperiods=-"&amp;$N53,"per=m")</f>
        <v>#NAME?</v>
      </c>
      <c r="M53" s="41" t="e">
        <f t="shared" ca="1" si="6"/>
        <v>#NAME?</v>
      </c>
      <c r="N53" s="1">
        <v>9</v>
      </c>
      <c r="P53" s="1">
        <v>6</v>
      </c>
      <c r="Q53" s="1">
        <v>4</v>
      </c>
    </row>
    <row r="54" spans="1:17" s="1" customFormat="1" x14ac:dyDescent="0.2">
      <c r="A54" s="43" t="s">
        <v>96</v>
      </c>
      <c r="B54" s="40" t="e">
        <f t="shared" ca="1" si="3"/>
        <v>#VALUE!</v>
      </c>
      <c r="C54" s="14" t="e">
        <f t="shared" ca="1" si="1"/>
        <v>#VALUE!</v>
      </c>
      <c r="D54" s="42" t="e">
        <f ca="1">DtAdd($E54,-11,"m")</f>
        <v>#VALUE!</v>
      </c>
      <c r="E54" s="41" t="e">
        <f t="shared" ca="1" si="2"/>
        <v>#NAME?</v>
      </c>
      <c r="F54" s="40" t="e">
        <f ca="1">DtAdd($G54,-3,"q")</f>
        <v>#VALUE!</v>
      </c>
      <c r="G54" s="14" t="e">
        <f t="shared" ca="1" si="4"/>
        <v>#NAME?</v>
      </c>
      <c r="H54" s="41" t="e">
        <f ca="1">$I54</f>
        <v>#NAME?</v>
      </c>
      <c r="I54" s="41" t="e">
        <f ca="1">DATE(YEAR($A$46)-1,12,31)</f>
        <v>#NAME?</v>
      </c>
      <c r="J54" s="39" t="e">
        <f ca="1">DtAdd($C54,-11,"m")</f>
        <v>#VALUE!</v>
      </c>
      <c r="K54" s="39" t="e">
        <f t="shared" ca="1" si="5"/>
        <v>#VALUE!</v>
      </c>
      <c r="L54" s="42" t="e">
        <f ca="1">_xll.BADDPERIODS($M54,"Numberofperiods=-"&amp;$N54,"per=m")</f>
        <v>#NAME?</v>
      </c>
      <c r="M54" s="41" t="e">
        <f t="shared" ca="1" si="6"/>
        <v>#NAME?</v>
      </c>
      <c r="N54" s="1">
        <v>12</v>
      </c>
      <c r="P54" s="1">
        <v>7</v>
      </c>
      <c r="Q54" s="1">
        <v>7</v>
      </c>
    </row>
    <row r="55" spans="1:17" s="1" customFormat="1" x14ac:dyDescent="0.2">
      <c r="A55" s="43" t="s">
        <v>97</v>
      </c>
      <c r="B55" s="40" t="e">
        <f t="shared" ca="1" si="3"/>
        <v>#VALUE!</v>
      </c>
      <c r="C55" s="14" t="e">
        <f t="shared" ca="1" si="1"/>
        <v>#VALUE!</v>
      </c>
      <c r="D55" s="42" t="e">
        <f ca="1">DtAdd($E55,-23,"m")</f>
        <v>#VALUE!</v>
      </c>
      <c r="E55" s="41" t="e">
        <f t="shared" ca="1" si="2"/>
        <v>#NAME?</v>
      </c>
      <c r="F55" s="40" t="e">
        <f ca="1">DtAdd($G55,-7,"q")</f>
        <v>#VALUE!</v>
      </c>
      <c r="G55" s="14" t="e">
        <f t="shared" ca="1" si="4"/>
        <v>#NAME?</v>
      </c>
      <c r="H55" s="42" t="e">
        <f ca="1">DtAdd($I55,-1,"yyyy")</f>
        <v>#VALUE!</v>
      </c>
      <c r="I55" s="41" t="e">
        <f t="shared" ref="I55:I58" ca="1" si="7">DATE(YEAR($A$46)-1,12,31)</f>
        <v>#NAME?</v>
      </c>
      <c r="J55" s="39" t="e">
        <f ca="1">DtAdd($C55,-23,"m")</f>
        <v>#VALUE!</v>
      </c>
      <c r="K55" s="39" t="e">
        <f t="shared" ca="1" si="5"/>
        <v>#VALUE!</v>
      </c>
      <c r="L55" s="136">
        <v>0</v>
      </c>
      <c r="M55" s="136">
        <v>0</v>
      </c>
      <c r="P55" s="1">
        <v>8</v>
      </c>
      <c r="Q55" s="1">
        <v>7</v>
      </c>
    </row>
    <row r="56" spans="1:17" s="1" customFormat="1" x14ac:dyDescent="0.2">
      <c r="A56" s="43" t="s">
        <v>98</v>
      </c>
      <c r="B56" s="40" t="e">
        <f t="shared" ca="1" si="3"/>
        <v>#VALUE!</v>
      </c>
      <c r="C56" s="14" t="e">
        <f t="shared" ca="1" si="1"/>
        <v>#VALUE!</v>
      </c>
      <c r="D56" s="42" t="e">
        <f ca="1">DtAdd($E56,-35,"m")</f>
        <v>#VALUE!</v>
      </c>
      <c r="E56" s="41" t="e">
        <f t="shared" ca="1" si="2"/>
        <v>#NAME?</v>
      </c>
      <c r="F56" s="40" t="e">
        <f ca="1">DtAdd($G56,-11,"q")</f>
        <v>#VALUE!</v>
      </c>
      <c r="G56" s="14" t="e">
        <f t="shared" ca="1" si="4"/>
        <v>#NAME?</v>
      </c>
      <c r="H56" s="42" t="e">
        <f ca="1">DtAdd($I56,-2,"yyyy")</f>
        <v>#VALUE!</v>
      </c>
      <c r="I56" s="41" t="e">
        <f t="shared" ca="1" si="7"/>
        <v>#NAME?</v>
      </c>
      <c r="J56" s="39" t="e">
        <f ca="1">DtAdd($C56,-35,"m")</f>
        <v>#VALUE!</v>
      </c>
      <c r="K56" s="39" t="e">
        <f t="shared" ca="1" si="5"/>
        <v>#VALUE!</v>
      </c>
      <c r="L56" s="136">
        <v>0</v>
      </c>
      <c r="M56" s="136">
        <v>0</v>
      </c>
      <c r="P56" s="1">
        <v>9</v>
      </c>
      <c r="Q56" s="1">
        <v>7</v>
      </c>
    </row>
    <row r="57" spans="1:17" x14ac:dyDescent="0.2">
      <c r="A57" s="43" t="s">
        <v>99</v>
      </c>
      <c r="B57" s="40" t="e">
        <f t="shared" ca="1" si="3"/>
        <v>#VALUE!</v>
      </c>
      <c r="C57" s="14" t="e">
        <f t="shared" ca="1" si="1"/>
        <v>#VALUE!</v>
      </c>
      <c r="D57" s="42" t="e">
        <f ca="1">DtAdd($E57,-47,"m")</f>
        <v>#VALUE!</v>
      </c>
      <c r="E57" s="41" t="e">
        <f t="shared" ca="1" si="2"/>
        <v>#NAME?</v>
      </c>
      <c r="F57" s="40" t="e">
        <f ca="1">DtAdd($G57,-15,"q")</f>
        <v>#VALUE!</v>
      </c>
      <c r="G57" s="14" t="e">
        <f t="shared" ca="1" si="4"/>
        <v>#NAME?</v>
      </c>
      <c r="H57" s="42" t="e">
        <f ca="1">DtAdd($I57,-3,"yyyy")</f>
        <v>#VALUE!</v>
      </c>
      <c r="I57" s="41" t="e">
        <f t="shared" ca="1" si="7"/>
        <v>#NAME?</v>
      </c>
      <c r="J57" s="39" t="e">
        <f ca="1">DtAdd($C57,-47,"m")</f>
        <v>#VALUE!</v>
      </c>
      <c r="K57" s="39" t="e">
        <f t="shared" ca="1" si="5"/>
        <v>#VALUE!</v>
      </c>
      <c r="L57" s="136">
        <v>0</v>
      </c>
      <c r="M57" s="136">
        <v>0</v>
      </c>
      <c r="P57" s="25">
        <v>10</v>
      </c>
      <c r="Q57" s="25">
        <v>10</v>
      </c>
    </row>
    <row r="58" spans="1:17" x14ac:dyDescent="0.2">
      <c r="A58" s="43" t="s">
        <v>100</v>
      </c>
      <c r="B58" s="40" t="e">
        <f t="shared" ca="1" si="3"/>
        <v>#VALUE!</v>
      </c>
      <c r="C58" s="14" t="e">
        <f t="shared" ca="1" si="1"/>
        <v>#VALUE!</v>
      </c>
      <c r="D58" s="42" t="e">
        <f ca="1">DtAdd($E58,-59,"m")</f>
        <v>#VALUE!</v>
      </c>
      <c r="E58" s="41" t="e">
        <f t="shared" ca="1" si="2"/>
        <v>#NAME?</v>
      </c>
      <c r="F58" s="40" t="e">
        <f ca="1">DtAdd($G58,-19,"q")</f>
        <v>#VALUE!</v>
      </c>
      <c r="G58" s="14" t="e">
        <f t="shared" ca="1" si="4"/>
        <v>#NAME?</v>
      </c>
      <c r="H58" s="42" t="e">
        <f ca="1">DtAdd($I58,-4,"yyyy")</f>
        <v>#VALUE!</v>
      </c>
      <c r="I58" s="41" t="e">
        <f t="shared" ca="1" si="7"/>
        <v>#NAME?</v>
      </c>
      <c r="J58" s="39" t="e">
        <f ca="1">DtAdd($C58,-59,"m")</f>
        <v>#VALUE!</v>
      </c>
      <c r="K58" s="39" t="e">
        <f t="shared" ca="1" si="5"/>
        <v>#VALUE!</v>
      </c>
      <c r="L58" s="136">
        <v>0</v>
      </c>
      <c r="M58" s="136">
        <v>0</v>
      </c>
      <c r="P58" s="25">
        <v>11</v>
      </c>
      <c r="Q58" s="25">
        <v>10</v>
      </c>
    </row>
    <row r="59" spans="1:17" x14ac:dyDescent="0.2">
      <c r="P59" s="25">
        <v>12</v>
      </c>
      <c r="Q59" s="25">
        <v>10</v>
      </c>
    </row>
    <row r="60" spans="1:17" x14ac:dyDescent="0.2">
      <c r="A60" s="33" t="s">
        <v>105</v>
      </c>
    </row>
    <row r="61" spans="1:17" s="35" customFormat="1" x14ac:dyDescent="0.2">
      <c r="A61" s="34" t="s">
        <v>104</v>
      </c>
      <c r="B61" s="35" t="s">
        <v>73</v>
      </c>
      <c r="C61" s="35" t="s">
        <v>7925</v>
      </c>
    </row>
    <row r="62" spans="1:17" x14ac:dyDescent="0.2">
      <c r="A62" s="25" t="s">
        <v>106</v>
      </c>
      <c r="B62" s="25" t="s">
        <v>23</v>
      </c>
      <c r="C62" s="25" t="s">
        <v>23</v>
      </c>
    </row>
    <row r="63" spans="1:17" x14ac:dyDescent="0.2">
      <c r="A63" s="25" t="s">
        <v>107</v>
      </c>
      <c r="B63" s="25" t="s">
        <v>73</v>
      </c>
      <c r="C63" s="25" t="s">
        <v>76</v>
      </c>
    </row>
    <row r="64" spans="1:17" s="36" customFormat="1" x14ac:dyDescent="0.2">
      <c r="A64" s="36" t="s">
        <v>108</v>
      </c>
      <c r="B64" s="36" t="s">
        <v>18</v>
      </c>
      <c r="C64" s="36" t="s">
        <v>28</v>
      </c>
    </row>
    <row r="67" spans="1:1" x14ac:dyDescent="0.2">
      <c r="A67" s="25" t="b">
        <v>1</v>
      </c>
    </row>
    <row r="68" spans="1:1" x14ac:dyDescent="0.2">
      <c r="A68" s="25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FundLists"/>
  <dimension ref="A2:D7204"/>
  <sheetViews>
    <sheetView workbookViewId="0">
      <selection activeCell="A29" sqref="A29"/>
    </sheetView>
  </sheetViews>
  <sheetFormatPr baseColWidth="10" defaultColWidth="9.1640625" defaultRowHeight="14" x14ac:dyDescent="0.2"/>
  <cols>
    <col min="1" max="3" width="15.6640625" style="13" customWidth="1"/>
    <col min="4" max="16384" width="9.1640625" style="13"/>
  </cols>
  <sheetData>
    <row r="2" spans="1:4" x14ac:dyDescent="0.2">
      <c r="A2" s="16" t="s">
        <v>75</v>
      </c>
      <c r="B2" s="16" t="s">
        <v>199</v>
      </c>
      <c r="C2" s="16"/>
      <c r="D2" s="16"/>
    </row>
    <row r="3" spans="1:4" x14ac:dyDescent="0.2">
      <c r="A3" s="13" t="s">
        <v>4182</v>
      </c>
    </row>
    <row r="4" spans="1:4" x14ac:dyDescent="0.2">
      <c r="A4" s="13" t="s">
        <v>4183</v>
      </c>
    </row>
    <row r="5" spans="1:4" x14ac:dyDescent="0.2">
      <c r="A5" s="13" t="s">
        <v>4103</v>
      </c>
    </row>
    <row r="6" spans="1:4" x14ac:dyDescent="0.2">
      <c r="A6" s="13" t="s">
        <v>3067</v>
      </c>
    </row>
    <row r="7" spans="1:4" x14ac:dyDescent="0.2">
      <c r="A7" s="13" t="s">
        <v>4184</v>
      </c>
    </row>
    <row r="8" spans="1:4" x14ac:dyDescent="0.2">
      <c r="A8" s="13" t="s">
        <v>3206</v>
      </c>
    </row>
    <row r="9" spans="1:4" x14ac:dyDescent="0.2">
      <c r="A9" s="13" t="s">
        <v>4185</v>
      </c>
    </row>
    <row r="10" spans="1:4" x14ac:dyDescent="0.2">
      <c r="A10" s="13" t="s">
        <v>2277</v>
      </c>
    </row>
    <row r="11" spans="1:4" x14ac:dyDescent="0.2">
      <c r="A11" s="13" t="s">
        <v>1358</v>
      </c>
    </row>
    <row r="12" spans="1:4" x14ac:dyDescent="0.2">
      <c r="A12" s="13" t="s">
        <v>650</v>
      </c>
    </row>
    <row r="13" spans="1:4" x14ac:dyDescent="0.2">
      <c r="A13" s="13" t="s">
        <v>3825</v>
      </c>
    </row>
    <row r="14" spans="1:4" x14ac:dyDescent="0.2">
      <c r="A14" s="13" t="s">
        <v>532</v>
      </c>
    </row>
    <row r="15" spans="1:4" x14ac:dyDescent="0.2">
      <c r="A15" s="13" t="s">
        <v>3715</v>
      </c>
    </row>
    <row r="16" spans="1:4" x14ac:dyDescent="0.2">
      <c r="A16" s="13" t="s">
        <v>2652</v>
      </c>
    </row>
    <row r="17" spans="1:1" x14ac:dyDescent="0.2">
      <c r="A17" s="13" t="s">
        <v>4186</v>
      </c>
    </row>
    <row r="18" spans="1:1" x14ac:dyDescent="0.2">
      <c r="A18" s="13" t="s">
        <v>4187</v>
      </c>
    </row>
    <row r="19" spans="1:1" x14ac:dyDescent="0.2">
      <c r="A19" s="13" t="s">
        <v>4188</v>
      </c>
    </row>
    <row r="20" spans="1:1" x14ac:dyDescent="0.2">
      <c r="A20" s="13" t="s">
        <v>3737</v>
      </c>
    </row>
    <row r="21" spans="1:1" x14ac:dyDescent="0.2">
      <c r="A21" s="13" t="s">
        <v>706</v>
      </c>
    </row>
    <row r="22" spans="1:1" x14ac:dyDescent="0.2">
      <c r="A22" s="13" t="s">
        <v>1250</v>
      </c>
    </row>
    <row r="23" spans="1:1" x14ac:dyDescent="0.2">
      <c r="A23" s="13" t="s">
        <v>2953</v>
      </c>
    </row>
    <row r="24" spans="1:1" x14ac:dyDescent="0.2">
      <c r="A24" s="13" t="s">
        <v>4189</v>
      </c>
    </row>
    <row r="25" spans="1:1" x14ac:dyDescent="0.2">
      <c r="A25" s="13" t="s">
        <v>345</v>
      </c>
    </row>
    <row r="26" spans="1:1" x14ac:dyDescent="0.2">
      <c r="A26" s="13" t="s">
        <v>1687</v>
      </c>
    </row>
    <row r="27" spans="1:1" x14ac:dyDescent="0.2">
      <c r="A27" s="13" t="s">
        <v>1309</v>
      </c>
    </row>
    <row r="28" spans="1:1" x14ac:dyDescent="0.2">
      <c r="A28" s="13" t="s">
        <v>1601</v>
      </c>
    </row>
    <row r="29" spans="1:1" x14ac:dyDescent="0.2">
      <c r="A29" s="13" t="s">
        <v>4190</v>
      </c>
    </row>
    <row r="30" spans="1:1" x14ac:dyDescent="0.2">
      <c r="A30" s="13" t="s">
        <v>1426</v>
      </c>
    </row>
    <row r="31" spans="1:1" x14ac:dyDescent="0.2">
      <c r="A31" s="13" t="s">
        <v>3142</v>
      </c>
    </row>
    <row r="32" spans="1:1" x14ac:dyDescent="0.2">
      <c r="A32" s="13" t="s">
        <v>2001</v>
      </c>
    </row>
    <row r="33" spans="1:1" x14ac:dyDescent="0.2">
      <c r="A33" s="13" t="s">
        <v>3195</v>
      </c>
    </row>
    <row r="34" spans="1:1" x14ac:dyDescent="0.2">
      <c r="A34" s="13" t="s">
        <v>2501</v>
      </c>
    </row>
    <row r="35" spans="1:1" x14ac:dyDescent="0.2">
      <c r="A35" s="13" t="s">
        <v>4191</v>
      </c>
    </row>
    <row r="36" spans="1:1" x14ac:dyDescent="0.2">
      <c r="A36" s="13" t="s">
        <v>4192</v>
      </c>
    </row>
    <row r="37" spans="1:1" x14ac:dyDescent="0.2">
      <c r="A37" s="13" t="s">
        <v>2286</v>
      </c>
    </row>
    <row r="38" spans="1:1" x14ac:dyDescent="0.2">
      <c r="A38" s="13" t="s">
        <v>4193</v>
      </c>
    </row>
    <row r="39" spans="1:1" x14ac:dyDescent="0.2">
      <c r="A39" s="13" t="s">
        <v>3523</v>
      </c>
    </row>
    <row r="40" spans="1:1" x14ac:dyDescent="0.2">
      <c r="A40" s="13" t="s">
        <v>4194</v>
      </c>
    </row>
    <row r="41" spans="1:1" x14ac:dyDescent="0.2">
      <c r="A41" s="13" t="s">
        <v>4195</v>
      </c>
    </row>
    <row r="42" spans="1:1" x14ac:dyDescent="0.2">
      <c r="A42" s="13" t="s">
        <v>4196</v>
      </c>
    </row>
    <row r="43" spans="1:1" x14ac:dyDescent="0.2">
      <c r="A43" s="13" t="s">
        <v>652</v>
      </c>
    </row>
    <row r="44" spans="1:1" x14ac:dyDescent="0.2">
      <c r="A44" s="13" t="s">
        <v>3148</v>
      </c>
    </row>
    <row r="45" spans="1:1" x14ac:dyDescent="0.2">
      <c r="A45" s="13" t="s">
        <v>4197</v>
      </c>
    </row>
    <row r="46" spans="1:1" x14ac:dyDescent="0.2">
      <c r="A46" s="13" t="s">
        <v>2534</v>
      </c>
    </row>
    <row r="47" spans="1:1" x14ac:dyDescent="0.2">
      <c r="A47" s="13" t="s">
        <v>2328</v>
      </c>
    </row>
    <row r="48" spans="1:1" x14ac:dyDescent="0.2">
      <c r="A48" s="13" t="s">
        <v>4198</v>
      </c>
    </row>
    <row r="49" spans="1:1" x14ac:dyDescent="0.2">
      <c r="A49" s="13" t="s">
        <v>4199</v>
      </c>
    </row>
    <row r="50" spans="1:1" x14ac:dyDescent="0.2">
      <c r="A50" s="13" t="s">
        <v>4200</v>
      </c>
    </row>
    <row r="51" spans="1:1" x14ac:dyDescent="0.2">
      <c r="A51" s="13" t="s">
        <v>520</v>
      </c>
    </row>
    <row r="52" spans="1:1" x14ac:dyDescent="0.2">
      <c r="A52" s="13" t="s">
        <v>4201</v>
      </c>
    </row>
    <row r="53" spans="1:1" x14ac:dyDescent="0.2">
      <c r="A53" s="13" t="s">
        <v>4028</v>
      </c>
    </row>
    <row r="54" spans="1:1" x14ac:dyDescent="0.2">
      <c r="A54" s="13" t="s">
        <v>3957</v>
      </c>
    </row>
    <row r="55" spans="1:1" x14ac:dyDescent="0.2">
      <c r="A55" s="13" t="s">
        <v>4202</v>
      </c>
    </row>
    <row r="56" spans="1:1" x14ac:dyDescent="0.2">
      <c r="A56" s="13" t="s">
        <v>4203</v>
      </c>
    </row>
    <row r="57" spans="1:1" x14ac:dyDescent="0.2">
      <c r="A57" s="13" t="s">
        <v>3283</v>
      </c>
    </row>
    <row r="58" spans="1:1" x14ac:dyDescent="0.2">
      <c r="A58" s="13" t="s">
        <v>1373</v>
      </c>
    </row>
    <row r="59" spans="1:1" x14ac:dyDescent="0.2">
      <c r="A59" s="13" t="s">
        <v>1336</v>
      </c>
    </row>
    <row r="60" spans="1:1" x14ac:dyDescent="0.2">
      <c r="A60" s="13" t="s">
        <v>1091</v>
      </c>
    </row>
    <row r="61" spans="1:1" x14ac:dyDescent="0.2">
      <c r="A61" s="13" t="s">
        <v>1469</v>
      </c>
    </row>
    <row r="62" spans="1:1" x14ac:dyDescent="0.2">
      <c r="A62" s="13" t="s">
        <v>4204</v>
      </c>
    </row>
    <row r="63" spans="1:1" x14ac:dyDescent="0.2">
      <c r="A63" s="13" t="s">
        <v>411</v>
      </c>
    </row>
    <row r="64" spans="1:1" x14ac:dyDescent="0.2">
      <c r="A64" s="13" t="s">
        <v>4205</v>
      </c>
    </row>
    <row r="65" spans="1:1" x14ac:dyDescent="0.2">
      <c r="A65" s="13" t="s">
        <v>544</v>
      </c>
    </row>
    <row r="66" spans="1:1" x14ac:dyDescent="0.2">
      <c r="A66" s="13" t="s">
        <v>1231</v>
      </c>
    </row>
    <row r="67" spans="1:1" x14ac:dyDescent="0.2">
      <c r="A67" s="13" t="s">
        <v>391</v>
      </c>
    </row>
    <row r="68" spans="1:1" x14ac:dyDescent="0.2">
      <c r="A68" s="13" t="s">
        <v>1479</v>
      </c>
    </row>
    <row r="69" spans="1:1" x14ac:dyDescent="0.2">
      <c r="A69" s="13" t="s">
        <v>257</v>
      </c>
    </row>
    <row r="70" spans="1:1" x14ac:dyDescent="0.2">
      <c r="A70" s="13" t="s">
        <v>3588</v>
      </c>
    </row>
    <row r="71" spans="1:1" x14ac:dyDescent="0.2">
      <c r="A71" s="13" t="s">
        <v>3759</v>
      </c>
    </row>
    <row r="72" spans="1:1" x14ac:dyDescent="0.2">
      <c r="A72" s="13" t="s">
        <v>670</v>
      </c>
    </row>
    <row r="73" spans="1:1" x14ac:dyDescent="0.2">
      <c r="A73" s="13" t="s">
        <v>4206</v>
      </c>
    </row>
    <row r="74" spans="1:1" x14ac:dyDescent="0.2">
      <c r="A74" s="13" t="s">
        <v>4207</v>
      </c>
    </row>
    <row r="75" spans="1:1" x14ac:dyDescent="0.2">
      <c r="A75" s="13" t="s">
        <v>3727</v>
      </c>
    </row>
    <row r="76" spans="1:1" x14ac:dyDescent="0.2">
      <c r="A76" s="13" t="s">
        <v>4208</v>
      </c>
    </row>
    <row r="77" spans="1:1" x14ac:dyDescent="0.2">
      <c r="A77" s="13" t="s">
        <v>1730</v>
      </c>
    </row>
    <row r="78" spans="1:1" x14ac:dyDescent="0.2">
      <c r="A78" s="13" t="s">
        <v>3972</v>
      </c>
    </row>
    <row r="79" spans="1:1" x14ac:dyDescent="0.2">
      <c r="A79" s="13" t="s">
        <v>4209</v>
      </c>
    </row>
    <row r="80" spans="1:1" x14ac:dyDescent="0.2">
      <c r="A80" s="13" t="s">
        <v>815</v>
      </c>
    </row>
    <row r="81" spans="1:1" x14ac:dyDescent="0.2">
      <c r="A81" s="13" t="s">
        <v>1445</v>
      </c>
    </row>
    <row r="82" spans="1:1" x14ac:dyDescent="0.2">
      <c r="A82" s="13" t="s">
        <v>1562</v>
      </c>
    </row>
    <row r="83" spans="1:1" x14ac:dyDescent="0.2">
      <c r="A83" s="13" t="s">
        <v>4035</v>
      </c>
    </row>
    <row r="84" spans="1:1" x14ac:dyDescent="0.2">
      <c r="A84" s="13" t="s">
        <v>2048</v>
      </c>
    </row>
    <row r="85" spans="1:1" x14ac:dyDescent="0.2">
      <c r="A85" s="13" t="s">
        <v>3027</v>
      </c>
    </row>
    <row r="86" spans="1:1" x14ac:dyDescent="0.2">
      <c r="A86" s="13" t="s">
        <v>2920</v>
      </c>
    </row>
    <row r="87" spans="1:1" x14ac:dyDescent="0.2">
      <c r="A87" s="13" t="s">
        <v>4210</v>
      </c>
    </row>
    <row r="88" spans="1:1" x14ac:dyDescent="0.2">
      <c r="A88" s="13" t="s">
        <v>4211</v>
      </c>
    </row>
    <row r="89" spans="1:1" x14ac:dyDescent="0.2">
      <c r="A89" s="13" t="s">
        <v>1424</v>
      </c>
    </row>
    <row r="90" spans="1:1" x14ac:dyDescent="0.2">
      <c r="A90" s="13" t="s">
        <v>4212</v>
      </c>
    </row>
    <row r="91" spans="1:1" x14ac:dyDescent="0.2">
      <c r="A91" s="13" t="s">
        <v>714</v>
      </c>
    </row>
    <row r="92" spans="1:1" x14ac:dyDescent="0.2">
      <c r="A92" s="13" t="s">
        <v>2703</v>
      </c>
    </row>
    <row r="93" spans="1:1" x14ac:dyDescent="0.2">
      <c r="A93" s="13" t="s">
        <v>3440</v>
      </c>
    </row>
    <row r="94" spans="1:1" x14ac:dyDescent="0.2">
      <c r="A94" s="13" t="s">
        <v>3409</v>
      </c>
    </row>
    <row r="95" spans="1:1" x14ac:dyDescent="0.2">
      <c r="A95" s="13" t="s">
        <v>4213</v>
      </c>
    </row>
    <row r="96" spans="1:1" x14ac:dyDescent="0.2">
      <c r="A96" s="13" t="s">
        <v>4214</v>
      </c>
    </row>
    <row r="97" spans="1:1" x14ac:dyDescent="0.2">
      <c r="A97" s="13" t="s">
        <v>979</v>
      </c>
    </row>
    <row r="98" spans="1:1" x14ac:dyDescent="0.2">
      <c r="A98" s="13" t="s">
        <v>1183</v>
      </c>
    </row>
    <row r="99" spans="1:1" x14ac:dyDescent="0.2">
      <c r="A99" s="13" t="s">
        <v>1081</v>
      </c>
    </row>
    <row r="100" spans="1:1" x14ac:dyDescent="0.2">
      <c r="A100" s="13" t="s">
        <v>4215</v>
      </c>
    </row>
    <row r="101" spans="1:1" x14ac:dyDescent="0.2">
      <c r="A101" s="13" t="s">
        <v>4216</v>
      </c>
    </row>
    <row r="102" spans="1:1" x14ac:dyDescent="0.2">
      <c r="A102" s="13" t="s">
        <v>4217</v>
      </c>
    </row>
    <row r="103" spans="1:1" x14ac:dyDescent="0.2">
      <c r="A103" s="13" t="s">
        <v>4218</v>
      </c>
    </row>
    <row r="104" spans="1:1" x14ac:dyDescent="0.2">
      <c r="A104" s="13" t="s">
        <v>3517</v>
      </c>
    </row>
    <row r="105" spans="1:1" x14ac:dyDescent="0.2">
      <c r="A105" s="13" t="s">
        <v>1759</v>
      </c>
    </row>
    <row r="106" spans="1:1" x14ac:dyDescent="0.2">
      <c r="A106" s="13" t="s">
        <v>3630</v>
      </c>
    </row>
    <row r="107" spans="1:1" x14ac:dyDescent="0.2">
      <c r="A107" s="13" t="s">
        <v>4219</v>
      </c>
    </row>
    <row r="108" spans="1:1" x14ac:dyDescent="0.2">
      <c r="A108" s="13" t="s">
        <v>4220</v>
      </c>
    </row>
    <row r="109" spans="1:1" x14ac:dyDescent="0.2">
      <c r="A109" s="13" t="s">
        <v>1834</v>
      </c>
    </row>
    <row r="110" spans="1:1" x14ac:dyDescent="0.2">
      <c r="A110" s="13" t="s">
        <v>4221</v>
      </c>
    </row>
    <row r="111" spans="1:1" x14ac:dyDescent="0.2">
      <c r="A111" s="13" t="s">
        <v>2200</v>
      </c>
    </row>
    <row r="112" spans="1:1" x14ac:dyDescent="0.2">
      <c r="A112" s="13" t="s">
        <v>1337</v>
      </c>
    </row>
    <row r="113" spans="1:1" x14ac:dyDescent="0.2">
      <c r="A113" s="13" t="s">
        <v>2829</v>
      </c>
    </row>
    <row r="114" spans="1:1" x14ac:dyDescent="0.2">
      <c r="A114" s="13" t="s">
        <v>4222</v>
      </c>
    </row>
    <row r="115" spans="1:1" x14ac:dyDescent="0.2">
      <c r="A115" s="13" t="s">
        <v>828</v>
      </c>
    </row>
    <row r="116" spans="1:1" x14ac:dyDescent="0.2">
      <c r="A116" s="13" t="s">
        <v>2907</v>
      </c>
    </row>
    <row r="117" spans="1:1" x14ac:dyDescent="0.2">
      <c r="A117" s="13" t="s">
        <v>2196</v>
      </c>
    </row>
    <row r="118" spans="1:1" x14ac:dyDescent="0.2">
      <c r="A118" s="13" t="s">
        <v>4223</v>
      </c>
    </row>
    <row r="119" spans="1:1" x14ac:dyDescent="0.2">
      <c r="A119" s="13" t="s">
        <v>3131</v>
      </c>
    </row>
    <row r="120" spans="1:1" x14ac:dyDescent="0.2">
      <c r="A120" s="13" t="s">
        <v>4224</v>
      </c>
    </row>
    <row r="121" spans="1:1" x14ac:dyDescent="0.2">
      <c r="A121" s="13" t="s">
        <v>4225</v>
      </c>
    </row>
    <row r="122" spans="1:1" x14ac:dyDescent="0.2">
      <c r="A122" s="13" t="s">
        <v>3262</v>
      </c>
    </row>
    <row r="123" spans="1:1" x14ac:dyDescent="0.2">
      <c r="A123" s="13" t="s">
        <v>4226</v>
      </c>
    </row>
    <row r="124" spans="1:1" x14ac:dyDescent="0.2">
      <c r="A124" s="13" t="s">
        <v>1914</v>
      </c>
    </row>
    <row r="125" spans="1:1" x14ac:dyDescent="0.2">
      <c r="A125" s="13" t="s">
        <v>3021</v>
      </c>
    </row>
    <row r="126" spans="1:1" x14ac:dyDescent="0.2">
      <c r="A126" s="13" t="s">
        <v>4080</v>
      </c>
    </row>
    <row r="127" spans="1:1" x14ac:dyDescent="0.2">
      <c r="A127" s="13" t="s">
        <v>1858</v>
      </c>
    </row>
    <row r="128" spans="1:1" x14ac:dyDescent="0.2">
      <c r="A128" s="13" t="s">
        <v>3441</v>
      </c>
    </row>
    <row r="129" spans="1:1" x14ac:dyDescent="0.2">
      <c r="A129" s="13" t="s">
        <v>2120</v>
      </c>
    </row>
    <row r="130" spans="1:1" x14ac:dyDescent="0.2">
      <c r="A130" s="13" t="s">
        <v>4227</v>
      </c>
    </row>
    <row r="131" spans="1:1" x14ac:dyDescent="0.2">
      <c r="A131" s="13" t="s">
        <v>2641</v>
      </c>
    </row>
    <row r="132" spans="1:1" x14ac:dyDescent="0.2">
      <c r="A132" s="13" t="s">
        <v>474</v>
      </c>
    </row>
    <row r="133" spans="1:1" x14ac:dyDescent="0.2">
      <c r="A133" s="13" t="s">
        <v>2880</v>
      </c>
    </row>
    <row r="134" spans="1:1" x14ac:dyDescent="0.2">
      <c r="A134" s="13" t="s">
        <v>3261</v>
      </c>
    </row>
    <row r="135" spans="1:1" x14ac:dyDescent="0.2">
      <c r="A135" s="13" t="s">
        <v>1063</v>
      </c>
    </row>
    <row r="136" spans="1:1" x14ac:dyDescent="0.2">
      <c r="A136" s="13" t="s">
        <v>4228</v>
      </c>
    </row>
    <row r="137" spans="1:1" x14ac:dyDescent="0.2">
      <c r="A137" s="13" t="s">
        <v>3302</v>
      </c>
    </row>
    <row r="138" spans="1:1" x14ac:dyDescent="0.2">
      <c r="A138" s="13" t="s">
        <v>2036</v>
      </c>
    </row>
    <row r="139" spans="1:1" x14ac:dyDescent="0.2">
      <c r="A139" s="13" t="s">
        <v>4229</v>
      </c>
    </row>
    <row r="140" spans="1:1" x14ac:dyDescent="0.2">
      <c r="A140" s="13" t="s">
        <v>3709</v>
      </c>
    </row>
    <row r="141" spans="1:1" x14ac:dyDescent="0.2">
      <c r="A141" s="13" t="s">
        <v>1308</v>
      </c>
    </row>
    <row r="142" spans="1:1" x14ac:dyDescent="0.2">
      <c r="A142" s="13" t="s">
        <v>4230</v>
      </c>
    </row>
    <row r="143" spans="1:1" x14ac:dyDescent="0.2">
      <c r="A143" s="13" t="s">
        <v>3096</v>
      </c>
    </row>
    <row r="144" spans="1:1" x14ac:dyDescent="0.2">
      <c r="A144" s="13" t="s">
        <v>4231</v>
      </c>
    </row>
    <row r="145" spans="1:1" x14ac:dyDescent="0.2">
      <c r="A145" s="13" t="s">
        <v>4232</v>
      </c>
    </row>
    <row r="146" spans="1:1" x14ac:dyDescent="0.2">
      <c r="A146" s="13" t="s">
        <v>4233</v>
      </c>
    </row>
    <row r="147" spans="1:1" x14ac:dyDescent="0.2">
      <c r="A147" s="13" t="s">
        <v>4039</v>
      </c>
    </row>
    <row r="148" spans="1:1" x14ac:dyDescent="0.2">
      <c r="A148" s="13" t="s">
        <v>1879</v>
      </c>
    </row>
    <row r="149" spans="1:1" x14ac:dyDescent="0.2">
      <c r="A149" s="13" t="s">
        <v>3826</v>
      </c>
    </row>
    <row r="150" spans="1:1" x14ac:dyDescent="0.2">
      <c r="A150" s="13" t="s">
        <v>2773</v>
      </c>
    </row>
    <row r="151" spans="1:1" x14ac:dyDescent="0.2">
      <c r="A151" s="13" t="s">
        <v>1233</v>
      </c>
    </row>
    <row r="152" spans="1:1" x14ac:dyDescent="0.2">
      <c r="A152" s="13" t="s">
        <v>2674</v>
      </c>
    </row>
    <row r="153" spans="1:1" x14ac:dyDescent="0.2">
      <c r="A153" s="13" t="s">
        <v>661</v>
      </c>
    </row>
    <row r="154" spans="1:1" x14ac:dyDescent="0.2">
      <c r="A154" s="13" t="s">
        <v>1342</v>
      </c>
    </row>
    <row r="155" spans="1:1" x14ac:dyDescent="0.2">
      <c r="A155" s="13" t="s">
        <v>4234</v>
      </c>
    </row>
    <row r="156" spans="1:1" x14ac:dyDescent="0.2">
      <c r="A156" s="13" t="s">
        <v>3868</v>
      </c>
    </row>
    <row r="157" spans="1:1" x14ac:dyDescent="0.2">
      <c r="A157" s="13" t="s">
        <v>4235</v>
      </c>
    </row>
    <row r="158" spans="1:1" x14ac:dyDescent="0.2">
      <c r="A158" s="13" t="s">
        <v>4236</v>
      </c>
    </row>
    <row r="159" spans="1:1" x14ac:dyDescent="0.2">
      <c r="A159" s="13" t="s">
        <v>1891</v>
      </c>
    </row>
    <row r="160" spans="1:1" x14ac:dyDescent="0.2">
      <c r="A160" s="13" t="s">
        <v>1791</v>
      </c>
    </row>
    <row r="161" spans="1:1" x14ac:dyDescent="0.2">
      <c r="A161" s="13" t="s">
        <v>3299</v>
      </c>
    </row>
    <row r="162" spans="1:1" x14ac:dyDescent="0.2">
      <c r="A162" s="13" t="s">
        <v>3179</v>
      </c>
    </row>
    <row r="163" spans="1:1" x14ac:dyDescent="0.2">
      <c r="A163" s="13" t="s">
        <v>4237</v>
      </c>
    </row>
    <row r="164" spans="1:1" x14ac:dyDescent="0.2">
      <c r="A164" s="13" t="s">
        <v>1678</v>
      </c>
    </row>
    <row r="165" spans="1:1" x14ac:dyDescent="0.2">
      <c r="A165" s="13" t="s">
        <v>3343</v>
      </c>
    </row>
    <row r="166" spans="1:1" x14ac:dyDescent="0.2">
      <c r="A166" s="13" t="s">
        <v>3341</v>
      </c>
    </row>
    <row r="167" spans="1:1" x14ac:dyDescent="0.2">
      <c r="A167" s="13" t="s">
        <v>3008</v>
      </c>
    </row>
    <row r="168" spans="1:1" x14ac:dyDescent="0.2">
      <c r="A168" s="13" t="s">
        <v>3831</v>
      </c>
    </row>
    <row r="169" spans="1:1" x14ac:dyDescent="0.2">
      <c r="A169" s="13" t="s">
        <v>1384</v>
      </c>
    </row>
    <row r="170" spans="1:1" x14ac:dyDescent="0.2">
      <c r="A170" s="13" t="s">
        <v>3597</v>
      </c>
    </row>
    <row r="171" spans="1:1" x14ac:dyDescent="0.2">
      <c r="A171" s="13" t="s">
        <v>2572</v>
      </c>
    </row>
    <row r="172" spans="1:1" x14ac:dyDescent="0.2">
      <c r="A172" s="13" t="s">
        <v>4238</v>
      </c>
    </row>
    <row r="173" spans="1:1" x14ac:dyDescent="0.2">
      <c r="A173" s="13" t="s">
        <v>3534</v>
      </c>
    </row>
    <row r="174" spans="1:1" x14ac:dyDescent="0.2">
      <c r="A174" s="13" t="s">
        <v>4239</v>
      </c>
    </row>
    <row r="175" spans="1:1" x14ac:dyDescent="0.2">
      <c r="A175" s="13" t="s">
        <v>1995</v>
      </c>
    </row>
    <row r="176" spans="1:1" x14ac:dyDescent="0.2">
      <c r="A176" s="13" t="s">
        <v>2994</v>
      </c>
    </row>
    <row r="177" spans="1:1" x14ac:dyDescent="0.2">
      <c r="A177" s="13" t="s">
        <v>2671</v>
      </c>
    </row>
    <row r="178" spans="1:1" x14ac:dyDescent="0.2">
      <c r="A178" s="13" t="s">
        <v>4240</v>
      </c>
    </row>
    <row r="179" spans="1:1" x14ac:dyDescent="0.2">
      <c r="A179" s="13" t="s">
        <v>4038</v>
      </c>
    </row>
    <row r="180" spans="1:1" x14ac:dyDescent="0.2">
      <c r="A180" s="13" t="s">
        <v>806</v>
      </c>
    </row>
    <row r="181" spans="1:1" x14ac:dyDescent="0.2">
      <c r="A181" s="13" t="s">
        <v>2550</v>
      </c>
    </row>
    <row r="182" spans="1:1" x14ac:dyDescent="0.2">
      <c r="A182" s="13" t="s">
        <v>4241</v>
      </c>
    </row>
    <row r="183" spans="1:1" x14ac:dyDescent="0.2">
      <c r="A183" s="13" t="s">
        <v>3106</v>
      </c>
    </row>
    <row r="184" spans="1:1" x14ac:dyDescent="0.2">
      <c r="A184" s="13" t="s">
        <v>2565</v>
      </c>
    </row>
    <row r="185" spans="1:1" x14ac:dyDescent="0.2">
      <c r="A185" s="13" t="s">
        <v>1623</v>
      </c>
    </row>
    <row r="186" spans="1:1" x14ac:dyDescent="0.2">
      <c r="A186" s="13" t="s">
        <v>2602</v>
      </c>
    </row>
    <row r="187" spans="1:1" x14ac:dyDescent="0.2">
      <c r="A187" s="13" t="s">
        <v>2173</v>
      </c>
    </row>
    <row r="188" spans="1:1" x14ac:dyDescent="0.2">
      <c r="A188" s="13" t="s">
        <v>1612</v>
      </c>
    </row>
    <row r="189" spans="1:1" x14ac:dyDescent="0.2">
      <c r="A189" s="13" t="s">
        <v>4242</v>
      </c>
    </row>
    <row r="190" spans="1:1" x14ac:dyDescent="0.2">
      <c r="A190" s="13" t="s">
        <v>1166</v>
      </c>
    </row>
    <row r="191" spans="1:1" x14ac:dyDescent="0.2">
      <c r="A191" s="13" t="s">
        <v>4051</v>
      </c>
    </row>
    <row r="192" spans="1:1" x14ac:dyDescent="0.2">
      <c r="A192" s="13" t="s">
        <v>4243</v>
      </c>
    </row>
    <row r="193" spans="1:1" x14ac:dyDescent="0.2">
      <c r="A193" s="13" t="s">
        <v>2414</v>
      </c>
    </row>
    <row r="194" spans="1:1" x14ac:dyDescent="0.2">
      <c r="A194" s="13" t="s">
        <v>4244</v>
      </c>
    </row>
    <row r="195" spans="1:1" x14ac:dyDescent="0.2">
      <c r="A195" s="13" t="s">
        <v>4245</v>
      </c>
    </row>
    <row r="196" spans="1:1" x14ac:dyDescent="0.2">
      <c r="A196" s="13" t="s">
        <v>1439</v>
      </c>
    </row>
    <row r="197" spans="1:1" x14ac:dyDescent="0.2">
      <c r="A197" s="13" t="s">
        <v>3144</v>
      </c>
    </row>
    <row r="198" spans="1:1" x14ac:dyDescent="0.2">
      <c r="A198" s="13" t="s">
        <v>2419</v>
      </c>
    </row>
    <row r="199" spans="1:1" x14ac:dyDescent="0.2">
      <c r="A199" s="13" t="s">
        <v>1441</v>
      </c>
    </row>
    <row r="200" spans="1:1" x14ac:dyDescent="0.2">
      <c r="A200" s="13" t="s">
        <v>4246</v>
      </c>
    </row>
    <row r="201" spans="1:1" x14ac:dyDescent="0.2">
      <c r="A201" s="13" t="s">
        <v>1296</v>
      </c>
    </row>
    <row r="202" spans="1:1" x14ac:dyDescent="0.2">
      <c r="A202" s="13" t="s">
        <v>839</v>
      </c>
    </row>
    <row r="203" spans="1:1" x14ac:dyDescent="0.2">
      <c r="A203" s="13" t="s">
        <v>2368</v>
      </c>
    </row>
    <row r="204" spans="1:1" x14ac:dyDescent="0.2">
      <c r="A204" s="13" t="s">
        <v>3931</v>
      </c>
    </row>
    <row r="205" spans="1:1" x14ac:dyDescent="0.2">
      <c r="A205" s="13" t="s">
        <v>2627</v>
      </c>
    </row>
    <row r="206" spans="1:1" x14ac:dyDescent="0.2">
      <c r="A206" s="13" t="s">
        <v>4247</v>
      </c>
    </row>
    <row r="207" spans="1:1" x14ac:dyDescent="0.2">
      <c r="A207" s="13" t="s">
        <v>2025</v>
      </c>
    </row>
    <row r="208" spans="1:1" x14ac:dyDescent="0.2">
      <c r="A208" s="13" t="s">
        <v>2663</v>
      </c>
    </row>
    <row r="209" spans="1:1" x14ac:dyDescent="0.2">
      <c r="A209" s="13" t="s">
        <v>2732</v>
      </c>
    </row>
    <row r="210" spans="1:1" x14ac:dyDescent="0.2">
      <c r="A210" s="13" t="s">
        <v>1409</v>
      </c>
    </row>
    <row r="211" spans="1:1" x14ac:dyDescent="0.2">
      <c r="A211" s="13" t="s">
        <v>2349</v>
      </c>
    </row>
    <row r="212" spans="1:1" x14ac:dyDescent="0.2">
      <c r="A212" s="13" t="s">
        <v>2493</v>
      </c>
    </row>
    <row r="213" spans="1:1" x14ac:dyDescent="0.2">
      <c r="A213" s="13" t="s">
        <v>413</v>
      </c>
    </row>
    <row r="214" spans="1:1" x14ac:dyDescent="0.2">
      <c r="A214" s="13" t="s">
        <v>692</v>
      </c>
    </row>
    <row r="215" spans="1:1" x14ac:dyDescent="0.2">
      <c r="A215" s="13" t="s">
        <v>2273</v>
      </c>
    </row>
    <row r="216" spans="1:1" x14ac:dyDescent="0.2">
      <c r="A216" s="13" t="s">
        <v>2442</v>
      </c>
    </row>
    <row r="217" spans="1:1" x14ac:dyDescent="0.2">
      <c r="A217" s="13" t="s">
        <v>818</v>
      </c>
    </row>
    <row r="218" spans="1:1" x14ac:dyDescent="0.2">
      <c r="A218" s="13" t="s">
        <v>3208</v>
      </c>
    </row>
    <row r="219" spans="1:1" x14ac:dyDescent="0.2">
      <c r="A219" s="13" t="s">
        <v>2720</v>
      </c>
    </row>
    <row r="220" spans="1:1" x14ac:dyDescent="0.2">
      <c r="A220" s="13" t="s">
        <v>4248</v>
      </c>
    </row>
    <row r="221" spans="1:1" x14ac:dyDescent="0.2">
      <c r="A221" s="13" t="s">
        <v>2151</v>
      </c>
    </row>
    <row r="222" spans="1:1" x14ac:dyDescent="0.2">
      <c r="A222" s="13" t="s">
        <v>2413</v>
      </c>
    </row>
    <row r="223" spans="1:1" x14ac:dyDescent="0.2">
      <c r="A223" s="13" t="s">
        <v>3040</v>
      </c>
    </row>
    <row r="224" spans="1:1" x14ac:dyDescent="0.2">
      <c r="A224" s="13" t="s">
        <v>3000</v>
      </c>
    </row>
    <row r="225" spans="1:1" x14ac:dyDescent="0.2">
      <c r="A225" s="13" t="s">
        <v>1068</v>
      </c>
    </row>
    <row r="226" spans="1:1" x14ac:dyDescent="0.2">
      <c r="A226" s="13" t="s">
        <v>4249</v>
      </c>
    </row>
    <row r="227" spans="1:1" x14ac:dyDescent="0.2">
      <c r="A227" s="13" t="s">
        <v>1754</v>
      </c>
    </row>
    <row r="228" spans="1:1" x14ac:dyDescent="0.2">
      <c r="A228" s="13" t="s">
        <v>1341</v>
      </c>
    </row>
    <row r="229" spans="1:1" x14ac:dyDescent="0.2">
      <c r="A229" s="13" t="s">
        <v>4250</v>
      </c>
    </row>
    <row r="230" spans="1:1" x14ac:dyDescent="0.2">
      <c r="A230" s="13" t="s">
        <v>1848</v>
      </c>
    </row>
    <row r="231" spans="1:1" x14ac:dyDescent="0.2">
      <c r="A231" s="13" t="s">
        <v>502</v>
      </c>
    </row>
    <row r="232" spans="1:1" x14ac:dyDescent="0.2">
      <c r="A232" s="13" t="s">
        <v>4251</v>
      </c>
    </row>
    <row r="233" spans="1:1" x14ac:dyDescent="0.2">
      <c r="A233" s="13" t="s">
        <v>4252</v>
      </c>
    </row>
    <row r="234" spans="1:1" x14ac:dyDescent="0.2">
      <c r="A234" s="13" t="s">
        <v>4253</v>
      </c>
    </row>
    <row r="235" spans="1:1" x14ac:dyDescent="0.2">
      <c r="A235" s="13" t="s">
        <v>4166</v>
      </c>
    </row>
    <row r="236" spans="1:1" x14ac:dyDescent="0.2">
      <c r="A236" s="13" t="s">
        <v>1827</v>
      </c>
    </row>
    <row r="237" spans="1:1" x14ac:dyDescent="0.2">
      <c r="A237" s="13" t="s">
        <v>3464</v>
      </c>
    </row>
    <row r="238" spans="1:1" x14ac:dyDescent="0.2">
      <c r="A238" s="13" t="s">
        <v>3429</v>
      </c>
    </row>
    <row r="239" spans="1:1" x14ac:dyDescent="0.2">
      <c r="A239" s="13" t="s">
        <v>4254</v>
      </c>
    </row>
    <row r="240" spans="1:1" x14ac:dyDescent="0.2">
      <c r="A240" s="13" t="s">
        <v>3286</v>
      </c>
    </row>
    <row r="241" spans="1:1" x14ac:dyDescent="0.2">
      <c r="A241" s="13" t="s">
        <v>602</v>
      </c>
    </row>
    <row r="242" spans="1:1" x14ac:dyDescent="0.2">
      <c r="A242" s="13" t="s">
        <v>4255</v>
      </c>
    </row>
    <row r="243" spans="1:1" x14ac:dyDescent="0.2">
      <c r="A243" s="13" t="s">
        <v>4256</v>
      </c>
    </row>
    <row r="244" spans="1:1" x14ac:dyDescent="0.2">
      <c r="A244" s="13" t="s">
        <v>4257</v>
      </c>
    </row>
    <row r="245" spans="1:1" x14ac:dyDescent="0.2">
      <c r="A245" s="13" t="s">
        <v>3279</v>
      </c>
    </row>
    <row r="246" spans="1:1" x14ac:dyDescent="0.2">
      <c r="A246" s="13" t="s">
        <v>4258</v>
      </c>
    </row>
    <row r="247" spans="1:1" x14ac:dyDescent="0.2">
      <c r="A247" s="13" t="s">
        <v>3103</v>
      </c>
    </row>
    <row r="248" spans="1:1" x14ac:dyDescent="0.2">
      <c r="A248" s="13" t="s">
        <v>1391</v>
      </c>
    </row>
    <row r="249" spans="1:1" x14ac:dyDescent="0.2">
      <c r="A249" s="13" t="s">
        <v>2356</v>
      </c>
    </row>
    <row r="250" spans="1:1" x14ac:dyDescent="0.2">
      <c r="A250" s="13" t="s">
        <v>2691</v>
      </c>
    </row>
    <row r="251" spans="1:1" x14ac:dyDescent="0.2">
      <c r="A251" s="13" t="s">
        <v>4259</v>
      </c>
    </row>
    <row r="252" spans="1:1" x14ac:dyDescent="0.2">
      <c r="A252" s="13" t="s">
        <v>3851</v>
      </c>
    </row>
    <row r="253" spans="1:1" x14ac:dyDescent="0.2">
      <c r="A253" s="13" t="s">
        <v>2425</v>
      </c>
    </row>
    <row r="254" spans="1:1" x14ac:dyDescent="0.2">
      <c r="A254" s="13" t="s">
        <v>4260</v>
      </c>
    </row>
    <row r="255" spans="1:1" x14ac:dyDescent="0.2">
      <c r="A255" s="13" t="s">
        <v>4261</v>
      </c>
    </row>
    <row r="256" spans="1:1" x14ac:dyDescent="0.2">
      <c r="A256" s="13" t="s">
        <v>1289</v>
      </c>
    </row>
    <row r="257" spans="1:1" x14ac:dyDescent="0.2">
      <c r="A257" s="13" t="s">
        <v>1555</v>
      </c>
    </row>
    <row r="258" spans="1:1" x14ac:dyDescent="0.2">
      <c r="A258" s="13" t="s">
        <v>2255</v>
      </c>
    </row>
    <row r="259" spans="1:1" x14ac:dyDescent="0.2">
      <c r="A259" s="13" t="s">
        <v>4262</v>
      </c>
    </row>
    <row r="260" spans="1:1" x14ac:dyDescent="0.2">
      <c r="A260" s="13" t="s">
        <v>568</v>
      </c>
    </row>
    <row r="261" spans="1:1" x14ac:dyDescent="0.2">
      <c r="A261" s="13" t="s">
        <v>4104</v>
      </c>
    </row>
    <row r="262" spans="1:1" x14ac:dyDescent="0.2">
      <c r="A262" s="13" t="s">
        <v>4263</v>
      </c>
    </row>
    <row r="263" spans="1:1" x14ac:dyDescent="0.2">
      <c r="A263" s="13" t="s">
        <v>1738</v>
      </c>
    </row>
    <row r="264" spans="1:1" x14ac:dyDescent="0.2">
      <c r="A264" s="13" t="s">
        <v>2060</v>
      </c>
    </row>
    <row r="265" spans="1:1" x14ac:dyDescent="0.2">
      <c r="A265" s="13" t="s">
        <v>3520</v>
      </c>
    </row>
    <row r="266" spans="1:1" x14ac:dyDescent="0.2">
      <c r="A266" s="13" t="s">
        <v>2757</v>
      </c>
    </row>
    <row r="267" spans="1:1" x14ac:dyDescent="0.2">
      <c r="A267" s="13" t="s">
        <v>3219</v>
      </c>
    </row>
    <row r="268" spans="1:1" x14ac:dyDescent="0.2">
      <c r="A268" s="13" t="s">
        <v>4264</v>
      </c>
    </row>
    <row r="269" spans="1:1" x14ac:dyDescent="0.2">
      <c r="A269" s="13" t="s">
        <v>3145</v>
      </c>
    </row>
    <row r="270" spans="1:1" x14ac:dyDescent="0.2">
      <c r="A270" s="13" t="s">
        <v>1030</v>
      </c>
    </row>
    <row r="271" spans="1:1" x14ac:dyDescent="0.2">
      <c r="A271" s="13" t="s">
        <v>3658</v>
      </c>
    </row>
    <row r="272" spans="1:1" x14ac:dyDescent="0.2">
      <c r="A272" s="13" t="s">
        <v>1041</v>
      </c>
    </row>
    <row r="273" spans="1:1" x14ac:dyDescent="0.2">
      <c r="A273" s="13" t="s">
        <v>3571</v>
      </c>
    </row>
    <row r="274" spans="1:1" x14ac:dyDescent="0.2">
      <c r="A274" s="13" t="s">
        <v>4265</v>
      </c>
    </row>
    <row r="275" spans="1:1" x14ac:dyDescent="0.2">
      <c r="A275" s="13" t="s">
        <v>4266</v>
      </c>
    </row>
    <row r="276" spans="1:1" x14ac:dyDescent="0.2">
      <c r="A276" s="13" t="s">
        <v>3033</v>
      </c>
    </row>
    <row r="277" spans="1:1" x14ac:dyDescent="0.2">
      <c r="A277" s="13" t="s">
        <v>4267</v>
      </c>
    </row>
    <row r="278" spans="1:1" x14ac:dyDescent="0.2">
      <c r="A278" s="13" t="s">
        <v>2608</v>
      </c>
    </row>
    <row r="279" spans="1:1" x14ac:dyDescent="0.2">
      <c r="A279" s="13" t="s">
        <v>1800</v>
      </c>
    </row>
    <row r="280" spans="1:1" x14ac:dyDescent="0.2">
      <c r="A280" s="13" t="s">
        <v>3952</v>
      </c>
    </row>
    <row r="281" spans="1:1" x14ac:dyDescent="0.2">
      <c r="A281" s="13" t="s">
        <v>3973</v>
      </c>
    </row>
    <row r="282" spans="1:1" x14ac:dyDescent="0.2">
      <c r="A282" s="13" t="s">
        <v>3839</v>
      </c>
    </row>
    <row r="283" spans="1:1" x14ac:dyDescent="0.2">
      <c r="A283" s="13" t="s">
        <v>916</v>
      </c>
    </row>
    <row r="284" spans="1:1" x14ac:dyDescent="0.2">
      <c r="A284" s="13" t="s">
        <v>1029</v>
      </c>
    </row>
    <row r="285" spans="1:1" x14ac:dyDescent="0.2">
      <c r="A285" s="13" t="s">
        <v>824</v>
      </c>
    </row>
    <row r="286" spans="1:1" x14ac:dyDescent="0.2">
      <c r="A286" s="13" t="s">
        <v>3871</v>
      </c>
    </row>
    <row r="287" spans="1:1" x14ac:dyDescent="0.2">
      <c r="A287" s="13" t="s">
        <v>4268</v>
      </c>
    </row>
    <row r="288" spans="1:1" x14ac:dyDescent="0.2">
      <c r="A288" s="13" t="s">
        <v>3808</v>
      </c>
    </row>
    <row r="289" spans="1:1" x14ac:dyDescent="0.2">
      <c r="A289" s="13" t="s">
        <v>1004</v>
      </c>
    </row>
    <row r="290" spans="1:1" x14ac:dyDescent="0.2">
      <c r="A290" s="13" t="s">
        <v>1223</v>
      </c>
    </row>
    <row r="291" spans="1:1" x14ac:dyDescent="0.2">
      <c r="A291" s="13" t="s">
        <v>254</v>
      </c>
    </row>
    <row r="292" spans="1:1" x14ac:dyDescent="0.2">
      <c r="A292" s="13" t="s">
        <v>4269</v>
      </c>
    </row>
    <row r="293" spans="1:1" x14ac:dyDescent="0.2">
      <c r="A293" s="13" t="s">
        <v>4270</v>
      </c>
    </row>
    <row r="294" spans="1:1" x14ac:dyDescent="0.2">
      <c r="A294" s="13" t="s">
        <v>2375</v>
      </c>
    </row>
    <row r="295" spans="1:1" x14ac:dyDescent="0.2">
      <c r="A295" s="13" t="s">
        <v>4271</v>
      </c>
    </row>
    <row r="296" spans="1:1" x14ac:dyDescent="0.2">
      <c r="A296" s="13" t="s">
        <v>3228</v>
      </c>
    </row>
    <row r="297" spans="1:1" x14ac:dyDescent="0.2">
      <c r="A297" s="13" t="s">
        <v>414</v>
      </c>
    </row>
    <row r="298" spans="1:1" x14ac:dyDescent="0.2">
      <c r="A298" s="13" t="s">
        <v>2616</v>
      </c>
    </row>
    <row r="299" spans="1:1" x14ac:dyDescent="0.2">
      <c r="A299" s="13" t="s">
        <v>4272</v>
      </c>
    </row>
    <row r="300" spans="1:1" x14ac:dyDescent="0.2">
      <c r="A300" s="13" t="s">
        <v>4273</v>
      </c>
    </row>
    <row r="301" spans="1:1" x14ac:dyDescent="0.2">
      <c r="A301" s="13" t="s">
        <v>4274</v>
      </c>
    </row>
    <row r="302" spans="1:1" x14ac:dyDescent="0.2">
      <c r="A302" s="13" t="s">
        <v>4275</v>
      </c>
    </row>
    <row r="303" spans="1:1" x14ac:dyDescent="0.2">
      <c r="A303" s="13" t="s">
        <v>2259</v>
      </c>
    </row>
    <row r="304" spans="1:1" x14ac:dyDescent="0.2">
      <c r="A304" s="13" t="s">
        <v>2885</v>
      </c>
    </row>
    <row r="305" spans="1:1" x14ac:dyDescent="0.2">
      <c r="A305" s="13" t="s">
        <v>2224</v>
      </c>
    </row>
    <row r="306" spans="1:1" x14ac:dyDescent="0.2">
      <c r="A306" s="13" t="s">
        <v>4276</v>
      </c>
    </row>
    <row r="307" spans="1:1" x14ac:dyDescent="0.2">
      <c r="A307" s="13" t="s">
        <v>485</v>
      </c>
    </row>
    <row r="308" spans="1:1" x14ac:dyDescent="0.2">
      <c r="A308" s="13" t="s">
        <v>4277</v>
      </c>
    </row>
    <row r="309" spans="1:1" x14ac:dyDescent="0.2">
      <c r="A309" s="13" t="s">
        <v>4278</v>
      </c>
    </row>
    <row r="310" spans="1:1" x14ac:dyDescent="0.2">
      <c r="A310" s="13" t="s">
        <v>2523</v>
      </c>
    </row>
    <row r="311" spans="1:1" x14ac:dyDescent="0.2">
      <c r="A311" s="13" t="s">
        <v>4279</v>
      </c>
    </row>
    <row r="312" spans="1:1" x14ac:dyDescent="0.2">
      <c r="A312" s="13" t="s">
        <v>1683</v>
      </c>
    </row>
    <row r="313" spans="1:1" x14ac:dyDescent="0.2">
      <c r="A313" s="13" t="s">
        <v>2278</v>
      </c>
    </row>
    <row r="314" spans="1:1" x14ac:dyDescent="0.2">
      <c r="A314" s="13" t="s">
        <v>826</v>
      </c>
    </row>
    <row r="315" spans="1:1" x14ac:dyDescent="0.2">
      <c r="A315" s="13" t="s">
        <v>4099</v>
      </c>
    </row>
    <row r="316" spans="1:1" x14ac:dyDescent="0.2">
      <c r="A316" s="13" t="s">
        <v>4280</v>
      </c>
    </row>
    <row r="317" spans="1:1" x14ac:dyDescent="0.2">
      <c r="A317" s="13" t="s">
        <v>4281</v>
      </c>
    </row>
    <row r="318" spans="1:1" x14ac:dyDescent="0.2">
      <c r="A318" s="13" t="s">
        <v>2553</v>
      </c>
    </row>
    <row r="319" spans="1:1" x14ac:dyDescent="0.2">
      <c r="A319" s="13" t="s">
        <v>701</v>
      </c>
    </row>
    <row r="320" spans="1:1" x14ac:dyDescent="0.2">
      <c r="A320" s="13" t="s">
        <v>4282</v>
      </c>
    </row>
    <row r="321" spans="1:1" x14ac:dyDescent="0.2">
      <c r="A321" s="13" t="s">
        <v>879</v>
      </c>
    </row>
    <row r="322" spans="1:1" x14ac:dyDescent="0.2">
      <c r="A322" s="13" t="s">
        <v>4283</v>
      </c>
    </row>
    <row r="323" spans="1:1" x14ac:dyDescent="0.2">
      <c r="A323" s="13" t="s">
        <v>553</v>
      </c>
    </row>
    <row r="324" spans="1:1" x14ac:dyDescent="0.2">
      <c r="A324" s="13" t="s">
        <v>4284</v>
      </c>
    </row>
    <row r="325" spans="1:1" x14ac:dyDescent="0.2">
      <c r="A325" s="13" t="s">
        <v>753</v>
      </c>
    </row>
    <row r="326" spans="1:1" x14ac:dyDescent="0.2">
      <c r="A326" s="13" t="s">
        <v>4285</v>
      </c>
    </row>
    <row r="327" spans="1:1" x14ac:dyDescent="0.2">
      <c r="A327" s="13" t="s">
        <v>3323</v>
      </c>
    </row>
    <row r="328" spans="1:1" x14ac:dyDescent="0.2">
      <c r="A328" s="13" t="s">
        <v>1897</v>
      </c>
    </row>
    <row r="329" spans="1:1" x14ac:dyDescent="0.2">
      <c r="A329" s="13" t="s">
        <v>463</v>
      </c>
    </row>
    <row r="330" spans="1:1" x14ac:dyDescent="0.2">
      <c r="A330" s="13" t="s">
        <v>3275</v>
      </c>
    </row>
    <row r="331" spans="1:1" x14ac:dyDescent="0.2">
      <c r="A331" s="13" t="s">
        <v>2290</v>
      </c>
    </row>
    <row r="332" spans="1:1" x14ac:dyDescent="0.2">
      <c r="A332" s="13" t="s">
        <v>2028</v>
      </c>
    </row>
    <row r="333" spans="1:1" x14ac:dyDescent="0.2">
      <c r="A333" s="13" t="s">
        <v>4044</v>
      </c>
    </row>
    <row r="334" spans="1:1" x14ac:dyDescent="0.2">
      <c r="A334" s="13" t="s">
        <v>4286</v>
      </c>
    </row>
    <row r="335" spans="1:1" x14ac:dyDescent="0.2">
      <c r="A335" s="13" t="s">
        <v>3371</v>
      </c>
    </row>
    <row r="336" spans="1:1" x14ac:dyDescent="0.2">
      <c r="A336" s="13" t="s">
        <v>232</v>
      </c>
    </row>
    <row r="337" spans="1:1" x14ac:dyDescent="0.2">
      <c r="A337" s="13" t="s">
        <v>4070</v>
      </c>
    </row>
    <row r="338" spans="1:1" x14ac:dyDescent="0.2">
      <c r="A338" s="13" t="s">
        <v>1987</v>
      </c>
    </row>
    <row r="339" spans="1:1" x14ac:dyDescent="0.2">
      <c r="A339" s="13" t="s">
        <v>3002</v>
      </c>
    </row>
    <row r="340" spans="1:1" x14ac:dyDescent="0.2">
      <c r="A340" s="13" t="s">
        <v>456</v>
      </c>
    </row>
    <row r="341" spans="1:1" x14ac:dyDescent="0.2">
      <c r="A341" s="13" t="s">
        <v>4287</v>
      </c>
    </row>
    <row r="342" spans="1:1" x14ac:dyDescent="0.2">
      <c r="A342" s="13" t="s">
        <v>4288</v>
      </c>
    </row>
    <row r="343" spans="1:1" x14ac:dyDescent="0.2">
      <c r="A343" s="13" t="s">
        <v>4117</v>
      </c>
    </row>
    <row r="344" spans="1:1" x14ac:dyDescent="0.2">
      <c r="A344" s="13" t="s">
        <v>1103</v>
      </c>
    </row>
    <row r="345" spans="1:1" x14ac:dyDescent="0.2">
      <c r="A345" s="13" t="s">
        <v>705</v>
      </c>
    </row>
    <row r="346" spans="1:1" x14ac:dyDescent="0.2">
      <c r="A346" s="13" t="s">
        <v>3425</v>
      </c>
    </row>
    <row r="347" spans="1:1" x14ac:dyDescent="0.2">
      <c r="A347" s="13" t="s">
        <v>2721</v>
      </c>
    </row>
    <row r="348" spans="1:1" x14ac:dyDescent="0.2">
      <c r="A348" s="13" t="s">
        <v>3042</v>
      </c>
    </row>
    <row r="349" spans="1:1" x14ac:dyDescent="0.2">
      <c r="A349" s="13" t="s">
        <v>2380</v>
      </c>
    </row>
    <row r="350" spans="1:1" x14ac:dyDescent="0.2">
      <c r="A350" s="13" t="s">
        <v>2973</v>
      </c>
    </row>
    <row r="351" spans="1:1" x14ac:dyDescent="0.2">
      <c r="A351" s="13" t="s">
        <v>1633</v>
      </c>
    </row>
    <row r="352" spans="1:1" x14ac:dyDescent="0.2">
      <c r="A352" s="13" t="s">
        <v>4289</v>
      </c>
    </row>
    <row r="353" spans="1:1" x14ac:dyDescent="0.2">
      <c r="A353" s="13" t="s">
        <v>4290</v>
      </c>
    </row>
    <row r="354" spans="1:1" x14ac:dyDescent="0.2">
      <c r="A354" s="13" t="s">
        <v>4291</v>
      </c>
    </row>
    <row r="355" spans="1:1" x14ac:dyDescent="0.2">
      <c r="A355" s="13" t="s">
        <v>2515</v>
      </c>
    </row>
    <row r="356" spans="1:1" x14ac:dyDescent="0.2">
      <c r="A356" s="13" t="s">
        <v>4292</v>
      </c>
    </row>
    <row r="357" spans="1:1" x14ac:dyDescent="0.2">
      <c r="A357" s="13" t="s">
        <v>1785</v>
      </c>
    </row>
    <row r="358" spans="1:1" x14ac:dyDescent="0.2">
      <c r="A358" s="13" t="s">
        <v>2630</v>
      </c>
    </row>
    <row r="359" spans="1:1" x14ac:dyDescent="0.2">
      <c r="A359" s="13" t="s">
        <v>1676</v>
      </c>
    </row>
    <row r="360" spans="1:1" x14ac:dyDescent="0.2">
      <c r="A360" s="13" t="s">
        <v>3574</v>
      </c>
    </row>
    <row r="361" spans="1:1" x14ac:dyDescent="0.2">
      <c r="A361" s="13" t="s">
        <v>4293</v>
      </c>
    </row>
    <row r="362" spans="1:1" x14ac:dyDescent="0.2">
      <c r="A362" s="13" t="s">
        <v>2853</v>
      </c>
    </row>
    <row r="363" spans="1:1" x14ac:dyDescent="0.2">
      <c r="A363" s="13" t="s">
        <v>1440</v>
      </c>
    </row>
    <row r="364" spans="1:1" x14ac:dyDescent="0.2">
      <c r="A364" s="13" t="s">
        <v>688</v>
      </c>
    </row>
    <row r="365" spans="1:1" x14ac:dyDescent="0.2">
      <c r="A365" s="13" t="s">
        <v>188</v>
      </c>
    </row>
    <row r="366" spans="1:1" x14ac:dyDescent="0.2">
      <c r="A366" s="13" t="s">
        <v>1128</v>
      </c>
    </row>
    <row r="367" spans="1:1" x14ac:dyDescent="0.2">
      <c r="A367" s="13" t="s">
        <v>3557</v>
      </c>
    </row>
    <row r="368" spans="1:1" x14ac:dyDescent="0.2">
      <c r="A368" s="13" t="s">
        <v>4294</v>
      </c>
    </row>
    <row r="369" spans="1:1" x14ac:dyDescent="0.2">
      <c r="A369" s="13" t="s">
        <v>1243</v>
      </c>
    </row>
    <row r="370" spans="1:1" x14ac:dyDescent="0.2">
      <c r="A370" s="13" t="s">
        <v>4295</v>
      </c>
    </row>
    <row r="371" spans="1:1" x14ac:dyDescent="0.2">
      <c r="A371" s="13" t="s">
        <v>4296</v>
      </c>
    </row>
    <row r="372" spans="1:1" x14ac:dyDescent="0.2">
      <c r="A372" s="13" t="s">
        <v>4297</v>
      </c>
    </row>
    <row r="373" spans="1:1" x14ac:dyDescent="0.2">
      <c r="A373" s="13" t="s">
        <v>4298</v>
      </c>
    </row>
    <row r="374" spans="1:1" x14ac:dyDescent="0.2">
      <c r="A374" s="13" t="s">
        <v>729</v>
      </c>
    </row>
    <row r="375" spans="1:1" x14ac:dyDescent="0.2">
      <c r="A375" s="13" t="s">
        <v>2143</v>
      </c>
    </row>
    <row r="376" spans="1:1" x14ac:dyDescent="0.2">
      <c r="A376" s="13" t="s">
        <v>4299</v>
      </c>
    </row>
    <row r="377" spans="1:1" x14ac:dyDescent="0.2">
      <c r="A377" s="13" t="s">
        <v>2817</v>
      </c>
    </row>
    <row r="378" spans="1:1" x14ac:dyDescent="0.2">
      <c r="A378" s="13" t="s">
        <v>4300</v>
      </c>
    </row>
    <row r="379" spans="1:1" x14ac:dyDescent="0.2">
      <c r="A379" s="13" t="s">
        <v>4301</v>
      </c>
    </row>
    <row r="380" spans="1:1" x14ac:dyDescent="0.2">
      <c r="A380" s="13" t="s">
        <v>4302</v>
      </c>
    </row>
    <row r="381" spans="1:1" x14ac:dyDescent="0.2">
      <c r="A381" s="13" t="s">
        <v>4303</v>
      </c>
    </row>
    <row r="382" spans="1:1" x14ac:dyDescent="0.2">
      <c r="A382" s="13" t="s">
        <v>4304</v>
      </c>
    </row>
    <row r="383" spans="1:1" x14ac:dyDescent="0.2">
      <c r="A383" s="13" t="s">
        <v>3267</v>
      </c>
    </row>
    <row r="384" spans="1:1" x14ac:dyDescent="0.2">
      <c r="A384" s="13" t="s">
        <v>4069</v>
      </c>
    </row>
    <row r="385" spans="1:1" x14ac:dyDescent="0.2">
      <c r="A385" s="13" t="s">
        <v>4305</v>
      </c>
    </row>
    <row r="386" spans="1:1" x14ac:dyDescent="0.2">
      <c r="A386" s="13" t="s">
        <v>4306</v>
      </c>
    </row>
    <row r="387" spans="1:1" x14ac:dyDescent="0.2">
      <c r="A387" s="13" t="s">
        <v>506</v>
      </c>
    </row>
    <row r="388" spans="1:1" x14ac:dyDescent="0.2">
      <c r="A388" s="13" t="s">
        <v>3039</v>
      </c>
    </row>
    <row r="389" spans="1:1" x14ac:dyDescent="0.2">
      <c r="A389" s="13" t="s">
        <v>4307</v>
      </c>
    </row>
    <row r="390" spans="1:1" x14ac:dyDescent="0.2">
      <c r="A390" s="13" t="s">
        <v>3354</v>
      </c>
    </row>
    <row r="391" spans="1:1" x14ac:dyDescent="0.2">
      <c r="A391" s="13" t="s">
        <v>2410</v>
      </c>
    </row>
    <row r="392" spans="1:1" x14ac:dyDescent="0.2">
      <c r="A392" s="13" t="s">
        <v>3181</v>
      </c>
    </row>
    <row r="393" spans="1:1" x14ac:dyDescent="0.2">
      <c r="A393" s="13" t="s">
        <v>1572</v>
      </c>
    </row>
    <row r="394" spans="1:1" x14ac:dyDescent="0.2">
      <c r="A394" s="13" t="s">
        <v>4160</v>
      </c>
    </row>
    <row r="395" spans="1:1" x14ac:dyDescent="0.2">
      <c r="A395" s="13" t="s">
        <v>4308</v>
      </c>
    </row>
    <row r="396" spans="1:1" x14ac:dyDescent="0.2">
      <c r="A396" s="13" t="s">
        <v>2138</v>
      </c>
    </row>
    <row r="397" spans="1:1" x14ac:dyDescent="0.2">
      <c r="A397" s="13" t="s">
        <v>3635</v>
      </c>
    </row>
    <row r="398" spans="1:1" x14ac:dyDescent="0.2">
      <c r="A398" s="13" t="s">
        <v>1532</v>
      </c>
    </row>
    <row r="399" spans="1:1" x14ac:dyDescent="0.2">
      <c r="A399" s="13" t="s">
        <v>234</v>
      </c>
    </row>
    <row r="400" spans="1:1" x14ac:dyDescent="0.2">
      <c r="A400" s="13" t="s">
        <v>2689</v>
      </c>
    </row>
    <row r="401" spans="1:1" x14ac:dyDescent="0.2">
      <c r="A401" s="13" t="s">
        <v>2037</v>
      </c>
    </row>
    <row r="402" spans="1:1" x14ac:dyDescent="0.2">
      <c r="A402" s="13" t="s">
        <v>4309</v>
      </c>
    </row>
    <row r="403" spans="1:1" x14ac:dyDescent="0.2">
      <c r="A403" s="13" t="s">
        <v>1046</v>
      </c>
    </row>
    <row r="404" spans="1:1" x14ac:dyDescent="0.2">
      <c r="A404" s="13" t="s">
        <v>441</v>
      </c>
    </row>
    <row r="405" spans="1:1" x14ac:dyDescent="0.2">
      <c r="A405" s="13" t="s">
        <v>4310</v>
      </c>
    </row>
    <row r="406" spans="1:1" x14ac:dyDescent="0.2">
      <c r="A406" s="13" t="s">
        <v>1949</v>
      </c>
    </row>
    <row r="407" spans="1:1" x14ac:dyDescent="0.2">
      <c r="A407" s="13" t="s">
        <v>4311</v>
      </c>
    </row>
    <row r="408" spans="1:1" x14ac:dyDescent="0.2">
      <c r="A408" s="13" t="s">
        <v>2740</v>
      </c>
    </row>
    <row r="409" spans="1:1" x14ac:dyDescent="0.2">
      <c r="A409" s="13" t="s">
        <v>3568</v>
      </c>
    </row>
    <row r="410" spans="1:1" x14ac:dyDescent="0.2">
      <c r="A410" s="13" t="s">
        <v>605</v>
      </c>
    </row>
    <row r="411" spans="1:1" x14ac:dyDescent="0.2">
      <c r="A411" s="13" t="s">
        <v>4312</v>
      </c>
    </row>
    <row r="412" spans="1:1" x14ac:dyDescent="0.2">
      <c r="A412" s="13" t="s">
        <v>1637</v>
      </c>
    </row>
    <row r="413" spans="1:1" x14ac:dyDescent="0.2">
      <c r="A413" s="13" t="s">
        <v>3921</v>
      </c>
    </row>
    <row r="414" spans="1:1" x14ac:dyDescent="0.2">
      <c r="A414" s="13" t="s">
        <v>4313</v>
      </c>
    </row>
    <row r="415" spans="1:1" x14ac:dyDescent="0.2">
      <c r="A415" s="13" t="s">
        <v>4314</v>
      </c>
    </row>
    <row r="416" spans="1:1" x14ac:dyDescent="0.2">
      <c r="A416" s="13" t="s">
        <v>709</v>
      </c>
    </row>
    <row r="417" spans="1:1" x14ac:dyDescent="0.2">
      <c r="A417" s="13" t="s">
        <v>3085</v>
      </c>
    </row>
    <row r="418" spans="1:1" x14ac:dyDescent="0.2">
      <c r="A418" s="13" t="s">
        <v>1234</v>
      </c>
    </row>
    <row r="419" spans="1:1" x14ac:dyDescent="0.2">
      <c r="A419" s="13" t="s">
        <v>440</v>
      </c>
    </row>
    <row r="420" spans="1:1" x14ac:dyDescent="0.2">
      <c r="A420" s="13" t="s">
        <v>643</v>
      </c>
    </row>
    <row r="421" spans="1:1" x14ac:dyDescent="0.2">
      <c r="A421" s="13" t="s">
        <v>3936</v>
      </c>
    </row>
    <row r="422" spans="1:1" x14ac:dyDescent="0.2">
      <c r="A422" s="13" t="s">
        <v>2814</v>
      </c>
    </row>
    <row r="423" spans="1:1" x14ac:dyDescent="0.2">
      <c r="A423" s="13" t="s">
        <v>2422</v>
      </c>
    </row>
    <row r="424" spans="1:1" x14ac:dyDescent="0.2">
      <c r="A424" s="13" t="s">
        <v>2230</v>
      </c>
    </row>
    <row r="425" spans="1:1" x14ac:dyDescent="0.2">
      <c r="A425" s="13" t="s">
        <v>4315</v>
      </c>
    </row>
    <row r="426" spans="1:1" x14ac:dyDescent="0.2">
      <c r="A426" s="13" t="s">
        <v>2984</v>
      </c>
    </row>
    <row r="427" spans="1:1" x14ac:dyDescent="0.2">
      <c r="A427" s="13" t="s">
        <v>820</v>
      </c>
    </row>
    <row r="428" spans="1:1" x14ac:dyDescent="0.2">
      <c r="A428" s="13" t="s">
        <v>3649</v>
      </c>
    </row>
    <row r="429" spans="1:1" x14ac:dyDescent="0.2">
      <c r="A429" s="13" t="s">
        <v>3044</v>
      </c>
    </row>
    <row r="430" spans="1:1" x14ac:dyDescent="0.2">
      <c r="A430" s="13" t="s">
        <v>1607</v>
      </c>
    </row>
    <row r="431" spans="1:1" x14ac:dyDescent="0.2">
      <c r="A431" s="13" t="s">
        <v>4316</v>
      </c>
    </row>
    <row r="432" spans="1:1" x14ac:dyDescent="0.2">
      <c r="A432" s="13" t="s">
        <v>4317</v>
      </c>
    </row>
    <row r="433" spans="1:1" x14ac:dyDescent="0.2">
      <c r="A433" s="13" t="s">
        <v>1249</v>
      </c>
    </row>
    <row r="434" spans="1:1" x14ac:dyDescent="0.2">
      <c r="A434" s="13" t="s">
        <v>4318</v>
      </c>
    </row>
    <row r="435" spans="1:1" x14ac:dyDescent="0.2">
      <c r="A435" s="13" t="s">
        <v>2233</v>
      </c>
    </row>
    <row r="436" spans="1:1" x14ac:dyDescent="0.2">
      <c r="A436" s="13" t="s">
        <v>1553</v>
      </c>
    </row>
    <row r="437" spans="1:1" x14ac:dyDescent="0.2">
      <c r="A437" s="13" t="s">
        <v>3056</v>
      </c>
    </row>
    <row r="438" spans="1:1" x14ac:dyDescent="0.2">
      <c r="A438" s="13" t="s">
        <v>4319</v>
      </c>
    </row>
    <row r="439" spans="1:1" x14ac:dyDescent="0.2">
      <c r="A439" s="13" t="s">
        <v>606</v>
      </c>
    </row>
    <row r="440" spans="1:1" x14ac:dyDescent="0.2">
      <c r="A440" s="13" t="s">
        <v>4320</v>
      </c>
    </row>
    <row r="441" spans="1:1" x14ac:dyDescent="0.2">
      <c r="A441" s="13" t="s">
        <v>1365</v>
      </c>
    </row>
    <row r="442" spans="1:1" x14ac:dyDescent="0.2">
      <c r="A442" s="13" t="s">
        <v>3158</v>
      </c>
    </row>
    <row r="443" spans="1:1" x14ac:dyDescent="0.2">
      <c r="A443" s="13" t="s">
        <v>4321</v>
      </c>
    </row>
    <row r="444" spans="1:1" x14ac:dyDescent="0.2">
      <c r="A444" s="13" t="s">
        <v>4322</v>
      </c>
    </row>
    <row r="445" spans="1:1" x14ac:dyDescent="0.2">
      <c r="A445" s="13" t="s">
        <v>1474</v>
      </c>
    </row>
    <row r="446" spans="1:1" x14ac:dyDescent="0.2">
      <c r="A446" s="13" t="s">
        <v>4323</v>
      </c>
    </row>
    <row r="447" spans="1:1" x14ac:dyDescent="0.2">
      <c r="A447" s="13" t="s">
        <v>3015</v>
      </c>
    </row>
    <row r="448" spans="1:1" x14ac:dyDescent="0.2">
      <c r="A448" s="13" t="s">
        <v>4324</v>
      </c>
    </row>
    <row r="449" spans="1:1" x14ac:dyDescent="0.2">
      <c r="A449" s="13" t="s">
        <v>1461</v>
      </c>
    </row>
    <row r="450" spans="1:1" x14ac:dyDescent="0.2">
      <c r="A450" s="13" t="s">
        <v>2888</v>
      </c>
    </row>
    <row r="451" spans="1:1" x14ac:dyDescent="0.2">
      <c r="A451" s="13" t="s">
        <v>1802</v>
      </c>
    </row>
    <row r="452" spans="1:1" x14ac:dyDescent="0.2">
      <c r="A452" s="13" t="s">
        <v>4325</v>
      </c>
    </row>
    <row r="453" spans="1:1" x14ac:dyDescent="0.2">
      <c r="A453" s="13" t="s">
        <v>4326</v>
      </c>
    </row>
    <row r="454" spans="1:1" x14ac:dyDescent="0.2">
      <c r="A454" s="13" t="s">
        <v>4327</v>
      </c>
    </row>
    <row r="455" spans="1:1" x14ac:dyDescent="0.2">
      <c r="A455" s="13" t="s">
        <v>4328</v>
      </c>
    </row>
    <row r="456" spans="1:1" x14ac:dyDescent="0.2">
      <c r="A456" s="13" t="s">
        <v>4052</v>
      </c>
    </row>
    <row r="457" spans="1:1" x14ac:dyDescent="0.2">
      <c r="A457" s="13" t="s">
        <v>1146</v>
      </c>
    </row>
    <row r="458" spans="1:1" x14ac:dyDescent="0.2">
      <c r="A458" s="13" t="s">
        <v>4329</v>
      </c>
    </row>
    <row r="459" spans="1:1" x14ac:dyDescent="0.2">
      <c r="A459" s="13" t="s">
        <v>4330</v>
      </c>
    </row>
    <row r="460" spans="1:1" x14ac:dyDescent="0.2">
      <c r="A460" s="13" t="s">
        <v>2528</v>
      </c>
    </row>
    <row r="461" spans="1:1" x14ac:dyDescent="0.2">
      <c r="A461" s="13" t="s">
        <v>687</v>
      </c>
    </row>
    <row r="462" spans="1:1" x14ac:dyDescent="0.2">
      <c r="A462" s="13" t="s">
        <v>647</v>
      </c>
    </row>
    <row r="463" spans="1:1" x14ac:dyDescent="0.2">
      <c r="A463" s="13" t="s">
        <v>1210</v>
      </c>
    </row>
    <row r="464" spans="1:1" x14ac:dyDescent="0.2">
      <c r="A464" s="13" t="s">
        <v>4331</v>
      </c>
    </row>
    <row r="465" spans="1:1" x14ac:dyDescent="0.2">
      <c r="A465" s="13" t="s">
        <v>4332</v>
      </c>
    </row>
    <row r="466" spans="1:1" x14ac:dyDescent="0.2">
      <c r="A466" s="13" t="s">
        <v>2310</v>
      </c>
    </row>
    <row r="467" spans="1:1" x14ac:dyDescent="0.2">
      <c r="A467" s="13" t="s">
        <v>2088</v>
      </c>
    </row>
    <row r="468" spans="1:1" x14ac:dyDescent="0.2">
      <c r="A468" s="13" t="s">
        <v>3753</v>
      </c>
    </row>
    <row r="469" spans="1:1" x14ac:dyDescent="0.2">
      <c r="A469" s="13" t="s">
        <v>3496</v>
      </c>
    </row>
    <row r="470" spans="1:1" x14ac:dyDescent="0.2">
      <c r="A470" s="13" t="s">
        <v>4333</v>
      </c>
    </row>
    <row r="471" spans="1:1" x14ac:dyDescent="0.2">
      <c r="A471" s="13" t="s">
        <v>4334</v>
      </c>
    </row>
    <row r="472" spans="1:1" x14ac:dyDescent="0.2">
      <c r="A472" s="13" t="s">
        <v>2606</v>
      </c>
    </row>
    <row r="473" spans="1:1" x14ac:dyDescent="0.2">
      <c r="A473" s="13" t="s">
        <v>4335</v>
      </c>
    </row>
    <row r="474" spans="1:1" x14ac:dyDescent="0.2">
      <c r="A474" s="13" t="s">
        <v>4336</v>
      </c>
    </row>
    <row r="475" spans="1:1" x14ac:dyDescent="0.2">
      <c r="A475" s="13" t="s">
        <v>3012</v>
      </c>
    </row>
    <row r="476" spans="1:1" x14ac:dyDescent="0.2">
      <c r="A476" s="13" t="s">
        <v>3307</v>
      </c>
    </row>
    <row r="477" spans="1:1" x14ac:dyDescent="0.2">
      <c r="A477" s="13" t="s">
        <v>1961</v>
      </c>
    </row>
    <row r="478" spans="1:1" x14ac:dyDescent="0.2">
      <c r="A478" s="13" t="s">
        <v>335</v>
      </c>
    </row>
    <row r="479" spans="1:1" x14ac:dyDescent="0.2">
      <c r="A479" s="13" t="s">
        <v>4337</v>
      </c>
    </row>
    <row r="480" spans="1:1" x14ac:dyDescent="0.2">
      <c r="A480" s="13" t="s">
        <v>3166</v>
      </c>
    </row>
    <row r="481" spans="1:1" x14ac:dyDescent="0.2">
      <c r="A481" s="13" t="s">
        <v>1901</v>
      </c>
    </row>
    <row r="482" spans="1:1" x14ac:dyDescent="0.2">
      <c r="A482" s="13" t="s">
        <v>2965</v>
      </c>
    </row>
    <row r="483" spans="1:1" x14ac:dyDescent="0.2">
      <c r="A483" s="13" t="s">
        <v>2474</v>
      </c>
    </row>
    <row r="484" spans="1:1" x14ac:dyDescent="0.2">
      <c r="A484" s="13" t="s">
        <v>4338</v>
      </c>
    </row>
    <row r="485" spans="1:1" x14ac:dyDescent="0.2">
      <c r="A485" s="13" t="s">
        <v>4339</v>
      </c>
    </row>
    <row r="486" spans="1:1" x14ac:dyDescent="0.2">
      <c r="A486" s="13" t="s">
        <v>3316</v>
      </c>
    </row>
    <row r="487" spans="1:1" x14ac:dyDescent="0.2">
      <c r="A487" s="13" t="s">
        <v>4340</v>
      </c>
    </row>
    <row r="488" spans="1:1" x14ac:dyDescent="0.2">
      <c r="A488" s="13" t="s">
        <v>4341</v>
      </c>
    </row>
    <row r="489" spans="1:1" x14ac:dyDescent="0.2">
      <c r="A489" s="13" t="s">
        <v>4171</v>
      </c>
    </row>
    <row r="490" spans="1:1" x14ac:dyDescent="0.2">
      <c r="A490" s="13" t="s">
        <v>1508</v>
      </c>
    </row>
    <row r="491" spans="1:1" x14ac:dyDescent="0.2">
      <c r="A491" s="13" t="s">
        <v>4342</v>
      </c>
    </row>
    <row r="492" spans="1:1" x14ac:dyDescent="0.2">
      <c r="A492" s="13" t="s">
        <v>1843</v>
      </c>
    </row>
    <row r="493" spans="1:1" x14ac:dyDescent="0.2">
      <c r="A493" s="13" t="s">
        <v>1460</v>
      </c>
    </row>
    <row r="494" spans="1:1" x14ac:dyDescent="0.2">
      <c r="A494" s="13" t="s">
        <v>4343</v>
      </c>
    </row>
    <row r="495" spans="1:1" x14ac:dyDescent="0.2">
      <c r="A495" s="13" t="s">
        <v>4344</v>
      </c>
    </row>
    <row r="496" spans="1:1" x14ac:dyDescent="0.2">
      <c r="A496" s="13" t="s">
        <v>4345</v>
      </c>
    </row>
    <row r="497" spans="1:1" x14ac:dyDescent="0.2">
      <c r="A497" s="13" t="s">
        <v>2510</v>
      </c>
    </row>
    <row r="498" spans="1:1" x14ac:dyDescent="0.2">
      <c r="A498" s="13" t="s">
        <v>484</v>
      </c>
    </row>
    <row r="499" spans="1:1" x14ac:dyDescent="0.2">
      <c r="A499" s="13" t="s">
        <v>3913</v>
      </c>
    </row>
    <row r="500" spans="1:1" x14ac:dyDescent="0.2">
      <c r="A500" s="13" t="s">
        <v>3108</v>
      </c>
    </row>
    <row r="501" spans="1:1" x14ac:dyDescent="0.2">
      <c r="A501" s="13" t="s">
        <v>3269</v>
      </c>
    </row>
    <row r="502" spans="1:1" x14ac:dyDescent="0.2">
      <c r="A502" s="13" t="s">
        <v>3788</v>
      </c>
    </row>
    <row r="503" spans="1:1" x14ac:dyDescent="0.2">
      <c r="A503" s="13" t="s">
        <v>3758</v>
      </c>
    </row>
    <row r="504" spans="1:1" x14ac:dyDescent="0.2">
      <c r="A504" s="13" t="s">
        <v>1896</v>
      </c>
    </row>
    <row r="505" spans="1:1" x14ac:dyDescent="0.2">
      <c r="A505" s="13" t="s">
        <v>2030</v>
      </c>
    </row>
    <row r="506" spans="1:1" x14ac:dyDescent="0.2">
      <c r="A506" s="13" t="s">
        <v>4346</v>
      </c>
    </row>
    <row r="507" spans="1:1" x14ac:dyDescent="0.2">
      <c r="A507" s="13" t="s">
        <v>1947</v>
      </c>
    </row>
    <row r="508" spans="1:1" x14ac:dyDescent="0.2">
      <c r="A508" s="13" t="s">
        <v>2303</v>
      </c>
    </row>
    <row r="509" spans="1:1" x14ac:dyDescent="0.2">
      <c r="A509" s="13" t="s">
        <v>4347</v>
      </c>
    </row>
    <row r="510" spans="1:1" x14ac:dyDescent="0.2">
      <c r="A510" s="13" t="s">
        <v>455</v>
      </c>
    </row>
    <row r="511" spans="1:1" x14ac:dyDescent="0.2">
      <c r="A511" s="13" t="s">
        <v>3827</v>
      </c>
    </row>
    <row r="512" spans="1:1" x14ac:dyDescent="0.2">
      <c r="A512" s="13" t="s">
        <v>1502</v>
      </c>
    </row>
    <row r="513" spans="1:1" x14ac:dyDescent="0.2">
      <c r="A513" s="13" t="s">
        <v>3073</v>
      </c>
    </row>
    <row r="514" spans="1:1" x14ac:dyDescent="0.2">
      <c r="A514" s="13" t="s">
        <v>2926</v>
      </c>
    </row>
    <row r="515" spans="1:1" x14ac:dyDescent="0.2">
      <c r="A515" s="13" t="s">
        <v>3265</v>
      </c>
    </row>
    <row r="516" spans="1:1" x14ac:dyDescent="0.2">
      <c r="A516" s="13" t="s">
        <v>3244</v>
      </c>
    </row>
    <row r="517" spans="1:1" x14ac:dyDescent="0.2">
      <c r="A517" s="13" t="s">
        <v>2385</v>
      </c>
    </row>
    <row r="518" spans="1:1" x14ac:dyDescent="0.2">
      <c r="A518" s="13" t="s">
        <v>4348</v>
      </c>
    </row>
    <row r="519" spans="1:1" x14ac:dyDescent="0.2">
      <c r="A519" s="13" t="s">
        <v>4349</v>
      </c>
    </row>
    <row r="520" spans="1:1" x14ac:dyDescent="0.2">
      <c r="A520" s="13" t="s">
        <v>4350</v>
      </c>
    </row>
    <row r="521" spans="1:1" x14ac:dyDescent="0.2">
      <c r="A521" s="13" t="s">
        <v>2426</v>
      </c>
    </row>
    <row r="522" spans="1:1" x14ac:dyDescent="0.2">
      <c r="A522" s="13" t="s">
        <v>2807</v>
      </c>
    </row>
    <row r="523" spans="1:1" x14ac:dyDescent="0.2">
      <c r="A523" s="13" t="s">
        <v>799</v>
      </c>
    </row>
    <row r="524" spans="1:1" x14ac:dyDescent="0.2">
      <c r="A524" s="13" t="s">
        <v>1282</v>
      </c>
    </row>
    <row r="525" spans="1:1" x14ac:dyDescent="0.2">
      <c r="A525" s="13" t="s">
        <v>968</v>
      </c>
    </row>
    <row r="526" spans="1:1" x14ac:dyDescent="0.2">
      <c r="A526" s="13" t="s">
        <v>3218</v>
      </c>
    </row>
    <row r="527" spans="1:1" x14ac:dyDescent="0.2">
      <c r="A527" s="13" t="s">
        <v>4351</v>
      </c>
    </row>
    <row r="528" spans="1:1" x14ac:dyDescent="0.2">
      <c r="A528" s="13" t="s">
        <v>627</v>
      </c>
    </row>
    <row r="529" spans="1:1" x14ac:dyDescent="0.2">
      <c r="A529" s="13" t="s">
        <v>1014</v>
      </c>
    </row>
    <row r="530" spans="1:1" x14ac:dyDescent="0.2">
      <c r="A530" s="13" t="s">
        <v>2478</v>
      </c>
    </row>
    <row r="531" spans="1:1" x14ac:dyDescent="0.2">
      <c r="A531" s="13" t="s">
        <v>3564</v>
      </c>
    </row>
    <row r="532" spans="1:1" x14ac:dyDescent="0.2">
      <c r="A532" s="13" t="s">
        <v>4149</v>
      </c>
    </row>
    <row r="533" spans="1:1" x14ac:dyDescent="0.2">
      <c r="A533" s="13" t="s">
        <v>1783</v>
      </c>
    </row>
    <row r="534" spans="1:1" x14ac:dyDescent="0.2">
      <c r="A534" s="13" t="s">
        <v>4352</v>
      </c>
    </row>
    <row r="535" spans="1:1" x14ac:dyDescent="0.2">
      <c r="A535" s="13" t="s">
        <v>3406</v>
      </c>
    </row>
    <row r="536" spans="1:1" x14ac:dyDescent="0.2">
      <c r="A536" s="13" t="s">
        <v>3072</v>
      </c>
    </row>
    <row r="537" spans="1:1" x14ac:dyDescent="0.2">
      <c r="A537" s="13" t="s">
        <v>1425</v>
      </c>
    </row>
    <row r="538" spans="1:1" x14ac:dyDescent="0.2">
      <c r="A538" s="13" t="s">
        <v>4353</v>
      </c>
    </row>
    <row r="539" spans="1:1" x14ac:dyDescent="0.2">
      <c r="A539" s="13" t="s">
        <v>2268</v>
      </c>
    </row>
    <row r="540" spans="1:1" x14ac:dyDescent="0.2">
      <c r="A540" s="13" t="s">
        <v>1392</v>
      </c>
    </row>
    <row r="541" spans="1:1" x14ac:dyDescent="0.2">
      <c r="A541" s="13" t="s">
        <v>3211</v>
      </c>
    </row>
    <row r="542" spans="1:1" x14ac:dyDescent="0.2">
      <c r="A542" s="13" t="s">
        <v>2802</v>
      </c>
    </row>
    <row r="543" spans="1:1" x14ac:dyDescent="0.2">
      <c r="A543" s="13" t="s">
        <v>547</v>
      </c>
    </row>
    <row r="544" spans="1:1" x14ac:dyDescent="0.2">
      <c r="A544" s="13" t="s">
        <v>4354</v>
      </c>
    </row>
    <row r="545" spans="1:1" x14ac:dyDescent="0.2">
      <c r="A545" s="13" t="s">
        <v>1876</v>
      </c>
    </row>
    <row r="546" spans="1:1" x14ac:dyDescent="0.2">
      <c r="A546" s="13" t="s">
        <v>1116</v>
      </c>
    </row>
    <row r="547" spans="1:1" x14ac:dyDescent="0.2">
      <c r="A547" s="13" t="s">
        <v>1315</v>
      </c>
    </row>
    <row r="548" spans="1:1" x14ac:dyDescent="0.2">
      <c r="A548" s="13" t="s">
        <v>4355</v>
      </c>
    </row>
    <row r="549" spans="1:1" x14ac:dyDescent="0.2">
      <c r="A549" s="13" t="s">
        <v>2308</v>
      </c>
    </row>
    <row r="550" spans="1:1" x14ac:dyDescent="0.2">
      <c r="A550" s="13" t="s">
        <v>4356</v>
      </c>
    </row>
    <row r="551" spans="1:1" x14ac:dyDescent="0.2">
      <c r="A551" s="13" t="s">
        <v>2611</v>
      </c>
    </row>
    <row r="552" spans="1:1" x14ac:dyDescent="0.2">
      <c r="A552" s="13" t="s">
        <v>4357</v>
      </c>
    </row>
    <row r="553" spans="1:1" x14ac:dyDescent="0.2">
      <c r="A553" s="13" t="s">
        <v>302</v>
      </c>
    </row>
    <row r="554" spans="1:1" x14ac:dyDescent="0.2">
      <c r="A554" s="13" t="s">
        <v>1085</v>
      </c>
    </row>
    <row r="555" spans="1:1" x14ac:dyDescent="0.2">
      <c r="A555" s="13" t="s">
        <v>3891</v>
      </c>
    </row>
    <row r="556" spans="1:1" x14ac:dyDescent="0.2">
      <c r="A556" s="13" t="s">
        <v>2343</v>
      </c>
    </row>
    <row r="557" spans="1:1" x14ac:dyDescent="0.2">
      <c r="A557" s="13" t="s">
        <v>1991</v>
      </c>
    </row>
    <row r="558" spans="1:1" x14ac:dyDescent="0.2">
      <c r="A558" s="13" t="s">
        <v>1184</v>
      </c>
    </row>
    <row r="559" spans="1:1" x14ac:dyDescent="0.2">
      <c r="A559" s="13" t="s">
        <v>4358</v>
      </c>
    </row>
    <row r="560" spans="1:1" x14ac:dyDescent="0.2">
      <c r="A560" s="13" t="s">
        <v>648</v>
      </c>
    </row>
    <row r="561" spans="1:1" x14ac:dyDescent="0.2">
      <c r="A561" s="13" t="s">
        <v>4359</v>
      </c>
    </row>
    <row r="562" spans="1:1" x14ac:dyDescent="0.2">
      <c r="A562" s="13" t="s">
        <v>965</v>
      </c>
    </row>
    <row r="563" spans="1:1" x14ac:dyDescent="0.2">
      <c r="A563" s="13" t="s">
        <v>2455</v>
      </c>
    </row>
    <row r="564" spans="1:1" x14ac:dyDescent="0.2">
      <c r="A564" s="13" t="s">
        <v>4360</v>
      </c>
    </row>
    <row r="565" spans="1:1" x14ac:dyDescent="0.2">
      <c r="A565" s="13" t="s">
        <v>3539</v>
      </c>
    </row>
    <row r="566" spans="1:1" x14ac:dyDescent="0.2">
      <c r="A566" s="13" t="s">
        <v>1948</v>
      </c>
    </row>
    <row r="567" spans="1:1" x14ac:dyDescent="0.2">
      <c r="A567" s="13" t="s">
        <v>4361</v>
      </c>
    </row>
    <row r="568" spans="1:1" x14ac:dyDescent="0.2">
      <c r="A568" s="13" t="s">
        <v>4362</v>
      </c>
    </row>
    <row r="569" spans="1:1" x14ac:dyDescent="0.2">
      <c r="A569" s="13" t="s">
        <v>1801</v>
      </c>
    </row>
    <row r="570" spans="1:1" x14ac:dyDescent="0.2">
      <c r="A570" s="13" t="s">
        <v>1349</v>
      </c>
    </row>
    <row r="571" spans="1:1" x14ac:dyDescent="0.2">
      <c r="A571" s="13" t="s">
        <v>4363</v>
      </c>
    </row>
    <row r="572" spans="1:1" x14ac:dyDescent="0.2">
      <c r="A572" s="13" t="s">
        <v>4364</v>
      </c>
    </row>
    <row r="573" spans="1:1" x14ac:dyDescent="0.2">
      <c r="A573" s="13" t="s">
        <v>268</v>
      </c>
    </row>
    <row r="574" spans="1:1" x14ac:dyDescent="0.2">
      <c r="A574" s="13" t="s">
        <v>3204</v>
      </c>
    </row>
    <row r="575" spans="1:1" x14ac:dyDescent="0.2">
      <c r="A575" s="13" t="s">
        <v>1810</v>
      </c>
    </row>
    <row r="576" spans="1:1" x14ac:dyDescent="0.2">
      <c r="A576" s="13" t="s">
        <v>3319</v>
      </c>
    </row>
    <row r="577" spans="1:1" x14ac:dyDescent="0.2">
      <c r="A577" s="13" t="s">
        <v>1317</v>
      </c>
    </row>
    <row r="578" spans="1:1" x14ac:dyDescent="0.2">
      <c r="A578" s="13" t="s">
        <v>603</v>
      </c>
    </row>
    <row r="579" spans="1:1" x14ac:dyDescent="0.2">
      <c r="A579" s="13" t="s">
        <v>3053</v>
      </c>
    </row>
    <row r="580" spans="1:1" x14ac:dyDescent="0.2">
      <c r="A580" s="13" t="s">
        <v>4365</v>
      </c>
    </row>
    <row r="581" spans="1:1" x14ac:dyDescent="0.2">
      <c r="A581" s="13" t="s">
        <v>2016</v>
      </c>
    </row>
    <row r="582" spans="1:1" x14ac:dyDescent="0.2">
      <c r="A582" s="13" t="s">
        <v>2027</v>
      </c>
    </row>
    <row r="583" spans="1:1" x14ac:dyDescent="0.2">
      <c r="A583" s="13" t="s">
        <v>1098</v>
      </c>
    </row>
    <row r="584" spans="1:1" x14ac:dyDescent="0.2">
      <c r="A584" s="13" t="s">
        <v>251</v>
      </c>
    </row>
    <row r="585" spans="1:1" x14ac:dyDescent="0.2">
      <c r="A585" s="13" t="s">
        <v>2903</v>
      </c>
    </row>
    <row r="586" spans="1:1" x14ac:dyDescent="0.2">
      <c r="A586" s="13" t="s">
        <v>4113</v>
      </c>
    </row>
    <row r="587" spans="1:1" x14ac:dyDescent="0.2">
      <c r="A587" s="13" t="s">
        <v>2059</v>
      </c>
    </row>
    <row r="588" spans="1:1" x14ac:dyDescent="0.2">
      <c r="A588" s="13" t="s">
        <v>4366</v>
      </c>
    </row>
    <row r="589" spans="1:1" x14ac:dyDescent="0.2">
      <c r="A589" s="13" t="s">
        <v>3765</v>
      </c>
    </row>
    <row r="590" spans="1:1" x14ac:dyDescent="0.2">
      <c r="A590" s="13" t="s">
        <v>1943</v>
      </c>
    </row>
    <row r="591" spans="1:1" x14ac:dyDescent="0.2">
      <c r="A591" s="13" t="s">
        <v>4367</v>
      </c>
    </row>
    <row r="592" spans="1:1" x14ac:dyDescent="0.2">
      <c r="A592" s="13" t="s">
        <v>1760</v>
      </c>
    </row>
    <row r="593" spans="1:1" x14ac:dyDescent="0.2">
      <c r="A593" s="13" t="s">
        <v>4368</v>
      </c>
    </row>
    <row r="594" spans="1:1" x14ac:dyDescent="0.2">
      <c r="A594" s="13" t="s">
        <v>4369</v>
      </c>
    </row>
    <row r="595" spans="1:1" x14ac:dyDescent="0.2">
      <c r="A595" s="13" t="s">
        <v>275</v>
      </c>
    </row>
    <row r="596" spans="1:1" x14ac:dyDescent="0.2">
      <c r="A596" s="13" t="s">
        <v>2877</v>
      </c>
    </row>
    <row r="597" spans="1:1" x14ac:dyDescent="0.2">
      <c r="A597" s="13" t="s">
        <v>2778</v>
      </c>
    </row>
    <row r="598" spans="1:1" x14ac:dyDescent="0.2">
      <c r="A598" s="13" t="s">
        <v>4370</v>
      </c>
    </row>
    <row r="599" spans="1:1" x14ac:dyDescent="0.2">
      <c r="A599" s="13" t="s">
        <v>939</v>
      </c>
    </row>
    <row r="600" spans="1:1" x14ac:dyDescent="0.2">
      <c r="A600" s="13" t="s">
        <v>796</v>
      </c>
    </row>
    <row r="601" spans="1:1" x14ac:dyDescent="0.2">
      <c r="A601" s="13" t="s">
        <v>682</v>
      </c>
    </row>
    <row r="602" spans="1:1" x14ac:dyDescent="0.2">
      <c r="A602" s="13" t="s">
        <v>1695</v>
      </c>
    </row>
    <row r="603" spans="1:1" x14ac:dyDescent="0.2">
      <c r="A603" s="13" t="s">
        <v>1844</v>
      </c>
    </row>
    <row r="604" spans="1:1" x14ac:dyDescent="0.2">
      <c r="A604" s="13" t="s">
        <v>4371</v>
      </c>
    </row>
    <row r="605" spans="1:1" x14ac:dyDescent="0.2">
      <c r="A605" s="13" t="s">
        <v>4372</v>
      </c>
    </row>
    <row r="606" spans="1:1" x14ac:dyDescent="0.2">
      <c r="A606" s="13" t="s">
        <v>3284</v>
      </c>
    </row>
    <row r="607" spans="1:1" x14ac:dyDescent="0.2">
      <c r="A607" s="13" t="s">
        <v>4373</v>
      </c>
    </row>
    <row r="608" spans="1:1" x14ac:dyDescent="0.2">
      <c r="A608" s="13" t="s">
        <v>351</v>
      </c>
    </row>
    <row r="609" spans="1:1" x14ac:dyDescent="0.2">
      <c r="A609" s="13" t="s">
        <v>2564</v>
      </c>
    </row>
    <row r="610" spans="1:1" x14ac:dyDescent="0.2">
      <c r="A610" s="13" t="s">
        <v>4374</v>
      </c>
    </row>
    <row r="611" spans="1:1" x14ac:dyDescent="0.2">
      <c r="A611" s="13" t="s">
        <v>747</v>
      </c>
    </row>
    <row r="612" spans="1:1" x14ac:dyDescent="0.2">
      <c r="A612" s="13" t="s">
        <v>2018</v>
      </c>
    </row>
    <row r="613" spans="1:1" x14ac:dyDescent="0.2">
      <c r="A613" s="13" t="s">
        <v>600</v>
      </c>
    </row>
    <row r="614" spans="1:1" x14ac:dyDescent="0.2">
      <c r="A614" s="13" t="s">
        <v>4375</v>
      </c>
    </row>
    <row r="615" spans="1:1" x14ac:dyDescent="0.2">
      <c r="A615" s="13" t="s">
        <v>4376</v>
      </c>
    </row>
    <row r="616" spans="1:1" x14ac:dyDescent="0.2">
      <c r="A616" s="13" t="s">
        <v>3111</v>
      </c>
    </row>
    <row r="617" spans="1:1" x14ac:dyDescent="0.2">
      <c r="A617" s="13" t="s">
        <v>841</v>
      </c>
    </row>
    <row r="618" spans="1:1" x14ac:dyDescent="0.2">
      <c r="A618" s="13" t="s">
        <v>4017</v>
      </c>
    </row>
    <row r="619" spans="1:1" x14ac:dyDescent="0.2">
      <c r="A619" s="13" t="s">
        <v>3251</v>
      </c>
    </row>
    <row r="620" spans="1:1" x14ac:dyDescent="0.2">
      <c r="A620" s="13" t="s">
        <v>717</v>
      </c>
    </row>
    <row r="621" spans="1:1" x14ac:dyDescent="0.2">
      <c r="A621" s="13" t="s">
        <v>1941</v>
      </c>
    </row>
    <row r="622" spans="1:1" x14ac:dyDescent="0.2">
      <c r="A622" s="13" t="s">
        <v>4377</v>
      </c>
    </row>
    <row r="623" spans="1:1" x14ac:dyDescent="0.2">
      <c r="A623" s="13" t="s">
        <v>4378</v>
      </c>
    </row>
    <row r="624" spans="1:1" x14ac:dyDescent="0.2">
      <c r="A624" s="13" t="s">
        <v>2932</v>
      </c>
    </row>
    <row r="625" spans="1:1" x14ac:dyDescent="0.2">
      <c r="A625" s="13" t="s">
        <v>3622</v>
      </c>
    </row>
    <row r="626" spans="1:1" x14ac:dyDescent="0.2">
      <c r="A626" s="13" t="s">
        <v>3149</v>
      </c>
    </row>
    <row r="627" spans="1:1" x14ac:dyDescent="0.2">
      <c r="A627" s="13" t="s">
        <v>3186</v>
      </c>
    </row>
    <row r="628" spans="1:1" x14ac:dyDescent="0.2">
      <c r="A628" s="13" t="s">
        <v>2609</v>
      </c>
    </row>
    <row r="629" spans="1:1" x14ac:dyDescent="0.2">
      <c r="A629" s="13" t="s">
        <v>2115</v>
      </c>
    </row>
    <row r="630" spans="1:1" x14ac:dyDescent="0.2">
      <c r="A630" s="13" t="s">
        <v>2966</v>
      </c>
    </row>
    <row r="631" spans="1:1" x14ac:dyDescent="0.2">
      <c r="A631" s="13" t="s">
        <v>2166</v>
      </c>
    </row>
    <row r="632" spans="1:1" x14ac:dyDescent="0.2">
      <c r="A632" s="13" t="s">
        <v>3747</v>
      </c>
    </row>
    <row r="633" spans="1:1" x14ac:dyDescent="0.2">
      <c r="A633" s="13" t="s">
        <v>3038</v>
      </c>
    </row>
    <row r="634" spans="1:1" x14ac:dyDescent="0.2">
      <c r="A634" s="13" t="s">
        <v>1097</v>
      </c>
    </row>
    <row r="635" spans="1:1" x14ac:dyDescent="0.2">
      <c r="A635" s="13" t="s">
        <v>3431</v>
      </c>
    </row>
    <row r="636" spans="1:1" x14ac:dyDescent="0.2">
      <c r="A636" s="13" t="s">
        <v>2136</v>
      </c>
    </row>
    <row r="637" spans="1:1" x14ac:dyDescent="0.2">
      <c r="A637" s="13" t="s">
        <v>2101</v>
      </c>
    </row>
    <row r="638" spans="1:1" x14ac:dyDescent="0.2">
      <c r="A638" s="13" t="s">
        <v>3950</v>
      </c>
    </row>
    <row r="639" spans="1:1" x14ac:dyDescent="0.2">
      <c r="A639" s="13" t="s">
        <v>4379</v>
      </c>
    </row>
    <row r="640" spans="1:1" x14ac:dyDescent="0.2">
      <c r="A640" s="13" t="s">
        <v>4380</v>
      </c>
    </row>
    <row r="641" spans="1:1" x14ac:dyDescent="0.2">
      <c r="A641" s="13" t="s">
        <v>4381</v>
      </c>
    </row>
    <row r="642" spans="1:1" x14ac:dyDescent="0.2">
      <c r="A642" s="13" t="s">
        <v>883</v>
      </c>
    </row>
    <row r="643" spans="1:1" x14ac:dyDescent="0.2">
      <c r="A643" s="13" t="s">
        <v>4382</v>
      </c>
    </row>
    <row r="644" spans="1:1" x14ac:dyDescent="0.2">
      <c r="A644" s="13" t="s">
        <v>4383</v>
      </c>
    </row>
    <row r="645" spans="1:1" x14ac:dyDescent="0.2">
      <c r="A645" s="13" t="s">
        <v>4384</v>
      </c>
    </row>
    <row r="646" spans="1:1" x14ac:dyDescent="0.2">
      <c r="A646" s="13" t="s">
        <v>3199</v>
      </c>
    </row>
    <row r="647" spans="1:1" x14ac:dyDescent="0.2">
      <c r="A647" s="13" t="s">
        <v>4385</v>
      </c>
    </row>
    <row r="648" spans="1:1" x14ac:dyDescent="0.2">
      <c r="A648" s="13" t="s">
        <v>4386</v>
      </c>
    </row>
    <row r="649" spans="1:1" x14ac:dyDescent="0.2">
      <c r="A649" s="13" t="s">
        <v>4179</v>
      </c>
    </row>
    <row r="650" spans="1:1" x14ac:dyDescent="0.2">
      <c r="A650" s="13" t="s">
        <v>4387</v>
      </c>
    </row>
    <row r="651" spans="1:1" x14ac:dyDescent="0.2">
      <c r="A651" s="13" t="s">
        <v>3838</v>
      </c>
    </row>
    <row r="652" spans="1:1" x14ac:dyDescent="0.2">
      <c r="A652" s="13" t="s">
        <v>1464</v>
      </c>
    </row>
    <row r="653" spans="1:1" x14ac:dyDescent="0.2">
      <c r="A653" s="13" t="s">
        <v>4388</v>
      </c>
    </row>
    <row r="654" spans="1:1" x14ac:dyDescent="0.2">
      <c r="A654" s="13" t="s">
        <v>4389</v>
      </c>
    </row>
    <row r="655" spans="1:1" x14ac:dyDescent="0.2">
      <c r="A655" s="13" t="s">
        <v>3699</v>
      </c>
    </row>
    <row r="656" spans="1:1" x14ac:dyDescent="0.2">
      <c r="A656" s="13" t="s">
        <v>4390</v>
      </c>
    </row>
    <row r="657" spans="1:1" x14ac:dyDescent="0.2">
      <c r="A657" s="13" t="s">
        <v>4391</v>
      </c>
    </row>
    <row r="658" spans="1:1" x14ac:dyDescent="0.2">
      <c r="A658" s="13" t="s">
        <v>2910</v>
      </c>
    </row>
    <row r="659" spans="1:1" x14ac:dyDescent="0.2">
      <c r="A659" s="13" t="s">
        <v>3762</v>
      </c>
    </row>
    <row r="660" spans="1:1" x14ac:dyDescent="0.2">
      <c r="A660" s="13" t="s">
        <v>4392</v>
      </c>
    </row>
    <row r="661" spans="1:1" x14ac:dyDescent="0.2">
      <c r="A661" s="13" t="s">
        <v>4393</v>
      </c>
    </row>
    <row r="662" spans="1:1" x14ac:dyDescent="0.2">
      <c r="A662" s="13" t="s">
        <v>3797</v>
      </c>
    </row>
    <row r="663" spans="1:1" x14ac:dyDescent="0.2">
      <c r="A663" s="13" t="s">
        <v>4394</v>
      </c>
    </row>
    <row r="664" spans="1:1" x14ac:dyDescent="0.2">
      <c r="A664" s="13" t="s">
        <v>4395</v>
      </c>
    </row>
    <row r="665" spans="1:1" x14ac:dyDescent="0.2">
      <c r="A665" s="13" t="s">
        <v>1343</v>
      </c>
    </row>
    <row r="666" spans="1:1" x14ac:dyDescent="0.2">
      <c r="A666" s="13" t="s">
        <v>259</v>
      </c>
    </row>
    <row r="667" spans="1:1" x14ac:dyDescent="0.2">
      <c r="A667" s="13" t="s">
        <v>3110</v>
      </c>
    </row>
    <row r="668" spans="1:1" x14ac:dyDescent="0.2">
      <c r="A668" s="13" t="s">
        <v>4396</v>
      </c>
    </row>
    <row r="669" spans="1:1" x14ac:dyDescent="0.2">
      <c r="A669" s="13" t="s">
        <v>4397</v>
      </c>
    </row>
    <row r="670" spans="1:1" x14ac:dyDescent="0.2">
      <c r="A670" s="13" t="s">
        <v>1603</v>
      </c>
    </row>
    <row r="671" spans="1:1" x14ac:dyDescent="0.2">
      <c r="A671" s="13" t="s">
        <v>2911</v>
      </c>
    </row>
    <row r="672" spans="1:1" x14ac:dyDescent="0.2">
      <c r="A672" s="13" t="s">
        <v>3540</v>
      </c>
    </row>
    <row r="673" spans="1:1" x14ac:dyDescent="0.2">
      <c r="A673" s="13" t="s">
        <v>372</v>
      </c>
    </row>
    <row r="674" spans="1:1" x14ac:dyDescent="0.2">
      <c r="A674" s="13" t="s">
        <v>1890</v>
      </c>
    </row>
    <row r="675" spans="1:1" x14ac:dyDescent="0.2">
      <c r="A675" s="13" t="s">
        <v>4398</v>
      </c>
    </row>
    <row r="676" spans="1:1" x14ac:dyDescent="0.2">
      <c r="A676" s="13" t="s">
        <v>3317</v>
      </c>
    </row>
    <row r="677" spans="1:1" x14ac:dyDescent="0.2">
      <c r="A677" s="13" t="s">
        <v>4399</v>
      </c>
    </row>
    <row r="678" spans="1:1" x14ac:dyDescent="0.2">
      <c r="A678" s="13" t="s">
        <v>4400</v>
      </c>
    </row>
    <row r="679" spans="1:1" x14ac:dyDescent="0.2">
      <c r="A679" s="13" t="s">
        <v>4401</v>
      </c>
    </row>
    <row r="680" spans="1:1" x14ac:dyDescent="0.2">
      <c r="A680" s="13" t="s">
        <v>4402</v>
      </c>
    </row>
    <row r="681" spans="1:1" x14ac:dyDescent="0.2">
      <c r="A681" s="13" t="s">
        <v>308</v>
      </c>
    </row>
    <row r="682" spans="1:1" x14ac:dyDescent="0.2">
      <c r="A682" s="13" t="s">
        <v>4403</v>
      </c>
    </row>
    <row r="683" spans="1:1" x14ac:dyDescent="0.2">
      <c r="A683" s="13" t="s">
        <v>4404</v>
      </c>
    </row>
    <row r="684" spans="1:1" x14ac:dyDescent="0.2">
      <c r="A684" s="13" t="s">
        <v>3997</v>
      </c>
    </row>
    <row r="685" spans="1:1" x14ac:dyDescent="0.2">
      <c r="A685" s="13" t="s">
        <v>674</v>
      </c>
    </row>
    <row r="686" spans="1:1" x14ac:dyDescent="0.2">
      <c r="A686" s="13" t="s">
        <v>707</v>
      </c>
    </row>
    <row r="687" spans="1:1" x14ac:dyDescent="0.2">
      <c r="A687" s="13" t="s">
        <v>4405</v>
      </c>
    </row>
    <row r="688" spans="1:1" x14ac:dyDescent="0.2">
      <c r="A688" s="13" t="s">
        <v>736</v>
      </c>
    </row>
    <row r="689" spans="1:1" x14ac:dyDescent="0.2">
      <c r="A689" s="13" t="s">
        <v>2100</v>
      </c>
    </row>
    <row r="690" spans="1:1" x14ac:dyDescent="0.2">
      <c r="A690" s="13" t="s">
        <v>4406</v>
      </c>
    </row>
    <row r="691" spans="1:1" x14ac:dyDescent="0.2">
      <c r="A691" s="13" t="s">
        <v>2366</v>
      </c>
    </row>
    <row r="692" spans="1:1" x14ac:dyDescent="0.2">
      <c r="A692" s="13" t="s">
        <v>1689</v>
      </c>
    </row>
    <row r="693" spans="1:1" x14ac:dyDescent="0.2">
      <c r="A693" s="13" t="s">
        <v>3230</v>
      </c>
    </row>
    <row r="694" spans="1:1" x14ac:dyDescent="0.2">
      <c r="A694" s="13" t="s">
        <v>4407</v>
      </c>
    </row>
    <row r="695" spans="1:1" x14ac:dyDescent="0.2">
      <c r="A695" s="13" t="s">
        <v>3060</v>
      </c>
    </row>
    <row r="696" spans="1:1" x14ac:dyDescent="0.2">
      <c r="A696" s="13" t="s">
        <v>3579</v>
      </c>
    </row>
    <row r="697" spans="1:1" x14ac:dyDescent="0.2">
      <c r="A697" s="13" t="s">
        <v>915</v>
      </c>
    </row>
    <row r="698" spans="1:1" x14ac:dyDescent="0.2">
      <c r="A698" s="13" t="s">
        <v>2271</v>
      </c>
    </row>
    <row r="699" spans="1:1" x14ac:dyDescent="0.2">
      <c r="A699" s="13" t="s">
        <v>4408</v>
      </c>
    </row>
    <row r="700" spans="1:1" x14ac:dyDescent="0.2">
      <c r="A700" s="13" t="s">
        <v>1685</v>
      </c>
    </row>
    <row r="701" spans="1:1" x14ac:dyDescent="0.2">
      <c r="A701" s="13" t="s">
        <v>4409</v>
      </c>
    </row>
    <row r="702" spans="1:1" x14ac:dyDescent="0.2">
      <c r="A702" s="13" t="s">
        <v>478</v>
      </c>
    </row>
    <row r="703" spans="1:1" x14ac:dyDescent="0.2">
      <c r="A703" s="13" t="s">
        <v>3125</v>
      </c>
    </row>
    <row r="704" spans="1:1" x14ac:dyDescent="0.2">
      <c r="A704" s="13" t="s">
        <v>4410</v>
      </c>
    </row>
    <row r="705" spans="1:1" x14ac:dyDescent="0.2">
      <c r="A705" s="13" t="s">
        <v>4411</v>
      </c>
    </row>
    <row r="706" spans="1:1" x14ac:dyDescent="0.2">
      <c r="A706" s="13" t="s">
        <v>1559</v>
      </c>
    </row>
    <row r="707" spans="1:1" x14ac:dyDescent="0.2">
      <c r="A707" s="13" t="s">
        <v>1264</v>
      </c>
    </row>
    <row r="708" spans="1:1" x14ac:dyDescent="0.2">
      <c r="A708" s="13" t="s">
        <v>3308</v>
      </c>
    </row>
    <row r="709" spans="1:1" x14ac:dyDescent="0.2">
      <c r="A709" s="13" t="s">
        <v>4412</v>
      </c>
    </row>
    <row r="710" spans="1:1" x14ac:dyDescent="0.2">
      <c r="A710" s="13" t="s">
        <v>4413</v>
      </c>
    </row>
    <row r="711" spans="1:1" x14ac:dyDescent="0.2">
      <c r="A711" s="13" t="s">
        <v>4414</v>
      </c>
    </row>
    <row r="712" spans="1:1" x14ac:dyDescent="0.2">
      <c r="A712" s="13" t="s">
        <v>569</v>
      </c>
    </row>
    <row r="713" spans="1:1" x14ac:dyDescent="0.2">
      <c r="A713" s="13" t="s">
        <v>4169</v>
      </c>
    </row>
    <row r="714" spans="1:1" x14ac:dyDescent="0.2">
      <c r="A714" s="13" t="s">
        <v>4415</v>
      </c>
    </row>
    <row r="715" spans="1:1" x14ac:dyDescent="0.2">
      <c r="A715" s="13" t="s">
        <v>3560</v>
      </c>
    </row>
    <row r="716" spans="1:1" x14ac:dyDescent="0.2">
      <c r="A716" s="13" t="s">
        <v>3082</v>
      </c>
    </row>
    <row r="717" spans="1:1" x14ac:dyDescent="0.2">
      <c r="A717" s="13" t="s">
        <v>3651</v>
      </c>
    </row>
    <row r="718" spans="1:1" x14ac:dyDescent="0.2">
      <c r="A718" s="13" t="s">
        <v>3876</v>
      </c>
    </row>
    <row r="719" spans="1:1" x14ac:dyDescent="0.2">
      <c r="A719" s="13" t="s">
        <v>4416</v>
      </c>
    </row>
    <row r="720" spans="1:1" x14ac:dyDescent="0.2">
      <c r="A720" s="13" t="s">
        <v>4417</v>
      </c>
    </row>
    <row r="721" spans="1:1" x14ac:dyDescent="0.2">
      <c r="A721" s="13" t="s">
        <v>2586</v>
      </c>
    </row>
    <row r="722" spans="1:1" x14ac:dyDescent="0.2">
      <c r="A722" s="13" t="s">
        <v>4418</v>
      </c>
    </row>
    <row r="723" spans="1:1" x14ac:dyDescent="0.2">
      <c r="A723" s="13" t="s">
        <v>325</v>
      </c>
    </row>
    <row r="724" spans="1:1" x14ac:dyDescent="0.2">
      <c r="A724" s="13" t="s">
        <v>4419</v>
      </c>
    </row>
    <row r="725" spans="1:1" x14ac:dyDescent="0.2">
      <c r="A725" s="13" t="s">
        <v>3231</v>
      </c>
    </row>
    <row r="726" spans="1:1" x14ac:dyDescent="0.2">
      <c r="A726" s="13" t="s">
        <v>467</v>
      </c>
    </row>
    <row r="727" spans="1:1" x14ac:dyDescent="0.2">
      <c r="A727" s="13" t="s">
        <v>1124</v>
      </c>
    </row>
    <row r="728" spans="1:1" x14ac:dyDescent="0.2">
      <c r="A728" s="13" t="s">
        <v>2098</v>
      </c>
    </row>
    <row r="729" spans="1:1" x14ac:dyDescent="0.2">
      <c r="A729" s="13" t="s">
        <v>4155</v>
      </c>
    </row>
    <row r="730" spans="1:1" x14ac:dyDescent="0.2">
      <c r="A730" s="13" t="s">
        <v>1784</v>
      </c>
    </row>
    <row r="731" spans="1:1" x14ac:dyDescent="0.2">
      <c r="A731" s="13" t="s">
        <v>3460</v>
      </c>
    </row>
    <row r="732" spans="1:1" x14ac:dyDescent="0.2">
      <c r="A732" s="13" t="s">
        <v>1930</v>
      </c>
    </row>
    <row r="733" spans="1:1" x14ac:dyDescent="0.2">
      <c r="A733" s="13" t="s">
        <v>4420</v>
      </c>
    </row>
    <row r="734" spans="1:1" x14ac:dyDescent="0.2">
      <c r="A734" s="13" t="s">
        <v>4421</v>
      </c>
    </row>
    <row r="735" spans="1:1" x14ac:dyDescent="0.2">
      <c r="A735" s="13" t="s">
        <v>3373</v>
      </c>
    </row>
    <row r="736" spans="1:1" x14ac:dyDescent="0.2">
      <c r="A736" s="13" t="s">
        <v>572</v>
      </c>
    </row>
    <row r="737" spans="1:1" x14ac:dyDescent="0.2">
      <c r="A737" s="13" t="s">
        <v>1704</v>
      </c>
    </row>
    <row r="738" spans="1:1" x14ac:dyDescent="0.2">
      <c r="A738" s="13" t="s">
        <v>313</v>
      </c>
    </row>
    <row r="739" spans="1:1" x14ac:dyDescent="0.2">
      <c r="A739" s="13" t="s">
        <v>3500</v>
      </c>
    </row>
    <row r="740" spans="1:1" x14ac:dyDescent="0.2">
      <c r="A740" s="13" t="s">
        <v>3177</v>
      </c>
    </row>
    <row r="741" spans="1:1" x14ac:dyDescent="0.2">
      <c r="A741" s="13" t="s">
        <v>4422</v>
      </c>
    </row>
    <row r="742" spans="1:1" x14ac:dyDescent="0.2">
      <c r="A742" s="13" t="s">
        <v>328</v>
      </c>
    </row>
    <row r="743" spans="1:1" x14ac:dyDescent="0.2">
      <c r="A743" s="13" t="s">
        <v>639</v>
      </c>
    </row>
    <row r="744" spans="1:1" x14ac:dyDescent="0.2">
      <c r="A744" s="13" t="s">
        <v>1577</v>
      </c>
    </row>
    <row r="745" spans="1:1" x14ac:dyDescent="0.2">
      <c r="A745" s="13" t="s">
        <v>2475</v>
      </c>
    </row>
    <row r="746" spans="1:1" x14ac:dyDescent="0.2">
      <c r="A746" s="13" t="s">
        <v>1281</v>
      </c>
    </row>
    <row r="747" spans="1:1" x14ac:dyDescent="0.2">
      <c r="A747" s="13" t="s">
        <v>2649</v>
      </c>
    </row>
    <row r="748" spans="1:1" x14ac:dyDescent="0.2">
      <c r="A748" s="13" t="s">
        <v>1677</v>
      </c>
    </row>
    <row r="749" spans="1:1" x14ac:dyDescent="0.2">
      <c r="A749" s="13" t="s">
        <v>4423</v>
      </c>
    </row>
    <row r="750" spans="1:1" x14ac:dyDescent="0.2">
      <c r="A750" s="13" t="s">
        <v>3615</v>
      </c>
    </row>
    <row r="751" spans="1:1" x14ac:dyDescent="0.2">
      <c r="A751" s="13" t="s">
        <v>4424</v>
      </c>
    </row>
    <row r="752" spans="1:1" x14ac:dyDescent="0.2">
      <c r="A752" s="13" t="s">
        <v>4425</v>
      </c>
    </row>
    <row r="753" spans="1:1" x14ac:dyDescent="0.2">
      <c r="A753" s="13" t="s">
        <v>1934</v>
      </c>
    </row>
    <row r="754" spans="1:1" x14ac:dyDescent="0.2">
      <c r="A754" s="13" t="s">
        <v>3550</v>
      </c>
    </row>
    <row r="755" spans="1:1" x14ac:dyDescent="0.2">
      <c r="A755" s="13" t="s">
        <v>4426</v>
      </c>
    </row>
    <row r="756" spans="1:1" x14ac:dyDescent="0.2">
      <c r="A756" s="13" t="s">
        <v>4427</v>
      </c>
    </row>
    <row r="757" spans="1:1" x14ac:dyDescent="0.2">
      <c r="A757" s="13" t="s">
        <v>1745</v>
      </c>
    </row>
    <row r="758" spans="1:1" x14ac:dyDescent="0.2">
      <c r="A758" s="13" t="s">
        <v>4428</v>
      </c>
    </row>
    <row r="759" spans="1:1" x14ac:dyDescent="0.2">
      <c r="A759" s="13" t="s">
        <v>2997</v>
      </c>
    </row>
    <row r="760" spans="1:1" x14ac:dyDescent="0.2">
      <c r="A760" s="13" t="s">
        <v>2939</v>
      </c>
    </row>
    <row r="761" spans="1:1" x14ac:dyDescent="0.2">
      <c r="A761" s="13" t="s">
        <v>4429</v>
      </c>
    </row>
    <row r="762" spans="1:1" x14ac:dyDescent="0.2">
      <c r="A762" s="13" t="s">
        <v>3704</v>
      </c>
    </row>
    <row r="763" spans="1:1" x14ac:dyDescent="0.2">
      <c r="A763" s="13" t="s">
        <v>2281</v>
      </c>
    </row>
    <row r="764" spans="1:1" x14ac:dyDescent="0.2">
      <c r="A764" s="13" t="s">
        <v>4430</v>
      </c>
    </row>
    <row r="765" spans="1:1" x14ac:dyDescent="0.2">
      <c r="A765" s="13" t="s">
        <v>4431</v>
      </c>
    </row>
    <row r="766" spans="1:1" x14ac:dyDescent="0.2">
      <c r="A766" s="13" t="s">
        <v>1681</v>
      </c>
    </row>
    <row r="767" spans="1:1" x14ac:dyDescent="0.2">
      <c r="A767" s="13" t="s">
        <v>3223</v>
      </c>
    </row>
    <row r="768" spans="1:1" x14ac:dyDescent="0.2">
      <c r="A768" s="13" t="s">
        <v>2381</v>
      </c>
    </row>
    <row r="769" spans="1:1" x14ac:dyDescent="0.2">
      <c r="A769" s="13" t="s">
        <v>2234</v>
      </c>
    </row>
    <row r="770" spans="1:1" x14ac:dyDescent="0.2">
      <c r="A770" s="13" t="s">
        <v>4432</v>
      </c>
    </row>
    <row r="771" spans="1:1" x14ac:dyDescent="0.2">
      <c r="A771" s="13" t="s">
        <v>1016</v>
      </c>
    </row>
    <row r="772" spans="1:1" x14ac:dyDescent="0.2">
      <c r="A772" s="13" t="s">
        <v>1444</v>
      </c>
    </row>
    <row r="773" spans="1:1" x14ac:dyDescent="0.2">
      <c r="A773" s="13" t="s">
        <v>2917</v>
      </c>
    </row>
    <row r="774" spans="1:1" x14ac:dyDescent="0.2">
      <c r="A774" s="13" t="s">
        <v>1886</v>
      </c>
    </row>
    <row r="775" spans="1:1" x14ac:dyDescent="0.2">
      <c r="A775" s="13" t="s">
        <v>1618</v>
      </c>
    </row>
    <row r="776" spans="1:1" x14ac:dyDescent="0.2">
      <c r="A776" s="13" t="s">
        <v>4433</v>
      </c>
    </row>
    <row r="777" spans="1:1" x14ac:dyDescent="0.2">
      <c r="A777" s="13" t="s">
        <v>277</v>
      </c>
    </row>
    <row r="778" spans="1:1" x14ac:dyDescent="0.2">
      <c r="A778" s="13" t="s">
        <v>4434</v>
      </c>
    </row>
    <row r="779" spans="1:1" x14ac:dyDescent="0.2">
      <c r="A779" s="13" t="s">
        <v>3050</v>
      </c>
    </row>
    <row r="780" spans="1:1" x14ac:dyDescent="0.2">
      <c r="A780" s="13" t="s">
        <v>2211</v>
      </c>
    </row>
    <row r="781" spans="1:1" x14ac:dyDescent="0.2">
      <c r="A781" s="13" t="s">
        <v>3748</v>
      </c>
    </row>
    <row r="782" spans="1:1" x14ac:dyDescent="0.2">
      <c r="A782" s="13" t="s">
        <v>426</v>
      </c>
    </row>
    <row r="783" spans="1:1" x14ac:dyDescent="0.2">
      <c r="A783" s="13" t="s">
        <v>4435</v>
      </c>
    </row>
    <row r="784" spans="1:1" x14ac:dyDescent="0.2">
      <c r="A784" s="13" t="s">
        <v>4436</v>
      </c>
    </row>
    <row r="785" spans="1:1" x14ac:dyDescent="0.2">
      <c r="A785" s="13" t="s">
        <v>779</v>
      </c>
    </row>
    <row r="786" spans="1:1" x14ac:dyDescent="0.2">
      <c r="A786" s="13" t="s">
        <v>4437</v>
      </c>
    </row>
    <row r="787" spans="1:1" x14ac:dyDescent="0.2">
      <c r="A787" s="13" t="s">
        <v>4438</v>
      </c>
    </row>
    <row r="788" spans="1:1" x14ac:dyDescent="0.2">
      <c r="A788" s="13" t="s">
        <v>3270</v>
      </c>
    </row>
    <row r="789" spans="1:1" x14ac:dyDescent="0.2">
      <c r="A789" s="13" t="s">
        <v>3257</v>
      </c>
    </row>
    <row r="790" spans="1:1" x14ac:dyDescent="0.2">
      <c r="A790" s="13" t="s">
        <v>4439</v>
      </c>
    </row>
    <row r="791" spans="1:1" x14ac:dyDescent="0.2">
      <c r="A791" s="13" t="s">
        <v>4440</v>
      </c>
    </row>
    <row r="792" spans="1:1" x14ac:dyDescent="0.2">
      <c r="A792" s="13" t="s">
        <v>2980</v>
      </c>
    </row>
    <row r="793" spans="1:1" x14ac:dyDescent="0.2">
      <c r="A793" s="13" t="s">
        <v>4441</v>
      </c>
    </row>
    <row r="794" spans="1:1" x14ac:dyDescent="0.2">
      <c r="A794" s="13" t="s">
        <v>2937</v>
      </c>
    </row>
    <row r="795" spans="1:1" x14ac:dyDescent="0.2">
      <c r="A795" s="13" t="s">
        <v>4442</v>
      </c>
    </row>
    <row r="796" spans="1:1" x14ac:dyDescent="0.2">
      <c r="A796" s="13" t="s">
        <v>1237</v>
      </c>
    </row>
    <row r="797" spans="1:1" x14ac:dyDescent="0.2">
      <c r="A797" s="13" t="s">
        <v>2026</v>
      </c>
    </row>
    <row r="798" spans="1:1" x14ac:dyDescent="0.2">
      <c r="A798" s="13" t="s">
        <v>2621</v>
      </c>
    </row>
    <row r="799" spans="1:1" x14ac:dyDescent="0.2">
      <c r="A799" s="13" t="s">
        <v>4443</v>
      </c>
    </row>
    <row r="800" spans="1:1" x14ac:dyDescent="0.2">
      <c r="A800" s="13" t="s">
        <v>1557</v>
      </c>
    </row>
    <row r="801" spans="1:1" x14ac:dyDescent="0.2">
      <c r="A801" s="13" t="s">
        <v>3124</v>
      </c>
    </row>
    <row r="802" spans="1:1" x14ac:dyDescent="0.2">
      <c r="A802" s="13" t="s">
        <v>3756</v>
      </c>
    </row>
    <row r="803" spans="1:1" x14ac:dyDescent="0.2">
      <c r="A803" s="13" t="s">
        <v>1011</v>
      </c>
    </row>
    <row r="804" spans="1:1" x14ac:dyDescent="0.2">
      <c r="A804" s="13" t="s">
        <v>1581</v>
      </c>
    </row>
    <row r="805" spans="1:1" x14ac:dyDescent="0.2">
      <c r="A805" s="13" t="s">
        <v>4444</v>
      </c>
    </row>
    <row r="806" spans="1:1" x14ac:dyDescent="0.2">
      <c r="A806" s="13" t="s">
        <v>2795</v>
      </c>
    </row>
    <row r="807" spans="1:1" x14ac:dyDescent="0.2">
      <c r="A807" s="13" t="s">
        <v>2935</v>
      </c>
    </row>
    <row r="808" spans="1:1" x14ac:dyDescent="0.2">
      <c r="A808" s="13" t="s">
        <v>4445</v>
      </c>
    </row>
    <row r="809" spans="1:1" x14ac:dyDescent="0.2">
      <c r="A809" s="13" t="s">
        <v>4446</v>
      </c>
    </row>
    <row r="810" spans="1:1" x14ac:dyDescent="0.2">
      <c r="A810" s="13" t="s">
        <v>4447</v>
      </c>
    </row>
    <row r="811" spans="1:1" x14ac:dyDescent="0.2">
      <c r="A811" s="13" t="s">
        <v>1327</v>
      </c>
    </row>
    <row r="812" spans="1:1" x14ac:dyDescent="0.2">
      <c r="A812" s="13" t="s">
        <v>1863</v>
      </c>
    </row>
    <row r="813" spans="1:1" x14ac:dyDescent="0.2">
      <c r="A813" s="13" t="s">
        <v>2755</v>
      </c>
    </row>
    <row r="814" spans="1:1" x14ac:dyDescent="0.2">
      <c r="A814" s="13" t="s">
        <v>3638</v>
      </c>
    </row>
    <row r="815" spans="1:1" x14ac:dyDescent="0.2">
      <c r="A815" s="13" t="s">
        <v>4448</v>
      </c>
    </row>
    <row r="816" spans="1:1" x14ac:dyDescent="0.2">
      <c r="A816" s="13" t="s">
        <v>3669</v>
      </c>
    </row>
    <row r="817" spans="1:1" x14ac:dyDescent="0.2">
      <c r="A817" s="13" t="s">
        <v>4449</v>
      </c>
    </row>
    <row r="818" spans="1:1" x14ac:dyDescent="0.2">
      <c r="A818" s="13" t="s">
        <v>2568</v>
      </c>
    </row>
    <row r="819" spans="1:1" x14ac:dyDescent="0.2">
      <c r="A819" s="13" t="s">
        <v>1606</v>
      </c>
    </row>
    <row r="820" spans="1:1" x14ac:dyDescent="0.2">
      <c r="A820" s="13" t="s">
        <v>566</v>
      </c>
    </row>
    <row r="821" spans="1:1" x14ac:dyDescent="0.2">
      <c r="A821" s="13" t="s">
        <v>2837</v>
      </c>
    </row>
    <row r="822" spans="1:1" x14ac:dyDescent="0.2">
      <c r="A822" s="13" t="s">
        <v>1034</v>
      </c>
    </row>
    <row r="823" spans="1:1" x14ac:dyDescent="0.2">
      <c r="A823" s="13" t="s">
        <v>2517</v>
      </c>
    </row>
    <row r="824" spans="1:1" x14ac:dyDescent="0.2">
      <c r="A824" s="13" t="s">
        <v>4450</v>
      </c>
    </row>
    <row r="825" spans="1:1" x14ac:dyDescent="0.2">
      <c r="A825" s="13" t="s">
        <v>4161</v>
      </c>
    </row>
    <row r="826" spans="1:1" x14ac:dyDescent="0.2">
      <c r="A826" s="13" t="s">
        <v>4451</v>
      </c>
    </row>
    <row r="827" spans="1:1" x14ac:dyDescent="0.2">
      <c r="A827" s="13" t="s">
        <v>3482</v>
      </c>
    </row>
    <row r="828" spans="1:1" x14ac:dyDescent="0.2">
      <c r="A828" s="13" t="s">
        <v>3309</v>
      </c>
    </row>
    <row r="829" spans="1:1" x14ac:dyDescent="0.2">
      <c r="A829" s="13" t="s">
        <v>584</v>
      </c>
    </row>
    <row r="830" spans="1:1" x14ac:dyDescent="0.2">
      <c r="A830" s="13" t="s">
        <v>4452</v>
      </c>
    </row>
    <row r="831" spans="1:1" x14ac:dyDescent="0.2">
      <c r="A831" s="13" t="s">
        <v>4453</v>
      </c>
    </row>
    <row r="832" spans="1:1" x14ac:dyDescent="0.2">
      <c r="A832" s="13" t="s">
        <v>4454</v>
      </c>
    </row>
    <row r="833" spans="1:1" x14ac:dyDescent="0.2">
      <c r="A833" s="13" t="s">
        <v>4455</v>
      </c>
    </row>
    <row r="834" spans="1:1" x14ac:dyDescent="0.2">
      <c r="A834" s="13" t="s">
        <v>1794</v>
      </c>
    </row>
    <row r="835" spans="1:1" x14ac:dyDescent="0.2">
      <c r="A835" s="13" t="s">
        <v>4456</v>
      </c>
    </row>
    <row r="836" spans="1:1" x14ac:dyDescent="0.2">
      <c r="A836" s="13" t="s">
        <v>248</v>
      </c>
    </row>
    <row r="837" spans="1:1" x14ac:dyDescent="0.2">
      <c r="A837" s="13" t="s">
        <v>4457</v>
      </c>
    </row>
    <row r="838" spans="1:1" x14ac:dyDescent="0.2">
      <c r="A838" s="13" t="s">
        <v>1505</v>
      </c>
    </row>
    <row r="839" spans="1:1" x14ac:dyDescent="0.2">
      <c r="A839" s="13" t="s">
        <v>4458</v>
      </c>
    </row>
    <row r="840" spans="1:1" x14ac:dyDescent="0.2">
      <c r="A840" s="13" t="s">
        <v>2132</v>
      </c>
    </row>
    <row r="841" spans="1:1" x14ac:dyDescent="0.2">
      <c r="A841" s="13" t="s">
        <v>2458</v>
      </c>
    </row>
    <row r="842" spans="1:1" x14ac:dyDescent="0.2">
      <c r="A842" s="13" t="s">
        <v>4459</v>
      </c>
    </row>
    <row r="843" spans="1:1" x14ac:dyDescent="0.2">
      <c r="A843" s="13" t="s">
        <v>4460</v>
      </c>
    </row>
    <row r="844" spans="1:1" x14ac:dyDescent="0.2">
      <c r="A844" s="13" t="s">
        <v>4461</v>
      </c>
    </row>
    <row r="845" spans="1:1" x14ac:dyDescent="0.2">
      <c r="A845" s="13" t="s">
        <v>2930</v>
      </c>
    </row>
    <row r="846" spans="1:1" x14ac:dyDescent="0.2">
      <c r="A846" s="13" t="s">
        <v>889</v>
      </c>
    </row>
    <row r="847" spans="1:1" x14ac:dyDescent="0.2">
      <c r="A847" s="13" t="s">
        <v>2781</v>
      </c>
    </row>
    <row r="848" spans="1:1" x14ac:dyDescent="0.2">
      <c r="A848" s="13" t="s">
        <v>980</v>
      </c>
    </row>
    <row r="849" spans="1:1" x14ac:dyDescent="0.2">
      <c r="A849" s="13" t="s">
        <v>1075</v>
      </c>
    </row>
    <row r="850" spans="1:1" x14ac:dyDescent="0.2">
      <c r="A850" s="13" t="s">
        <v>4462</v>
      </c>
    </row>
    <row r="851" spans="1:1" x14ac:dyDescent="0.2">
      <c r="A851" s="13" t="s">
        <v>4463</v>
      </c>
    </row>
    <row r="852" spans="1:1" x14ac:dyDescent="0.2">
      <c r="A852" s="13" t="s">
        <v>1478</v>
      </c>
    </row>
    <row r="853" spans="1:1" x14ac:dyDescent="0.2">
      <c r="A853" s="13" t="s">
        <v>656</v>
      </c>
    </row>
    <row r="854" spans="1:1" x14ac:dyDescent="0.2">
      <c r="A854" s="13" t="s">
        <v>2632</v>
      </c>
    </row>
    <row r="855" spans="1:1" x14ac:dyDescent="0.2">
      <c r="A855" s="13" t="s">
        <v>4464</v>
      </c>
    </row>
    <row r="856" spans="1:1" x14ac:dyDescent="0.2">
      <c r="A856" s="13" t="s">
        <v>1380</v>
      </c>
    </row>
    <row r="857" spans="1:1" x14ac:dyDescent="0.2">
      <c r="A857" s="13" t="s">
        <v>4465</v>
      </c>
    </row>
    <row r="858" spans="1:1" x14ac:dyDescent="0.2">
      <c r="A858" s="13" t="s">
        <v>4466</v>
      </c>
    </row>
    <row r="859" spans="1:1" x14ac:dyDescent="0.2">
      <c r="A859" s="13" t="s">
        <v>2554</v>
      </c>
    </row>
    <row r="860" spans="1:1" x14ac:dyDescent="0.2">
      <c r="A860" s="13" t="s">
        <v>435</v>
      </c>
    </row>
    <row r="861" spans="1:1" x14ac:dyDescent="0.2">
      <c r="A861" s="13" t="s">
        <v>4467</v>
      </c>
    </row>
    <row r="862" spans="1:1" x14ac:dyDescent="0.2">
      <c r="A862" s="13" t="s">
        <v>3315</v>
      </c>
    </row>
    <row r="863" spans="1:1" x14ac:dyDescent="0.2">
      <c r="A863" s="13" t="s">
        <v>1181</v>
      </c>
    </row>
    <row r="864" spans="1:1" x14ac:dyDescent="0.2">
      <c r="A864" s="13" t="s">
        <v>2043</v>
      </c>
    </row>
    <row r="865" spans="1:1" x14ac:dyDescent="0.2">
      <c r="A865" s="13" t="s">
        <v>1859</v>
      </c>
    </row>
    <row r="866" spans="1:1" x14ac:dyDescent="0.2">
      <c r="A866" s="13" t="s">
        <v>2451</v>
      </c>
    </row>
    <row r="867" spans="1:1" x14ac:dyDescent="0.2">
      <c r="A867" s="13" t="s">
        <v>2220</v>
      </c>
    </row>
    <row r="868" spans="1:1" x14ac:dyDescent="0.2">
      <c r="A868" s="13" t="s">
        <v>2473</v>
      </c>
    </row>
    <row r="869" spans="1:1" x14ac:dyDescent="0.2">
      <c r="A869" s="13" t="s">
        <v>2324</v>
      </c>
    </row>
    <row r="870" spans="1:1" x14ac:dyDescent="0.2">
      <c r="A870" s="13" t="s">
        <v>3895</v>
      </c>
    </row>
    <row r="871" spans="1:1" x14ac:dyDescent="0.2">
      <c r="A871" s="13" t="s">
        <v>4468</v>
      </c>
    </row>
    <row r="872" spans="1:1" x14ac:dyDescent="0.2">
      <c r="A872" s="13" t="s">
        <v>2055</v>
      </c>
    </row>
    <row r="873" spans="1:1" x14ac:dyDescent="0.2">
      <c r="A873" s="13" t="s">
        <v>3618</v>
      </c>
    </row>
    <row r="874" spans="1:1" x14ac:dyDescent="0.2">
      <c r="A874" s="13" t="s">
        <v>1744</v>
      </c>
    </row>
    <row r="875" spans="1:1" x14ac:dyDescent="0.2">
      <c r="A875" s="13" t="s">
        <v>856</v>
      </c>
    </row>
    <row r="876" spans="1:1" x14ac:dyDescent="0.2">
      <c r="A876" s="13" t="s">
        <v>4469</v>
      </c>
    </row>
    <row r="877" spans="1:1" x14ac:dyDescent="0.2">
      <c r="A877" s="13" t="s">
        <v>4033</v>
      </c>
    </row>
    <row r="878" spans="1:1" x14ac:dyDescent="0.2">
      <c r="A878" s="13" t="s">
        <v>4470</v>
      </c>
    </row>
    <row r="879" spans="1:1" x14ac:dyDescent="0.2">
      <c r="A879" s="13" t="s">
        <v>4471</v>
      </c>
    </row>
    <row r="880" spans="1:1" x14ac:dyDescent="0.2">
      <c r="A880" s="13" t="s">
        <v>4472</v>
      </c>
    </row>
    <row r="881" spans="1:1" x14ac:dyDescent="0.2">
      <c r="A881" s="13" t="s">
        <v>4473</v>
      </c>
    </row>
    <row r="882" spans="1:1" x14ac:dyDescent="0.2">
      <c r="A882" s="13" t="s">
        <v>256</v>
      </c>
    </row>
    <row r="883" spans="1:1" x14ac:dyDescent="0.2">
      <c r="A883" s="13" t="s">
        <v>4474</v>
      </c>
    </row>
    <row r="884" spans="1:1" x14ac:dyDescent="0.2">
      <c r="A884" s="13" t="s">
        <v>4475</v>
      </c>
    </row>
    <row r="885" spans="1:1" x14ac:dyDescent="0.2">
      <c r="A885" s="13" t="s">
        <v>4476</v>
      </c>
    </row>
    <row r="886" spans="1:1" x14ac:dyDescent="0.2">
      <c r="A886" s="13" t="s">
        <v>1379</v>
      </c>
    </row>
    <row r="887" spans="1:1" x14ac:dyDescent="0.2">
      <c r="A887" s="13" t="s">
        <v>1044</v>
      </c>
    </row>
    <row r="888" spans="1:1" x14ac:dyDescent="0.2">
      <c r="A888" s="13" t="s">
        <v>3542</v>
      </c>
    </row>
    <row r="889" spans="1:1" x14ac:dyDescent="0.2">
      <c r="A889" s="13" t="s">
        <v>926</v>
      </c>
    </row>
    <row r="890" spans="1:1" x14ac:dyDescent="0.2">
      <c r="A890" s="13" t="s">
        <v>235</v>
      </c>
    </row>
    <row r="891" spans="1:1" x14ac:dyDescent="0.2">
      <c r="A891" s="13" t="s">
        <v>3866</v>
      </c>
    </row>
    <row r="892" spans="1:1" x14ac:dyDescent="0.2">
      <c r="A892" s="13" t="s">
        <v>4477</v>
      </c>
    </row>
    <row r="893" spans="1:1" x14ac:dyDescent="0.2">
      <c r="A893" s="13" t="s">
        <v>1522</v>
      </c>
    </row>
    <row r="894" spans="1:1" x14ac:dyDescent="0.2">
      <c r="A894" s="13" t="s">
        <v>4478</v>
      </c>
    </row>
    <row r="895" spans="1:1" x14ac:dyDescent="0.2">
      <c r="A895" s="13" t="s">
        <v>866</v>
      </c>
    </row>
    <row r="896" spans="1:1" x14ac:dyDescent="0.2">
      <c r="A896" s="13" t="s">
        <v>436</v>
      </c>
    </row>
    <row r="897" spans="1:1" x14ac:dyDescent="0.2">
      <c r="A897" s="13" t="s">
        <v>2729</v>
      </c>
    </row>
    <row r="898" spans="1:1" x14ac:dyDescent="0.2">
      <c r="A898" s="13" t="s">
        <v>4479</v>
      </c>
    </row>
    <row r="899" spans="1:1" x14ac:dyDescent="0.2">
      <c r="A899" s="13" t="s">
        <v>4480</v>
      </c>
    </row>
    <row r="900" spans="1:1" x14ac:dyDescent="0.2">
      <c r="A900" s="13" t="s">
        <v>4481</v>
      </c>
    </row>
    <row r="901" spans="1:1" x14ac:dyDescent="0.2">
      <c r="A901" s="13" t="s">
        <v>4173</v>
      </c>
    </row>
    <row r="902" spans="1:1" x14ac:dyDescent="0.2">
      <c r="A902" s="13" t="s">
        <v>546</v>
      </c>
    </row>
    <row r="903" spans="1:1" x14ac:dyDescent="0.2">
      <c r="A903" s="13" t="s">
        <v>4482</v>
      </c>
    </row>
    <row r="904" spans="1:1" x14ac:dyDescent="0.2">
      <c r="A904" s="13" t="s">
        <v>2448</v>
      </c>
    </row>
    <row r="905" spans="1:1" x14ac:dyDescent="0.2">
      <c r="A905" s="13" t="s">
        <v>4483</v>
      </c>
    </row>
    <row r="906" spans="1:1" x14ac:dyDescent="0.2">
      <c r="A906" s="13" t="s">
        <v>2163</v>
      </c>
    </row>
    <row r="907" spans="1:1" x14ac:dyDescent="0.2">
      <c r="A907" s="13" t="s">
        <v>358</v>
      </c>
    </row>
    <row r="908" spans="1:1" x14ac:dyDescent="0.2">
      <c r="A908" s="13" t="s">
        <v>4484</v>
      </c>
    </row>
    <row r="909" spans="1:1" x14ac:dyDescent="0.2">
      <c r="A909" s="13" t="s">
        <v>4485</v>
      </c>
    </row>
    <row r="910" spans="1:1" x14ac:dyDescent="0.2">
      <c r="A910" s="13" t="s">
        <v>4486</v>
      </c>
    </row>
    <row r="911" spans="1:1" x14ac:dyDescent="0.2">
      <c r="A911" s="13" t="s">
        <v>4487</v>
      </c>
    </row>
    <row r="912" spans="1:1" x14ac:dyDescent="0.2">
      <c r="A912" s="13" t="s">
        <v>4488</v>
      </c>
    </row>
    <row r="913" spans="1:1" x14ac:dyDescent="0.2">
      <c r="A913" s="13" t="s">
        <v>4489</v>
      </c>
    </row>
    <row r="914" spans="1:1" x14ac:dyDescent="0.2">
      <c r="A914" s="13" t="s">
        <v>821</v>
      </c>
    </row>
    <row r="915" spans="1:1" x14ac:dyDescent="0.2">
      <c r="A915" s="13" t="s">
        <v>4490</v>
      </c>
    </row>
    <row r="916" spans="1:1" x14ac:dyDescent="0.2">
      <c r="A916" s="13" t="s">
        <v>4491</v>
      </c>
    </row>
    <row r="917" spans="1:1" x14ac:dyDescent="0.2">
      <c r="A917" s="13" t="s">
        <v>4492</v>
      </c>
    </row>
    <row r="918" spans="1:1" x14ac:dyDescent="0.2">
      <c r="A918" s="13" t="s">
        <v>859</v>
      </c>
    </row>
    <row r="919" spans="1:1" x14ac:dyDescent="0.2">
      <c r="A919" s="13" t="s">
        <v>402</v>
      </c>
    </row>
    <row r="920" spans="1:1" x14ac:dyDescent="0.2">
      <c r="A920" s="13" t="s">
        <v>728</v>
      </c>
    </row>
    <row r="921" spans="1:1" x14ac:dyDescent="0.2">
      <c r="A921" s="13" t="s">
        <v>4008</v>
      </c>
    </row>
    <row r="922" spans="1:1" x14ac:dyDescent="0.2">
      <c r="A922" s="13" t="s">
        <v>1043</v>
      </c>
    </row>
    <row r="923" spans="1:1" x14ac:dyDescent="0.2">
      <c r="A923" s="13" t="s">
        <v>3018</v>
      </c>
    </row>
    <row r="924" spans="1:1" x14ac:dyDescent="0.2">
      <c r="A924" s="13" t="s">
        <v>4493</v>
      </c>
    </row>
    <row r="925" spans="1:1" x14ac:dyDescent="0.2">
      <c r="A925" s="13" t="s">
        <v>4494</v>
      </c>
    </row>
    <row r="926" spans="1:1" x14ac:dyDescent="0.2">
      <c r="A926" s="13" t="s">
        <v>2417</v>
      </c>
    </row>
    <row r="927" spans="1:1" x14ac:dyDescent="0.2">
      <c r="A927" s="13" t="s">
        <v>902</v>
      </c>
    </row>
    <row r="928" spans="1:1" x14ac:dyDescent="0.2">
      <c r="A928" s="13" t="s">
        <v>4495</v>
      </c>
    </row>
    <row r="929" spans="1:1" x14ac:dyDescent="0.2">
      <c r="A929" s="13" t="s">
        <v>1339</v>
      </c>
    </row>
    <row r="930" spans="1:1" x14ac:dyDescent="0.2">
      <c r="A930" s="13" t="s">
        <v>238</v>
      </c>
    </row>
    <row r="931" spans="1:1" x14ac:dyDescent="0.2">
      <c r="A931" s="13" t="s">
        <v>4496</v>
      </c>
    </row>
    <row r="932" spans="1:1" x14ac:dyDescent="0.2">
      <c r="A932" s="13" t="s">
        <v>3278</v>
      </c>
    </row>
    <row r="933" spans="1:1" x14ac:dyDescent="0.2">
      <c r="A933" s="13" t="s">
        <v>4497</v>
      </c>
    </row>
    <row r="934" spans="1:1" x14ac:dyDescent="0.2">
      <c r="A934" s="13" t="s">
        <v>1077</v>
      </c>
    </row>
    <row r="935" spans="1:1" x14ac:dyDescent="0.2">
      <c r="A935" s="13" t="s">
        <v>1877</v>
      </c>
    </row>
    <row r="936" spans="1:1" x14ac:dyDescent="0.2">
      <c r="A936" s="13" t="s">
        <v>4498</v>
      </c>
    </row>
    <row r="937" spans="1:1" x14ac:dyDescent="0.2">
      <c r="A937" s="13" t="s">
        <v>4499</v>
      </c>
    </row>
    <row r="938" spans="1:1" x14ac:dyDescent="0.2">
      <c r="A938" s="13" t="s">
        <v>4500</v>
      </c>
    </row>
    <row r="939" spans="1:1" x14ac:dyDescent="0.2">
      <c r="A939" s="13" t="s">
        <v>4501</v>
      </c>
    </row>
    <row r="940" spans="1:1" x14ac:dyDescent="0.2">
      <c r="A940" s="13" t="s">
        <v>1861</v>
      </c>
    </row>
    <row r="941" spans="1:1" x14ac:dyDescent="0.2">
      <c r="A941" s="13" t="s">
        <v>2054</v>
      </c>
    </row>
    <row r="942" spans="1:1" x14ac:dyDescent="0.2">
      <c r="A942" s="13" t="s">
        <v>4502</v>
      </c>
    </row>
    <row r="943" spans="1:1" x14ac:dyDescent="0.2">
      <c r="A943" s="13" t="s">
        <v>4503</v>
      </c>
    </row>
    <row r="944" spans="1:1" x14ac:dyDescent="0.2">
      <c r="A944" s="13" t="s">
        <v>4504</v>
      </c>
    </row>
    <row r="945" spans="1:1" x14ac:dyDescent="0.2">
      <c r="A945" s="13" t="s">
        <v>2044</v>
      </c>
    </row>
    <row r="946" spans="1:1" x14ac:dyDescent="0.2">
      <c r="A946" s="13" t="s">
        <v>3150</v>
      </c>
    </row>
    <row r="947" spans="1:1" x14ac:dyDescent="0.2">
      <c r="A947" s="13" t="s">
        <v>732</v>
      </c>
    </row>
    <row r="948" spans="1:1" x14ac:dyDescent="0.2">
      <c r="A948" s="13" t="s">
        <v>2736</v>
      </c>
    </row>
    <row r="949" spans="1:1" x14ac:dyDescent="0.2">
      <c r="A949" s="13" t="s">
        <v>737</v>
      </c>
    </row>
    <row r="950" spans="1:1" x14ac:dyDescent="0.2">
      <c r="A950" s="13" t="s">
        <v>1967</v>
      </c>
    </row>
    <row r="951" spans="1:1" x14ac:dyDescent="0.2">
      <c r="A951" s="13" t="s">
        <v>3766</v>
      </c>
    </row>
    <row r="952" spans="1:1" x14ac:dyDescent="0.2">
      <c r="A952" s="13" t="s">
        <v>4147</v>
      </c>
    </row>
    <row r="953" spans="1:1" x14ac:dyDescent="0.2">
      <c r="A953" s="13" t="s">
        <v>4505</v>
      </c>
    </row>
    <row r="954" spans="1:1" x14ac:dyDescent="0.2">
      <c r="A954" s="13" t="s">
        <v>4506</v>
      </c>
    </row>
    <row r="955" spans="1:1" x14ac:dyDescent="0.2">
      <c r="A955" s="13" t="s">
        <v>4507</v>
      </c>
    </row>
    <row r="956" spans="1:1" x14ac:dyDescent="0.2">
      <c r="A956" s="13" t="s">
        <v>2815</v>
      </c>
    </row>
    <row r="957" spans="1:1" x14ac:dyDescent="0.2">
      <c r="A957" s="13" t="s">
        <v>4508</v>
      </c>
    </row>
    <row r="958" spans="1:1" x14ac:dyDescent="0.2">
      <c r="A958" s="13" t="s">
        <v>4509</v>
      </c>
    </row>
    <row r="959" spans="1:1" x14ac:dyDescent="0.2">
      <c r="A959" s="13" t="s">
        <v>4510</v>
      </c>
    </row>
    <row r="960" spans="1:1" x14ac:dyDescent="0.2">
      <c r="A960" s="13" t="s">
        <v>4511</v>
      </c>
    </row>
    <row r="961" spans="1:1" x14ac:dyDescent="0.2">
      <c r="A961" s="13" t="s">
        <v>2808</v>
      </c>
    </row>
    <row r="962" spans="1:1" x14ac:dyDescent="0.2">
      <c r="A962" s="13" t="s">
        <v>4512</v>
      </c>
    </row>
    <row r="963" spans="1:1" x14ac:dyDescent="0.2">
      <c r="A963" s="13" t="s">
        <v>984</v>
      </c>
    </row>
    <row r="964" spans="1:1" x14ac:dyDescent="0.2">
      <c r="A964" s="13" t="s">
        <v>3120</v>
      </c>
    </row>
    <row r="965" spans="1:1" x14ac:dyDescent="0.2">
      <c r="A965" s="13" t="s">
        <v>918</v>
      </c>
    </row>
    <row r="966" spans="1:1" x14ac:dyDescent="0.2">
      <c r="A966" s="13" t="s">
        <v>3394</v>
      </c>
    </row>
    <row r="967" spans="1:1" x14ac:dyDescent="0.2">
      <c r="A967" s="13" t="s">
        <v>4513</v>
      </c>
    </row>
    <row r="968" spans="1:1" x14ac:dyDescent="0.2">
      <c r="A968" s="13" t="s">
        <v>2547</v>
      </c>
    </row>
    <row r="969" spans="1:1" x14ac:dyDescent="0.2">
      <c r="A969" s="13" t="s">
        <v>2644</v>
      </c>
    </row>
    <row r="970" spans="1:1" x14ac:dyDescent="0.2">
      <c r="A970" s="13" t="s">
        <v>1638</v>
      </c>
    </row>
    <row r="971" spans="1:1" x14ac:dyDescent="0.2">
      <c r="A971" s="13" t="s">
        <v>4514</v>
      </c>
    </row>
    <row r="972" spans="1:1" x14ac:dyDescent="0.2">
      <c r="A972" s="13" t="s">
        <v>4515</v>
      </c>
    </row>
    <row r="973" spans="1:1" x14ac:dyDescent="0.2">
      <c r="A973" s="13" t="s">
        <v>1278</v>
      </c>
    </row>
    <row r="974" spans="1:1" x14ac:dyDescent="0.2">
      <c r="A974" s="13" t="s">
        <v>2358</v>
      </c>
    </row>
    <row r="975" spans="1:1" x14ac:dyDescent="0.2">
      <c r="A975" s="13" t="s">
        <v>4516</v>
      </c>
    </row>
    <row r="976" spans="1:1" x14ac:dyDescent="0.2">
      <c r="A976" s="13" t="s">
        <v>2587</v>
      </c>
    </row>
    <row r="977" spans="1:1" x14ac:dyDescent="0.2">
      <c r="A977" s="13" t="s">
        <v>3955</v>
      </c>
    </row>
    <row r="978" spans="1:1" x14ac:dyDescent="0.2">
      <c r="A978" s="13" t="s">
        <v>4517</v>
      </c>
    </row>
    <row r="979" spans="1:1" x14ac:dyDescent="0.2">
      <c r="A979" s="13" t="s">
        <v>4518</v>
      </c>
    </row>
    <row r="980" spans="1:1" x14ac:dyDescent="0.2">
      <c r="A980" s="13" t="s">
        <v>298</v>
      </c>
    </row>
    <row r="981" spans="1:1" x14ac:dyDescent="0.2">
      <c r="A981" s="13" t="s">
        <v>1812</v>
      </c>
    </row>
    <row r="982" spans="1:1" x14ac:dyDescent="0.2">
      <c r="A982" s="13" t="s">
        <v>4519</v>
      </c>
    </row>
    <row r="983" spans="1:1" x14ac:dyDescent="0.2">
      <c r="A983" s="13" t="s">
        <v>3731</v>
      </c>
    </row>
    <row r="984" spans="1:1" x14ac:dyDescent="0.2">
      <c r="A984" s="13" t="s">
        <v>3720</v>
      </c>
    </row>
    <row r="985" spans="1:1" x14ac:dyDescent="0.2">
      <c r="A985" s="13" t="s">
        <v>895</v>
      </c>
    </row>
    <row r="986" spans="1:1" x14ac:dyDescent="0.2">
      <c r="A986" s="13" t="s">
        <v>3202</v>
      </c>
    </row>
    <row r="987" spans="1:1" x14ac:dyDescent="0.2">
      <c r="A987" s="13" t="s">
        <v>4520</v>
      </c>
    </row>
    <row r="988" spans="1:1" x14ac:dyDescent="0.2">
      <c r="A988" s="13" t="s">
        <v>586</v>
      </c>
    </row>
    <row r="989" spans="1:1" x14ac:dyDescent="0.2">
      <c r="A989" s="13" t="s">
        <v>4521</v>
      </c>
    </row>
    <row r="990" spans="1:1" x14ac:dyDescent="0.2">
      <c r="A990" s="13" t="s">
        <v>4522</v>
      </c>
    </row>
    <row r="991" spans="1:1" x14ac:dyDescent="0.2">
      <c r="A991" s="13" t="s">
        <v>2746</v>
      </c>
    </row>
    <row r="992" spans="1:1" x14ac:dyDescent="0.2">
      <c r="A992" s="13" t="s">
        <v>4523</v>
      </c>
    </row>
    <row r="993" spans="1:1" x14ac:dyDescent="0.2">
      <c r="A993" s="13" t="s">
        <v>923</v>
      </c>
    </row>
    <row r="994" spans="1:1" x14ac:dyDescent="0.2">
      <c r="A994" s="13" t="s">
        <v>4524</v>
      </c>
    </row>
    <row r="995" spans="1:1" x14ac:dyDescent="0.2">
      <c r="A995" s="13" t="s">
        <v>4525</v>
      </c>
    </row>
    <row r="996" spans="1:1" x14ac:dyDescent="0.2">
      <c r="A996" s="13" t="s">
        <v>1112</v>
      </c>
    </row>
    <row r="997" spans="1:1" x14ac:dyDescent="0.2">
      <c r="A997" s="13" t="s">
        <v>1240</v>
      </c>
    </row>
    <row r="998" spans="1:1" x14ac:dyDescent="0.2">
      <c r="A998" s="13" t="s">
        <v>465</v>
      </c>
    </row>
    <row r="999" spans="1:1" x14ac:dyDescent="0.2">
      <c r="A999" s="13" t="s">
        <v>4526</v>
      </c>
    </row>
    <row r="1000" spans="1:1" x14ac:dyDescent="0.2">
      <c r="A1000" s="13" t="s">
        <v>2311</v>
      </c>
    </row>
    <row r="1001" spans="1:1" x14ac:dyDescent="0.2">
      <c r="A1001" s="13" t="s">
        <v>4527</v>
      </c>
    </row>
    <row r="1002" spans="1:1" x14ac:dyDescent="0.2">
      <c r="A1002" s="13" t="s">
        <v>4528</v>
      </c>
    </row>
    <row r="1003" spans="1:1" x14ac:dyDescent="0.2">
      <c r="A1003" s="13" t="s">
        <v>2240</v>
      </c>
    </row>
    <row r="1004" spans="1:1" x14ac:dyDescent="0.2">
      <c r="A1004" s="13" t="s">
        <v>3591</v>
      </c>
    </row>
    <row r="1005" spans="1:1" x14ac:dyDescent="0.2">
      <c r="A1005" s="13" t="s">
        <v>4529</v>
      </c>
    </row>
    <row r="1006" spans="1:1" x14ac:dyDescent="0.2">
      <c r="A1006" s="13" t="s">
        <v>4108</v>
      </c>
    </row>
    <row r="1007" spans="1:1" x14ac:dyDescent="0.2">
      <c r="A1007" s="13" t="s">
        <v>4530</v>
      </c>
    </row>
    <row r="1008" spans="1:1" x14ac:dyDescent="0.2">
      <c r="A1008" s="13" t="s">
        <v>4531</v>
      </c>
    </row>
    <row r="1009" spans="1:1" x14ac:dyDescent="0.2">
      <c r="A1009" s="13" t="s">
        <v>2787</v>
      </c>
    </row>
    <row r="1010" spans="1:1" x14ac:dyDescent="0.2">
      <c r="A1010" s="13" t="s">
        <v>4532</v>
      </c>
    </row>
    <row r="1011" spans="1:1" x14ac:dyDescent="0.2">
      <c r="A1011" s="13" t="s">
        <v>754</v>
      </c>
    </row>
    <row r="1012" spans="1:1" x14ac:dyDescent="0.2">
      <c r="A1012" s="13" t="s">
        <v>2483</v>
      </c>
    </row>
    <row r="1013" spans="1:1" x14ac:dyDescent="0.2">
      <c r="A1013" s="13" t="s">
        <v>3738</v>
      </c>
    </row>
    <row r="1014" spans="1:1" x14ac:dyDescent="0.2">
      <c r="A1014" s="13" t="s">
        <v>4533</v>
      </c>
    </row>
    <row r="1015" spans="1:1" x14ac:dyDescent="0.2">
      <c r="A1015" s="13" t="s">
        <v>4534</v>
      </c>
    </row>
    <row r="1016" spans="1:1" x14ac:dyDescent="0.2">
      <c r="A1016" s="13" t="s">
        <v>2387</v>
      </c>
    </row>
    <row r="1017" spans="1:1" x14ac:dyDescent="0.2">
      <c r="A1017" s="13" t="s">
        <v>2153</v>
      </c>
    </row>
    <row r="1018" spans="1:1" x14ac:dyDescent="0.2">
      <c r="A1018" s="13" t="s">
        <v>4535</v>
      </c>
    </row>
    <row r="1019" spans="1:1" x14ac:dyDescent="0.2">
      <c r="A1019" s="13" t="s">
        <v>4536</v>
      </c>
    </row>
    <row r="1020" spans="1:1" x14ac:dyDescent="0.2">
      <c r="A1020" s="13" t="s">
        <v>457</v>
      </c>
    </row>
    <row r="1021" spans="1:1" x14ac:dyDescent="0.2">
      <c r="A1021" s="13" t="s">
        <v>4537</v>
      </c>
    </row>
    <row r="1022" spans="1:1" x14ac:dyDescent="0.2">
      <c r="A1022" s="13" t="s">
        <v>4538</v>
      </c>
    </row>
    <row r="1023" spans="1:1" x14ac:dyDescent="0.2">
      <c r="A1023" s="13" t="s">
        <v>3347</v>
      </c>
    </row>
    <row r="1024" spans="1:1" x14ac:dyDescent="0.2">
      <c r="A1024" s="13" t="s">
        <v>4539</v>
      </c>
    </row>
    <row r="1025" spans="1:1" x14ac:dyDescent="0.2">
      <c r="A1025" s="13" t="s">
        <v>4540</v>
      </c>
    </row>
    <row r="1026" spans="1:1" x14ac:dyDescent="0.2">
      <c r="A1026" s="13" t="s">
        <v>4541</v>
      </c>
    </row>
    <row r="1027" spans="1:1" x14ac:dyDescent="0.2">
      <c r="A1027" s="13" t="s">
        <v>4542</v>
      </c>
    </row>
    <row r="1028" spans="1:1" x14ac:dyDescent="0.2">
      <c r="A1028" s="13" t="s">
        <v>2021</v>
      </c>
    </row>
    <row r="1029" spans="1:1" x14ac:dyDescent="0.2">
      <c r="A1029" s="13" t="s">
        <v>576</v>
      </c>
    </row>
    <row r="1030" spans="1:1" x14ac:dyDescent="0.2">
      <c r="A1030" s="13" t="s">
        <v>4543</v>
      </c>
    </row>
    <row r="1031" spans="1:1" x14ac:dyDescent="0.2">
      <c r="A1031" s="13" t="s">
        <v>683</v>
      </c>
    </row>
    <row r="1032" spans="1:1" x14ac:dyDescent="0.2">
      <c r="A1032" s="13" t="s">
        <v>1147</v>
      </c>
    </row>
    <row r="1033" spans="1:1" x14ac:dyDescent="0.2">
      <c r="A1033" s="13" t="s">
        <v>4544</v>
      </c>
    </row>
    <row r="1034" spans="1:1" x14ac:dyDescent="0.2">
      <c r="A1034" s="13" t="s">
        <v>1530</v>
      </c>
    </row>
    <row r="1035" spans="1:1" x14ac:dyDescent="0.2">
      <c r="A1035" s="13" t="s">
        <v>1435</v>
      </c>
    </row>
    <row r="1036" spans="1:1" x14ac:dyDescent="0.2">
      <c r="A1036" s="13" t="s">
        <v>4545</v>
      </c>
    </row>
    <row r="1037" spans="1:1" x14ac:dyDescent="0.2">
      <c r="A1037" s="13" t="s">
        <v>1484</v>
      </c>
    </row>
    <row r="1038" spans="1:1" x14ac:dyDescent="0.2">
      <c r="A1038" s="13" t="s">
        <v>3456</v>
      </c>
    </row>
    <row r="1039" spans="1:1" x14ac:dyDescent="0.2">
      <c r="A1039" s="13" t="s">
        <v>2481</v>
      </c>
    </row>
    <row r="1040" spans="1:1" x14ac:dyDescent="0.2">
      <c r="A1040" s="13" t="s">
        <v>2412</v>
      </c>
    </row>
    <row r="1041" spans="1:1" x14ac:dyDescent="0.2">
      <c r="A1041" s="13" t="s">
        <v>4546</v>
      </c>
    </row>
    <row r="1042" spans="1:1" x14ac:dyDescent="0.2">
      <c r="A1042" s="13" t="s">
        <v>417</v>
      </c>
    </row>
    <row r="1043" spans="1:1" x14ac:dyDescent="0.2">
      <c r="A1043" s="13" t="s">
        <v>4547</v>
      </c>
    </row>
    <row r="1044" spans="1:1" x14ac:dyDescent="0.2">
      <c r="A1044" s="13" t="s">
        <v>4548</v>
      </c>
    </row>
    <row r="1045" spans="1:1" x14ac:dyDescent="0.2">
      <c r="A1045" s="13" t="s">
        <v>1957</v>
      </c>
    </row>
    <row r="1046" spans="1:1" x14ac:dyDescent="0.2">
      <c r="A1046" s="13" t="s">
        <v>4549</v>
      </c>
    </row>
    <row r="1047" spans="1:1" x14ac:dyDescent="0.2">
      <c r="A1047" s="13" t="s">
        <v>4550</v>
      </c>
    </row>
    <row r="1048" spans="1:1" x14ac:dyDescent="0.2">
      <c r="A1048" s="13" t="s">
        <v>4551</v>
      </c>
    </row>
    <row r="1049" spans="1:1" x14ac:dyDescent="0.2">
      <c r="A1049" s="13" t="s">
        <v>3435</v>
      </c>
    </row>
    <row r="1050" spans="1:1" x14ac:dyDescent="0.2">
      <c r="A1050" s="13" t="s">
        <v>738</v>
      </c>
    </row>
    <row r="1051" spans="1:1" x14ac:dyDescent="0.2">
      <c r="A1051" s="13" t="s">
        <v>2457</v>
      </c>
    </row>
    <row r="1052" spans="1:1" x14ac:dyDescent="0.2">
      <c r="A1052" s="13" t="s">
        <v>3964</v>
      </c>
    </row>
    <row r="1053" spans="1:1" x14ac:dyDescent="0.2">
      <c r="A1053" s="13" t="s">
        <v>563</v>
      </c>
    </row>
    <row r="1054" spans="1:1" x14ac:dyDescent="0.2">
      <c r="A1054" s="13" t="s">
        <v>476</v>
      </c>
    </row>
    <row r="1055" spans="1:1" x14ac:dyDescent="0.2">
      <c r="A1055" s="13" t="s">
        <v>4552</v>
      </c>
    </row>
    <row r="1056" spans="1:1" x14ac:dyDescent="0.2">
      <c r="A1056" s="13" t="s">
        <v>1306</v>
      </c>
    </row>
    <row r="1057" spans="1:1" x14ac:dyDescent="0.2">
      <c r="A1057" s="13" t="s">
        <v>1496</v>
      </c>
    </row>
    <row r="1058" spans="1:1" x14ac:dyDescent="0.2">
      <c r="A1058" s="13" t="s">
        <v>4553</v>
      </c>
    </row>
    <row r="1059" spans="1:1" x14ac:dyDescent="0.2">
      <c r="A1059" s="13" t="s">
        <v>537</v>
      </c>
    </row>
    <row r="1060" spans="1:1" x14ac:dyDescent="0.2">
      <c r="A1060" s="13" t="s">
        <v>350</v>
      </c>
    </row>
    <row r="1061" spans="1:1" x14ac:dyDescent="0.2">
      <c r="A1061" s="13" t="s">
        <v>2241</v>
      </c>
    </row>
    <row r="1062" spans="1:1" x14ac:dyDescent="0.2">
      <c r="A1062" s="13" t="s">
        <v>937</v>
      </c>
    </row>
    <row r="1063" spans="1:1" x14ac:dyDescent="0.2">
      <c r="A1063" s="13" t="s">
        <v>1404</v>
      </c>
    </row>
    <row r="1064" spans="1:1" x14ac:dyDescent="0.2">
      <c r="A1064" s="13" t="s">
        <v>3209</v>
      </c>
    </row>
    <row r="1065" spans="1:1" x14ac:dyDescent="0.2">
      <c r="A1065" s="13" t="s">
        <v>491</v>
      </c>
    </row>
    <row r="1066" spans="1:1" x14ac:dyDescent="0.2">
      <c r="A1066" s="13" t="s">
        <v>3203</v>
      </c>
    </row>
    <row r="1067" spans="1:1" x14ac:dyDescent="0.2">
      <c r="A1067" s="13" t="s">
        <v>1790</v>
      </c>
    </row>
    <row r="1068" spans="1:1" x14ac:dyDescent="0.2">
      <c r="A1068" s="13" t="s">
        <v>3677</v>
      </c>
    </row>
    <row r="1069" spans="1:1" x14ac:dyDescent="0.2">
      <c r="A1069" s="13" t="s">
        <v>3888</v>
      </c>
    </row>
    <row r="1070" spans="1:1" x14ac:dyDescent="0.2">
      <c r="A1070" s="13" t="s">
        <v>2248</v>
      </c>
    </row>
    <row r="1071" spans="1:1" x14ac:dyDescent="0.2">
      <c r="A1071" s="13" t="s">
        <v>1032</v>
      </c>
    </row>
    <row r="1072" spans="1:1" x14ac:dyDescent="0.2">
      <c r="A1072" s="13" t="s">
        <v>964</v>
      </c>
    </row>
    <row r="1073" spans="1:1" x14ac:dyDescent="0.2">
      <c r="A1073" s="13" t="s">
        <v>2947</v>
      </c>
    </row>
    <row r="1074" spans="1:1" x14ac:dyDescent="0.2">
      <c r="A1074" s="13" t="s">
        <v>4554</v>
      </c>
    </row>
    <row r="1075" spans="1:1" x14ac:dyDescent="0.2">
      <c r="A1075" s="13" t="s">
        <v>3481</v>
      </c>
    </row>
    <row r="1076" spans="1:1" x14ac:dyDescent="0.2">
      <c r="A1076" s="13" t="s">
        <v>318</v>
      </c>
    </row>
    <row r="1077" spans="1:1" x14ac:dyDescent="0.2">
      <c r="A1077" s="13" t="s">
        <v>4555</v>
      </c>
    </row>
    <row r="1078" spans="1:1" x14ac:dyDescent="0.2">
      <c r="A1078" s="13" t="s">
        <v>427</v>
      </c>
    </row>
    <row r="1079" spans="1:1" x14ac:dyDescent="0.2">
      <c r="A1079" s="13" t="s">
        <v>445</v>
      </c>
    </row>
    <row r="1080" spans="1:1" x14ac:dyDescent="0.2">
      <c r="A1080" s="13" t="s">
        <v>4556</v>
      </c>
    </row>
    <row r="1081" spans="1:1" x14ac:dyDescent="0.2">
      <c r="A1081" s="13" t="s">
        <v>4557</v>
      </c>
    </row>
    <row r="1082" spans="1:1" x14ac:dyDescent="0.2">
      <c r="A1082" s="13" t="s">
        <v>461</v>
      </c>
    </row>
    <row r="1083" spans="1:1" x14ac:dyDescent="0.2">
      <c r="A1083" s="13" t="s">
        <v>2035</v>
      </c>
    </row>
    <row r="1084" spans="1:1" x14ac:dyDescent="0.2">
      <c r="A1084" s="13" t="s">
        <v>223</v>
      </c>
    </row>
    <row r="1085" spans="1:1" x14ac:dyDescent="0.2">
      <c r="A1085" s="13" t="s">
        <v>3776</v>
      </c>
    </row>
    <row r="1086" spans="1:1" x14ac:dyDescent="0.2">
      <c r="A1086" s="13" t="s">
        <v>1673</v>
      </c>
    </row>
    <row r="1087" spans="1:1" x14ac:dyDescent="0.2">
      <c r="A1087" s="13" t="s">
        <v>3572</v>
      </c>
    </row>
    <row r="1088" spans="1:1" x14ac:dyDescent="0.2">
      <c r="A1088" s="13" t="s">
        <v>4558</v>
      </c>
    </row>
    <row r="1089" spans="1:1" x14ac:dyDescent="0.2">
      <c r="A1089" s="13" t="s">
        <v>4559</v>
      </c>
    </row>
    <row r="1090" spans="1:1" x14ac:dyDescent="0.2">
      <c r="A1090" s="13" t="s">
        <v>642</v>
      </c>
    </row>
    <row r="1091" spans="1:1" x14ac:dyDescent="0.2">
      <c r="A1091" s="13" t="s">
        <v>1632</v>
      </c>
    </row>
    <row r="1092" spans="1:1" x14ac:dyDescent="0.2">
      <c r="A1092" s="13" t="s">
        <v>1176</v>
      </c>
    </row>
    <row r="1093" spans="1:1" x14ac:dyDescent="0.2">
      <c r="A1093" s="13" t="s">
        <v>1935</v>
      </c>
    </row>
    <row r="1094" spans="1:1" x14ac:dyDescent="0.2">
      <c r="A1094" s="13" t="s">
        <v>708</v>
      </c>
    </row>
    <row r="1095" spans="1:1" x14ac:dyDescent="0.2">
      <c r="A1095" s="13" t="s">
        <v>3977</v>
      </c>
    </row>
    <row r="1096" spans="1:1" x14ac:dyDescent="0.2">
      <c r="A1096" s="13" t="s">
        <v>3806</v>
      </c>
    </row>
    <row r="1097" spans="1:1" x14ac:dyDescent="0.2">
      <c r="A1097" s="13" t="s">
        <v>1533</v>
      </c>
    </row>
    <row r="1098" spans="1:1" x14ac:dyDescent="0.2">
      <c r="A1098" s="13" t="s">
        <v>587</v>
      </c>
    </row>
    <row r="1099" spans="1:1" x14ac:dyDescent="0.2">
      <c r="A1099" s="13" t="s">
        <v>4560</v>
      </c>
    </row>
    <row r="1100" spans="1:1" x14ac:dyDescent="0.2">
      <c r="A1100" s="13" t="s">
        <v>1672</v>
      </c>
    </row>
    <row r="1101" spans="1:1" x14ac:dyDescent="0.2">
      <c r="A1101" s="13" t="s">
        <v>4561</v>
      </c>
    </row>
    <row r="1102" spans="1:1" x14ac:dyDescent="0.2">
      <c r="A1102" s="13" t="s">
        <v>2696</v>
      </c>
    </row>
    <row r="1103" spans="1:1" x14ac:dyDescent="0.2">
      <c r="A1103" s="13" t="s">
        <v>871</v>
      </c>
    </row>
    <row r="1104" spans="1:1" x14ac:dyDescent="0.2">
      <c r="A1104" s="13" t="s">
        <v>4562</v>
      </c>
    </row>
    <row r="1105" spans="1:1" x14ac:dyDescent="0.2">
      <c r="A1105" s="13" t="s">
        <v>1743</v>
      </c>
    </row>
    <row r="1106" spans="1:1" x14ac:dyDescent="0.2">
      <c r="A1106" s="13" t="s">
        <v>4563</v>
      </c>
    </row>
    <row r="1107" spans="1:1" x14ac:dyDescent="0.2">
      <c r="A1107" s="13" t="s">
        <v>2197</v>
      </c>
    </row>
    <row r="1108" spans="1:1" x14ac:dyDescent="0.2">
      <c r="A1108" s="13" t="s">
        <v>3926</v>
      </c>
    </row>
    <row r="1109" spans="1:1" x14ac:dyDescent="0.2">
      <c r="A1109" s="13" t="s">
        <v>766</v>
      </c>
    </row>
    <row r="1110" spans="1:1" x14ac:dyDescent="0.2">
      <c r="A1110" s="13" t="s">
        <v>3650</v>
      </c>
    </row>
    <row r="1111" spans="1:1" x14ac:dyDescent="0.2">
      <c r="A1111" s="13" t="s">
        <v>242</v>
      </c>
    </row>
    <row r="1112" spans="1:1" x14ac:dyDescent="0.2">
      <c r="A1112" s="13" t="s">
        <v>4564</v>
      </c>
    </row>
    <row r="1113" spans="1:1" x14ac:dyDescent="0.2">
      <c r="A1113" s="13" t="s">
        <v>4565</v>
      </c>
    </row>
    <row r="1114" spans="1:1" x14ac:dyDescent="0.2">
      <c r="A1114" s="13" t="s">
        <v>2987</v>
      </c>
    </row>
    <row r="1115" spans="1:1" x14ac:dyDescent="0.2">
      <c r="A1115" s="13" t="s">
        <v>4566</v>
      </c>
    </row>
    <row r="1116" spans="1:1" x14ac:dyDescent="0.2">
      <c r="A1116" s="13" t="s">
        <v>4567</v>
      </c>
    </row>
    <row r="1117" spans="1:1" x14ac:dyDescent="0.2">
      <c r="A1117" s="13" t="s">
        <v>2895</v>
      </c>
    </row>
    <row r="1118" spans="1:1" x14ac:dyDescent="0.2">
      <c r="A1118" s="13" t="s">
        <v>4568</v>
      </c>
    </row>
    <row r="1119" spans="1:1" x14ac:dyDescent="0.2">
      <c r="A1119" s="13" t="s">
        <v>4032</v>
      </c>
    </row>
    <row r="1120" spans="1:1" x14ac:dyDescent="0.2">
      <c r="A1120" s="13" t="s">
        <v>2225</v>
      </c>
    </row>
    <row r="1121" spans="1:1" x14ac:dyDescent="0.2">
      <c r="A1121" s="13" t="s">
        <v>991</v>
      </c>
    </row>
    <row r="1122" spans="1:1" x14ac:dyDescent="0.2">
      <c r="A1122" s="13" t="s">
        <v>3915</v>
      </c>
    </row>
    <row r="1123" spans="1:1" x14ac:dyDescent="0.2">
      <c r="A1123" s="13" t="s">
        <v>3830</v>
      </c>
    </row>
    <row r="1124" spans="1:1" x14ac:dyDescent="0.2">
      <c r="A1124" s="13" t="s">
        <v>3736</v>
      </c>
    </row>
    <row r="1125" spans="1:1" x14ac:dyDescent="0.2">
      <c r="A1125" s="13" t="s">
        <v>3958</v>
      </c>
    </row>
    <row r="1126" spans="1:1" x14ac:dyDescent="0.2">
      <c r="A1126" s="13" t="s">
        <v>1737</v>
      </c>
    </row>
    <row r="1127" spans="1:1" x14ac:dyDescent="0.2">
      <c r="A1127" s="13" t="s">
        <v>1292</v>
      </c>
    </row>
    <row r="1128" spans="1:1" x14ac:dyDescent="0.2">
      <c r="A1128" s="13" t="s">
        <v>245</v>
      </c>
    </row>
    <row r="1129" spans="1:1" x14ac:dyDescent="0.2">
      <c r="A1129" s="13" t="s">
        <v>3566</v>
      </c>
    </row>
    <row r="1130" spans="1:1" x14ac:dyDescent="0.2">
      <c r="A1130" s="13" t="s">
        <v>4569</v>
      </c>
    </row>
    <row r="1131" spans="1:1" x14ac:dyDescent="0.2">
      <c r="A1131" s="13" t="s">
        <v>1731</v>
      </c>
    </row>
    <row r="1132" spans="1:1" x14ac:dyDescent="0.2">
      <c r="A1132" s="13" t="s">
        <v>3555</v>
      </c>
    </row>
    <row r="1133" spans="1:1" x14ac:dyDescent="0.2">
      <c r="A1133" s="13" t="s">
        <v>2074</v>
      </c>
    </row>
    <row r="1134" spans="1:1" x14ac:dyDescent="0.2">
      <c r="A1134" s="13" t="s">
        <v>338</v>
      </c>
    </row>
    <row r="1135" spans="1:1" x14ac:dyDescent="0.2">
      <c r="A1135" s="13" t="s">
        <v>1480</v>
      </c>
    </row>
    <row r="1136" spans="1:1" x14ac:dyDescent="0.2">
      <c r="A1136" s="13" t="s">
        <v>4570</v>
      </c>
    </row>
    <row r="1137" spans="1:1" x14ac:dyDescent="0.2">
      <c r="A1137" s="13" t="s">
        <v>2972</v>
      </c>
    </row>
    <row r="1138" spans="1:1" x14ac:dyDescent="0.2">
      <c r="A1138" s="13" t="s">
        <v>2715</v>
      </c>
    </row>
    <row r="1139" spans="1:1" x14ac:dyDescent="0.2">
      <c r="A1139" s="13" t="s">
        <v>3079</v>
      </c>
    </row>
    <row r="1140" spans="1:1" x14ac:dyDescent="0.2">
      <c r="A1140" s="13" t="s">
        <v>4571</v>
      </c>
    </row>
    <row r="1141" spans="1:1" x14ac:dyDescent="0.2">
      <c r="A1141" s="13" t="s">
        <v>4572</v>
      </c>
    </row>
    <row r="1142" spans="1:1" x14ac:dyDescent="0.2">
      <c r="A1142" s="13" t="s">
        <v>1956</v>
      </c>
    </row>
    <row r="1143" spans="1:1" x14ac:dyDescent="0.2">
      <c r="A1143" s="13" t="s">
        <v>1647</v>
      </c>
    </row>
    <row r="1144" spans="1:1" x14ac:dyDescent="0.2">
      <c r="A1144" s="13" t="s">
        <v>1162</v>
      </c>
    </row>
    <row r="1145" spans="1:1" x14ac:dyDescent="0.2">
      <c r="A1145" s="13" t="s">
        <v>2592</v>
      </c>
    </row>
    <row r="1146" spans="1:1" x14ac:dyDescent="0.2">
      <c r="A1146" s="13" t="s">
        <v>4573</v>
      </c>
    </row>
    <row r="1147" spans="1:1" x14ac:dyDescent="0.2">
      <c r="A1147" s="13" t="s">
        <v>2176</v>
      </c>
    </row>
    <row r="1148" spans="1:1" x14ac:dyDescent="0.2">
      <c r="A1148" s="13" t="s">
        <v>4146</v>
      </c>
    </row>
    <row r="1149" spans="1:1" x14ac:dyDescent="0.2">
      <c r="A1149" s="13" t="s">
        <v>250</v>
      </c>
    </row>
    <row r="1150" spans="1:1" x14ac:dyDescent="0.2">
      <c r="A1150" s="13" t="s">
        <v>4574</v>
      </c>
    </row>
    <row r="1151" spans="1:1" x14ac:dyDescent="0.2">
      <c r="A1151" s="13" t="s">
        <v>4575</v>
      </c>
    </row>
    <row r="1152" spans="1:1" x14ac:dyDescent="0.2">
      <c r="A1152" s="13" t="s">
        <v>3170</v>
      </c>
    </row>
    <row r="1153" spans="1:1" x14ac:dyDescent="0.2">
      <c r="A1153" s="13" t="s">
        <v>892</v>
      </c>
    </row>
    <row r="1154" spans="1:1" x14ac:dyDescent="0.2">
      <c r="A1154" s="13" t="s">
        <v>3334</v>
      </c>
    </row>
    <row r="1155" spans="1:1" x14ac:dyDescent="0.2">
      <c r="A1155" s="13" t="s">
        <v>4576</v>
      </c>
    </row>
    <row r="1156" spans="1:1" x14ac:dyDescent="0.2">
      <c r="A1156" s="13" t="s">
        <v>192</v>
      </c>
    </row>
    <row r="1157" spans="1:1" x14ac:dyDescent="0.2">
      <c r="A1157" s="13" t="s">
        <v>274</v>
      </c>
    </row>
    <row r="1158" spans="1:1" x14ac:dyDescent="0.2">
      <c r="A1158" s="13" t="s">
        <v>4577</v>
      </c>
    </row>
    <row r="1159" spans="1:1" x14ac:dyDescent="0.2">
      <c r="A1159" s="13" t="s">
        <v>4578</v>
      </c>
    </row>
    <row r="1160" spans="1:1" x14ac:dyDescent="0.2">
      <c r="A1160" s="13" t="s">
        <v>718</v>
      </c>
    </row>
    <row r="1161" spans="1:1" x14ac:dyDescent="0.2">
      <c r="A1161" s="13" t="s">
        <v>2204</v>
      </c>
    </row>
    <row r="1162" spans="1:1" x14ac:dyDescent="0.2">
      <c r="A1162" s="13" t="s">
        <v>1295</v>
      </c>
    </row>
    <row r="1163" spans="1:1" x14ac:dyDescent="0.2">
      <c r="A1163" s="13" t="s">
        <v>4579</v>
      </c>
    </row>
    <row r="1164" spans="1:1" x14ac:dyDescent="0.2">
      <c r="A1164" s="13" t="s">
        <v>1039</v>
      </c>
    </row>
    <row r="1165" spans="1:1" x14ac:dyDescent="0.2">
      <c r="A1165" s="13" t="s">
        <v>523</v>
      </c>
    </row>
    <row r="1166" spans="1:1" x14ac:dyDescent="0.2">
      <c r="A1166" s="13" t="s">
        <v>374</v>
      </c>
    </row>
    <row r="1167" spans="1:1" x14ac:dyDescent="0.2">
      <c r="A1167" s="13" t="s">
        <v>2866</v>
      </c>
    </row>
    <row r="1168" spans="1:1" x14ac:dyDescent="0.2">
      <c r="A1168" s="13" t="s">
        <v>4175</v>
      </c>
    </row>
    <row r="1169" spans="1:1" x14ac:dyDescent="0.2">
      <c r="A1169" s="13" t="s">
        <v>782</v>
      </c>
    </row>
    <row r="1170" spans="1:1" x14ac:dyDescent="0.2">
      <c r="A1170" s="13" t="s">
        <v>4580</v>
      </c>
    </row>
    <row r="1171" spans="1:1" x14ac:dyDescent="0.2">
      <c r="A1171" s="13" t="s">
        <v>816</v>
      </c>
    </row>
    <row r="1172" spans="1:1" x14ac:dyDescent="0.2">
      <c r="A1172" s="13" t="s">
        <v>3289</v>
      </c>
    </row>
    <row r="1173" spans="1:1" x14ac:dyDescent="0.2">
      <c r="A1173" s="13" t="s">
        <v>645</v>
      </c>
    </row>
    <row r="1174" spans="1:1" x14ac:dyDescent="0.2">
      <c r="A1174" s="13" t="s">
        <v>4581</v>
      </c>
    </row>
    <row r="1175" spans="1:1" x14ac:dyDescent="0.2">
      <c r="A1175" s="13" t="s">
        <v>1105</v>
      </c>
    </row>
    <row r="1176" spans="1:1" x14ac:dyDescent="0.2">
      <c r="A1176" s="13" t="s">
        <v>3980</v>
      </c>
    </row>
    <row r="1177" spans="1:1" x14ac:dyDescent="0.2">
      <c r="A1177" s="13" t="s">
        <v>4582</v>
      </c>
    </row>
    <row r="1178" spans="1:1" x14ac:dyDescent="0.2">
      <c r="A1178" s="13" t="s">
        <v>978</v>
      </c>
    </row>
    <row r="1179" spans="1:1" x14ac:dyDescent="0.2">
      <c r="A1179" s="13" t="s">
        <v>448</v>
      </c>
    </row>
    <row r="1180" spans="1:1" x14ac:dyDescent="0.2">
      <c r="A1180" s="13" t="s">
        <v>1982</v>
      </c>
    </row>
    <row r="1181" spans="1:1" x14ac:dyDescent="0.2">
      <c r="A1181" s="13" t="s">
        <v>341</v>
      </c>
    </row>
    <row r="1182" spans="1:1" x14ac:dyDescent="0.2">
      <c r="A1182" s="13" t="s">
        <v>2986</v>
      </c>
    </row>
    <row r="1183" spans="1:1" x14ac:dyDescent="0.2">
      <c r="A1183" s="13" t="s">
        <v>636</v>
      </c>
    </row>
    <row r="1184" spans="1:1" x14ac:dyDescent="0.2">
      <c r="A1184" s="13" t="s">
        <v>4583</v>
      </c>
    </row>
    <row r="1185" spans="1:1" x14ac:dyDescent="0.2">
      <c r="A1185" s="13" t="s">
        <v>549</v>
      </c>
    </row>
    <row r="1186" spans="1:1" x14ac:dyDescent="0.2">
      <c r="A1186" s="13" t="s">
        <v>633</v>
      </c>
    </row>
    <row r="1187" spans="1:1" x14ac:dyDescent="0.2">
      <c r="A1187" s="13" t="s">
        <v>1021</v>
      </c>
    </row>
    <row r="1188" spans="1:1" x14ac:dyDescent="0.2">
      <c r="A1188" s="13" t="s">
        <v>4584</v>
      </c>
    </row>
    <row r="1189" spans="1:1" x14ac:dyDescent="0.2">
      <c r="A1189" s="13" t="s">
        <v>342</v>
      </c>
    </row>
    <row r="1190" spans="1:1" x14ac:dyDescent="0.2">
      <c r="A1190" s="13" t="s">
        <v>3357</v>
      </c>
    </row>
    <row r="1191" spans="1:1" x14ac:dyDescent="0.2">
      <c r="A1191" s="13" t="s">
        <v>909</v>
      </c>
    </row>
    <row r="1192" spans="1:1" x14ac:dyDescent="0.2">
      <c r="A1192" s="13" t="s">
        <v>4585</v>
      </c>
    </row>
    <row r="1193" spans="1:1" x14ac:dyDescent="0.2">
      <c r="A1193" s="13" t="s">
        <v>4586</v>
      </c>
    </row>
    <row r="1194" spans="1:1" x14ac:dyDescent="0.2">
      <c r="A1194" s="13" t="s">
        <v>2726</v>
      </c>
    </row>
    <row r="1195" spans="1:1" x14ac:dyDescent="0.2">
      <c r="A1195" s="13" t="s">
        <v>4587</v>
      </c>
    </row>
    <row r="1196" spans="1:1" x14ac:dyDescent="0.2">
      <c r="A1196" s="13" t="s">
        <v>850</v>
      </c>
    </row>
    <row r="1197" spans="1:1" x14ac:dyDescent="0.2">
      <c r="A1197" s="13" t="s">
        <v>622</v>
      </c>
    </row>
    <row r="1198" spans="1:1" x14ac:dyDescent="0.2">
      <c r="A1198" s="13" t="s">
        <v>4588</v>
      </c>
    </row>
    <row r="1199" spans="1:1" x14ac:dyDescent="0.2">
      <c r="A1199" s="13" t="s">
        <v>401</v>
      </c>
    </row>
    <row r="1200" spans="1:1" x14ac:dyDescent="0.2">
      <c r="A1200" s="13" t="s">
        <v>2126</v>
      </c>
    </row>
    <row r="1201" spans="1:1" x14ac:dyDescent="0.2">
      <c r="A1201" s="13" t="s">
        <v>430</v>
      </c>
    </row>
    <row r="1202" spans="1:1" x14ac:dyDescent="0.2">
      <c r="A1202" s="13" t="s">
        <v>4589</v>
      </c>
    </row>
    <row r="1203" spans="1:1" x14ac:dyDescent="0.2">
      <c r="A1203" s="13" t="s">
        <v>4136</v>
      </c>
    </row>
    <row r="1204" spans="1:1" x14ac:dyDescent="0.2">
      <c r="A1204" s="13" t="s">
        <v>370</v>
      </c>
    </row>
    <row r="1205" spans="1:1" x14ac:dyDescent="0.2">
      <c r="A1205" s="13" t="s">
        <v>4590</v>
      </c>
    </row>
    <row r="1206" spans="1:1" x14ac:dyDescent="0.2">
      <c r="A1206" s="13" t="s">
        <v>1674</v>
      </c>
    </row>
    <row r="1207" spans="1:1" x14ac:dyDescent="0.2">
      <c r="A1207" s="13" t="s">
        <v>1590</v>
      </c>
    </row>
    <row r="1208" spans="1:1" x14ac:dyDescent="0.2">
      <c r="A1208" s="13" t="s">
        <v>4591</v>
      </c>
    </row>
    <row r="1209" spans="1:1" x14ac:dyDescent="0.2">
      <c r="A1209" s="13" t="s">
        <v>855</v>
      </c>
    </row>
    <row r="1210" spans="1:1" x14ac:dyDescent="0.2">
      <c r="A1210" s="13" t="s">
        <v>4061</v>
      </c>
    </row>
    <row r="1211" spans="1:1" x14ac:dyDescent="0.2">
      <c r="A1211" s="13" t="s">
        <v>3485</v>
      </c>
    </row>
    <row r="1212" spans="1:1" x14ac:dyDescent="0.2">
      <c r="A1212" s="13" t="s">
        <v>4592</v>
      </c>
    </row>
    <row r="1213" spans="1:1" x14ac:dyDescent="0.2">
      <c r="A1213" s="13" t="s">
        <v>4593</v>
      </c>
    </row>
    <row r="1214" spans="1:1" x14ac:dyDescent="0.2">
      <c r="A1214" s="13" t="s">
        <v>3741</v>
      </c>
    </row>
    <row r="1215" spans="1:1" x14ac:dyDescent="0.2">
      <c r="A1215" s="13" t="s">
        <v>4594</v>
      </c>
    </row>
    <row r="1216" spans="1:1" x14ac:dyDescent="0.2">
      <c r="A1216" s="13" t="s">
        <v>2520</v>
      </c>
    </row>
    <row r="1217" spans="1:1" x14ac:dyDescent="0.2">
      <c r="A1217" s="13" t="s">
        <v>2319</v>
      </c>
    </row>
    <row r="1218" spans="1:1" x14ac:dyDescent="0.2">
      <c r="A1218" s="13" t="s">
        <v>4138</v>
      </c>
    </row>
    <row r="1219" spans="1:1" x14ac:dyDescent="0.2">
      <c r="A1219" s="13" t="s">
        <v>1996</v>
      </c>
    </row>
    <row r="1220" spans="1:1" x14ac:dyDescent="0.2">
      <c r="A1220" s="13" t="s">
        <v>3576</v>
      </c>
    </row>
    <row r="1221" spans="1:1" x14ac:dyDescent="0.2">
      <c r="A1221" s="13" t="s">
        <v>492</v>
      </c>
    </row>
    <row r="1222" spans="1:1" x14ac:dyDescent="0.2">
      <c r="A1222" s="13" t="s">
        <v>3599</v>
      </c>
    </row>
    <row r="1223" spans="1:1" x14ac:dyDescent="0.2">
      <c r="A1223" s="13" t="s">
        <v>4595</v>
      </c>
    </row>
    <row r="1224" spans="1:1" x14ac:dyDescent="0.2">
      <c r="A1224" s="13" t="s">
        <v>1321</v>
      </c>
    </row>
    <row r="1225" spans="1:1" x14ac:dyDescent="0.2">
      <c r="A1225" s="13" t="s">
        <v>953</v>
      </c>
    </row>
    <row r="1226" spans="1:1" x14ac:dyDescent="0.2">
      <c r="A1226" s="13" t="s">
        <v>4596</v>
      </c>
    </row>
    <row r="1227" spans="1:1" x14ac:dyDescent="0.2">
      <c r="A1227" s="13" t="s">
        <v>752</v>
      </c>
    </row>
    <row r="1228" spans="1:1" x14ac:dyDescent="0.2">
      <c r="A1228" s="13" t="s">
        <v>4597</v>
      </c>
    </row>
    <row r="1229" spans="1:1" x14ac:dyDescent="0.2">
      <c r="A1229" s="13" t="s">
        <v>382</v>
      </c>
    </row>
    <row r="1230" spans="1:1" x14ac:dyDescent="0.2">
      <c r="A1230" s="13" t="s">
        <v>501</v>
      </c>
    </row>
    <row r="1231" spans="1:1" x14ac:dyDescent="0.2">
      <c r="A1231" s="13" t="s">
        <v>2327</v>
      </c>
    </row>
    <row r="1232" spans="1:1" x14ac:dyDescent="0.2">
      <c r="A1232" s="13" t="s">
        <v>2919</v>
      </c>
    </row>
    <row r="1233" spans="1:1" x14ac:dyDescent="0.2">
      <c r="A1233" s="13" t="s">
        <v>4598</v>
      </c>
    </row>
    <row r="1234" spans="1:1" x14ac:dyDescent="0.2">
      <c r="A1234" s="13" t="s">
        <v>2070</v>
      </c>
    </row>
    <row r="1235" spans="1:1" x14ac:dyDescent="0.2">
      <c r="A1235" s="13" t="s">
        <v>4599</v>
      </c>
    </row>
    <row r="1236" spans="1:1" x14ac:dyDescent="0.2">
      <c r="A1236" s="13" t="s">
        <v>4600</v>
      </c>
    </row>
    <row r="1237" spans="1:1" x14ac:dyDescent="0.2">
      <c r="A1237" s="13" t="s">
        <v>3372</v>
      </c>
    </row>
    <row r="1238" spans="1:1" x14ac:dyDescent="0.2">
      <c r="A1238" s="13" t="s">
        <v>4601</v>
      </c>
    </row>
    <row r="1239" spans="1:1" x14ac:dyDescent="0.2">
      <c r="A1239" s="13" t="s">
        <v>1809</v>
      </c>
    </row>
    <row r="1240" spans="1:1" x14ac:dyDescent="0.2">
      <c r="A1240" s="13" t="s">
        <v>1351</v>
      </c>
    </row>
    <row r="1241" spans="1:1" x14ac:dyDescent="0.2">
      <c r="A1241" s="13" t="s">
        <v>511</v>
      </c>
    </row>
    <row r="1242" spans="1:1" x14ac:dyDescent="0.2">
      <c r="A1242" s="13" t="s">
        <v>2776</v>
      </c>
    </row>
    <row r="1243" spans="1:1" x14ac:dyDescent="0.2">
      <c r="A1243" s="13" t="s">
        <v>459</v>
      </c>
    </row>
    <row r="1244" spans="1:1" x14ac:dyDescent="0.2">
      <c r="A1244" s="13" t="s">
        <v>312</v>
      </c>
    </row>
    <row r="1245" spans="1:1" x14ac:dyDescent="0.2">
      <c r="A1245" s="13" t="s">
        <v>2139</v>
      </c>
    </row>
    <row r="1246" spans="1:1" x14ac:dyDescent="0.2">
      <c r="A1246" s="13" t="s">
        <v>4602</v>
      </c>
    </row>
    <row r="1247" spans="1:1" x14ac:dyDescent="0.2">
      <c r="A1247" s="13" t="s">
        <v>4603</v>
      </c>
    </row>
    <row r="1248" spans="1:1" x14ac:dyDescent="0.2">
      <c r="A1248" s="13" t="s">
        <v>4604</v>
      </c>
    </row>
    <row r="1249" spans="1:1" x14ac:dyDescent="0.2">
      <c r="A1249" s="13" t="s">
        <v>893</v>
      </c>
    </row>
    <row r="1250" spans="1:1" x14ac:dyDescent="0.2">
      <c r="A1250" s="13" t="s">
        <v>3653</v>
      </c>
    </row>
    <row r="1251" spans="1:1" x14ac:dyDescent="0.2">
      <c r="A1251" s="13" t="s">
        <v>1668</v>
      </c>
    </row>
    <row r="1252" spans="1:1" x14ac:dyDescent="0.2">
      <c r="A1252" s="13" t="s">
        <v>4605</v>
      </c>
    </row>
    <row r="1253" spans="1:1" x14ac:dyDescent="0.2">
      <c r="A1253" s="13" t="s">
        <v>2085</v>
      </c>
    </row>
    <row r="1254" spans="1:1" x14ac:dyDescent="0.2">
      <c r="A1254" s="13" t="s">
        <v>4606</v>
      </c>
    </row>
    <row r="1255" spans="1:1" x14ac:dyDescent="0.2">
      <c r="A1255" s="13" t="s">
        <v>1083</v>
      </c>
    </row>
    <row r="1256" spans="1:1" x14ac:dyDescent="0.2">
      <c r="A1256" s="13" t="s">
        <v>1655</v>
      </c>
    </row>
    <row r="1257" spans="1:1" x14ac:dyDescent="0.2">
      <c r="A1257" s="13" t="s">
        <v>4607</v>
      </c>
    </row>
    <row r="1258" spans="1:1" x14ac:dyDescent="0.2">
      <c r="A1258" s="13" t="s">
        <v>4100</v>
      </c>
    </row>
    <row r="1259" spans="1:1" x14ac:dyDescent="0.2">
      <c r="A1259" s="13" t="s">
        <v>1093</v>
      </c>
    </row>
    <row r="1260" spans="1:1" x14ac:dyDescent="0.2">
      <c r="A1260" s="13" t="s">
        <v>797</v>
      </c>
    </row>
    <row r="1261" spans="1:1" x14ac:dyDescent="0.2">
      <c r="A1261" s="13" t="s">
        <v>310</v>
      </c>
    </row>
    <row r="1262" spans="1:1" x14ac:dyDescent="0.2">
      <c r="A1262" s="13" t="s">
        <v>1686</v>
      </c>
    </row>
    <row r="1263" spans="1:1" x14ac:dyDescent="0.2">
      <c r="A1263" s="13" t="s">
        <v>1108</v>
      </c>
    </row>
    <row r="1264" spans="1:1" x14ac:dyDescent="0.2">
      <c r="A1264" s="13" t="s">
        <v>1549</v>
      </c>
    </row>
    <row r="1265" spans="1:1" x14ac:dyDescent="0.2">
      <c r="A1265" s="13" t="s">
        <v>4054</v>
      </c>
    </row>
    <row r="1266" spans="1:1" x14ac:dyDescent="0.2">
      <c r="A1266" s="13" t="s">
        <v>1856</v>
      </c>
    </row>
    <row r="1267" spans="1:1" x14ac:dyDescent="0.2">
      <c r="A1267" s="13" t="s">
        <v>4608</v>
      </c>
    </row>
    <row r="1268" spans="1:1" x14ac:dyDescent="0.2">
      <c r="A1268" s="13" t="s">
        <v>1487</v>
      </c>
    </row>
    <row r="1269" spans="1:1" x14ac:dyDescent="0.2">
      <c r="A1269" s="13" t="s">
        <v>1960</v>
      </c>
    </row>
    <row r="1270" spans="1:1" x14ac:dyDescent="0.2">
      <c r="A1270" s="13" t="s">
        <v>2335</v>
      </c>
    </row>
    <row r="1271" spans="1:1" x14ac:dyDescent="0.2">
      <c r="A1271" s="13" t="s">
        <v>699</v>
      </c>
    </row>
    <row r="1272" spans="1:1" x14ac:dyDescent="0.2">
      <c r="A1272" s="13" t="s">
        <v>1578</v>
      </c>
    </row>
    <row r="1273" spans="1:1" x14ac:dyDescent="0.2">
      <c r="A1273" s="13" t="s">
        <v>1887</v>
      </c>
    </row>
    <row r="1274" spans="1:1" x14ac:dyDescent="0.2">
      <c r="A1274" s="13" t="s">
        <v>4609</v>
      </c>
    </row>
    <row r="1275" spans="1:1" x14ac:dyDescent="0.2">
      <c r="A1275" s="13" t="s">
        <v>3923</v>
      </c>
    </row>
    <row r="1276" spans="1:1" x14ac:dyDescent="0.2">
      <c r="A1276" s="13" t="s">
        <v>4610</v>
      </c>
    </row>
    <row r="1277" spans="1:1" x14ac:dyDescent="0.2">
      <c r="A1277" s="13" t="s">
        <v>419</v>
      </c>
    </row>
    <row r="1278" spans="1:1" x14ac:dyDescent="0.2">
      <c r="A1278" s="13" t="s">
        <v>4611</v>
      </c>
    </row>
    <row r="1279" spans="1:1" x14ac:dyDescent="0.2">
      <c r="A1279" s="13" t="s">
        <v>534</v>
      </c>
    </row>
    <row r="1280" spans="1:1" x14ac:dyDescent="0.2">
      <c r="A1280" s="13" t="s">
        <v>4612</v>
      </c>
    </row>
    <row r="1281" spans="1:1" x14ac:dyDescent="0.2">
      <c r="A1281" s="13" t="s">
        <v>4613</v>
      </c>
    </row>
    <row r="1282" spans="1:1" x14ac:dyDescent="0.2">
      <c r="A1282" s="13" t="s">
        <v>1864</v>
      </c>
    </row>
    <row r="1283" spans="1:1" x14ac:dyDescent="0.2">
      <c r="A1283" s="13" t="s">
        <v>1006</v>
      </c>
    </row>
    <row r="1284" spans="1:1" x14ac:dyDescent="0.2">
      <c r="A1284" s="13" t="s">
        <v>4614</v>
      </c>
    </row>
    <row r="1285" spans="1:1" x14ac:dyDescent="0.2">
      <c r="A1285" s="13" t="s">
        <v>4615</v>
      </c>
    </row>
    <row r="1286" spans="1:1" x14ac:dyDescent="0.2">
      <c r="A1286" s="13" t="s">
        <v>4616</v>
      </c>
    </row>
    <row r="1287" spans="1:1" x14ac:dyDescent="0.2">
      <c r="A1287" s="13" t="s">
        <v>2182</v>
      </c>
    </row>
    <row r="1288" spans="1:1" x14ac:dyDescent="0.2">
      <c r="A1288" s="13" t="s">
        <v>4617</v>
      </c>
    </row>
    <row r="1289" spans="1:1" x14ac:dyDescent="0.2">
      <c r="A1289" s="13" t="s">
        <v>4618</v>
      </c>
    </row>
    <row r="1290" spans="1:1" x14ac:dyDescent="0.2">
      <c r="A1290" s="13" t="s">
        <v>429</v>
      </c>
    </row>
    <row r="1291" spans="1:1" x14ac:dyDescent="0.2">
      <c r="A1291" s="13" t="s">
        <v>4619</v>
      </c>
    </row>
    <row r="1292" spans="1:1" x14ac:dyDescent="0.2">
      <c r="A1292" s="13" t="s">
        <v>3919</v>
      </c>
    </row>
    <row r="1293" spans="1:1" x14ac:dyDescent="0.2">
      <c r="A1293" s="13" t="s">
        <v>3803</v>
      </c>
    </row>
    <row r="1294" spans="1:1" x14ac:dyDescent="0.2">
      <c r="A1294" s="13" t="s">
        <v>291</v>
      </c>
    </row>
    <row r="1295" spans="1:1" x14ac:dyDescent="0.2">
      <c r="A1295" s="13" t="s">
        <v>4620</v>
      </c>
    </row>
    <row r="1296" spans="1:1" x14ac:dyDescent="0.2">
      <c r="A1296" s="13" t="s">
        <v>596</v>
      </c>
    </row>
    <row r="1297" spans="1:1" x14ac:dyDescent="0.2">
      <c r="A1297" s="13" t="s">
        <v>597</v>
      </c>
    </row>
    <row r="1298" spans="1:1" x14ac:dyDescent="0.2">
      <c r="A1298" s="13" t="s">
        <v>4621</v>
      </c>
    </row>
    <row r="1299" spans="1:1" x14ac:dyDescent="0.2">
      <c r="A1299" s="13" t="s">
        <v>1475</v>
      </c>
    </row>
    <row r="1300" spans="1:1" x14ac:dyDescent="0.2">
      <c r="A1300" s="13" t="s">
        <v>3310</v>
      </c>
    </row>
    <row r="1301" spans="1:1" x14ac:dyDescent="0.2">
      <c r="A1301" s="13" t="s">
        <v>567</v>
      </c>
    </row>
    <row r="1302" spans="1:1" x14ac:dyDescent="0.2">
      <c r="A1302" s="13" t="s">
        <v>4622</v>
      </c>
    </row>
    <row r="1303" spans="1:1" x14ac:dyDescent="0.2">
      <c r="A1303" s="13" t="s">
        <v>2763</v>
      </c>
    </row>
    <row r="1304" spans="1:1" x14ac:dyDescent="0.2">
      <c r="A1304" s="13" t="s">
        <v>4623</v>
      </c>
    </row>
    <row r="1305" spans="1:1" x14ac:dyDescent="0.2">
      <c r="A1305" s="13" t="s">
        <v>4624</v>
      </c>
    </row>
    <row r="1306" spans="1:1" x14ac:dyDescent="0.2">
      <c r="A1306" s="13" t="s">
        <v>4625</v>
      </c>
    </row>
    <row r="1307" spans="1:1" x14ac:dyDescent="0.2">
      <c r="A1307" s="13" t="s">
        <v>4626</v>
      </c>
    </row>
    <row r="1308" spans="1:1" x14ac:dyDescent="0.2">
      <c r="A1308" s="13" t="s">
        <v>4627</v>
      </c>
    </row>
    <row r="1309" spans="1:1" x14ac:dyDescent="0.2">
      <c r="A1309" s="13" t="s">
        <v>1049</v>
      </c>
    </row>
    <row r="1310" spans="1:1" x14ac:dyDescent="0.2">
      <c r="A1310" s="13" t="s">
        <v>846</v>
      </c>
    </row>
    <row r="1311" spans="1:1" x14ac:dyDescent="0.2">
      <c r="A1311" s="13" t="s">
        <v>2681</v>
      </c>
    </row>
    <row r="1312" spans="1:1" x14ac:dyDescent="0.2">
      <c r="A1312" s="13" t="s">
        <v>4628</v>
      </c>
    </row>
    <row r="1313" spans="1:1" x14ac:dyDescent="0.2">
      <c r="A1313" s="13" t="s">
        <v>1831</v>
      </c>
    </row>
    <row r="1314" spans="1:1" x14ac:dyDescent="0.2">
      <c r="A1314" s="13" t="s">
        <v>2761</v>
      </c>
    </row>
    <row r="1315" spans="1:1" x14ac:dyDescent="0.2">
      <c r="A1315" s="13" t="s">
        <v>516</v>
      </c>
    </row>
    <row r="1316" spans="1:1" x14ac:dyDescent="0.2">
      <c r="A1316" s="13" t="s">
        <v>1908</v>
      </c>
    </row>
    <row r="1317" spans="1:1" x14ac:dyDescent="0.2">
      <c r="A1317" s="13" t="s">
        <v>4629</v>
      </c>
    </row>
    <row r="1318" spans="1:1" x14ac:dyDescent="0.2">
      <c r="A1318" s="13" t="s">
        <v>945</v>
      </c>
    </row>
    <row r="1319" spans="1:1" x14ac:dyDescent="0.2">
      <c r="A1319" s="13" t="s">
        <v>1218</v>
      </c>
    </row>
    <row r="1320" spans="1:1" x14ac:dyDescent="0.2">
      <c r="A1320" s="13" t="s">
        <v>620</v>
      </c>
    </row>
    <row r="1321" spans="1:1" x14ac:dyDescent="0.2">
      <c r="A1321" s="13" t="s">
        <v>4630</v>
      </c>
    </row>
    <row r="1322" spans="1:1" x14ac:dyDescent="0.2">
      <c r="A1322" s="13" t="s">
        <v>1449</v>
      </c>
    </row>
    <row r="1323" spans="1:1" x14ac:dyDescent="0.2">
      <c r="A1323" s="13" t="s">
        <v>4137</v>
      </c>
    </row>
    <row r="1324" spans="1:1" x14ac:dyDescent="0.2">
      <c r="A1324" s="13" t="s">
        <v>3897</v>
      </c>
    </row>
    <row r="1325" spans="1:1" x14ac:dyDescent="0.2">
      <c r="A1325" s="13" t="s">
        <v>399</v>
      </c>
    </row>
    <row r="1326" spans="1:1" x14ac:dyDescent="0.2">
      <c r="A1326" s="13" t="s">
        <v>2130</v>
      </c>
    </row>
    <row r="1327" spans="1:1" x14ac:dyDescent="0.2">
      <c r="A1327" s="13" t="s">
        <v>4631</v>
      </c>
    </row>
    <row r="1328" spans="1:1" x14ac:dyDescent="0.2">
      <c r="A1328" s="13" t="s">
        <v>4632</v>
      </c>
    </row>
    <row r="1329" spans="1:1" x14ac:dyDescent="0.2">
      <c r="A1329" s="13" t="s">
        <v>2454</v>
      </c>
    </row>
    <row r="1330" spans="1:1" x14ac:dyDescent="0.2">
      <c r="A1330" s="13" t="s">
        <v>4633</v>
      </c>
    </row>
    <row r="1331" spans="1:1" x14ac:dyDescent="0.2">
      <c r="A1331" s="13" t="s">
        <v>1499</v>
      </c>
    </row>
    <row r="1332" spans="1:1" x14ac:dyDescent="0.2">
      <c r="A1332" s="13" t="s">
        <v>2014</v>
      </c>
    </row>
    <row r="1333" spans="1:1" x14ac:dyDescent="0.2">
      <c r="A1333" s="13" t="s">
        <v>3155</v>
      </c>
    </row>
    <row r="1334" spans="1:1" x14ac:dyDescent="0.2">
      <c r="A1334" s="13" t="s">
        <v>1511</v>
      </c>
    </row>
    <row r="1335" spans="1:1" x14ac:dyDescent="0.2">
      <c r="A1335" s="13" t="s">
        <v>4634</v>
      </c>
    </row>
    <row r="1336" spans="1:1" x14ac:dyDescent="0.2">
      <c r="A1336" s="13" t="s">
        <v>4635</v>
      </c>
    </row>
    <row r="1337" spans="1:1" x14ac:dyDescent="0.2">
      <c r="A1337" s="13" t="s">
        <v>1702</v>
      </c>
    </row>
    <row r="1338" spans="1:1" x14ac:dyDescent="0.2">
      <c r="A1338" s="13" t="s">
        <v>4636</v>
      </c>
    </row>
    <row r="1339" spans="1:1" x14ac:dyDescent="0.2">
      <c r="A1339" s="13" t="s">
        <v>3368</v>
      </c>
    </row>
    <row r="1340" spans="1:1" x14ac:dyDescent="0.2">
      <c r="A1340" s="13" t="s">
        <v>4637</v>
      </c>
    </row>
    <row r="1341" spans="1:1" x14ac:dyDescent="0.2">
      <c r="A1341" s="13" t="s">
        <v>4638</v>
      </c>
    </row>
    <row r="1342" spans="1:1" x14ac:dyDescent="0.2">
      <c r="A1342" s="13" t="s">
        <v>1892</v>
      </c>
    </row>
    <row r="1343" spans="1:1" x14ac:dyDescent="0.2">
      <c r="A1343" s="13" t="s">
        <v>985</v>
      </c>
    </row>
    <row r="1344" spans="1:1" x14ac:dyDescent="0.2">
      <c r="A1344" s="13" t="s">
        <v>2318</v>
      </c>
    </row>
    <row r="1345" spans="1:1" x14ac:dyDescent="0.2">
      <c r="A1345" s="13" t="s">
        <v>3927</v>
      </c>
    </row>
    <row r="1346" spans="1:1" x14ac:dyDescent="0.2">
      <c r="A1346" s="13" t="s">
        <v>4639</v>
      </c>
    </row>
    <row r="1347" spans="1:1" x14ac:dyDescent="0.2">
      <c r="A1347" s="13" t="s">
        <v>4640</v>
      </c>
    </row>
    <row r="1348" spans="1:1" x14ac:dyDescent="0.2">
      <c r="A1348" s="13" t="s">
        <v>4641</v>
      </c>
    </row>
    <row r="1349" spans="1:1" x14ac:dyDescent="0.2">
      <c r="A1349" s="13" t="s">
        <v>3556</v>
      </c>
    </row>
    <row r="1350" spans="1:1" x14ac:dyDescent="0.2">
      <c r="A1350" s="13" t="s">
        <v>2543</v>
      </c>
    </row>
    <row r="1351" spans="1:1" x14ac:dyDescent="0.2">
      <c r="A1351" s="13" t="s">
        <v>2192</v>
      </c>
    </row>
    <row r="1352" spans="1:1" x14ac:dyDescent="0.2">
      <c r="A1352" s="13" t="s">
        <v>1299</v>
      </c>
    </row>
    <row r="1353" spans="1:1" x14ac:dyDescent="0.2">
      <c r="A1353" s="13" t="s">
        <v>4642</v>
      </c>
    </row>
    <row r="1354" spans="1:1" x14ac:dyDescent="0.2">
      <c r="A1354" s="13" t="s">
        <v>4643</v>
      </c>
    </row>
    <row r="1355" spans="1:1" x14ac:dyDescent="0.2">
      <c r="A1355" s="13" t="s">
        <v>4644</v>
      </c>
    </row>
    <row r="1356" spans="1:1" x14ac:dyDescent="0.2">
      <c r="A1356" s="13" t="s">
        <v>2821</v>
      </c>
    </row>
    <row r="1357" spans="1:1" x14ac:dyDescent="0.2">
      <c r="A1357" s="13" t="s">
        <v>1324</v>
      </c>
    </row>
    <row r="1358" spans="1:1" x14ac:dyDescent="0.2">
      <c r="A1358" s="13" t="s">
        <v>4645</v>
      </c>
    </row>
    <row r="1359" spans="1:1" x14ac:dyDescent="0.2">
      <c r="A1359" s="13" t="s">
        <v>2580</v>
      </c>
    </row>
    <row r="1360" spans="1:1" x14ac:dyDescent="0.2">
      <c r="A1360" s="13" t="s">
        <v>1919</v>
      </c>
    </row>
    <row r="1361" spans="1:1" x14ac:dyDescent="0.2">
      <c r="A1361" s="13" t="s">
        <v>4646</v>
      </c>
    </row>
    <row r="1362" spans="1:1" x14ac:dyDescent="0.2">
      <c r="A1362" s="13" t="s">
        <v>4647</v>
      </c>
    </row>
    <row r="1363" spans="1:1" x14ac:dyDescent="0.2">
      <c r="A1363" s="13" t="s">
        <v>4648</v>
      </c>
    </row>
    <row r="1364" spans="1:1" x14ac:dyDescent="0.2">
      <c r="A1364" s="13" t="s">
        <v>375</v>
      </c>
    </row>
    <row r="1365" spans="1:1" x14ac:dyDescent="0.2">
      <c r="A1365" s="13" t="s">
        <v>4649</v>
      </c>
    </row>
    <row r="1366" spans="1:1" x14ac:dyDescent="0.2">
      <c r="A1366" s="13" t="s">
        <v>1437</v>
      </c>
    </row>
    <row r="1367" spans="1:1" x14ac:dyDescent="0.2">
      <c r="A1367" s="13" t="s">
        <v>2883</v>
      </c>
    </row>
    <row r="1368" spans="1:1" x14ac:dyDescent="0.2">
      <c r="A1368" s="13" t="s">
        <v>1385</v>
      </c>
    </row>
    <row r="1369" spans="1:1" x14ac:dyDescent="0.2">
      <c r="A1369" s="13" t="s">
        <v>2079</v>
      </c>
    </row>
    <row r="1370" spans="1:1" x14ac:dyDescent="0.2">
      <c r="A1370" s="13" t="s">
        <v>4650</v>
      </c>
    </row>
    <row r="1371" spans="1:1" x14ac:dyDescent="0.2">
      <c r="A1371" s="13" t="s">
        <v>3446</v>
      </c>
    </row>
    <row r="1372" spans="1:1" x14ac:dyDescent="0.2">
      <c r="A1372" s="13" t="s">
        <v>4651</v>
      </c>
    </row>
    <row r="1373" spans="1:1" x14ac:dyDescent="0.2">
      <c r="A1373" s="13" t="s">
        <v>2438</v>
      </c>
    </row>
    <row r="1374" spans="1:1" x14ac:dyDescent="0.2">
      <c r="A1374" s="13" t="s">
        <v>4652</v>
      </c>
    </row>
    <row r="1375" spans="1:1" x14ac:dyDescent="0.2">
      <c r="A1375" s="13" t="s">
        <v>4653</v>
      </c>
    </row>
    <row r="1376" spans="1:1" x14ac:dyDescent="0.2">
      <c r="A1376" s="13" t="s">
        <v>4654</v>
      </c>
    </row>
    <row r="1377" spans="1:1" x14ac:dyDescent="0.2">
      <c r="A1377" s="13" t="s">
        <v>355</v>
      </c>
    </row>
    <row r="1378" spans="1:1" x14ac:dyDescent="0.2">
      <c r="A1378" s="13" t="s">
        <v>3985</v>
      </c>
    </row>
    <row r="1379" spans="1:1" x14ac:dyDescent="0.2">
      <c r="A1379" s="13" t="s">
        <v>574</v>
      </c>
    </row>
    <row r="1380" spans="1:1" x14ac:dyDescent="0.2">
      <c r="A1380" s="13" t="s">
        <v>386</v>
      </c>
    </row>
    <row r="1381" spans="1:1" x14ac:dyDescent="0.2">
      <c r="A1381" s="13" t="s">
        <v>899</v>
      </c>
    </row>
    <row r="1382" spans="1:1" x14ac:dyDescent="0.2">
      <c r="A1382" s="13" t="s">
        <v>4655</v>
      </c>
    </row>
    <row r="1383" spans="1:1" x14ac:dyDescent="0.2">
      <c r="A1383" s="13" t="s">
        <v>2262</v>
      </c>
    </row>
    <row r="1384" spans="1:1" x14ac:dyDescent="0.2">
      <c r="A1384" s="13" t="s">
        <v>4656</v>
      </c>
    </row>
    <row r="1385" spans="1:1" x14ac:dyDescent="0.2">
      <c r="A1385" s="13" t="s">
        <v>4657</v>
      </c>
    </row>
    <row r="1386" spans="1:1" x14ac:dyDescent="0.2">
      <c r="A1386" s="13" t="s">
        <v>4658</v>
      </c>
    </row>
    <row r="1387" spans="1:1" x14ac:dyDescent="0.2">
      <c r="A1387" s="13" t="s">
        <v>3407</v>
      </c>
    </row>
    <row r="1388" spans="1:1" x14ac:dyDescent="0.2">
      <c r="A1388" s="13" t="s">
        <v>3626</v>
      </c>
    </row>
    <row r="1389" spans="1:1" x14ac:dyDescent="0.2">
      <c r="A1389" s="13" t="s">
        <v>4659</v>
      </c>
    </row>
    <row r="1390" spans="1:1" x14ac:dyDescent="0.2">
      <c r="A1390" s="13" t="s">
        <v>555</v>
      </c>
    </row>
    <row r="1391" spans="1:1" x14ac:dyDescent="0.2">
      <c r="A1391" s="13" t="s">
        <v>4660</v>
      </c>
    </row>
    <row r="1392" spans="1:1" x14ac:dyDescent="0.2">
      <c r="A1392" s="13" t="s">
        <v>4661</v>
      </c>
    </row>
    <row r="1393" spans="1:1" x14ac:dyDescent="0.2">
      <c r="A1393" s="13" t="s">
        <v>690</v>
      </c>
    </row>
    <row r="1394" spans="1:1" x14ac:dyDescent="0.2">
      <c r="A1394" s="13" t="s">
        <v>3783</v>
      </c>
    </row>
    <row r="1395" spans="1:1" x14ac:dyDescent="0.2">
      <c r="A1395" s="13" t="s">
        <v>1509</v>
      </c>
    </row>
    <row r="1396" spans="1:1" x14ac:dyDescent="0.2">
      <c r="A1396" s="13" t="s">
        <v>2365</v>
      </c>
    </row>
    <row r="1397" spans="1:1" x14ac:dyDescent="0.2">
      <c r="A1397" s="13" t="s">
        <v>4662</v>
      </c>
    </row>
    <row r="1398" spans="1:1" x14ac:dyDescent="0.2">
      <c r="A1398" s="13" t="s">
        <v>2198</v>
      </c>
    </row>
    <row r="1399" spans="1:1" x14ac:dyDescent="0.2">
      <c r="A1399" s="13" t="s">
        <v>2578</v>
      </c>
    </row>
    <row r="1400" spans="1:1" x14ac:dyDescent="0.2">
      <c r="A1400" s="13" t="s">
        <v>4663</v>
      </c>
    </row>
    <row r="1401" spans="1:1" x14ac:dyDescent="0.2">
      <c r="A1401" s="13" t="s">
        <v>3474</v>
      </c>
    </row>
    <row r="1402" spans="1:1" x14ac:dyDescent="0.2">
      <c r="A1402" s="13" t="s">
        <v>1274</v>
      </c>
    </row>
    <row r="1403" spans="1:1" x14ac:dyDescent="0.2">
      <c r="A1403" s="13" t="s">
        <v>2004</v>
      </c>
    </row>
    <row r="1404" spans="1:1" x14ac:dyDescent="0.2">
      <c r="A1404" s="13" t="s">
        <v>3004</v>
      </c>
    </row>
    <row r="1405" spans="1:1" x14ac:dyDescent="0.2">
      <c r="A1405" s="13" t="s">
        <v>2645</v>
      </c>
    </row>
    <row r="1406" spans="1:1" x14ac:dyDescent="0.2">
      <c r="A1406" s="13" t="s">
        <v>666</v>
      </c>
    </row>
    <row r="1407" spans="1:1" x14ac:dyDescent="0.2">
      <c r="A1407" s="13" t="s">
        <v>2588</v>
      </c>
    </row>
    <row r="1408" spans="1:1" x14ac:dyDescent="0.2">
      <c r="A1408" s="13" t="s">
        <v>4664</v>
      </c>
    </row>
    <row r="1409" spans="1:1" x14ac:dyDescent="0.2">
      <c r="A1409" s="13" t="s">
        <v>1099</v>
      </c>
    </row>
    <row r="1410" spans="1:1" x14ac:dyDescent="0.2">
      <c r="A1410" s="13" t="s">
        <v>4665</v>
      </c>
    </row>
    <row r="1411" spans="1:1" x14ac:dyDescent="0.2">
      <c r="A1411" s="13" t="s">
        <v>4666</v>
      </c>
    </row>
    <row r="1412" spans="1:1" x14ac:dyDescent="0.2">
      <c r="A1412" s="13" t="s">
        <v>4667</v>
      </c>
    </row>
    <row r="1413" spans="1:1" x14ac:dyDescent="0.2">
      <c r="A1413" s="13" t="s">
        <v>3634</v>
      </c>
    </row>
    <row r="1414" spans="1:1" x14ac:dyDescent="0.2">
      <c r="A1414" s="13" t="s">
        <v>3070</v>
      </c>
    </row>
    <row r="1415" spans="1:1" x14ac:dyDescent="0.2">
      <c r="A1415" s="13" t="s">
        <v>3488</v>
      </c>
    </row>
    <row r="1416" spans="1:1" x14ac:dyDescent="0.2">
      <c r="A1416" s="13" t="s">
        <v>3559</v>
      </c>
    </row>
    <row r="1417" spans="1:1" x14ac:dyDescent="0.2">
      <c r="A1417" s="13" t="s">
        <v>4668</v>
      </c>
    </row>
    <row r="1418" spans="1:1" x14ac:dyDescent="0.2">
      <c r="A1418" s="13" t="s">
        <v>2754</v>
      </c>
    </row>
    <row r="1419" spans="1:1" x14ac:dyDescent="0.2">
      <c r="A1419" s="13" t="s">
        <v>4669</v>
      </c>
    </row>
    <row r="1420" spans="1:1" x14ac:dyDescent="0.2">
      <c r="A1420" s="13" t="s">
        <v>2383</v>
      </c>
    </row>
    <row r="1421" spans="1:1" x14ac:dyDescent="0.2">
      <c r="A1421" s="13" t="s">
        <v>329</v>
      </c>
    </row>
    <row r="1422" spans="1:1" x14ac:dyDescent="0.2">
      <c r="A1422" s="13" t="s">
        <v>4670</v>
      </c>
    </row>
    <row r="1423" spans="1:1" x14ac:dyDescent="0.2">
      <c r="A1423" s="13" t="s">
        <v>3159</v>
      </c>
    </row>
    <row r="1424" spans="1:1" x14ac:dyDescent="0.2">
      <c r="A1424" s="13" t="s">
        <v>4671</v>
      </c>
    </row>
    <row r="1425" spans="1:1" x14ac:dyDescent="0.2">
      <c r="A1425" s="13" t="s">
        <v>649</v>
      </c>
    </row>
    <row r="1426" spans="1:1" x14ac:dyDescent="0.2">
      <c r="A1426" s="13" t="s">
        <v>936</v>
      </c>
    </row>
    <row r="1427" spans="1:1" x14ac:dyDescent="0.2">
      <c r="A1427" s="13" t="s">
        <v>4672</v>
      </c>
    </row>
    <row r="1428" spans="1:1" x14ac:dyDescent="0.2">
      <c r="A1428" s="13" t="s">
        <v>3849</v>
      </c>
    </row>
    <row r="1429" spans="1:1" x14ac:dyDescent="0.2">
      <c r="A1429" s="13" t="s">
        <v>4673</v>
      </c>
    </row>
    <row r="1430" spans="1:1" x14ac:dyDescent="0.2">
      <c r="A1430" s="13" t="s">
        <v>4095</v>
      </c>
    </row>
    <row r="1431" spans="1:1" x14ac:dyDescent="0.2">
      <c r="A1431" s="13" t="s">
        <v>676</v>
      </c>
    </row>
    <row r="1432" spans="1:1" x14ac:dyDescent="0.2">
      <c r="A1432" s="13" t="s">
        <v>3152</v>
      </c>
    </row>
    <row r="1433" spans="1:1" x14ac:dyDescent="0.2">
      <c r="A1433" s="13" t="s">
        <v>2256</v>
      </c>
    </row>
    <row r="1434" spans="1:1" x14ac:dyDescent="0.2">
      <c r="A1434" s="13" t="s">
        <v>1421</v>
      </c>
    </row>
    <row r="1435" spans="1:1" x14ac:dyDescent="0.2">
      <c r="A1435" s="13" t="s">
        <v>2782</v>
      </c>
    </row>
    <row r="1436" spans="1:1" x14ac:dyDescent="0.2">
      <c r="A1436" s="13" t="s">
        <v>4674</v>
      </c>
    </row>
    <row r="1437" spans="1:1" x14ac:dyDescent="0.2">
      <c r="A1437" s="13" t="s">
        <v>4675</v>
      </c>
    </row>
    <row r="1438" spans="1:1" x14ac:dyDescent="0.2">
      <c r="A1438" s="13" t="s">
        <v>4676</v>
      </c>
    </row>
    <row r="1439" spans="1:1" x14ac:dyDescent="0.2">
      <c r="A1439" s="13" t="s">
        <v>4677</v>
      </c>
    </row>
    <row r="1440" spans="1:1" x14ac:dyDescent="0.2">
      <c r="A1440" s="13" t="s">
        <v>4678</v>
      </c>
    </row>
    <row r="1441" spans="1:1" x14ac:dyDescent="0.2">
      <c r="A1441" s="13" t="s">
        <v>3100</v>
      </c>
    </row>
    <row r="1442" spans="1:1" x14ac:dyDescent="0.2">
      <c r="A1442" s="13" t="s">
        <v>4679</v>
      </c>
    </row>
    <row r="1443" spans="1:1" x14ac:dyDescent="0.2">
      <c r="A1443" s="13" t="s">
        <v>3487</v>
      </c>
    </row>
    <row r="1444" spans="1:1" x14ac:dyDescent="0.2">
      <c r="A1444" s="13" t="s">
        <v>2193</v>
      </c>
    </row>
    <row r="1445" spans="1:1" x14ac:dyDescent="0.2">
      <c r="A1445" s="13" t="s">
        <v>3303</v>
      </c>
    </row>
    <row r="1446" spans="1:1" x14ac:dyDescent="0.2">
      <c r="A1446" s="13" t="s">
        <v>998</v>
      </c>
    </row>
    <row r="1447" spans="1:1" x14ac:dyDescent="0.2">
      <c r="A1447" s="13" t="s">
        <v>3796</v>
      </c>
    </row>
    <row r="1448" spans="1:1" x14ac:dyDescent="0.2">
      <c r="A1448" s="13" t="s">
        <v>623</v>
      </c>
    </row>
    <row r="1449" spans="1:1" x14ac:dyDescent="0.2">
      <c r="A1449" s="13" t="s">
        <v>3051</v>
      </c>
    </row>
    <row r="1450" spans="1:1" x14ac:dyDescent="0.2">
      <c r="A1450" s="13" t="s">
        <v>4680</v>
      </c>
    </row>
    <row r="1451" spans="1:1" x14ac:dyDescent="0.2">
      <c r="A1451" s="13" t="s">
        <v>4681</v>
      </c>
    </row>
    <row r="1452" spans="1:1" x14ac:dyDescent="0.2">
      <c r="A1452" s="13" t="s">
        <v>2908</v>
      </c>
    </row>
    <row r="1453" spans="1:1" x14ac:dyDescent="0.2">
      <c r="A1453" s="13" t="s">
        <v>3090</v>
      </c>
    </row>
    <row r="1454" spans="1:1" x14ac:dyDescent="0.2">
      <c r="A1454" s="13" t="s">
        <v>253</v>
      </c>
    </row>
    <row r="1455" spans="1:1" x14ac:dyDescent="0.2">
      <c r="A1455" s="13" t="s">
        <v>4682</v>
      </c>
    </row>
    <row r="1456" spans="1:1" x14ac:dyDescent="0.2">
      <c r="A1456" s="13" t="s">
        <v>3271</v>
      </c>
    </row>
    <row r="1457" spans="1:1" x14ac:dyDescent="0.2">
      <c r="A1457" s="13" t="s">
        <v>1025</v>
      </c>
    </row>
    <row r="1458" spans="1:1" x14ac:dyDescent="0.2">
      <c r="A1458" s="13" t="s">
        <v>4683</v>
      </c>
    </row>
    <row r="1459" spans="1:1" x14ac:dyDescent="0.2">
      <c r="A1459" s="13" t="s">
        <v>4684</v>
      </c>
    </row>
    <row r="1460" spans="1:1" x14ac:dyDescent="0.2">
      <c r="A1460" s="13" t="s">
        <v>4685</v>
      </c>
    </row>
    <row r="1461" spans="1:1" x14ac:dyDescent="0.2">
      <c r="A1461" s="13" t="s">
        <v>1781</v>
      </c>
    </row>
    <row r="1462" spans="1:1" x14ac:dyDescent="0.2">
      <c r="A1462" s="13" t="s">
        <v>4686</v>
      </c>
    </row>
    <row r="1463" spans="1:1" x14ac:dyDescent="0.2">
      <c r="A1463" s="13" t="s">
        <v>4010</v>
      </c>
    </row>
    <row r="1464" spans="1:1" x14ac:dyDescent="0.2">
      <c r="A1464" s="13" t="s">
        <v>2651</v>
      </c>
    </row>
    <row r="1465" spans="1:1" x14ac:dyDescent="0.2">
      <c r="A1465" s="13" t="s">
        <v>1546</v>
      </c>
    </row>
    <row r="1466" spans="1:1" x14ac:dyDescent="0.2">
      <c r="A1466" s="13" t="s">
        <v>4687</v>
      </c>
    </row>
    <row r="1467" spans="1:1" x14ac:dyDescent="0.2">
      <c r="A1467" s="13" t="s">
        <v>2170</v>
      </c>
    </row>
    <row r="1468" spans="1:1" x14ac:dyDescent="0.2">
      <c r="A1468" s="13" t="s">
        <v>2769</v>
      </c>
    </row>
    <row r="1469" spans="1:1" x14ac:dyDescent="0.2">
      <c r="A1469" s="13" t="s">
        <v>397</v>
      </c>
    </row>
    <row r="1470" spans="1:1" x14ac:dyDescent="0.2">
      <c r="A1470" s="13" t="s">
        <v>4688</v>
      </c>
    </row>
    <row r="1471" spans="1:1" x14ac:dyDescent="0.2">
      <c r="A1471" s="13" t="s">
        <v>2298</v>
      </c>
    </row>
    <row r="1472" spans="1:1" x14ac:dyDescent="0.2">
      <c r="A1472" s="13" t="s">
        <v>1717</v>
      </c>
    </row>
    <row r="1473" spans="1:1" x14ac:dyDescent="0.2">
      <c r="A1473" s="13" t="s">
        <v>2235</v>
      </c>
    </row>
    <row r="1474" spans="1:1" x14ac:dyDescent="0.2">
      <c r="A1474" s="13" t="s">
        <v>3974</v>
      </c>
    </row>
    <row r="1475" spans="1:1" x14ac:dyDescent="0.2">
      <c r="A1475" s="13" t="s">
        <v>376</v>
      </c>
    </row>
    <row r="1476" spans="1:1" x14ac:dyDescent="0.2">
      <c r="A1476" s="13" t="s">
        <v>190</v>
      </c>
    </row>
    <row r="1477" spans="1:1" x14ac:dyDescent="0.2">
      <c r="A1477" s="13" t="s">
        <v>4689</v>
      </c>
    </row>
    <row r="1478" spans="1:1" x14ac:dyDescent="0.2">
      <c r="A1478" s="13" t="s">
        <v>4013</v>
      </c>
    </row>
    <row r="1479" spans="1:1" x14ac:dyDescent="0.2">
      <c r="A1479" s="13" t="s">
        <v>4690</v>
      </c>
    </row>
    <row r="1480" spans="1:1" x14ac:dyDescent="0.2">
      <c r="A1480" s="13" t="s">
        <v>1992</v>
      </c>
    </row>
    <row r="1481" spans="1:1" x14ac:dyDescent="0.2">
      <c r="A1481" s="13" t="s">
        <v>704</v>
      </c>
    </row>
    <row r="1482" spans="1:1" x14ac:dyDescent="0.2">
      <c r="A1482" s="13" t="s">
        <v>721</v>
      </c>
    </row>
    <row r="1483" spans="1:1" x14ac:dyDescent="0.2">
      <c r="A1483" s="13" t="s">
        <v>1109</v>
      </c>
    </row>
    <row r="1484" spans="1:1" x14ac:dyDescent="0.2">
      <c r="A1484" s="13" t="s">
        <v>3962</v>
      </c>
    </row>
    <row r="1485" spans="1:1" x14ac:dyDescent="0.2">
      <c r="A1485" s="13" t="s">
        <v>1779</v>
      </c>
    </row>
    <row r="1486" spans="1:1" x14ac:dyDescent="0.2">
      <c r="A1486" s="13" t="s">
        <v>2408</v>
      </c>
    </row>
    <row r="1487" spans="1:1" x14ac:dyDescent="0.2">
      <c r="A1487" s="13" t="s">
        <v>771</v>
      </c>
    </row>
    <row r="1488" spans="1:1" x14ac:dyDescent="0.2">
      <c r="A1488" s="13" t="s">
        <v>545</v>
      </c>
    </row>
    <row r="1489" spans="1:1" x14ac:dyDescent="0.2">
      <c r="A1489" s="13" t="s">
        <v>1294</v>
      </c>
    </row>
    <row r="1490" spans="1:1" x14ac:dyDescent="0.2">
      <c r="A1490" s="13" t="s">
        <v>4691</v>
      </c>
    </row>
    <row r="1491" spans="1:1" x14ac:dyDescent="0.2">
      <c r="A1491" s="13" t="s">
        <v>637</v>
      </c>
    </row>
    <row r="1492" spans="1:1" x14ac:dyDescent="0.2">
      <c r="A1492" s="13" t="s">
        <v>373</v>
      </c>
    </row>
    <row r="1493" spans="1:1" x14ac:dyDescent="0.2">
      <c r="A1493" s="13" t="s">
        <v>1145</v>
      </c>
    </row>
    <row r="1494" spans="1:1" x14ac:dyDescent="0.2">
      <c r="A1494" s="13" t="s">
        <v>4692</v>
      </c>
    </row>
    <row r="1495" spans="1:1" x14ac:dyDescent="0.2">
      <c r="A1495" s="13" t="s">
        <v>3405</v>
      </c>
    </row>
    <row r="1496" spans="1:1" x14ac:dyDescent="0.2">
      <c r="A1496" s="13" t="s">
        <v>792</v>
      </c>
    </row>
    <row r="1497" spans="1:1" x14ac:dyDescent="0.2">
      <c r="A1497" s="13" t="s">
        <v>4693</v>
      </c>
    </row>
    <row r="1498" spans="1:1" x14ac:dyDescent="0.2">
      <c r="A1498" s="13" t="s">
        <v>1786</v>
      </c>
    </row>
    <row r="1499" spans="1:1" x14ac:dyDescent="0.2">
      <c r="A1499" s="13" t="s">
        <v>4694</v>
      </c>
    </row>
    <row r="1500" spans="1:1" x14ac:dyDescent="0.2">
      <c r="A1500" s="13" t="s">
        <v>4695</v>
      </c>
    </row>
    <row r="1501" spans="1:1" x14ac:dyDescent="0.2">
      <c r="A1501" s="13" t="s">
        <v>1019</v>
      </c>
    </row>
    <row r="1502" spans="1:1" x14ac:dyDescent="0.2">
      <c r="A1502" s="13" t="s">
        <v>3726</v>
      </c>
    </row>
    <row r="1503" spans="1:1" x14ac:dyDescent="0.2">
      <c r="A1503" s="13" t="s">
        <v>4696</v>
      </c>
    </row>
    <row r="1504" spans="1:1" x14ac:dyDescent="0.2">
      <c r="A1504" s="13" t="s">
        <v>2464</v>
      </c>
    </row>
    <row r="1505" spans="1:1" x14ac:dyDescent="0.2">
      <c r="A1505" s="13" t="s">
        <v>4697</v>
      </c>
    </row>
    <row r="1506" spans="1:1" x14ac:dyDescent="0.2">
      <c r="A1506" s="13" t="s">
        <v>1470</v>
      </c>
    </row>
    <row r="1507" spans="1:1" x14ac:dyDescent="0.2">
      <c r="A1507" s="13" t="s">
        <v>1962</v>
      </c>
    </row>
    <row r="1508" spans="1:1" x14ac:dyDescent="0.2">
      <c r="A1508" s="13" t="s">
        <v>2162</v>
      </c>
    </row>
    <row r="1509" spans="1:1" x14ac:dyDescent="0.2">
      <c r="A1509" s="13" t="s">
        <v>3859</v>
      </c>
    </row>
    <row r="1510" spans="1:1" x14ac:dyDescent="0.2">
      <c r="A1510" s="13" t="s">
        <v>1190</v>
      </c>
    </row>
    <row r="1511" spans="1:1" x14ac:dyDescent="0.2">
      <c r="A1511" s="13" t="s">
        <v>4698</v>
      </c>
    </row>
    <row r="1512" spans="1:1" x14ac:dyDescent="0.2">
      <c r="A1512" s="13" t="s">
        <v>2039</v>
      </c>
    </row>
    <row r="1513" spans="1:1" x14ac:dyDescent="0.2">
      <c r="A1513" s="13" t="s">
        <v>1224</v>
      </c>
    </row>
    <row r="1514" spans="1:1" x14ac:dyDescent="0.2">
      <c r="A1514" s="13" t="s">
        <v>4699</v>
      </c>
    </row>
    <row r="1515" spans="1:1" x14ac:dyDescent="0.2">
      <c r="A1515" s="13" t="s">
        <v>4700</v>
      </c>
    </row>
    <row r="1516" spans="1:1" x14ac:dyDescent="0.2">
      <c r="A1516" s="13" t="s">
        <v>3063</v>
      </c>
    </row>
    <row r="1517" spans="1:1" x14ac:dyDescent="0.2">
      <c r="A1517" s="13" t="s">
        <v>4701</v>
      </c>
    </row>
    <row r="1518" spans="1:1" x14ac:dyDescent="0.2">
      <c r="A1518" s="13" t="s">
        <v>2112</v>
      </c>
    </row>
    <row r="1519" spans="1:1" x14ac:dyDescent="0.2">
      <c r="A1519" s="13" t="s">
        <v>1489</v>
      </c>
    </row>
    <row r="1520" spans="1:1" x14ac:dyDescent="0.2">
      <c r="A1520" s="13" t="s">
        <v>4094</v>
      </c>
    </row>
    <row r="1521" spans="1:1" x14ac:dyDescent="0.2">
      <c r="A1521" s="13" t="s">
        <v>891</v>
      </c>
    </row>
    <row r="1522" spans="1:1" x14ac:dyDescent="0.2">
      <c r="A1522" s="13" t="s">
        <v>4702</v>
      </c>
    </row>
    <row r="1523" spans="1:1" x14ac:dyDescent="0.2">
      <c r="A1523" s="13" t="s">
        <v>3722</v>
      </c>
    </row>
    <row r="1524" spans="1:1" x14ac:dyDescent="0.2">
      <c r="A1524" s="13" t="s">
        <v>4703</v>
      </c>
    </row>
    <row r="1525" spans="1:1" x14ac:dyDescent="0.2">
      <c r="A1525" s="13" t="s">
        <v>746</v>
      </c>
    </row>
    <row r="1526" spans="1:1" x14ac:dyDescent="0.2">
      <c r="A1526" s="13" t="s">
        <v>4704</v>
      </c>
    </row>
    <row r="1527" spans="1:1" x14ac:dyDescent="0.2">
      <c r="A1527" s="13" t="s">
        <v>4705</v>
      </c>
    </row>
    <row r="1528" spans="1:1" x14ac:dyDescent="0.2">
      <c r="A1528" s="13" t="s">
        <v>4706</v>
      </c>
    </row>
    <row r="1529" spans="1:1" x14ac:dyDescent="0.2">
      <c r="A1529" s="13" t="s">
        <v>4707</v>
      </c>
    </row>
    <row r="1530" spans="1:1" x14ac:dyDescent="0.2">
      <c r="A1530" s="13" t="s">
        <v>4708</v>
      </c>
    </row>
    <row r="1531" spans="1:1" x14ac:dyDescent="0.2">
      <c r="A1531" s="13" t="s">
        <v>973</v>
      </c>
    </row>
    <row r="1532" spans="1:1" x14ac:dyDescent="0.2">
      <c r="A1532" s="13" t="s">
        <v>585</v>
      </c>
    </row>
    <row r="1533" spans="1:1" x14ac:dyDescent="0.2">
      <c r="A1533" s="13" t="s">
        <v>2717</v>
      </c>
    </row>
    <row r="1534" spans="1:1" x14ac:dyDescent="0.2">
      <c r="A1534" s="13" t="s">
        <v>4709</v>
      </c>
    </row>
    <row r="1535" spans="1:1" x14ac:dyDescent="0.2">
      <c r="A1535" s="13" t="s">
        <v>3087</v>
      </c>
    </row>
    <row r="1536" spans="1:1" x14ac:dyDescent="0.2">
      <c r="A1536" s="13" t="s">
        <v>4710</v>
      </c>
    </row>
    <row r="1537" spans="1:1" x14ac:dyDescent="0.2">
      <c r="A1537" s="13" t="s">
        <v>840</v>
      </c>
    </row>
    <row r="1538" spans="1:1" x14ac:dyDescent="0.2">
      <c r="A1538" s="13" t="s">
        <v>4711</v>
      </c>
    </row>
    <row r="1539" spans="1:1" x14ac:dyDescent="0.2">
      <c r="A1539" s="13" t="s">
        <v>3291</v>
      </c>
    </row>
    <row r="1540" spans="1:1" x14ac:dyDescent="0.2">
      <c r="A1540" s="13" t="s">
        <v>1386</v>
      </c>
    </row>
    <row r="1541" spans="1:1" x14ac:dyDescent="0.2">
      <c r="A1541" s="13" t="s">
        <v>2171</v>
      </c>
    </row>
    <row r="1542" spans="1:1" x14ac:dyDescent="0.2">
      <c r="A1542" s="13" t="s">
        <v>4712</v>
      </c>
    </row>
    <row r="1543" spans="1:1" x14ac:dyDescent="0.2">
      <c r="A1543" s="13" t="s">
        <v>4713</v>
      </c>
    </row>
    <row r="1544" spans="1:1" x14ac:dyDescent="0.2">
      <c r="A1544" s="13" t="s">
        <v>4714</v>
      </c>
    </row>
    <row r="1545" spans="1:1" x14ac:dyDescent="0.2">
      <c r="A1545" s="13" t="s">
        <v>681</v>
      </c>
    </row>
    <row r="1546" spans="1:1" x14ac:dyDescent="0.2">
      <c r="A1546" s="13" t="s">
        <v>4715</v>
      </c>
    </row>
    <row r="1547" spans="1:1" x14ac:dyDescent="0.2">
      <c r="A1547" s="13" t="s">
        <v>1847</v>
      </c>
    </row>
    <row r="1548" spans="1:1" x14ac:dyDescent="0.2">
      <c r="A1548" s="13" t="s">
        <v>950</v>
      </c>
    </row>
    <row r="1549" spans="1:1" x14ac:dyDescent="0.2">
      <c r="A1549" s="13" t="s">
        <v>4716</v>
      </c>
    </row>
    <row r="1550" spans="1:1" x14ac:dyDescent="0.2">
      <c r="A1550" s="13" t="s">
        <v>4717</v>
      </c>
    </row>
    <row r="1551" spans="1:1" x14ac:dyDescent="0.2">
      <c r="A1551" s="13" t="s">
        <v>1491</v>
      </c>
    </row>
    <row r="1552" spans="1:1" x14ac:dyDescent="0.2">
      <c r="A1552" s="13" t="s">
        <v>4718</v>
      </c>
    </row>
    <row r="1553" spans="1:1" x14ac:dyDescent="0.2">
      <c r="A1553" s="13" t="s">
        <v>4719</v>
      </c>
    </row>
    <row r="1554" spans="1:1" x14ac:dyDescent="0.2">
      <c r="A1554" s="13" t="s">
        <v>1619</v>
      </c>
    </row>
    <row r="1555" spans="1:1" x14ac:dyDescent="0.2">
      <c r="A1555" s="13" t="s">
        <v>4156</v>
      </c>
    </row>
    <row r="1556" spans="1:1" x14ac:dyDescent="0.2">
      <c r="A1556" s="13" t="s">
        <v>4720</v>
      </c>
    </row>
    <row r="1557" spans="1:1" x14ac:dyDescent="0.2">
      <c r="A1557" s="13" t="s">
        <v>4721</v>
      </c>
    </row>
    <row r="1558" spans="1:1" x14ac:dyDescent="0.2">
      <c r="A1558" s="13" t="s">
        <v>1630</v>
      </c>
    </row>
    <row r="1559" spans="1:1" x14ac:dyDescent="0.2">
      <c r="A1559" s="13" t="s">
        <v>4722</v>
      </c>
    </row>
    <row r="1560" spans="1:1" x14ac:dyDescent="0.2">
      <c r="A1560" s="13" t="s">
        <v>3413</v>
      </c>
    </row>
    <row r="1561" spans="1:1" x14ac:dyDescent="0.2">
      <c r="A1561" s="13" t="s">
        <v>330</v>
      </c>
    </row>
    <row r="1562" spans="1:1" x14ac:dyDescent="0.2">
      <c r="A1562" s="13" t="s">
        <v>4723</v>
      </c>
    </row>
    <row r="1563" spans="1:1" x14ac:dyDescent="0.2">
      <c r="A1563" s="13" t="s">
        <v>4724</v>
      </c>
    </row>
    <row r="1564" spans="1:1" x14ac:dyDescent="0.2">
      <c r="A1564" s="13" t="s">
        <v>4725</v>
      </c>
    </row>
    <row r="1565" spans="1:1" x14ac:dyDescent="0.2">
      <c r="A1565" s="13" t="s">
        <v>1529</v>
      </c>
    </row>
    <row r="1566" spans="1:1" x14ac:dyDescent="0.2">
      <c r="A1566" s="13" t="s">
        <v>1121</v>
      </c>
    </row>
    <row r="1567" spans="1:1" x14ac:dyDescent="0.2">
      <c r="A1567" s="13" t="s">
        <v>4726</v>
      </c>
    </row>
    <row r="1568" spans="1:1" x14ac:dyDescent="0.2">
      <c r="A1568" s="13" t="s">
        <v>1287</v>
      </c>
    </row>
    <row r="1569" spans="1:1" x14ac:dyDescent="0.2">
      <c r="A1569" s="13" t="s">
        <v>962</v>
      </c>
    </row>
    <row r="1570" spans="1:1" x14ac:dyDescent="0.2">
      <c r="A1570" s="13" t="s">
        <v>4727</v>
      </c>
    </row>
    <row r="1571" spans="1:1" x14ac:dyDescent="0.2">
      <c r="A1571" s="13" t="s">
        <v>4067</v>
      </c>
    </row>
    <row r="1572" spans="1:1" x14ac:dyDescent="0.2">
      <c r="A1572" s="13" t="s">
        <v>3277</v>
      </c>
    </row>
    <row r="1573" spans="1:1" x14ac:dyDescent="0.2">
      <c r="A1573" s="13" t="s">
        <v>694</v>
      </c>
    </row>
    <row r="1574" spans="1:1" x14ac:dyDescent="0.2">
      <c r="A1574" s="13" t="s">
        <v>4728</v>
      </c>
    </row>
    <row r="1575" spans="1:1" x14ac:dyDescent="0.2">
      <c r="A1575" s="13" t="s">
        <v>2390</v>
      </c>
    </row>
    <row r="1576" spans="1:1" x14ac:dyDescent="0.2">
      <c r="A1576" s="13" t="s">
        <v>514</v>
      </c>
    </row>
    <row r="1577" spans="1:1" x14ac:dyDescent="0.2">
      <c r="A1577" s="13" t="s">
        <v>224</v>
      </c>
    </row>
    <row r="1578" spans="1:1" x14ac:dyDescent="0.2">
      <c r="A1578" s="13" t="s">
        <v>4729</v>
      </c>
    </row>
    <row r="1579" spans="1:1" x14ac:dyDescent="0.2">
      <c r="A1579" s="13" t="s">
        <v>624</v>
      </c>
    </row>
    <row r="1580" spans="1:1" x14ac:dyDescent="0.2">
      <c r="A1580" s="13" t="s">
        <v>1310</v>
      </c>
    </row>
    <row r="1581" spans="1:1" x14ac:dyDescent="0.2">
      <c r="A1581" s="13" t="s">
        <v>1898</v>
      </c>
    </row>
    <row r="1582" spans="1:1" x14ac:dyDescent="0.2">
      <c r="A1582" s="13" t="s">
        <v>2087</v>
      </c>
    </row>
    <row r="1583" spans="1:1" x14ac:dyDescent="0.2">
      <c r="A1583" s="13" t="s">
        <v>4730</v>
      </c>
    </row>
    <row r="1584" spans="1:1" x14ac:dyDescent="0.2">
      <c r="A1584" s="13" t="s">
        <v>4731</v>
      </c>
    </row>
    <row r="1585" spans="1:1" x14ac:dyDescent="0.2">
      <c r="A1585" s="13" t="s">
        <v>4732</v>
      </c>
    </row>
    <row r="1586" spans="1:1" x14ac:dyDescent="0.2">
      <c r="A1586" s="13" t="s">
        <v>3384</v>
      </c>
    </row>
    <row r="1587" spans="1:1" x14ac:dyDescent="0.2">
      <c r="A1587" s="13" t="s">
        <v>4733</v>
      </c>
    </row>
    <row r="1588" spans="1:1" x14ac:dyDescent="0.2">
      <c r="A1588" s="13" t="s">
        <v>2737</v>
      </c>
    </row>
    <row r="1589" spans="1:1" x14ac:dyDescent="0.2">
      <c r="A1589" s="13" t="s">
        <v>4734</v>
      </c>
    </row>
    <row r="1590" spans="1:1" x14ac:dyDescent="0.2">
      <c r="A1590" s="13" t="s">
        <v>3960</v>
      </c>
    </row>
    <row r="1591" spans="1:1" x14ac:dyDescent="0.2">
      <c r="A1591" s="13" t="s">
        <v>865</v>
      </c>
    </row>
    <row r="1592" spans="1:1" x14ac:dyDescent="0.2">
      <c r="A1592" s="13" t="s">
        <v>2217</v>
      </c>
    </row>
    <row r="1593" spans="1:1" x14ac:dyDescent="0.2">
      <c r="A1593" s="13" t="s">
        <v>361</v>
      </c>
    </row>
    <row r="1594" spans="1:1" x14ac:dyDescent="0.2">
      <c r="A1594" s="13" t="s">
        <v>460</v>
      </c>
    </row>
    <row r="1595" spans="1:1" x14ac:dyDescent="0.2">
      <c r="A1595" s="13" t="s">
        <v>1144</v>
      </c>
    </row>
    <row r="1596" spans="1:1" x14ac:dyDescent="0.2">
      <c r="A1596" s="13" t="s">
        <v>4735</v>
      </c>
    </row>
    <row r="1597" spans="1:1" x14ac:dyDescent="0.2">
      <c r="A1597" s="13" t="s">
        <v>2243</v>
      </c>
    </row>
    <row r="1598" spans="1:1" x14ac:dyDescent="0.2">
      <c r="A1598" s="13" t="s">
        <v>4736</v>
      </c>
    </row>
    <row r="1599" spans="1:1" x14ac:dyDescent="0.2">
      <c r="A1599" s="13" t="s">
        <v>4737</v>
      </c>
    </row>
    <row r="1600" spans="1:1" x14ac:dyDescent="0.2">
      <c r="A1600" s="13" t="s">
        <v>770</v>
      </c>
    </row>
    <row r="1601" spans="1:1" x14ac:dyDescent="0.2">
      <c r="A1601" s="13" t="s">
        <v>1764</v>
      </c>
    </row>
    <row r="1602" spans="1:1" x14ac:dyDescent="0.2">
      <c r="A1602" s="13" t="s">
        <v>1543</v>
      </c>
    </row>
    <row r="1603" spans="1:1" x14ac:dyDescent="0.2">
      <c r="A1603" s="13" t="s">
        <v>4738</v>
      </c>
    </row>
    <row r="1604" spans="1:1" x14ac:dyDescent="0.2">
      <c r="A1604" s="13" t="s">
        <v>2600</v>
      </c>
    </row>
    <row r="1605" spans="1:1" x14ac:dyDescent="0.2">
      <c r="A1605" s="13" t="s">
        <v>4739</v>
      </c>
    </row>
    <row r="1606" spans="1:1" x14ac:dyDescent="0.2">
      <c r="A1606" s="13" t="s">
        <v>237</v>
      </c>
    </row>
    <row r="1607" spans="1:1" x14ac:dyDescent="0.2">
      <c r="A1607" s="13" t="s">
        <v>4740</v>
      </c>
    </row>
    <row r="1608" spans="1:1" x14ac:dyDescent="0.2">
      <c r="A1608" s="13" t="s">
        <v>3249</v>
      </c>
    </row>
    <row r="1609" spans="1:1" x14ac:dyDescent="0.2">
      <c r="A1609" s="13" t="s">
        <v>4741</v>
      </c>
    </row>
    <row r="1610" spans="1:1" x14ac:dyDescent="0.2">
      <c r="A1610" s="13" t="s">
        <v>1793</v>
      </c>
    </row>
    <row r="1611" spans="1:1" x14ac:dyDescent="0.2">
      <c r="A1611" s="13" t="s">
        <v>4742</v>
      </c>
    </row>
    <row r="1612" spans="1:1" x14ac:dyDescent="0.2">
      <c r="A1612" s="13" t="s">
        <v>4743</v>
      </c>
    </row>
    <row r="1613" spans="1:1" x14ac:dyDescent="0.2">
      <c r="A1613" s="13" t="s">
        <v>3477</v>
      </c>
    </row>
    <row r="1614" spans="1:1" x14ac:dyDescent="0.2">
      <c r="A1614" s="13" t="s">
        <v>4744</v>
      </c>
    </row>
    <row r="1615" spans="1:1" x14ac:dyDescent="0.2">
      <c r="A1615" s="13" t="s">
        <v>654</v>
      </c>
    </row>
    <row r="1616" spans="1:1" x14ac:dyDescent="0.2">
      <c r="A1616" s="13" t="s">
        <v>322</v>
      </c>
    </row>
    <row r="1617" spans="1:1" x14ac:dyDescent="0.2">
      <c r="A1617" s="13" t="s">
        <v>2708</v>
      </c>
    </row>
    <row r="1618" spans="1:1" x14ac:dyDescent="0.2">
      <c r="A1618" s="13" t="s">
        <v>4745</v>
      </c>
    </row>
    <row r="1619" spans="1:1" x14ac:dyDescent="0.2">
      <c r="A1619" s="13" t="s">
        <v>3401</v>
      </c>
    </row>
    <row r="1620" spans="1:1" x14ac:dyDescent="0.2">
      <c r="A1620" s="13" t="s">
        <v>4746</v>
      </c>
    </row>
    <row r="1621" spans="1:1" x14ac:dyDescent="0.2">
      <c r="A1621" s="13" t="s">
        <v>307</v>
      </c>
    </row>
    <row r="1622" spans="1:1" x14ac:dyDescent="0.2">
      <c r="A1622" s="13" t="s">
        <v>3823</v>
      </c>
    </row>
    <row r="1623" spans="1:1" x14ac:dyDescent="0.2">
      <c r="A1623" s="13" t="s">
        <v>4747</v>
      </c>
    </row>
    <row r="1624" spans="1:1" x14ac:dyDescent="0.2">
      <c r="A1624" s="13" t="s">
        <v>611</v>
      </c>
    </row>
    <row r="1625" spans="1:1" x14ac:dyDescent="0.2">
      <c r="A1625" s="13" t="s">
        <v>1684</v>
      </c>
    </row>
    <row r="1626" spans="1:1" x14ac:dyDescent="0.2">
      <c r="A1626" s="13" t="s">
        <v>4748</v>
      </c>
    </row>
    <row r="1627" spans="1:1" x14ac:dyDescent="0.2">
      <c r="A1627" s="13" t="s">
        <v>517</v>
      </c>
    </row>
    <row r="1628" spans="1:1" x14ac:dyDescent="0.2">
      <c r="A1628" s="13" t="s">
        <v>3836</v>
      </c>
    </row>
    <row r="1629" spans="1:1" x14ac:dyDescent="0.2">
      <c r="A1629" s="13" t="s">
        <v>1035</v>
      </c>
    </row>
    <row r="1630" spans="1:1" x14ac:dyDescent="0.2">
      <c r="A1630" s="13" t="s">
        <v>4749</v>
      </c>
    </row>
    <row r="1631" spans="1:1" x14ac:dyDescent="0.2">
      <c r="A1631" s="13" t="s">
        <v>466</v>
      </c>
    </row>
    <row r="1632" spans="1:1" x14ac:dyDescent="0.2">
      <c r="A1632" s="13" t="s">
        <v>4153</v>
      </c>
    </row>
    <row r="1633" spans="1:1" x14ac:dyDescent="0.2">
      <c r="A1633" s="13" t="s">
        <v>3672</v>
      </c>
    </row>
    <row r="1634" spans="1:1" x14ac:dyDescent="0.2">
      <c r="A1634" s="13" t="s">
        <v>1374</v>
      </c>
    </row>
    <row r="1635" spans="1:1" x14ac:dyDescent="0.2">
      <c r="A1635" s="13" t="s">
        <v>4750</v>
      </c>
    </row>
    <row r="1636" spans="1:1" x14ac:dyDescent="0.2">
      <c r="A1636" s="13" t="s">
        <v>972</v>
      </c>
    </row>
    <row r="1637" spans="1:1" x14ac:dyDescent="0.2">
      <c r="A1637" s="13" t="s">
        <v>240</v>
      </c>
    </row>
    <row r="1638" spans="1:1" x14ac:dyDescent="0.2">
      <c r="A1638" s="13" t="s">
        <v>4751</v>
      </c>
    </row>
    <row r="1639" spans="1:1" x14ac:dyDescent="0.2">
      <c r="A1639" s="13" t="s">
        <v>4752</v>
      </c>
    </row>
    <row r="1640" spans="1:1" x14ac:dyDescent="0.2">
      <c r="A1640" s="13" t="s">
        <v>4753</v>
      </c>
    </row>
    <row r="1641" spans="1:1" x14ac:dyDescent="0.2">
      <c r="A1641" s="13" t="s">
        <v>4754</v>
      </c>
    </row>
    <row r="1642" spans="1:1" x14ac:dyDescent="0.2">
      <c r="A1642" s="13" t="s">
        <v>4755</v>
      </c>
    </row>
    <row r="1643" spans="1:1" x14ac:dyDescent="0.2">
      <c r="A1643" s="13" t="s">
        <v>2418</v>
      </c>
    </row>
    <row r="1644" spans="1:1" x14ac:dyDescent="0.2">
      <c r="A1644" s="13" t="s">
        <v>239</v>
      </c>
    </row>
    <row r="1645" spans="1:1" x14ac:dyDescent="0.2">
      <c r="A1645" s="13" t="s">
        <v>4093</v>
      </c>
    </row>
    <row r="1646" spans="1:1" x14ac:dyDescent="0.2">
      <c r="A1646" s="13" t="s">
        <v>4756</v>
      </c>
    </row>
    <row r="1647" spans="1:1" x14ac:dyDescent="0.2">
      <c r="A1647" s="13" t="s">
        <v>2450</v>
      </c>
    </row>
    <row r="1648" spans="1:1" x14ac:dyDescent="0.2">
      <c r="A1648" s="13" t="s">
        <v>1303</v>
      </c>
    </row>
    <row r="1649" spans="1:1" x14ac:dyDescent="0.2">
      <c r="A1649" s="13" t="s">
        <v>4757</v>
      </c>
    </row>
    <row r="1650" spans="1:1" x14ac:dyDescent="0.2">
      <c r="A1650" s="13" t="s">
        <v>4758</v>
      </c>
    </row>
    <row r="1651" spans="1:1" x14ac:dyDescent="0.2">
      <c r="A1651" s="13" t="s">
        <v>4759</v>
      </c>
    </row>
    <row r="1652" spans="1:1" x14ac:dyDescent="0.2">
      <c r="A1652" s="13" t="s">
        <v>4760</v>
      </c>
    </row>
    <row r="1653" spans="1:1" x14ac:dyDescent="0.2">
      <c r="A1653" s="13" t="s">
        <v>562</v>
      </c>
    </row>
    <row r="1654" spans="1:1" x14ac:dyDescent="0.2">
      <c r="A1654" s="13" t="s">
        <v>2777</v>
      </c>
    </row>
    <row r="1655" spans="1:1" x14ac:dyDescent="0.2">
      <c r="A1655" s="13" t="s">
        <v>4761</v>
      </c>
    </row>
    <row r="1656" spans="1:1" x14ac:dyDescent="0.2">
      <c r="A1656" s="13" t="s">
        <v>4762</v>
      </c>
    </row>
    <row r="1657" spans="1:1" x14ac:dyDescent="0.2">
      <c r="A1657" s="13" t="s">
        <v>831</v>
      </c>
    </row>
    <row r="1658" spans="1:1" x14ac:dyDescent="0.2">
      <c r="A1658" s="13" t="s">
        <v>4763</v>
      </c>
    </row>
    <row r="1659" spans="1:1" x14ac:dyDescent="0.2">
      <c r="A1659" s="13" t="s">
        <v>4764</v>
      </c>
    </row>
    <row r="1660" spans="1:1" x14ac:dyDescent="0.2">
      <c r="A1660" s="13" t="s">
        <v>3775</v>
      </c>
    </row>
    <row r="1661" spans="1:1" x14ac:dyDescent="0.2">
      <c r="A1661" s="13" t="s">
        <v>3969</v>
      </c>
    </row>
    <row r="1662" spans="1:1" x14ac:dyDescent="0.2">
      <c r="A1662" s="13" t="s">
        <v>2195</v>
      </c>
    </row>
    <row r="1663" spans="1:1" x14ac:dyDescent="0.2">
      <c r="A1663" s="13" t="s">
        <v>4765</v>
      </c>
    </row>
    <row r="1664" spans="1:1" x14ac:dyDescent="0.2">
      <c r="A1664" s="13" t="s">
        <v>3200</v>
      </c>
    </row>
    <row r="1665" spans="1:1" x14ac:dyDescent="0.2">
      <c r="A1665" s="13" t="s">
        <v>1944</v>
      </c>
    </row>
    <row r="1666" spans="1:1" x14ac:dyDescent="0.2">
      <c r="A1666" s="13" t="s">
        <v>4163</v>
      </c>
    </row>
    <row r="1667" spans="1:1" x14ac:dyDescent="0.2">
      <c r="A1667" s="13" t="s">
        <v>4766</v>
      </c>
    </row>
    <row r="1668" spans="1:1" x14ac:dyDescent="0.2">
      <c r="A1668" s="13" t="s">
        <v>1357</v>
      </c>
    </row>
    <row r="1669" spans="1:1" x14ac:dyDescent="0.2">
      <c r="A1669" s="13" t="s">
        <v>739</v>
      </c>
    </row>
    <row r="1670" spans="1:1" x14ac:dyDescent="0.2">
      <c r="A1670" s="13" t="s">
        <v>4767</v>
      </c>
    </row>
    <row r="1671" spans="1:1" x14ac:dyDescent="0.2">
      <c r="A1671" s="13" t="s">
        <v>1882</v>
      </c>
    </row>
    <row r="1672" spans="1:1" x14ac:dyDescent="0.2">
      <c r="A1672" s="13" t="s">
        <v>3416</v>
      </c>
    </row>
    <row r="1673" spans="1:1" x14ac:dyDescent="0.2">
      <c r="A1673" s="13" t="s">
        <v>2111</v>
      </c>
    </row>
    <row r="1674" spans="1:1" x14ac:dyDescent="0.2">
      <c r="A1674" s="13" t="s">
        <v>3861</v>
      </c>
    </row>
    <row r="1675" spans="1:1" x14ac:dyDescent="0.2">
      <c r="A1675" s="13" t="s">
        <v>4768</v>
      </c>
    </row>
    <row r="1676" spans="1:1" x14ac:dyDescent="0.2">
      <c r="A1676" s="13" t="s">
        <v>870</v>
      </c>
    </row>
    <row r="1677" spans="1:1" x14ac:dyDescent="0.2">
      <c r="A1677" s="13" t="s">
        <v>761</v>
      </c>
    </row>
    <row r="1678" spans="1:1" x14ac:dyDescent="0.2">
      <c r="A1678" s="13" t="s">
        <v>3356</v>
      </c>
    </row>
    <row r="1679" spans="1:1" x14ac:dyDescent="0.2">
      <c r="A1679" s="13" t="s">
        <v>4769</v>
      </c>
    </row>
    <row r="1680" spans="1:1" x14ac:dyDescent="0.2">
      <c r="A1680" s="13" t="s">
        <v>3899</v>
      </c>
    </row>
    <row r="1681" spans="1:1" x14ac:dyDescent="0.2">
      <c r="A1681" s="13" t="s">
        <v>1020</v>
      </c>
    </row>
    <row r="1682" spans="1:1" x14ac:dyDescent="0.2">
      <c r="A1682" s="13" t="s">
        <v>2996</v>
      </c>
    </row>
    <row r="1683" spans="1:1" x14ac:dyDescent="0.2">
      <c r="A1683" s="13" t="s">
        <v>3767</v>
      </c>
    </row>
    <row r="1684" spans="1:1" x14ac:dyDescent="0.2">
      <c r="A1684" s="13" t="s">
        <v>528</v>
      </c>
    </row>
    <row r="1685" spans="1:1" x14ac:dyDescent="0.2">
      <c r="A1685" s="13" t="s">
        <v>3739</v>
      </c>
    </row>
    <row r="1686" spans="1:1" x14ac:dyDescent="0.2">
      <c r="A1686" s="13" t="s">
        <v>2933</v>
      </c>
    </row>
    <row r="1687" spans="1:1" x14ac:dyDescent="0.2">
      <c r="A1687" s="13" t="s">
        <v>780</v>
      </c>
    </row>
    <row r="1688" spans="1:1" x14ac:dyDescent="0.2">
      <c r="A1688" s="13" t="s">
        <v>452</v>
      </c>
    </row>
    <row r="1689" spans="1:1" x14ac:dyDescent="0.2">
      <c r="A1689" s="13" t="s">
        <v>1795</v>
      </c>
    </row>
    <row r="1690" spans="1:1" x14ac:dyDescent="0.2">
      <c r="A1690" s="13" t="s">
        <v>3005</v>
      </c>
    </row>
    <row r="1691" spans="1:1" x14ac:dyDescent="0.2">
      <c r="A1691" s="13" t="s">
        <v>4770</v>
      </c>
    </row>
    <row r="1692" spans="1:1" x14ac:dyDescent="0.2">
      <c r="A1692" s="13" t="s">
        <v>1833</v>
      </c>
    </row>
    <row r="1693" spans="1:1" x14ac:dyDescent="0.2">
      <c r="A1693" s="13" t="s">
        <v>3884</v>
      </c>
    </row>
    <row r="1694" spans="1:1" x14ac:dyDescent="0.2">
      <c r="A1694" s="13" t="s">
        <v>4118</v>
      </c>
    </row>
    <row r="1695" spans="1:1" x14ac:dyDescent="0.2">
      <c r="A1695" s="13" t="s">
        <v>4771</v>
      </c>
    </row>
    <row r="1696" spans="1:1" x14ac:dyDescent="0.2">
      <c r="A1696" s="13" t="s">
        <v>1383</v>
      </c>
    </row>
    <row r="1697" spans="1:1" x14ac:dyDescent="0.2">
      <c r="A1697" s="13" t="s">
        <v>3857</v>
      </c>
    </row>
    <row r="1698" spans="1:1" x14ac:dyDescent="0.2">
      <c r="A1698" s="13" t="s">
        <v>3234</v>
      </c>
    </row>
    <row r="1699" spans="1:1" x14ac:dyDescent="0.2">
      <c r="A1699" s="13" t="s">
        <v>4772</v>
      </c>
    </row>
    <row r="1700" spans="1:1" x14ac:dyDescent="0.2">
      <c r="A1700" s="13" t="s">
        <v>857</v>
      </c>
    </row>
    <row r="1701" spans="1:1" x14ac:dyDescent="0.2">
      <c r="A1701" s="13" t="s">
        <v>4773</v>
      </c>
    </row>
    <row r="1702" spans="1:1" x14ac:dyDescent="0.2">
      <c r="A1702" s="13" t="s">
        <v>4774</v>
      </c>
    </row>
    <row r="1703" spans="1:1" x14ac:dyDescent="0.2">
      <c r="A1703" s="13" t="s">
        <v>2748</v>
      </c>
    </row>
    <row r="1704" spans="1:1" x14ac:dyDescent="0.2">
      <c r="A1704" s="13" t="s">
        <v>3193</v>
      </c>
    </row>
    <row r="1705" spans="1:1" x14ac:dyDescent="0.2">
      <c r="A1705" s="13" t="s">
        <v>2806</v>
      </c>
    </row>
    <row r="1706" spans="1:1" x14ac:dyDescent="0.2">
      <c r="A1706" s="13" t="s">
        <v>3381</v>
      </c>
    </row>
    <row r="1707" spans="1:1" x14ac:dyDescent="0.2">
      <c r="A1707" s="13" t="s">
        <v>2840</v>
      </c>
    </row>
    <row r="1708" spans="1:1" x14ac:dyDescent="0.2">
      <c r="A1708" s="13" t="s">
        <v>3320</v>
      </c>
    </row>
    <row r="1709" spans="1:1" x14ac:dyDescent="0.2">
      <c r="A1709" s="13" t="s">
        <v>4775</v>
      </c>
    </row>
    <row r="1710" spans="1:1" x14ac:dyDescent="0.2">
      <c r="A1710" s="13" t="s">
        <v>1583</v>
      </c>
    </row>
    <row r="1711" spans="1:1" x14ac:dyDescent="0.2">
      <c r="A1711" s="13" t="s">
        <v>4776</v>
      </c>
    </row>
    <row r="1712" spans="1:1" x14ac:dyDescent="0.2">
      <c r="A1712" s="13" t="s">
        <v>4777</v>
      </c>
    </row>
    <row r="1713" spans="1:1" x14ac:dyDescent="0.2">
      <c r="A1713" s="13" t="s">
        <v>1359</v>
      </c>
    </row>
    <row r="1714" spans="1:1" x14ac:dyDescent="0.2">
      <c r="A1714" s="13" t="s">
        <v>4778</v>
      </c>
    </row>
    <row r="1715" spans="1:1" x14ac:dyDescent="0.2">
      <c r="A1715" s="13" t="s">
        <v>3510</v>
      </c>
    </row>
    <row r="1716" spans="1:1" x14ac:dyDescent="0.2">
      <c r="A1716" s="13" t="s">
        <v>4779</v>
      </c>
    </row>
    <row r="1717" spans="1:1" x14ac:dyDescent="0.2">
      <c r="A1717" s="13" t="s">
        <v>4780</v>
      </c>
    </row>
    <row r="1718" spans="1:1" x14ac:dyDescent="0.2">
      <c r="A1718" s="13" t="s">
        <v>2540</v>
      </c>
    </row>
    <row r="1719" spans="1:1" x14ac:dyDescent="0.2">
      <c r="A1719" s="13" t="s">
        <v>4781</v>
      </c>
    </row>
    <row r="1720" spans="1:1" x14ac:dyDescent="0.2">
      <c r="A1720" s="13" t="s">
        <v>3642</v>
      </c>
    </row>
    <row r="1721" spans="1:1" x14ac:dyDescent="0.2">
      <c r="A1721" s="13" t="s">
        <v>3746</v>
      </c>
    </row>
    <row r="1722" spans="1:1" x14ac:dyDescent="0.2">
      <c r="A1722" s="13" t="s">
        <v>4782</v>
      </c>
    </row>
    <row r="1723" spans="1:1" x14ac:dyDescent="0.2">
      <c r="A1723" s="13" t="s">
        <v>3864</v>
      </c>
    </row>
    <row r="1724" spans="1:1" x14ac:dyDescent="0.2">
      <c r="A1724" s="13" t="s">
        <v>1153</v>
      </c>
    </row>
    <row r="1725" spans="1:1" x14ac:dyDescent="0.2">
      <c r="A1725" s="13" t="s">
        <v>1514</v>
      </c>
    </row>
    <row r="1726" spans="1:1" x14ac:dyDescent="0.2">
      <c r="A1726" s="13" t="s">
        <v>365</v>
      </c>
    </row>
    <row r="1727" spans="1:1" x14ac:dyDescent="0.2">
      <c r="A1727" s="13" t="s">
        <v>4783</v>
      </c>
    </row>
    <row r="1728" spans="1:1" x14ac:dyDescent="0.2">
      <c r="A1728" s="13" t="s">
        <v>3390</v>
      </c>
    </row>
    <row r="1729" spans="1:1" x14ac:dyDescent="0.2">
      <c r="A1729" s="13" t="s">
        <v>4784</v>
      </c>
    </row>
    <row r="1730" spans="1:1" x14ac:dyDescent="0.2">
      <c r="A1730" s="13" t="s">
        <v>2362</v>
      </c>
    </row>
    <row r="1731" spans="1:1" x14ac:dyDescent="0.2">
      <c r="A1731" s="13" t="s">
        <v>592</v>
      </c>
    </row>
    <row r="1732" spans="1:1" x14ac:dyDescent="0.2">
      <c r="A1732" s="13" t="s">
        <v>4785</v>
      </c>
    </row>
    <row r="1733" spans="1:1" x14ac:dyDescent="0.2">
      <c r="A1733" s="13" t="s">
        <v>536</v>
      </c>
    </row>
    <row r="1734" spans="1:1" x14ac:dyDescent="0.2">
      <c r="A1734" s="13" t="s">
        <v>3942</v>
      </c>
    </row>
    <row r="1735" spans="1:1" x14ac:dyDescent="0.2">
      <c r="A1735" s="13" t="s">
        <v>4786</v>
      </c>
    </row>
    <row r="1736" spans="1:1" x14ac:dyDescent="0.2">
      <c r="A1736" s="13" t="s">
        <v>1507</v>
      </c>
    </row>
    <row r="1737" spans="1:1" x14ac:dyDescent="0.2">
      <c r="A1737" s="13" t="s">
        <v>955</v>
      </c>
    </row>
    <row r="1738" spans="1:1" x14ac:dyDescent="0.2">
      <c r="A1738" s="13" t="s">
        <v>4787</v>
      </c>
    </row>
    <row r="1739" spans="1:1" x14ac:dyDescent="0.2">
      <c r="A1739" s="13" t="s">
        <v>2490</v>
      </c>
    </row>
    <row r="1740" spans="1:1" x14ac:dyDescent="0.2">
      <c r="A1740" s="13" t="s">
        <v>3619</v>
      </c>
    </row>
    <row r="1741" spans="1:1" x14ac:dyDescent="0.2">
      <c r="A1741" s="13" t="s">
        <v>2219</v>
      </c>
    </row>
    <row r="1742" spans="1:1" x14ac:dyDescent="0.2">
      <c r="A1742" s="13" t="s">
        <v>2642</v>
      </c>
    </row>
    <row r="1743" spans="1:1" x14ac:dyDescent="0.2">
      <c r="A1743" s="13" t="s">
        <v>4788</v>
      </c>
    </row>
    <row r="1744" spans="1:1" x14ac:dyDescent="0.2">
      <c r="A1744" s="13" t="s">
        <v>1192</v>
      </c>
    </row>
    <row r="1745" spans="1:1" x14ac:dyDescent="0.2">
      <c r="A1745" s="13" t="s">
        <v>1170</v>
      </c>
    </row>
    <row r="1746" spans="1:1" x14ac:dyDescent="0.2">
      <c r="A1746" s="13" t="s">
        <v>4789</v>
      </c>
    </row>
    <row r="1747" spans="1:1" x14ac:dyDescent="0.2">
      <c r="A1747" s="13" t="s">
        <v>4790</v>
      </c>
    </row>
    <row r="1748" spans="1:1" x14ac:dyDescent="0.2">
      <c r="A1748" s="13" t="s">
        <v>2415</v>
      </c>
    </row>
    <row r="1749" spans="1:1" x14ac:dyDescent="0.2">
      <c r="A1749" s="13" t="s">
        <v>4791</v>
      </c>
    </row>
    <row r="1750" spans="1:1" x14ac:dyDescent="0.2">
      <c r="A1750" s="13" t="s">
        <v>3558</v>
      </c>
    </row>
    <row r="1751" spans="1:1" x14ac:dyDescent="0.2">
      <c r="A1751" s="13" t="s">
        <v>356</v>
      </c>
    </row>
    <row r="1752" spans="1:1" x14ac:dyDescent="0.2">
      <c r="A1752" s="13" t="s">
        <v>2194</v>
      </c>
    </row>
    <row r="1753" spans="1:1" x14ac:dyDescent="0.2">
      <c r="A1753" s="13" t="s">
        <v>3898</v>
      </c>
    </row>
    <row r="1754" spans="1:1" x14ac:dyDescent="0.2">
      <c r="A1754" s="13" t="s">
        <v>4792</v>
      </c>
    </row>
    <row r="1755" spans="1:1" x14ac:dyDescent="0.2">
      <c r="A1755" s="13" t="s">
        <v>4793</v>
      </c>
    </row>
    <row r="1756" spans="1:1" x14ac:dyDescent="0.2">
      <c r="A1756" s="13" t="s">
        <v>3848</v>
      </c>
    </row>
    <row r="1757" spans="1:1" x14ac:dyDescent="0.2">
      <c r="A1757" s="13" t="s">
        <v>4794</v>
      </c>
    </row>
    <row r="1758" spans="1:1" x14ac:dyDescent="0.2">
      <c r="A1758" s="13" t="s">
        <v>4795</v>
      </c>
    </row>
    <row r="1759" spans="1:1" x14ac:dyDescent="0.2">
      <c r="A1759" s="13" t="s">
        <v>3094</v>
      </c>
    </row>
    <row r="1760" spans="1:1" x14ac:dyDescent="0.2">
      <c r="A1760" s="13" t="s">
        <v>4796</v>
      </c>
    </row>
    <row r="1761" spans="1:1" x14ac:dyDescent="0.2">
      <c r="A1761" s="13" t="s">
        <v>1616</v>
      </c>
    </row>
    <row r="1762" spans="1:1" x14ac:dyDescent="0.2">
      <c r="A1762" s="13" t="s">
        <v>4797</v>
      </c>
    </row>
    <row r="1763" spans="1:1" x14ac:dyDescent="0.2">
      <c r="A1763" s="13" t="s">
        <v>712</v>
      </c>
    </row>
    <row r="1764" spans="1:1" x14ac:dyDescent="0.2">
      <c r="A1764" s="13" t="s">
        <v>1954</v>
      </c>
    </row>
    <row r="1765" spans="1:1" x14ac:dyDescent="0.2">
      <c r="A1765" s="13" t="s">
        <v>2573</v>
      </c>
    </row>
    <row r="1766" spans="1:1" x14ac:dyDescent="0.2">
      <c r="A1766" s="13" t="s">
        <v>4798</v>
      </c>
    </row>
    <row r="1767" spans="1:1" x14ac:dyDescent="0.2">
      <c r="A1767" s="13" t="s">
        <v>625</v>
      </c>
    </row>
    <row r="1768" spans="1:1" x14ac:dyDescent="0.2">
      <c r="A1768" s="13" t="s">
        <v>1378</v>
      </c>
    </row>
    <row r="1769" spans="1:1" x14ac:dyDescent="0.2">
      <c r="A1769" s="13" t="s">
        <v>3492</v>
      </c>
    </row>
    <row r="1770" spans="1:1" x14ac:dyDescent="0.2">
      <c r="A1770" s="13" t="s">
        <v>4799</v>
      </c>
    </row>
    <row r="1771" spans="1:1" x14ac:dyDescent="0.2">
      <c r="A1771" s="13" t="s">
        <v>635</v>
      </c>
    </row>
    <row r="1772" spans="1:1" x14ac:dyDescent="0.2">
      <c r="A1772" s="13" t="s">
        <v>3917</v>
      </c>
    </row>
    <row r="1773" spans="1:1" x14ac:dyDescent="0.2">
      <c r="A1773" s="13" t="s">
        <v>1592</v>
      </c>
    </row>
    <row r="1774" spans="1:1" x14ac:dyDescent="0.2">
      <c r="A1774" s="13" t="s">
        <v>2284</v>
      </c>
    </row>
    <row r="1775" spans="1:1" x14ac:dyDescent="0.2">
      <c r="A1775" s="13" t="s">
        <v>2752</v>
      </c>
    </row>
    <row r="1776" spans="1:1" x14ac:dyDescent="0.2">
      <c r="A1776" s="13" t="s">
        <v>4800</v>
      </c>
    </row>
    <row r="1777" spans="1:1" x14ac:dyDescent="0.2">
      <c r="A1777" s="13" t="s">
        <v>4801</v>
      </c>
    </row>
    <row r="1778" spans="1:1" x14ac:dyDescent="0.2">
      <c r="A1778" s="13" t="s">
        <v>4802</v>
      </c>
    </row>
    <row r="1779" spans="1:1" x14ac:dyDescent="0.2">
      <c r="A1779" s="13" t="s">
        <v>4803</v>
      </c>
    </row>
    <row r="1780" spans="1:1" x14ac:dyDescent="0.2">
      <c r="A1780" s="13" t="s">
        <v>4804</v>
      </c>
    </row>
    <row r="1781" spans="1:1" x14ac:dyDescent="0.2">
      <c r="A1781" s="13" t="s">
        <v>4805</v>
      </c>
    </row>
    <row r="1782" spans="1:1" x14ac:dyDescent="0.2">
      <c r="A1782" s="13" t="s">
        <v>1707</v>
      </c>
    </row>
    <row r="1783" spans="1:1" x14ac:dyDescent="0.2">
      <c r="A1783" s="13" t="s">
        <v>2279</v>
      </c>
    </row>
    <row r="1784" spans="1:1" x14ac:dyDescent="0.2">
      <c r="A1784" s="13" t="s">
        <v>1680</v>
      </c>
    </row>
    <row r="1785" spans="1:1" x14ac:dyDescent="0.2">
      <c r="A1785" s="13" t="s">
        <v>3107</v>
      </c>
    </row>
    <row r="1786" spans="1:1" x14ac:dyDescent="0.2">
      <c r="A1786" s="13" t="s">
        <v>3805</v>
      </c>
    </row>
    <row r="1787" spans="1:1" x14ac:dyDescent="0.2">
      <c r="A1787" s="13" t="s">
        <v>4806</v>
      </c>
    </row>
    <row r="1788" spans="1:1" x14ac:dyDescent="0.2">
      <c r="A1788" s="13" t="s">
        <v>1492</v>
      </c>
    </row>
    <row r="1789" spans="1:1" x14ac:dyDescent="0.2">
      <c r="A1789" s="13" t="s">
        <v>3213</v>
      </c>
    </row>
    <row r="1790" spans="1:1" x14ac:dyDescent="0.2">
      <c r="A1790" s="13" t="s">
        <v>1356</v>
      </c>
    </row>
    <row r="1791" spans="1:1" x14ac:dyDescent="0.2">
      <c r="A1791" s="13" t="s">
        <v>1387</v>
      </c>
    </row>
    <row r="1792" spans="1:1" x14ac:dyDescent="0.2">
      <c r="A1792" s="13" t="s">
        <v>3233</v>
      </c>
    </row>
    <row r="1793" spans="1:1" x14ac:dyDescent="0.2">
      <c r="A1793" s="13" t="s">
        <v>3845</v>
      </c>
    </row>
    <row r="1794" spans="1:1" x14ac:dyDescent="0.2">
      <c r="A1794" s="13" t="s">
        <v>4807</v>
      </c>
    </row>
    <row r="1795" spans="1:1" x14ac:dyDescent="0.2">
      <c r="A1795" s="13" t="s">
        <v>4808</v>
      </c>
    </row>
    <row r="1796" spans="1:1" x14ac:dyDescent="0.2">
      <c r="A1796" s="13" t="s">
        <v>2480</v>
      </c>
    </row>
    <row r="1797" spans="1:1" x14ac:dyDescent="0.2">
      <c r="A1797" s="13" t="s">
        <v>3088</v>
      </c>
    </row>
    <row r="1798" spans="1:1" x14ac:dyDescent="0.2">
      <c r="A1798" s="13" t="s">
        <v>4809</v>
      </c>
    </row>
    <row r="1799" spans="1:1" x14ac:dyDescent="0.2">
      <c r="A1799" s="13" t="s">
        <v>3321</v>
      </c>
    </row>
    <row r="1800" spans="1:1" x14ac:dyDescent="0.2">
      <c r="A1800" s="13" t="s">
        <v>2213</v>
      </c>
    </row>
    <row r="1801" spans="1:1" x14ac:dyDescent="0.2">
      <c r="A1801" s="13" t="s">
        <v>4810</v>
      </c>
    </row>
    <row r="1802" spans="1:1" x14ac:dyDescent="0.2">
      <c r="A1802" s="13" t="s">
        <v>1253</v>
      </c>
    </row>
    <row r="1803" spans="1:1" x14ac:dyDescent="0.2">
      <c r="A1803" s="13" t="s">
        <v>4811</v>
      </c>
    </row>
    <row r="1804" spans="1:1" x14ac:dyDescent="0.2">
      <c r="A1804" s="13" t="s">
        <v>333</v>
      </c>
    </row>
    <row r="1805" spans="1:1" x14ac:dyDescent="0.2">
      <c r="A1805" s="13" t="s">
        <v>1667</v>
      </c>
    </row>
    <row r="1806" spans="1:1" x14ac:dyDescent="0.2">
      <c r="A1806" s="13" t="s">
        <v>1906</v>
      </c>
    </row>
    <row r="1807" spans="1:1" x14ac:dyDescent="0.2">
      <c r="A1807" s="13" t="s">
        <v>2760</v>
      </c>
    </row>
    <row r="1808" spans="1:1" x14ac:dyDescent="0.2">
      <c r="A1808" s="13" t="s">
        <v>3013</v>
      </c>
    </row>
    <row r="1809" spans="1:1" x14ac:dyDescent="0.2">
      <c r="A1809" s="13" t="s">
        <v>4812</v>
      </c>
    </row>
    <row r="1810" spans="1:1" x14ac:dyDescent="0.2">
      <c r="A1810" s="13" t="s">
        <v>1849</v>
      </c>
    </row>
    <row r="1811" spans="1:1" x14ac:dyDescent="0.2">
      <c r="A1811" s="13" t="s">
        <v>3611</v>
      </c>
    </row>
    <row r="1812" spans="1:1" x14ac:dyDescent="0.2">
      <c r="A1812" s="13" t="s">
        <v>4813</v>
      </c>
    </row>
    <row r="1813" spans="1:1" x14ac:dyDescent="0.2">
      <c r="A1813" s="13" t="s">
        <v>4814</v>
      </c>
    </row>
    <row r="1814" spans="1:1" x14ac:dyDescent="0.2">
      <c r="A1814" s="13" t="s">
        <v>4815</v>
      </c>
    </row>
    <row r="1815" spans="1:1" x14ac:dyDescent="0.2">
      <c r="A1815" s="13" t="s">
        <v>396</v>
      </c>
    </row>
    <row r="1816" spans="1:1" x14ac:dyDescent="0.2">
      <c r="A1816" s="13" t="s">
        <v>4816</v>
      </c>
    </row>
    <row r="1817" spans="1:1" x14ac:dyDescent="0.2">
      <c r="A1817" s="13" t="s">
        <v>4817</v>
      </c>
    </row>
    <row r="1818" spans="1:1" x14ac:dyDescent="0.2">
      <c r="A1818" s="13" t="s">
        <v>3938</v>
      </c>
    </row>
    <row r="1819" spans="1:1" x14ac:dyDescent="0.2">
      <c r="A1819" s="13" t="s">
        <v>4818</v>
      </c>
    </row>
    <row r="1820" spans="1:1" x14ac:dyDescent="0.2">
      <c r="A1820" s="13" t="s">
        <v>4164</v>
      </c>
    </row>
    <row r="1821" spans="1:1" x14ac:dyDescent="0.2">
      <c r="A1821" s="13" t="s">
        <v>4819</v>
      </c>
    </row>
    <row r="1822" spans="1:1" x14ac:dyDescent="0.2">
      <c r="A1822" s="13" t="s">
        <v>4820</v>
      </c>
    </row>
    <row r="1823" spans="1:1" x14ac:dyDescent="0.2">
      <c r="A1823" s="13" t="s">
        <v>4821</v>
      </c>
    </row>
    <row r="1824" spans="1:1" x14ac:dyDescent="0.2">
      <c r="A1824" s="13" t="s">
        <v>3703</v>
      </c>
    </row>
    <row r="1825" spans="1:1" x14ac:dyDescent="0.2">
      <c r="A1825" s="13" t="s">
        <v>2607</v>
      </c>
    </row>
    <row r="1826" spans="1:1" x14ac:dyDescent="0.2">
      <c r="A1826" s="13" t="s">
        <v>4822</v>
      </c>
    </row>
    <row r="1827" spans="1:1" x14ac:dyDescent="0.2">
      <c r="A1827" s="13" t="s">
        <v>4823</v>
      </c>
    </row>
    <row r="1828" spans="1:1" x14ac:dyDescent="0.2">
      <c r="A1828" s="13" t="s">
        <v>4824</v>
      </c>
    </row>
    <row r="1829" spans="1:1" x14ac:dyDescent="0.2">
      <c r="A1829" s="13" t="s">
        <v>4825</v>
      </c>
    </row>
    <row r="1830" spans="1:1" x14ac:dyDescent="0.2">
      <c r="A1830" s="13" t="s">
        <v>4826</v>
      </c>
    </row>
    <row r="1831" spans="1:1" x14ac:dyDescent="0.2">
      <c r="A1831" s="13" t="s">
        <v>4827</v>
      </c>
    </row>
    <row r="1832" spans="1:1" x14ac:dyDescent="0.2">
      <c r="A1832" s="13" t="s">
        <v>3458</v>
      </c>
    </row>
    <row r="1833" spans="1:1" x14ac:dyDescent="0.2">
      <c r="A1833" s="13" t="s">
        <v>1401</v>
      </c>
    </row>
    <row r="1834" spans="1:1" x14ac:dyDescent="0.2">
      <c r="A1834" s="13" t="s">
        <v>1244</v>
      </c>
    </row>
    <row r="1835" spans="1:1" x14ac:dyDescent="0.2">
      <c r="A1835" s="13" t="s">
        <v>2842</v>
      </c>
    </row>
    <row r="1836" spans="1:1" x14ac:dyDescent="0.2">
      <c r="A1836" s="13" t="s">
        <v>352</v>
      </c>
    </row>
    <row r="1837" spans="1:1" x14ac:dyDescent="0.2">
      <c r="A1837" s="13" t="s">
        <v>267</v>
      </c>
    </row>
    <row r="1838" spans="1:1" x14ac:dyDescent="0.2">
      <c r="A1838" s="13" t="s">
        <v>4828</v>
      </c>
    </row>
    <row r="1839" spans="1:1" x14ac:dyDescent="0.2">
      <c r="A1839" s="13" t="s">
        <v>697</v>
      </c>
    </row>
    <row r="1840" spans="1:1" x14ac:dyDescent="0.2">
      <c r="A1840" s="13" t="s">
        <v>4829</v>
      </c>
    </row>
    <row r="1841" spans="1:1" x14ac:dyDescent="0.2">
      <c r="A1841" s="13" t="s">
        <v>4830</v>
      </c>
    </row>
    <row r="1842" spans="1:1" x14ac:dyDescent="0.2">
      <c r="A1842" s="13" t="s">
        <v>2190</v>
      </c>
    </row>
    <row r="1843" spans="1:1" x14ac:dyDescent="0.2">
      <c r="A1843" s="13" t="s">
        <v>2912</v>
      </c>
    </row>
    <row r="1844" spans="1:1" x14ac:dyDescent="0.2">
      <c r="A1844" s="13" t="s">
        <v>2361</v>
      </c>
    </row>
    <row r="1845" spans="1:1" x14ac:dyDescent="0.2">
      <c r="A1845" s="13" t="s">
        <v>4831</v>
      </c>
    </row>
    <row r="1846" spans="1:1" x14ac:dyDescent="0.2">
      <c r="A1846" s="13" t="s">
        <v>2420</v>
      </c>
    </row>
    <row r="1847" spans="1:1" x14ac:dyDescent="0.2">
      <c r="A1847" s="13" t="s">
        <v>4832</v>
      </c>
    </row>
    <row r="1848" spans="1:1" x14ac:dyDescent="0.2">
      <c r="A1848" s="13" t="s">
        <v>4833</v>
      </c>
    </row>
    <row r="1849" spans="1:1" x14ac:dyDescent="0.2">
      <c r="A1849" s="13" t="s">
        <v>1197</v>
      </c>
    </row>
    <row r="1850" spans="1:1" x14ac:dyDescent="0.2">
      <c r="A1850" s="13" t="s">
        <v>1139</v>
      </c>
    </row>
    <row r="1851" spans="1:1" x14ac:dyDescent="0.2">
      <c r="A1851" s="13" t="s">
        <v>3003</v>
      </c>
    </row>
    <row r="1852" spans="1:1" x14ac:dyDescent="0.2">
      <c r="A1852" s="13" t="s">
        <v>4834</v>
      </c>
    </row>
    <row r="1853" spans="1:1" x14ac:dyDescent="0.2">
      <c r="A1853" s="13" t="s">
        <v>4115</v>
      </c>
    </row>
    <row r="1854" spans="1:1" x14ac:dyDescent="0.2">
      <c r="A1854" s="13" t="s">
        <v>3573</v>
      </c>
    </row>
    <row r="1855" spans="1:1" x14ac:dyDescent="0.2">
      <c r="A1855" s="13" t="s">
        <v>4835</v>
      </c>
    </row>
    <row r="1856" spans="1:1" x14ac:dyDescent="0.2">
      <c r="A1856" s="13" t="s">
        <v>1013</v>
      </c>
    </row>
    <row r="1857" spans="1:1" x14ac:dyDescent="0.2">
      <c r="A1857" s="13" t="s">
        <v>3940</v>
      </c>
    </row>
    <row r="1858" spans="1:1" x14ac:dyDescent="0.2">
      <c r="A1858" s="13" t="s">
        <v>4836</v>
      </c>
    </row>
    <row r="1859" spans="1:1" x14ac:dyDescent="0.2">
      <c r="A1859" s="13" t="s">
        <v>332</v>
      </c>
    </row>
    <row r="1860" spans="1:1" x14ac:dyDescent="0.2">
      <c r="A1860" s="13" t="s">
        <v>301</v>
      </c>
    </row>
    <row r="1861" spans="1:1" x14ac:dyDescent="0.2">
      <c r="A1861" s="13" t="s">
        <v>4837</v>
      </c>
    </row>
    <row r="1862" spans="1:1" x14ac:dyDescent="0.2">
      <c r="A1862" s="13" t="s">
        <v>4838</v>
      </c>
    </row>
    <row r="1863" spans="1:1" x14ac:dyDescent="0.2">
      <c r="A1863" s="13" t="s">
        <v>1692</v>
      </c>
    </row>
    <row r="1864" spans="1:1" x14ac:dyDescent="0.2">
      <c r="A1864" s="13" t="s">
        <v>762</v>
      </c>
    </row>
    <row r="1865" spans="1:1" x14ac:dyDescent="0.2">
      <c r="A1865" s="13" t="s">
        <v>931</v>
      </c>
    </row>
    <row r="1866" spans="1:1" x14ac:dyDescent="0.2">
      <c r="A1866" s="13" t="s">
        <v>4143</v>
      </c>
    </row>
    <row r="1867" spans="1:1" x14ac:dyDescent="0.2">
      <c r="A1867" s="13" t="s">
        <v>4839</v>
      </c>
    </row>
    <row r="1868" spans="1:1" x14ac:dyDescent="0.2">
      <c r="A1868" s="13" t="s">
        <v>4840</v>
      </c>
    </row>
    <row r="1869" spans="1:1" x14ac:dyDescent="0.2">
      <c r="A1869" s="13" t="s">
        <v>3129</v>
      </c>
    </row>
    <row r="1870" spans="1:1" x14ac:dyDescent="0.2">
      <c r="A1870" s="13" t="s">
        <v>4841</v>
      </c>
    </row>
    <row r="1871" spans="1:1" x14ac:dyDescent="0.2">
      <c r="A1871" s="13" t="s">
        <v>4842</v>
      </c>
    </row>
    <row r="1872" spans="1:1" x14ac:dyDescent="0.2">
      <c r="A1872" s="13" t="s">
        <v>439</v>
      </c>
    </row>
    <row r="1873" spans="1:1" x14ac:dyDescent="0.2">
      <c r="A1873" s="13" t="s">
        <v>4843</v>
      </c>
    </row>
    <row r="1874" spans="1:1" x14ac:dyDescent="0.2">
      <c r="A1874" s="13" t="s">
        <v>4057</v>
      </c>
    </row>
    <row r="1875" spans="1:1" x14ac:dyDescent="0.2">
      <c r="A1875" s="13" t="s">
        <v>1114</v>
      </c>
    </row>
    <row r="1876" spans="1:1" x14ac:dyDescent="0.2">
      <c r="A1876" s="13" t="s">
        <v>888</v>
      </c>
    </row>
    <row r="1877" spans="1:1" x14ac:dyDescent="0.2">
      <c r="A1877" s="13" t="s">
        <v>1245</v>
      </c>
    </row>
    <row r="1878" spans="1:1" x14ac:dyDescent="0.2">
      <c r="A1878" s="13" t="s">
        <v>2052</v>
      </c>
    </row>
    <row r="1879" spans="1:1" x14ac:dyDescent="0.2">
      <c r="A1879" s="13" t="s">
        <v>2869</v>
      </c>
    </row>
    <row r="1880" spans="1:1" x14ac:dyDescent="0.2">
      <c r="A1880" s="13" t="s">
        <v>4844</v>
      </c>
    </row>
    <row r="1881" spans="1:1" x14ac:dyDescent="0.2">
      <c r="A1881" s="13" t="s">
        <v>470</v>
      </c>
    </row>
    <row r="1882" spans="1:1" x14ac:dyDescent="0.2">
      <c r="A1882" s="13" t="s">
        <v>724</v>
      </c>
    </row>
    <row r="1883" spans="1:1" x14ac:dyDescent="0.2">
      <c r="A1883" s="13" t="s">
        <v>2794</v>
      </c>
    </row>
    <row r="1884" spans="1:1" x14ac:dyDescent="0.2">
      <c r="A1884" s="13" t="s">
        <v>758</v>
      </c>
    </row>
    <row r="1885" spans="1:1" x14ac:dyDescent="0.2">
      <c r="A1885" s="13" t="s">
        <v>3066</v>
      </c>
    </row>
    <row r="1886" spans="1:1" x14ac:dyDescent="0.2">
      <c r="A1886" s="13" t="s">
        <v>1209</v>
      </c>
    </row>
    <row r="1887" spans="1:1" x14ac:dyDescent="0.2">
      <c r="A1887" s="13" t="s">
        <v>3678</v>
      </c>
    </row>
    <row r="1888" spans="1:1" x14ac:dyDescent="0.2">
      <c r="A1888" s="13" t="s">
        <v>3811</v>
      </c>
    </row>
    <row r="1889" spans="1:1" x14ac:dyDescent="0.2">
      <c r="A1889" s="13" t="s">
        <v>1874</v>
      </c>
    </row>
    <row r="1890" spans="1:1" x14ac:dyDescent="0.2">
      <c r="A1890" s="13" t="s">
        <v>1017</v>
      </c>
    </row>
    <row r="1891" spans="1:1" x14ac:dyDescent="0.2">
      <c r="A1891" s="13" t="s">
        <v>4845</v>
      </c>
    </row>
    <row r="1892" spans="1:1" x14ac:dyDescent="0.2">
      <c r="A1892" s="13" t="s">
        <v>4846</v>
      </c>
    </row>
    <row r="1893" spans="1:1" x14ac:dyDescent="0.2">
      <c r="A1893" s="13" t="s">
        <v>4847</v>
      </c>
    </row>
    <row r="1894" spans="1:1" x14ac:dyDescent="0.2">
      <c r="A1894" s="13" t="s">
        <v>2713</v>
      </c>
    </row>
    <row r="1895" spans="1:1" x14ac:dyDescent="0.2">
      <c r="A1895" s="13" t="s">
        <v>4848</v>
      </c>
    </row>
    <row r="1896" spans="1:1" x14ac:dyDescent="0.2">
      <c r="A1896" s="13" t="s">
        <v>2137</v>
      </c>
    </row>
    <row r="1897" spans="1:1" x14ac:dyDescent="0.2">
      <c r="A1897" s="13" t="s">
        <v>3750</v>
      </c>
    </row>
    <row r="1898" spans="1:1" x14ac:dyDescent="0.2">
      <c r="A1898" s="13" t="s">
        <v>4849</v>
      </c>
    </row>
    <row r="1899" spans="1:1" x14ac:dyDescent="0.2">
      <c r="A1899" s="13" t="s">
        <v>2185</v>
      </c>
    </row>
    <row r="1900" spans="1:1" x14ac:dyDescent="0.2">
      <c r="A1900" s="13" t="s">
        <v>2496</v>
      </c>
    </row>
    <row r="1901" spans="1:1" x14ac:dyDescent="0.2">
      <c r="A1901" s="13" t="s">
        <v>731</v>
      </c>
    </row>
    <row r="1902" spans="1:1" x14ac:dyDescent="0.2">
      <c r="A1902" s="13" t="s">
        <v>3809</v>
      </c>
    </row>
    <row r="1903" spans="1:1" x14ac:dyDescent="0.2">
      <c r="A1903" s="13" t="s">
        <v>3925</v>
      </c>
    </row>
    <row r="1904" spans="1:1" x14ac:dyDescent="0.2">
      <c r="A1904" s="13" t="s">
        <v>3525</v>
      </c>
    </row>
    <row r="1905" spans="1:1" x14ac:dyDescent="0.2">
      <c r="A1905" s="13" t="s">
        <v>1640</v>
      </c>
    </row>
    <row r="1906" spans="1:1" x14ac:dyDescent="0.2">
      <c r="A1906" s="13" t="s">
        <v>4850</v>
      </c>
    </row>
    <row r="1907" spans="1:1" x14ac:dyDescent="0.2">
      <c r="A1907" s="13" t="s">
        <v>1225</v>
      </c>
    </row>
    <row r="1908" spans="1:1" x14ac:dyDescent="0.2">
      <c r="A1908" s="13" t="s">
        <v>4851</v>
      </c>
    </row>
    <row r="1909" spans="1:1" x14ac:dyDescent="0.2">
      <c r="A1909" s="13" t="s">
        <v>1331</v>
      </c>
    </row>
    <row r="1910" spans="1:1" x14ac:dyDescent="0.2">
      <c r="A1910" s="13" t="s">
        <v>1465</v>
      </c>
    </row>
    <row r="1911" spans="1:1" x14ac:dyDescent="0.2">
      <c r="A1911" s="13" t="s">
        <v>4852</v>
      </c>
    </row>
    <row r="1912" spans="1:1" x14ac:dyDescent="0.2">
      <c r="A1912" s="13" t="s">
        <v>2078</v>
      </c>
    </row>
    <row r="1913" spans="1:1" x14ac:dyDescent="0.2">
      <c r="A1913" s="13" t="s">
        <v>2585</v>
      </c>
    </row>
    <row r="1914" spans="1:1" x14ac:dyDescent="0.2">
      <c r="A1914" s="13" t="s">
        <v>3854</v>
      </c>
    </row>
    <row r="1915" spans="1:1" x14ac:dyDescent="0.2">
      <c r="A1915" s="13" t="s">
        <v>4853</v>
      </c>
    </row>
    <row r="1916" spans="1:1" x14ac:dyDescent="0.2">
      <c r="A1916" s="13" t="s">
        <v>1565</v>
      </c>
    </row>
    <row r="1917" spans="1:1" x14ac:dyDescent="0.2">
      <c r="A1917" s="13" t="s">
        <v>4123</v>
      </c>
    </row>
    <row r="1918" spans="1:1" x14ac:dyDescent="0.2">
      <c r="A1918" s="13" t="s">
        <v>2918</v>
      </c>
    </row>
    <row r="1919" spans="1:1" x14ac:dyDescent="0.2">
      <c r="A1919" s="13" t="s">
        <v>1432</v>
      </c>
    </row>
    <row r="1920" spans="1:1" x14ac:dyDescent="0.2">
      <c r="A1920" s="13" t="s">
        <v>2747</v>
      </c>
    </row>
    <row r="1921" spans="1:1" x14ac:dyDescent="0.2">
      <c r="A1921" s="13" t="s">
        <v>2705</v>
      </c>
    </row>
    <row r="1922" spans="1:1" x14ac:dyDescent="0.2">
      <c r="A1922" s="13" t="s">
        <v>941</v>
      </c>
    </row>
    <row r="1923" spans="1:1" x14ac:dyDescent="0.2">
      <c r="A1923" s="13" t="s">
        <v>1649</v>
      </c>
    </row>
    <row r="1924" spans="1:1" x14ac:dyDescent="0.2">
      <c r="A1924" s="13" t="s">
        <v>285</v>
      </c>
    </row>
    <row r="1925" spans="1:1" x14ac:dyDescent="0.2">
      <c r="A1925" s="13" t="s">
        <v>2799</v>
      </c>
    </row>
    <row r="1926" spans="1:1" x14ac:dyDescent="0.2">
      <c r="A1926" s="13" t="s">
        <v>3880</v>
      </c>
    </row>
    <row r="1927" spans="1:1" x14ac:dyDescent="0.2">
      <c r="A1927" s="13" t="s">
        <v>3531</v>
      </c>
    </row>
    <row r="1928" spans="1:1" x14ac:dyDescent="0.2">
      <c r="A1928" s="13" t="s">
        <v>3908</v>
      </c>
    </row>
    <row r="1929" spans="1:1" x14ac:dyDescent="0.2">
      <c r="A1929" s="13" t="s">
        <v>2203</v>
      </c>
    </row>
    <row r="1930" spans="1:1" x14ac:dyDescent="0.2">
      <c r="A1930" s="13" t="s">
        <v>4854</v>
      </c>
    </row>
    <row r="1931" spans="1:1" x14ac:dyDescent="0.2">
      <c r="A1931" s="13" t="s">
        <v>4855</v>
      </c>
    </row>
    <row r="1932" spans="1:1" x14ac:dyDescent="0.2">
      <c r="A1932" s="13" t="s">
        <v>4856</v>
      </c>
    </row>
    <row r="1933" spans="1:1" x14ac:dyDescent="0.2">
      <c r="A1933" s="13" t="s">
        <v>655</v>
      </c>
    </row>
    <row r="1934" spans="1:1" x14ac:dyDescent="0.2">
      <c r="A1934" s="13" t="s">
        <v>4857</v>
      </c>
    </row>
    <row r="1935" spans="1:1" x14ac:dyDescent="0.2">
      <c r="A1935" s="13" t="s">
        <v>4858</v>
      </c>
    </row>
    <row r="1936" spans="1:1" x14ac:dyDescent="0.2">
      <c r="A1936" s="13" t="s">
        <v>2686</v>
      </c>
    </row>
    <row r="1937" spans="1:1" x14ac:dyDescent="0.2">
      <c r="A1937" s="13" t="s">
        <v>680</v>
      </c>
    </row>
    <row r="1938" spans="1:1" x14ac:dyDescent="0.2">
      <c r="A1938" s="13" t="s">
        <v>3674</v>
      </c>
    </row>
    <row r="1939" spans="1:1" x14ac:dyDescent="0.2">
      <c r="A1939" s="13" t="s">
        <v>2158</v>
      </c>
    </row>
    <row r="1940" spans="1:1" x14ac:dyDescent="0.2">
      <c r="A1940" s="13" t="s">
        <v>3734</v>
      </c>
    </row>
    <row r="1941" spans="1:1" x14ac:dyDescent="0.2">
      <c r="A1941" s="13" t="s">
        <v>4859</v>
      </c>
    </row>
    <row r="1942" spans="1:1" x14ac:dyDescent="0.2">
      <c r="A1942" s="13" t="s">
        <v>4860</v>
      </c>
    </row>
    <row r="1943" spans="1:1" x14ac:dyDescent="0.2">
      <c r="A1943" s="13" t="s">
        <v>4861</v>
      </c>
    </row>
    <row r="1944" spans="1:1" x14ac:dyDescent="0.2">
      <c r="A1944" s="13" t="s">
        <v>4862</v>
      </c>
    </row>
    <row r="1945" spans="1:1" x14ac:dyDescent="0.2">
      <c r="A1945" s="13" t="s">
        <v>4863</v>
      </c>
    </row>
    <row r="1946" spans="1:1" x14ac:dyDescent="0.2">
      <c r="A1946" s="13" t="s">
        <v>4048</v>
      </c>
    </row>
    <row r="1947" spans="1:1" x14ac:dyDescent="0.2">
      <c r="A1947" s="13" t="s">
        <v>808</v>
      </c>
    </row>
    <row r="1948" spans="1:1" x14ac:dyDescent="0.2">
      <c r="A1948" s="13" t="s">
        <v>462</v>
      </c>
    </row>
    <row r="1949" spans="1:1" x14ac:dyDescent="0.2">
      <c r="A1949" s="13" t="s">
        <v>4864</v>
      </c>
    </row>
    <row r="1950" spans="1:1" x14ac:dyDescent="0.2">
      <c r="A1950" s="13" t="s">
        <v>4865</v>
      </c>
    </row>
    <row r="1951" spans="1:1" x14ac:dyDescent="0.2">
      <c r="A1951" s="13" t="s">
        <v>4866</v>
      </c>
    </row>
    <row r="1952" spans="1:1" x14ac:dyDescent="0.2">
      <c r="A1952" s="13" t="s">
        <v>2530</v>
      </c>
    </row>
    <row r="1953" spans="1:1" x14ac:dyDescent="0.2">
      <c r="A1953" s="13" t="s">
        <v>4867</v>
      </c>
    </row>
    <row r="1954" spans="1:1" x14ac:dyDescent="0.2">
      <c r="A1954" s="13" t="s">
        <v>2376</v>
      </c>
    </row>
    <row r="1955" spans="1:1" x14ac:dyDescent="0.2">
      <c r="A1955" s="13" t="s">
        <v>4868</v>
      </c>
    </row>
    <row r="1956" spans="1:1" x14ac:dyDescent="0.2">
      <c r="A1956" s="13" t="s">
        <v>930</v>
      </c>
    </row>
    <row r="1957" spans="1:1" x14ac:dyDescent="0.2">
      <c r="A1957" s="13" t="s">
        <v>4869</v>
      </c>
    </row>
    <row r="1958" spans="1:1" x14ac:dyDescent="0.2">
      <c r="A1958" s="13" t="s">
        <v>4870</v>
      </c>
    </row>
    <row r="1959" spans="1:1" x14ac:dyDescent="0.2">
      <c r="A1959" s="13" t="s">
        <v>4871</v>
      </c>
    </row>
    <row r="1960" spans="1:1" x14ac:dyDescent="0.2">
      <c r="A1960" s="13" t="s">
        <v>4872</v>
      </c>
    </row>
    <row r="1961" spans="1:1" x14ac:dyDescent="0.2">
      <c r="A1961" s="13" t="s">
        <v>4873</v>
      </c>
    </row>
    <row r="1962" spans="1:1" x14ac:dyDescent="0.2">
      <c r="A1962" s="13" t="s">
        <v>4874</v>
      </c>
    </row>
    <row r="1963" spans="1:1" x14ac:dyDescent="0.2">
      <c r="A1963" s="13" t="s">
        <v>4875</v>
      </c>
    </row>
    <row r="1964" spans="1:1" x14ac:dyDescent="0.2">
      <c r="A1964" s="13" t="s">
        <v>2544</v>
      </c>
    </row>
    <row r="1965" spans="1:1" x14ac:dyDescent="0.2">
      <c r="A1965" s="13" t="s">
        <v>339</v>
      </c>
    </row>
    <row r="1966" spans="1:1" x14ac:dyDescent="0.2">
      <c r="A1966" s="13" t="s">
        <v>424</v>
      </c>
    </row>
    <row r="1967" spans="1:1" x14ac:dyDescent="0.2">
      <c r="A1967" s="13" t="s">
        <v>975</v>
      </c>
    </row>
    <row r="1968" spans="1:1" x14ac:dyDescent="0.2">
      <c r="A1968" s="13" t="s">
        <v>4876</v>
      </c>
    </row>
    <row r="1969" spans="1:1" x14ac:dyDescent="0.2">
      <c r="A1969" s="13" t="s">
        <v>4877</v>
      </c>
    </row>
    <row r="1970" spans="1:1" x14ac:dyDescent="0.2">
      <c r="A1970" s="13" t="s">
        <v>4878</v>
      </c>
    </row>
    <row r="1971" spans="1:1" x14ac:dyDescent="0.2">
      <c r="A1971" s="13" t="s">
        <v>1506</v>
      </c>
    </row>
    <row r="1972" spans="1:1" x14ac:dyDescent="0.2">
      <c r="A1972" s="13" t="s">
        <v>4879</v>
      </c>
    </row>
    <row r="1973" spans="1:1" x14ac:dyDescent="0.2">
      <c r="A1973" s="13" t="s">
        <v>3157</v>
      </c>
    </row>
    <row r="1974" spans="1:1" x14ac:dyDescent="0.2">
      <c r="A1974" s="13" t="s">
        <v>3527</v>
      </c>
    </row>
    <row r="1975" spans="1:1" x14ac:dyDescent="0.2">
      <c r="A1975" s="13" t="s">
        <v>2833</v>
      </c>
    </row>
    <row r="1976" spans="1:1" x14ac:dyDescent="0.2">
      <c r="A1976" s="13" t="s">
        <v>757</v>
      </c>
    </row>
    <row r="1977" spans="1:1" x14ac:dyDescent="0.2">
      <c r="A1977" s="13" t="s">
        <v>343</v>
      </c>
    </row>
    <row r="1978" spans="1:1" x14ac:dyDescent="0.2">
      <c r="A1978" s="13" t="s">
        <v>2702</v>
      </c>
    </row>
    <row r="1979" spans="1:1" x14ac:dyDescent="0.2">
      <c r="A1979" s="13" t="s">
        <v>1636</v>
      </c>
    </row>
    <row r="1980" spans="1:1" x14ac:dyDescent="0.2">
      <c r="A1980" s="13" t="s">
        <v>2177</v>
      </c>
    </row>
    <row r="1981" spans="1:1" x14ac:dyDescent="0.2">
      <c r="A1981" s="13" t="s">
        <v>4880</v>
      </c>
    </row>
    <row r="1982" spans="1:1" x14ac:dyDescent="0.2">
      <c r="A1982" s="13" t="s">
        <v>4881</v>
      </c>
    </row>
    <row r="1983" spans="1:1" x14ac:dyDescent="0.2">
      <c r="A1983" s="13" t="s">
        <v>3847</v>
      </c>
    </row>
    <row r="1984" spans="1:1" x14ac:dyDescent="0.2">
      <c r="A1984" s="13" t="s">
        <v>4882</v>
      </c>
    </row>
    <row r="1985" spans="1:1" x14ac:dyDescent="0.2">
      <c r="A1985" s="13" t="s">
        <v>4883</v>
      </c>
    </row>
    <row r="1986" spans="1:1" x14ac:dyDescent="0.2">
      <c r="A1986" s="13" t="s">
        <v>1789</v>
      </c>
    </row>
    <row r="1987" spans="1:1" x14ac:dyDescent="0.2">
      <c r="A1987" s="13" t="s">
        <v>4884</v>
      </c>
    </row>
    <row r="1988" spans="1:1" x14ac:dyDescent="0.2">
      <c r="A1988" s="13" t="s">
        <v>2610</v>
      </c>
    </row>
    <row r="1989" spans="1:1" x14ac:dyDescent="0.2">
      <c r="A1989" s="13" t="s">
        <v>2998</v>
      </c>
    </row>
    <row r="1990" spans="1:1" x14ac:dyDescent="0.2">
      <c r="A1990" s="13" t="s">
        <v>3687</v>
      </c>
    </row>
    <row r="1991" spans="1:1" x14ac:dyDescent="0.2">
      <c r="A1991" s="13" t="s">
        <v>4885</v>
      </c>
    </row>
    <row r="1992" spans="1:1" x14ac:dyDescent="0.2">
      <c r="A1992" s="13" t="s">
        <v>1836</v>
      </c>
    </row>
    <row r="1993" spans="1:1" x14ac:dyDescent="0.2">
      <c r="A1993" s="13" t="s">
        <v>2950</v>
      </c>
    </row>
    <row r="1994" spans="1:1" x14ac:dyDescent="0.2">
      <c r="A1994" s="13" t="s">
        <v>4886</v>
      </c>
    </row>
    <row r="1995" spans="1:1" x14ac:dyDescent="0.2">
      <c r="A1995" s="13" t="s">
        <v>367</v>
      </c>
    </row>
    <row r="1996" spans="1:1" x14ac:dyDescent="0.2">
      <c r="A1996" s="13" t="s">
        <v>326</v>
      </c>
    </row>
    <row r="1997" spans="1:1" x14ac:dyDescent="0.2">
      <c r="A1997" s="13" t="s">
        <v>4887</v>
      </c>
    </row>
    <row r="1998" spans="1:1" x14ac:dyDescent="0.2">
      <c r="A1998" s="13" t="s">
        <v>1652</v>
      </c>
    </row>
    <row r="1999" spans="1:1" x14ac:dyDescent="0.2">
      <c r="A1999" s="13" t="s">
        <v>4888</v>
      </c>
    </row>
    <row r="2000" spans="1:1" x14ac:dyDescent="0.2">
      <c r="A2000" s="13" t="s">
        <v>1976</v>
      </c>
    </row>
    <row r="2001" spans="1:1" x14ac:dyDescent="0.2">
      <c r="A2001" s="13" t="s">
        <v>4889</v>
      </c>
    </row>
    <row r="2002" spans="1:1" x14ac:dyDescent="0.2">
      <c r="A2002" s="13" t="s">
        <v>4890</v>
      </c>
    </row>
    <row r="2003" spans="1:1" x14ac:dyDescent="0.2">
      <c r="A2003" s="13" t="s">
        <v>1551</v>
      </c>
    </row>
    <row r="2004" spans="1:1" x14ac:dyDescent="0.2">
      <c r="A2004" s="13" t="s">
        <v>4891</v>
      </c>
    </row>
    <row r="2005" spans="1:1" x14ac:dyDescent="0.2">
      <c r="A2005" s="13" t="s">
        <v>4892</v>
      </c>
    </row>
    <row r="2006" spans="1:1" x14ac:dyDescent="0.2">
      <c r="A2006" s="13" t="s">
        <v>644</v>
      </c>
    </row>
    <row r="2007" spans="1:1" x14ac:dyDescent="0.2">
      <c r="A2007" s="13" t="s">
        <v>4893</v>
      </c>
    </row>
    <row r="2008" spans="1:1" x14ac:dyDescent="0.2">
      <c r="A2008" s="13" t="s">
        <v>3578</v>
      </c>
    </row>
    <row r="2009" spans="1:1" x14ac:dyDescent="0.2">
      <c r="A2009" s="13" t="s">
        <v>1298</v>
      </c>
    </row>
    <row r="2010" spans="1:1" x14ac:dyDescent="0.2">
      <c r="A2010" s="13" t="s">
        <v>4894</v>
      </c>
    </row>
    <row r="2011" spans="1:1" x14ac:dyDescent="0.2">
      <c r="A2011" s="13" t="s">
        <v>4895</v>
      </c>
    </row>
    <row r="2012" spans="1:1" x14ac:dyDescent="0.2">
      <c r="A2012" s="13" t="s">
        <v>1564</v>
      </c>
    </row>
    <row r="2013" spans="1:1" x14ac:dyDescent="0.2">
      <c r="A2013" s="13" t="s">
        <v>4896</v>
      </c>
    </row>
    <row r="2014" spans="1:1" x14ac:dyDescent="0.2">
      <c r="A2014" s="13" t="s">
        <v>4897</v>
      </c>
    </row>
    <row r="2015" spans="1:1" x14ac:dyDescent="0.2">
      <c r="A2015" s="13" t="s">
        <v>1569</v>
      </c>
    </row>
    <row r="2016" spans="1:1" x14ac:dyDescent="0.2">
      <c r="A2016" s="13" t="s">
        <v>4898</v>
      </c>
    </row>
    <row r="2017" spans="1:1" x14ac:dyDescent="0.2">
      <c r="A2017" s="13" t="s">
        <v>1405</v>
      </c>
    </row>
    <row r="2018" spans="1:1" x14ac:dyDescent="0.2">
      <c r="A2018" s="13" t="s">
        <v>4899</v>
      </c>
    </row>
    <row r="2019" spans="1:1" x14ac:dyDescent="0.2">
      <c r="A2019" s="13" t="s">
        <v>4107</v>
      </c>
    </row>
    <row r="2020" spans="1:1" x14ac:dyDescent="0.2">
      <c r="A2020" s="13" t="s">
        <v>3298</v>
      </c>
    </row>
    <row r="2021" spans="1:1" x14ac:dyDescent="0.2">
      <c r="A2021" s="13" t="s">
        <v>4900</v>
      </c>
    </row>
    <row r="2022" spans="1:1" x14ac:dyDescent="0.2">
      <c r="A2022" s="13" t="s">
        <v>4133</v>
      </c>
    </row>
    <row r="2023" spans="1:1" x14ac:dyDescent="0.2">
      <c r="A2023" s="13" t="s">
        <v>4901</v>
      </c>
    </row>
    <row r="2024" spans="1:1" x14ac:dyDescent="0.2">
      <c r="A2024" s="13" t="s">
        <v>1062</v>
      </c>
    </row>
    <row r="2025" spans="1:1" x14ac:dyDescent="0.2">
      <c r="A2025" s="13" t="s">
        <v>4902</v>
      </c>
    </row>
    <row r="2026" spans="1:1" x14ac:dyDescent="0.2">
      <c r="A2026" s="13" t="s">
        <v>4903</v>
      </c>
    </row>
    <row r="2027" spans="1:1" x14ac:dyDescent="0.2">
      <c r="A2027" s="13" t="s">
        <v>4904</v>
      </c>
    </row>
    <row r="2028" spans="1:1" x14ac:dyDescent="0.2">
      <c r="A2028" s="13" t="s">
        <v>255</v>
      </c>
    </row>
    <row r="2029" spans="1:1" x14ac:dyDescent="0.2">
      <c r="A2029" s="13" t="s">
        <v>1541</v>
      </c>
    </row>
    <row r="2030" spans="1:1" x14ac:dyDescent="0.2">
      <c r="A2030" s="13" t="s">
        <v>4905</v>
      </c>
    </row>
    <row r="2031" spans="1:1" x14ac:dyDescent="0.2">
      <c r="A2031" s="13" t="s">
        <v>4906</v>
      </c>
    </row>
    <row r="2032" spans="1:1" x14ac:dyDescent="0.2">
      <c r="A2032" s="13" t="s">
        <v>2861</v>
      </c>
    </row>
    <row r="2033" spans="1:1" x14ac:dyDescent="0.2">
      <c r="A2033" s="13" t="s">
        <v>4907</v>
      </c>
    </row>
    <row r="2034" spans="1:1" x14ac:dyDescent="0.2">
      <c r="A2034" s="13" t="s">
        <v>1837</v>
      </c>
    </row>
    <row r="2035" spans="1:1" x14ac:dyDescent="0.2">
      <c r="A2035" s="13" t="s">
        <v>1076</v>
      </c>
    </row>
    <row r="2036" spans="1:1" x14ac:dyDescent="0.2">
      <c r="A2036" s="13" t="s">
        <v>4908</v>
      </c>
    </row>
    <row r="2037" spans="1:1" x14ac:dyDescent="0.2">
      <c r="A2037" s="13" t="s">
        <v>3787</v>
      </c>
    </row>
    <row r="2038" spans="1:1" x14ac:dyDescent="0.2">
      <c r="A2038" s="13" t="s">
        <v>944</v>
      </c>
    </row>
    <row r="2039" spans="1:1" x14ac:dyDescent="0.2">
      <c r="A2039" s="13" t="s">
        <v>4909</v>
      </c>
    </row>
    <row r="2040" spans="1:1" x14ac:dyDescent="0.2">
      <c r="A2040" s="13" t="s">
        <v>4910</v>
      </c>
    </row>
    <row r="2041" spans="1:1" x14ac:dyDescent="0.2">
      <c r="A2041" s="13" t="s">
        <v>496</v>
      </c>
    </row>
    <row r="2042" spans="1:1" x14ac:dyDescent="0.2">
      <c r="A2042" s="13" t="s">
        <v>4911</v>
      </c>
    </row>
    <row r="2043" spans="1:1" x14ac:dyDescent="0.2">
      <c r="A2043" s="13" t="s">
        <v>4912</v>
      </c>
    </row>
    <row r="2044" spans="1:1" x14ac:dyDescent="0.2">
      <c r="A2044" s="13" t="s">
        <v>4913</v>
      </c>
    </row>
    <row r="2045" spans="1:1" x14ac:dyDescent="0.2">
      <c r="A2045" s="13" t="s">
        <v>4914</v>
      </c>
    </row>
    <row r="2046" spans="1:1" x14ac:dyDescent="0.2">
      <c r="A2046" s="13" t="s">
        <v>2929</v>
      </c>
    </row>
    <row r="2047" spans="1:1" x14ac:dyDescent="0.2">
      <c r="A2047" s="13" t="s">
        <v>4915</v>
      </c>
    </row>
    <row r="2048" spans="1:1" x14ac:dyDescent="0.2">
      <c r="A2048" s="13" t="s">
        <v>4916</v>
      </c>
    </row>
    <row r="2049" spans="1:1" x14ac:dyDescent="0.2">
      <c r="A2049" s="13" t="s">
        <v>346</v>
      </c>
    </row>
    <row r="2050" spans="1:1" x14ac:dyDescent="0.2">
      <c r="A2050" s="13" t="s">
        <v>4007</v>
      </c>
    </row>
    <row r="2051" spans="1:1" x14ac:dyDescent="0.2">
      <c r="A2051" s="13" t="s">
        <v>1388</v>
      </c>
    </row>
    <row r="2052" spans="1:1" x14ac:dyDescent="0.2">
      <c r="A2052" s="13" t="s">
        <v>2511</v>
      </c>
    </row>
    <row r="2053" spans="1:1" x14ac:dyDescent="0.2">
      <c r="A2053" s="13" t="s">
        <v>1719</v>
      </c>
    </row>
    <row r="2054" spans="1:1" x14ac:dyDescent="0.2">
      <c r="A2054" s="13" t="s">
        <v>2519</v>
      </c>
    </row>
    <row r="2055" spans="1:1" x14ac:dyDescent="0.2">
      <c r="A2055" s="13" t="s">
        <v>2000</v>
      </c>
    </row>
    <row r="2056" spans="1:1" x14ac:dyDescent="0.2">
      <c r="A2056" s="13" t="s">
        <v>4917</v>
      </c>
    </row>
    <row r="2057" spans="1:1" x14ac:dyDescent="0.2">
      <c r="A2057" s="13" t="s">
        <v>2005</v>
      </c>
    </row>
    <row r="2058" spans="1:1" x14ac:dyDescent="0.2">
      <c r="A2058" s="13" t="s">
        <v>1753</v>
      </c>
    </row>
    <row r="2059" spans="1:1" x14ac:dyDescent="0.2">
      <c r="A2059" s="13" t="s">
        <v>4918</v>
      </c>
    </row>
    <row r="2060" spans="1:1" x14ac:dyDescent="0.2">
      <c r="A2060" s="13" t="s">
        <v>791</v>
      </c>
    </row>
    <row r="2061" spans="1:1" x14ac:dyDescent="0.2">
      <c r="A2061" s="13" t="s">
        <v>1658</v>
      </c>
    </row>
    <row r="2062" spans="1:1" x14ac:dyDescent="0.2">
      <c r="A2062" s="13" t="s">
        <v>2347</v>
      </c>
    </row>
    <row r="2063" spans="1:1" x14ac:dyDescent="0.2">
      <c r="A2063" s="13" t="s">
        <v>2389</v>
      </c>
    </row>
    <row r="2064" spans="1:1" x14ac:dyDescent="0.2">
      <c r="A2064" s="13" t="s">
        <v>2619</v>
      </c>
    </row>
    <row r="2065" spans="1:1" x14ac:dyDescent="0.2">
      <c r="A2065" s="13" t="s">
        <v>4919</v>
      </c>
    </row>
    <row r="2066" spans="1:1" x14ac:dyDescent="0.2">
      <c r="A2066" s="13" t="s">
        <v>4920</v>
      </c>
    </row>
    <row r="2067" spans="1:1" x14ac:dyDescent="0.2">
      <c r="A2067" s="13" t="s">
        <v>1304</v>
      </c>
    </row>
    <row r="2068" spans="1:1" x14ac:dyDescent="0.2">
      <c r="A2068" s="13" t="s">
        <v>4049</v>
      </c>
    </row>
    <row r="2069" spans="1:1" x14ac:dyDescent="0.2">
      <c r="A2069" s="13" t="s">
        <v>1056</v>
      </c>
    </row>
    <row r="2070" spans="1:1" x14ac:dyDescent="0.2">
      <c r="A2070" s="13" t="s">
        <v>1720</v>
      </c>
    </row>
    <row r="2071" spans="1:1" x14ac:dyDescent="0.2">
      <c r="A2071" s="13" t="s">
        <v>2012</v>
      </c>
    </row>
    <row r="2072" spans="1:1" x14ac:dyDescent="0.2">
      <c r="A2072" s="13" t="s">
        <v>4921</v>
      </c>
    </row>
    <row r="2073" spans="1:1" x14ac:dyDescent="0.2">
      <c r="A2073" s="13" t="s">
        <v>4922</v>
      </c>
    </row>
    <row r="2074" spans="1:1" x14ac:dyDescent="0.2">
      <c r="A2074" s="13" t="s">
        <v>845</v>
      </c>
    </row>
    <row r="2075" spans="1:1" x14ac:dyDescent="0.2">
      <c r="A2075" s="13" t="s">
        <v>4018</v>
      </c>
    </row>
    <row r="2076" spans="1:1" x14ac:dyDescent="0.2">
      <c r="A2076" s="13" t="s">
        <v>1481</v>
      </c>
    </row>
    <row r="2077" spans="1:1" x14ac:dyDescent="0.2">
      <c r="A2077" s="13" t="s">
        <v>400</v>
      </c>
    </row>
    <row r="2078" spans="1:1" x14ac:dyDescent="0.2">
      <c r="A2078" s="13" t="s">
        <v>884</v>
      </c>
    </row>
    <row r="2079" spans="1:1" x14ac:dyDescent="0.2">
      <c r="A2079" s="13" t="s">
        <v>4923</v>
      </c>
    </row>
    <row r="2080" spans="1:1" x14ac:dyDescent="0.2">
      <c r="A2080" s="13" t="s">
        <v>2513</v>
      </c>
    </row>
    <row r="2081" spans="1:1" x14ac:dyDescent="0.2">
      <c r="A2081" s="13" t="s">
        <v>221</v>
      </c>
    </row>
    <row r="2082" spans="1:1" x14ac:dyDescent="0.2">
      <c r="A2082" s="13" t="s">
        <v>4924</v>
      </c>
    </row>
    <row r="2083" spans="1:1" x14ac:dyDescent="0.2">
      <c r="A2083" s="13" t="s">
        <v>357</v>
      </c>
    </row>
    <row r="2084" spans="1:1" x14ac:dyDescent="0.2">
      <c r="A2084" s="13" t="s">
        <v>4023</v>
      </c>
    </row>
    <row r="2085" spans="1:1" x14ac:dyDescent="0.2">
      <c r="A2085" s="13" t="s">
        <v>1138</v>
      </c>
    </row>
    <row r="2086" spans="1:1" x14ac:dyDescent="0.2">
      <c r="A2086" s="13" t="s">
        <v>4925</v>
      </c>
    </row>
    <row r="2087" spans="1:1" x14ac:dyDescent="0.2">
      <c r="A2087" s="13" t="s">
        <v>1203</v>
      </c>
    </row>
    <row r="2088" spans="1:1" x14ac:dyDescent="0.2">
      <c r="A2088" s="13" t="s">
        <v>3740</v>
      </c>
    </row>
    <row r="2089" spans="1:1" x14ac:dyDescent="0.2">
      <c r="A2089" s="13" t="s">
        <v>1012</v>
      </c>
    </row>
    <row r="2090" spans="1:1" x14ac:dyDescent="0.2">
      <c r="A2090" s="13" t="s">
        <v>3646</v>
      </c>
    </row>
    <row r="2091" spans="1:1" x14ac:dyDescent="0.2">
      <c r="A2091" s="13" t="s">
        <v>4926</v>
      </c>
    </row>
    <row r="2092" spans="1:1" x14ac:dyDescent="0.2">
      <c r="A2092" s="13" t="s">
        <v>2392</v>
      </c>
    </row>
    <row r="2093" spans="1:1" x14ac:dyDescent="0.2">
      <c r="A2093" s="13" t="s">
        <v>1226</v>
      </c>
    </row>
    <row r="2094" spans="1:1" x14ac:dyDescent="0.2">
      <c r="A2094" s="13" t="s">
        <v>1008</v>
      </c>
    </row>
    <row r="2095" spans="1:1" x14ac:dyDescent="0.2">
      <c r="A2095" s="13" t="s">
        <v>1198</v>
      </c>
    </row>
    <row r="2096" spans="1:1" x14ac:dyDescent="0.2">
      <c r="A2096" s="13" t="s">
        <v>1826</v>
      </c>
    </row>
    <row r="2097" spans="1:1" x14ac:dyDescent="0.2">
      <c r="A2097" s="13" t="s">
        <v>4927</v>
      </c>
    </row>
    <row r="2098" spans="1:1" x14ac:dyDescent="0.2">
      <c r="A2098" s="13" t="s">
        <v>3668</v>
      </c>
    </row>
    <row r="2099" spans="1:1" x14ac:dyDescent="0.2">
      <c r="A2099" s="13" t="s">
        <v>971</v>
      </c>
    </row>
    <row r="2100" spans="1:1" x14ac:dyDescent="0.2">
      <c r="A2100" s="13" t="s">
        <v>2913</v>
      </c>
    </row>
    <row r="2101" spans="1:1" x14ac:dyDescent="0.2">
      <c r="A2101" s="13" t="s">
        <v>4928</v>
      </c>
    </row>
    <row r="2102" spans="1:1" x14ac:dyDescent="0.2">
      <c r="A2102" s="13" t="s">
        <v>292</v>
      </c>
    </row>
    <row r="2103" spans="1:1" x14ac:dyDescent="0.2">
      <c r="A2103" s="13" t="s">
        <v>4929</v>
      </c>
    </row>
    <row r="2104" spans="1:1" x14ac:dyDescent="0.2">
      <c r="A2104" s="13" t="s">
        <v>4930</v>
      </c>
    </row>
    <row r="2105" spans="1:1" x14ac:dyDescent="0.2">
      <c r="A2105" s="13" t="s">
        <v>3254</v>
      </c>
    </row>
    <row r="2106" spans="1:1" x14ac:dyDescent="0.2">
      <c r="A2106" s="13" t="s">
        <v>1542</v>
      </c>
    </row>
    <row r="2107" spans="1:1" x14ac:dyDescent="0.2">
      <c r="A2107" s="13" t="s">
        <v>4931</v>
      </c>
    </row>
    <row r="2108" spans="1:1" x14ac:dyDescent="0.2">
      <c r="A2108" s="13" t="s">
        <v>1650</v>
      </c>
    </row>
    <row r="2109" spans="1:1" x14ac:dyDescent="0.2">
      <c r="A2109" s="13" t="s">
        <v>1330</v>
      </c>
    </row>
    <row r="2110" spans="1:1" x14ac:dyDescent="0.2">
      <c r="A2110" s="13" t="s">
        <v>3054</v>
      </c>
    </row>
    <row r="2111" spans="1:1" x14ac:dyDescent="0.2">
      <c r="A2111" s="13" t="s">
        <v>4932</v>
      </c>
    </row>
    <row r="2112" spans="1:1" x14ac:dyDescent="0.2">
      <c r="A2112" s="13" t="s">
        <v>2786</v>
      </c>
    </row>
    <row r="2113" spans="1:1" x14ac:dyDescent="0.2">
      <c r="A2113" s="13" t="s">
        <v>4933</v>
      </c>
    </row>
    <row r="2114" spans="1:1" x14ac:dyDescent="0.2">
      <c r="A2114" s="13" t="s">
        <v>2127</v>
      </c>
    </row>
    <row r="2115" spans="1:1" x14ac:dyDescent="0.2">
      <c r="A2115" s="13" t="s">
        <v>3459</v>
      </c>
    </row>
    <row r="2116" spans="1:1" x14ac:dyDescent="0.2">
      <c r="A2116" s="13" t="s">
        <v>4934</v>
      </c>
    </row>
    <row r="2117" spans="1:1" x14ac:dyDescent="0.2">
      <c r="A2117" s="13" t="s">
        <v>2372</v>
      </c>
    </row>
    <row r="2118" spans="1:1" x14ac:dyDescent="0.2">
      <c r="A2118" s="13" t="s">
        <v>1696</v>
      </c>
    </row>
    <row r="2119" spans="1:1" x14ac:dyDescent="0.2">
      <c r="A2119" s="13" t="s">
        <v>2532</v>
      </c>
    </row>
    <row r="2120" spans="1:1" x14ac:dyDescent="0.2">
      <c r="A2120" s="13" t="s">
        <v>2245</v>
      </c>
    </row>
    <row r="2121" spans="1:1" x14ac:dyDescent="0.2">
      <c r="A2121" s="13" t="s">
        <v>1177</v>
      </c>
    </row>
    <row r="2122" spans="1:1" x14ac:dyDescent="0.2">
      <c r="A2122" s="13" t="s">
        <v>2693</v>
      </c>
    </row>
    <row r="2123" spans="1:1" x14ac:dyDescent="0.2">
      <c r="A2123" s="13" t="s">
        <v>4935</v>
      </c>
    </row>
    <row r="2124" spans="1:1" x14ac:dyDescent="0.2">
      <c r="A2124" s="13" t="s">
        <v>2377</v>
      </c>
    </row>
    <row r="2125" spans="1:1" x14ac:dyDescent="0.2">
      <c r="A2125" s="13" t="s">
        <v>3855</v>
      </c>
    </row>
    <row r="2126" spans="1:1" x14ac:dyDescent="0.2">
      <c r="A2126" s="13" t="s">
        <v>1344</v>
      </c>
    </row>
    <row r="2127" spans="1:1" x14ac:dyDescent="0.2">
      <c r="A2127" s="13" t="s">
        <v>927</v>
      </c>
    </row>
    <row r="2128" spans="1:1" x14ac:dyDescent="0.2">
      <c r="A2128" s="13" t="s">
        <v>2870</v>
      </c>
    </row>
    <row r="2129" spans="1:1" x14ac:dyDescent="0.2">
      <c r="A2129" s="13" t="s">
        <v>1821</v>
      </c>
    </row>
    <row r="2130" spans="1:1" x14ac:dyDescent="0.2">
      <c r="A2130" s="13" t="s">
        <v>4936</v>
      </c>
    </row>
    <row r="2131" spans="1:1" x14ac:dyDescent="0.2">
      <c r="A2131" s="13" t="s">
        <v>4937</v>
      </c>
    </row>
    <row r="2132" spans="1:1" x14ac:dyDescent="0.2">
      <c r="A2132" s="13" t="s">
        <v>1613</v>
      </c>
    </row>
    <row r="2133" spans="1:1" x14ac:dyDescent="0.2">
      <c r="A2133" s="13" t="s">
        <v>2433</v>
      </c>
    </row>
    <row r="2134" spans="1:1" x14ac:dyDescent="0.2">
      <c r="A2134" s="13" t="s">
        <v>4938</v>
      </c>
    </row>
    <row r="2135" spans="1:1" x14ac:dyDescent="0.2">
      <c r="A2135" s="13" t="s">
        <v>4939</v>
      </c>
    </row>
    <row r="2136" spans="1:1" x14ac:dyDescent="0.2">
      <c r="A2136" s="13" t="s">
        <v>4940</v>
      </c>
    </row>
    <row r="2137" spans="1:1" x14ac:dyDescent="0.2">
      <c r="A2137" s="13" t="s">
        <v>2921</v>
      </c>
    </row>
    <row r="2138" spans="1:1" x14ac:dyDescent="0.2">
      <c r="A2138" s="13" t="s">
        <v>2096</v>
      </c>
    </row>
    <row r="2139" spans="1:1" x14ac:dyDescent="0.2">
      <c r="A2139" s="13" t="s">
        <v>518</v>
      </c>
    </row>
    <row r="2140" spans="1:1" x14ac:dyDescent="0.2">
      <c r="A2140" s="13" t="s">
        <v>1933</v>
      </c>
    </row>
    <row r="2141" spans="1:1" x14ac:dyDescent="0.2">
      <c r="A2141" s="13" t="s">
        <v>4941</v>
      </c>
    </row>
    <row r="2142" spans="1:1" x14ac:dyDescent="0.2">
      <c r="A2142" s="13" t="s">
        <v>269</v>
      </c>
    </row>
    <row r="2143" spans="1:1" x14ac:dyDescent="0.2">
      <c r="A2143" s="13" t="s">
        <v>432</v>
      </c>
    </row>
    <row r="2144" spans="1:1" x14ac:dyDescent="0.2">
      <c r="A2144" s="13" t="s">
        <v>4942</v>
      </c>
    </row>
    <row r="2145" spans="1:1" x14ac:dyDescent="0.2">
      <c r="A2145" s="13" t="s">
        <v>3119</v>
      </c>
    </row>
    <row r="2146" spans="1:1" x14ac:dyDescent="0.2">
      <c r="A2146" s="13" t="s">
        <v>2882</v>
      </c>
    </row>
    <row r="2147" spans="1:1" x14ac:dyDescent="0.2">
      <c r="A2147" s="13" t="s">
        <v>4943</v>
      </c>
    </row>
    <row r="2148" spans="1:1" x14ac:dyDescent="0.2">
      <c r="A2148" s="13" t="s">
        <v>4131</v>
      </c>
    </row>
    <row r="2149" spans="1:1" x14ac:dyDescent="0.2">
      <c r="A2149" s="13" t="s">
        <v>4944</v>
      </c>
    </row>
    <row r="2150" spans="1:1" x14ac:dyDescent="0.2">
      <c r="A2150" s="13" t="s">
        <v>4945</v>
      </c>
    </row>
    <row r="2151" spans="1:1" x14ac:dyDescent="0.2">
      <c r="A2151" s="13" t="s">
        <v>4946</v>
      </c>
    </row>
    <row r="2152" spans="1:1" x14ac:dyDescent="0.2">
      <c r="A2152" s="13" t="s">
        <v>4022</v>
      </c>
    </row>
    <row r="2153" spans="1:1" x14ac:dyDescent="0.2">
      <c r="A2153" s="13" t="s">
        <v>4947</v>
      </c>
    </row>
    <row r="2154" spans="1:1" x14ac:dyDescent="0.2">
      <c r="A2154" s="13" t="s">
        <v>2154</v>
      </c>
    </row>
    <row r="2155" spans="1:1" x14ac:dyDescent="0.2">
      <c r="A2155" s="13" t="s">
        <v>3524</v>
      </c>
    </row>
    <row r="2156" spans="1:1" x14ac:dyDescent="0.2">
      <c r="A2156" s="13" t="s">
        <v>1942</v>
      </c>
    </row>
    <row r="2157" spans="1:1" x14ac:dyDescent="0.2">
      <c r="A2157" s="13" t="s">
        <v>4948</v>
      </c>
    </row>
    <row r="2158" spans="1:1" x14ac:dyDescent="0.2">
      <c r="A2158" s="13" t="s">
        <v>1256</v>
      </c>
    </row>
    <row r="2159" spans="1:1" x14ac:dyDescent="0.2">
      <c r="A2159" s="13" t="s">
        <v>4949</v>
      </c>
    </row>
    <row r="2160" spans="1:1" x14ac:dyDescent="0.2">
      <c r="A2160" s="13" t="s">
        <v>4950</v>
      </c>
    </row>
    <row r="2161" spans="1:1" x14ac:dyDescent="0.2">
      <c r="A2161" s="13" t="s">
        <v>1627</v>
      </c>
    </row>
    <row r="2162" spans="1:1" x14ac:dyDescent="0.2">
      <c r="A2162" s="13" t="s">
        <v>3971</v>
      </c>
    </row>
    <row r="2163" spans="1:1" x14ac:dyDescent="0.2">
      <c r="A2163" s="13" t="s">
        <v>3140</v>
      </c>
    </row>
    <row r="2164" spans="1:1" x14ac:dyDescent="0.2">
      <c r="A2164" s="13" t="s">
        <v>4951</v>
      </c>
    </row>
    <row r="2165" spans="1:1" x14ac:dyDescent="0.2">
      <c r="A2165" s="13" t="s">
        <v>1782</v>
      </c>
    </row>
    <row r="2166" spans="1:1" x14ac:dyDescent="0.2">
      <c r="A2166" s="13" t="s">
        <v>2369</v>
      </c>
    </row>
    <row r="2167" spans="1:1" x14ac:dyDescent="0.2">
      <c r="A2167" s="13" t="s">
        <v>3183</v>
      </c>
    </row>
    <row r="2168" spans="1:1" x14ac:dyDescent="0.2">
      <c r="A2168" s="13" t="s">
        <v>1069</v>
      </c>
    </row>
    <row r="2169" spans="1:1" x14ac:dyDescent="0.2">
      <c r="A2169" s="13" t="s">
        <v>4142</v>
      </c>
    </row>
    <row r="2170" spans="1:1" x14ac:dyDescent="0.2">
      <c r="A2170" s="13" t="s">
        <v>2597</v>
      </c>
    </row>
    <row r="2171" spans="1:1" x14ac:dyDescent="0.2">
      <c r="A2171" s="13" t="s">
        <v>4952</v>
      </c>
    </row>
    <row r="2172" spans="1:1" x14ac:dyDescent="0.2">
      <c r="A2172" s="13" t="s">
        <v>1061</v>
      </c>
    </row>
    <row r="2173" spans="1:1" x14ac:dyDescent="0.2">
      <c r="A2173" s="13" t="s">
        <v>4157</v>
      </c>
    </row>
    <row r="2174" spans="1:1" x14ac:dyDescent="0.2">
      <c r="A2174" s="13" t="s">
        <v>4953</v>
      </c>
    </row>
    <row r="2175" spans="1:1" x14ac:dyDescent="0.2">
      <c r="A2175" s="13" t="s">
        <v>4954</v>
      </c>
    </row>
    <row r="2176" spans="1:1" x14ac:dyDescent="0.2">
      <c r="A2176" s="13" t="s">
        <v>2936</v>
      </c>
    </row>
    <row r="2177" spans="1:1" x14ac:dyDescent="0.2">
      <c r="A2177" s="13" t="s">
        <v>4955</v>
      </c>
    </row>
    <row r="2178" spans="1:1" x14ac:dyDescent="0.2">
      <c r="A2178" s="13" t="s">
        <v>4956</v>
      </c>
    </row>
    <row r="2179" spans="1:1" x14ac:dyDescent="0.2">
      <c r="A2179" s="13" t="s">
        <v>3828</v>
      </c>
    </row>
    <row r="2180" spans="1:1" x14ac:dyDescent="0.2">
      <c r="A2180" s="13" t="s">
        <v>3362</v>
      </c>
    </row>
    <row r="2181" spans="1:1" x14ac:dyDescent="0.2">
      <c r="A2181" s="13" t="s">
        <v>1246</v>
      </c>
    </row>
    <row r="2182" spans="1:1" x14ac:dyDescent="0.2">
      <c r="A2182" s="13" t="s">
        <v>522</v>
      </c>
    </row>
    <row r="2183" spans="1:1" x14ac:dyDescent="0.2">
      <c r="A2183" s="13" t="s">
        <v>733</v>
      </c>
    </row>
    <row r="2184" spans="1:1" x14ac:dyDescent="0.2">
      <c r="A2184" s="13" t="s">
        <v>3470</v>
      </c>
    </row>
    <row r="2185" spans="1:1" x14ac:dyDescent="0.2">
      <c r="A2185" s="13" t="s">
        <v>1567</v>
      </c>
    </row>
    <row r="2186" spans="1:1" x14ac:dyDescent="0.2">
      <c r="A2186" s="13" t="s">
        <v>4957</v>
      </c>
    </row>
    <row r="2187" spans="1:1" x14ac:dyDescent="0.2">
      <c r="A2187" s="13" t="s">
        <v>4958</v>
      </c>
    </row>
    <row r="2188" spans="1:1" x14ac:dyDescent="0.2">
      <c r="A2188" s="13" t="s">
        <v>4959</v>
      </c>
    </row>
    <row r="2189" spans="1:1" x14ac:dyDescent="0.2">
      <c r="A2189" s="13" t="s">
        <v>4960</v>
      </c>
    </row>
    <row r="2190" spans="1:1" x14ac:dyDescent="0.2">
      <c r="A2190" s="13" t="s">
        <v>4961</v>
      </c>
    </row>
    <row r="2191" spans="1:1" x14ac:dyDescent="0.2">
      <c r="A2191" s="13" t="s">
        <v>1229</v>
      </c>
    </row>
    <row r="2192" spans="1:1" x14ac:dyDescent="0.2">
      <c r="A2192" s="13" t="s">
        <v>2867</v>
      </c>
    </row>
    <row r="2193" spans="1:1" x14ac:dyDescent="0.2">
      <c r="A2193" s="13" t="s">
        <v>3637</v>
      </c>
    </row>
    <row r="2194" spans="1:1" x14ac:dyDescent="0.2">
      <c r="A2194" s="13" t="s">
        <v>438</v>
      </c>
    </row>
    <row r="2195" spans="1:1" x14ac:dyDescent="0.2">
      <c r="A2195" s="13" t="s">
        <v>2723</v>
      </c>
    </row>
    <row r="2196" spans="1:1" x14ac:dyDescent="0.2">
      <c r="A2196" s="13" t="s">
        <v>1454</v>
      </c>
    </row>
    <row r="2197" spans="1:1" x14ac:dyDescent="0.2">
      <c r="A2197" s="13" t="s">
        <v>4962</v>
      </c>
    </row>
    <row r="2198" spans="1:1" x14ac:dyDescent="0.2">
      <c r="A2198" s="13" t="s">
        <v>4963</v>
      </c>
    </row>
    <row r="2199" spans="1:1" x14ac:dyDescent="0.2">
      <c r="A2199" s="13" t="s">
        <v>2859</v>
      </c>
    </row>
    <row r="2200" spans="1:1" x14ac:dyDescent="0.2">
      <c r="A2200" s="13" t="s">
        <v>3636</v>
      </c>
    </row>
    <row r="2201" spans="1:1" x14ac:dyDescent="0.2">
      <c r="A2201" s="13" t="s">
        <v>4964</v>
      </c>
    </row>
    <row r="2202" spans="1:1" x14ac:dyDescent="0.2">
      <c r="A2202" s="13" t="s">
        <v>1354</v>
      </c>
    </row>
    <row r="2203" spans="1:1" x14ac:dyDescent="0.2">
      <c r="A2203" s="13" t="s">
        <v>556</v>
      </c>
    </row>
    <row r="2204" spans="1:1" x14ac:dyDescent="0.2">
      <c r="A2204" s="13" t="s">
        <v>3537</v>
      </c>
    </row>
    <row r="2205" spans="1:1" x14ac:dyDescent="0.2">
      <c r="A2205" s="13" t="s">
        <v>4965</v>
      </c>
    </row>
    <row r="2206" spans="1:1" x14ac:dyDescent="0.2">
      <c r="A2206" s="13" t="s">
        <v>4966</v>
      </c>
    </row>
    <row r="2207" spans="1:1" x14ac:dyDescent="0.2">
      <c r="A2207" s="13" t="s">
        <v>1078</v>
      </c>
    </row>
    <row r="2208" spans="1:1" x14ac:dyDescent="0.2">
      <c r="A2208" s="13" t="s">
        <v>4110</v>
      </c>
    </row>
    <row r="2209" spans="1:1" x14ac:dyDescent="0.2">
      <c r="A2209" s="13" t="s">
        <v>686</v>
      </c>
    </row>
    <row r="2210" spans="1:1" x14ac:dyDescent="0.2">
      <c r="A2210" s="13" t="s">
        <v>2604</v>
      </c>
    </row>
    <row r="2211" spans="1:1" x14ac:dyDescent="0.2">
      <c r="A2211" s="13" t="s">
        <v>4967</v>
      </c>
    </row>
    <row r="2212" spans="1:1" x14ac:dyDescent="0.2">
      <c r="A2212" s="13" t="s">
        <v>3350</v>
      </c>
    </row>
    <row r="2213" spans="1:1" x14ac:dyDescent="0.2">
      <c r="A2213" s="13" t="s">
        <v>3695</v>
      </c>
    </row>
    <row r="2214" spans="1:1" x14ac:dyDescent="0.2">
      <c r="A2214" s="13" t="s">
        <v>2227</v>
      </c>
    </row>
    <row r="2215" spans="1:1" x14ac:dyDescent="0.2">
      <c r="A2215" s="13" t="s">
        <v>4968</v>
      </c>
    </row>
    <row r="2216" spans="1:1" x14ac:dyDescent="0.2">
      <c r="A2216" s="13" t="s">
        <v>4969</v>
      </c>
    </row>
    <row r="2217" spans="1:1" x14ac:dyDescent="0.2">
      <c r="A2217" s="13" t="s">
        <v>1410</v>
      </c>
    </row>
    <row r="2218" spans="1:1" x14ac:dyDescent="0.2">
      <c r="A2218" s="13" t="s">
        <v>4089</v>
      </c>
    </row>
    <row r="2219" spans="1:1" x14ac:dyDescent="0.2">
      <c r="A2219" s="13" t="s">
        <v>4970</v>
      </c>
    </row>
    <row r="2220" spans="1:1" x14ac:dyDescent="0.2">
      <c r="A2220" s="13" t="s">
        <v>3335</v>
      </c>
    </row>
    <row r="2221" spans="1:1" x14ac:dyDescent="0.2">
      <c r="A2221" s="13" t="s">
        <v>4087</v>
      </c>
    </row>
    <row r="2222" spans="1:1" x14ac:dyDescent="0.2">
      <c r="A2222" s="13" t="s">
        <v>453</v>
      </c>
    </row>
    <row r="2223" spans="1:1" x14ac:dyDescent="0.2">
      <c r="A2223" s="13" t="s">
        <v>4971</v>
      </c>
    </row>
    <row r="2224" spans="1:1" x14ac:dyDescent="0.2">
      <c r="A2224" s="13" t="s">
        <v>4972</v>
      </c>
    </row>
    <row r="2225" spans="1:1" x14ac:dyDescent="0.2">
      <c r="A2225" s="13" t="s">
        <v>4973</v>
      </c>
    </row>
    <row r="2226" spans="1:1" x14ac:dyDescent="0.2">
      <c r="A2226" s="13" t="s">
        <v>4974</v>
      </c>
    </row>
    <row r="2227" spans="1:1" x14ac:dyDescent="0.2">
      <c r="A2227" s="13" t="s">
        <v>3331</v>
      </c>
    </row>
    <row r="2228" spans="1:1" x14ac:dyDescent="0.2">
      <c r="A2228" s="13" t="s">
        <v>4975</v>
      </c>
    </row>
    <row r="2229" spans="1:1" x14ac:dyDescent="0.2">
      <c r="A2229" s="13" t="s">
        <v>2479</v>
      </c>
    </row>
    <row r="2230" spans="1:1" x14ac:dyDescent="0.2">
      <c r="A2230" s="13" t="s">
        <v>4976</v>
      </c>
    </row>
    <row r="2231" spans="1:1" x14ac:dyDescent="0.2">
      <c r="A2231" s="13" t="s">
        <v>4977</v>
      </c>
    </row>
    <row r="2232" spans="1:1" x14ac:dyDescent="0.2">
      <c r="A2232" s="13" t="s">
        <v>331</v>
      </c>
    </row>
    <row r="2233" spans="1:1" x14ac:dyDescent="0.2">
      <c r="A2233" s="13" t="s">
        <v>3355</v>
      </c>
    </row>
    <row r="2234" spans="1:1" x14ac:dyDescent="0.2">
      <c r="A2234" s="13" t="s">
        <v>1254</v>
      </c>
    </row>
    <row r="2235" spans="1:1" x14ac:dyDescent="0.2">
      <c r="A2235" s="13" t="s">
        <v>4978</v>
      </c>
    </row>
    <row r="2236" spans="1:1" x14ac:dyDescent="0.2">
      <c r="A2236" s="13" t="s">
        <v>1806</v>
      </c>
    </row>
    <row r="2237" spans="1:1" x14ac:dyDescent="0.2">
      <c r="A2237" s="13" t="s">
        <v>4979</v>
      </c>
    </row>
    <row r="2238" spans="1:1" x14ac:dyDescent="0.2">
      <c r="A2238" s="13" t="s">
        <v>617</v>
      </c>
    </row>
    <row r="2239" spans="1:1" x14ac:dyDescent="0.2">
      <c r="A2239" s="13" t="s">
        <v>4980</v>
      </c>
    </row>
    <row r="2240" spans="1:1" x14ac:dyDescent="0.2">
      <c r="A2240" s="13" t="s">
        <v>4981</v>
      </c>
    </row>
    <row r="2241" spans="1:1" x14ac:dyDescent="0.2">
      <c r="A2241" s="13" t="s">
        <v>1206</v>
      </c>
    </row>
    <row r="2242" spans="1:1" x14ac:dyDescent="0.2">
      <c r="A2242" s="13" t="s">
        <v>561</v>
      </c>
    </row>
    <row r="2243" spans="1:1" x14ac:dyDescent="0.2">
      <c r="A2243" s="13" t="s">
        <v>4982</v>
      </c>
    </row>
    <row r="2244" spans="1:1" x14ac:dyDescent="0.2">
      <c r="A2244" s="13" t="s">
        <v>2657</v>
      </c>
    </row>
    <row r="2245" spans="1:1" x14ac:dyDescent="0.2">
      <c r="A2245" s="13" t="s">
        <v>2831</v>
      </c>
    </row>
    <row r="2246" spans="1:1" x14ac:dyDescent="0.2">
      <c r="A2246" s="13" t="s">
        <v>2009</v>
      </c>
    </row>
    <row r="2247" spans="1:1" x14ac:dyDescent="0.2">
      <c r="A2247" s="13" t="s">
        <v>3256</v>
      </c>
    </row>
    <row r="2248" spans="1:1" x14ac:dyDescent="0.2">
      <c r="A2248" s="13" t="s">
        <v>4983</v>
      </c>
    </row>
    <row r="2249" spans="1:1" x14ac:dyDescent="0.2">
      <c r="A2249" s="13" t="s">
        <v>3133</v>
      </c>
    </row>
    <row r="2250" spans="1:1" x14ac:dyDescent="0.2">
      <c r="A2250" s="13" t="s">
        <v>2974</v>
      </c>
    </row>
    <row r="2251" spans="1:1" x14ac:dyDescent="0.2">
      <c r="A2251" s="13" t="s">
        <v>4984</v>
      </c>
    </row>
    <row r="2252" spans="1:1" x14ac:dyDescent="0.2">
      <c r="A2252" s="13" t="s">
        <v>2118</v>
      </c>
    </row>
    <row r="2253" spans="1:1" x14ac:dyDescent="0.2">
      <c r="A2253" s="13" t="s">
        <v>4985</v>
      </c>
    </row>
    <row r="2254" spans="1:1" x14ac:dyDescent="0.2">
      <c r="A2254" s="13" t="s">
        <v>4986</v>
      </c>
    </row>
    <row r="2255" spans="1:1" x14ac:dyDescent="0.2">
      <c r="A2255" s="13" t="s">
        <v>4987</v>
      </c>
    </row>
    <row r="2256" spans="1:1" x14ac:dyDescent="0.2">
      <c r="A2256" s="13" t="s">
        <v>599</v>
      </c>
    </row>
    <row r="2257" spans="1:1" x14ac:dyDescent="0.2">
      <c r="A2257" s="13" t="s">
        <v>4988</v>
      </c>
    </row>
    <row r="2258" spans="1:1" x14ac:dyDescent="0.2">
      <c r="A2258" s="13" t="s">
        <v>3624</v>
      </c>
    </row>
    <row r="2259" spans="1:1" x14ac:dyDescent="0.2">
      <c r="A2259" s="13" t="s">
        <v>1376</v>
      </c>
    </row>
    <row r="2260" spans="1:1" x14ac:dyDescent="0.2">
      <c r="A2260" s="13" t="s">
        <v>4989</v>
      </c>
    </row>
    <row r="2261" spans="1:1" x14ac:dyDescent="0.2">
      <c r="A2261" s="13" t="s">
        <v>1453</v>
      </c>
    </row>
    <row r="2262" spans="1:1" x14ac:dyDescent="0.2">
      <c r="A2262" s="13" t="s">
        <v>1473</v>
      </c>
    </row>
    <row r="2263" spans="1:1" x14ac:dyDescent="0.2">
      <c r="A2263" s="13" t="s">
        <v>988</v>
      </c>
    </row>
    <row r="2264" spans="1:1" x14ac:dyDescent="0.2">
      <c r="A2264" s="13" t="s">
        <v>4990</v>
      </c>
    </row>
    <row r="2265" spans="1:1" x14ac:dyDescent="0.2">
      <c r="A2265" s="13" t="s">
        <v>4991</v>
      </c>
    </row>
    <row r="2266" spans="1:1" x14ac:dyDescent="0.2">
      <c r="A2266" s="13" t="s">
        <v>266</v>
      </c>
    </row>
    <row r="2267" spans="1:1" x14ac:dyDescent="0.2">
      <c r="A2267" s="13" t="s">
        <v>4992</v>
      </c>
    </row>
    <row r="2268" spans="1:1" x14ac:dyDescent="0.2">
      <c r="A2268" s="13" t="s">
        <v>4993</v>
      </c>
    </row>
    <row r="2269" spans="1:1" x14ac:dyDescent="0.2">
      <c r="A2269" s="13" t="s">
        <v>4994</v>
      </c>
    </row>
    <row r="2270" spans="1:1" x14ac:dyDescent="0.2">
      <c r="A2270" s="13" t="s">
        <v>4995</v>
      </c>
    </row>
    <row r="2271" spans="1:1" x14ac:dyDescent="0.2">
      <c r="A2271" s="13" t="s">
        <v>2057</v>
      </c>
    </row>
    <row r="2272" spans="1:1" x14ac:dyDescent="0.2">
      <c r="A2272" s="13" t="s">
        <v>3134</v>
      </c>
    </row>
    <row r="2273" spans="1:1" x14ac:dyDescent="0.2">
      <c r="A2273" s="13" t="s">
        <v>867</v>
      </c>
    </row>
    <row r="2274" spans="1:1" x14ac:dyDescent="0.2">
      <c r="A2274" s="13" t="s">
        <v>4996</v>
      </c>
    </row>
    <row r="2275" spans="1:1" x14ac:dyDescent="0.2">
      <c r="A2275" s="13" t="s">
        <v>4029</v>
      </c>
    </row>
    <row r="2276" spans="1:1" x14ac:dyDescent="0.2">
      <c r="A2276" s="13" t="s">
        <v>1586</v>
      </c>
    </row>
    <row r="2277" spans="1:1" x14ac:dyDescent="0.2">
      <c r="A2277" s="13" t="s">
        <v>4997</v>
      </c>
    </row>
    <row r="2278" spans="1:1" x14ac:dyDescent="0.2">
      <c r="A2278" s="13" t="s">
        <v>1355</v>
      </c>
    </row>
    <row r="2279" spans="1:1" x14ac:dyDescent="0.2">
      <c r="A2279" s="13" t="s">
        <v>4998</v>
      </c>
    </row>
    <row r="2280" spans="1:1" x14ac:dyDescent="0.2">
      <c r="A2280" s="13" t="s">
        <v>2699</v>
      </c>
    </row>
    <row r="2281" spans="1:1" x14ac:dyDescent="0.2">
      <c r="A2281" s="13" t="s">
        <v>2006</v>
      </c>
    </row>
    <row r="2282" spans="1:1" x14ac:dyDescent="0.2">
      <c r="A2282" s="13" t="s">
        <v>3178</v>
      </c>
    </row>
    <row r="2283" spans="1:1" x14ac:dyDescent="0.2">
      <c r="A2283" s="13" t="s">
        <v>3608</v>
      </c>
    </row>
    <row r="2284" spans="1:1" x14ac:dyDescent="0.2">
      <c r="A2284" s="13" t="s">
        <v>4999</v>
      </c>
    </row>
    <row r="2285" spans="1:1" x14ac:dyDescent="0.2">
      <c r="A2285" s="13" t="s">
        <v>835</v>
      </c>
    </row>
    <row r="2286" spans="1:1" x14ac:dyDescent="0.2">
      <c r="A2286" s="13" t="s">
        <v>371</v>
      </c>
    </row>
    <row r="2287" spans="1:1" x14ac:dyDescent="0.2">
      <c r="A2287" s="13" t="s">
        <v>5000</v>
      </c>
    </row>
    <row r="2288" spans="1:1" x14ac:dyDescent="0.2">
      <c r="A2288" s="13" t="s">
        <v>1009</v>
      </c>
    </row>
    <row r="2289" spans="1:1" x14ac:dyDescent="0.2">
      <c r="A2289" s="13" t="s">
        <v>4056</v>
      </c>
    </row>
    <row r="2290" spans="1:1" x14ac:dyDescent="0.2">
      <c r="A2290" s="13" t="s">
        <v>3104</v>
      </c>
    </row>
    <row r="2291" spans="1:1" x14ac:dyDescent="0.2">
      <c r="A2291" s="13" t="s">
        <v>5001</v>
      </c>
    </row>
    <row r="2292" spans="1:1" x14ac:dyDescent="0.2">
      <c r="A2292" s="13" t="s">
        <v>1057</v>
      </c>
    </row>
    <row r="2293" spans="1:1" x14ac:dyDescent="0.2">
      <c r="A2293" s="13" t="s">
        <v>5002</v>
      </c>
    </row>
    <row r="2294" spans="1:1" x14ac:dyDescent="0.2">
      <c r="A2294" s="13" t="s">
        <v>2134</v>
      </c>
    </row>
    <row r="2295" spans="1:1" x14ac:dyDescent="0.2">
      <c r="A2295" s="13" t="s">
        <v>5003</v>
      </c>
    </row>
    <row r="2296" spans="1:1" x14ac:dyDescent="0.2">
      <c r="A2296" s="13" t="s">
        <v>3359</v>
      </c>
    </row>
    <row r="2297" spans="1:1" x14ac:dyDescent="0.2">
      <c r="A2297" s="13" t="s">
        <v>366</v>
      </c>
    </row>
    <row r="2298" spans="1:1" x14ac:dyDescent="0.2">
      <c r="A2298" s="13" t="s">
        <v>5004</v>
      </c>
    </row>
    <row r="2299" spans="1:1" x14ac:dyDescent="0.2">
      <c r="A2299" s="13" t="s">
        <v>408</v>
      </c>
    </row>
    <row r="2300" spans="1:1" x14ac:dyDescent="0.2">
      <c r="A2300" s="13" t="s">
        <v>5005</v>
      </c>
    </row>
    <row r="2301" spans="1:1" x14ac:dyDescent="0.2">
      <c r="A2301" s="13" t="s">
        <v>1060</v>
      </c>
    </row>
    <row r="2302" spans="1:1" x14ac:dyDescent="0.2">
      <c r="A2302" s="13" t="s">
        <v>3340</v>
      </c>
    </row>
    <row r="2303" spans="1:1" x14ac:dyDescent="0.2">
      <c r="A2303" s="13" t="s">
        <v>5006</v>
      </c>
    </row>
    <row r="2304" spans="1:1" x14ac:dyDescent="0.2">
      <c r="A2304" s="13" t="s">
        <v>994</v>
      </c>
    </row>
    <row r="2305" spans="1:1" x14ac:dyDescent="0.2">
      <c r="A2305" s="13" t="s">
        <v>5007</v>
      </c>
    </row>
    <row r="2306" spans="1:1" x14ac:dyDescent="0.2">
      <c r="A2306" s="13" t="s">
        <v>4031</v>
      </c>
    </row>
    <row r="2307" spans="1:1" x14ac:dyDescent="0.2">
      <c r="A2307" s="13" t="s">
        <v>2940</v>
      </c>
    </row>
    <row r="2308" spans="1:1" x14ac:dyDescent="0.2">
      <c r="A2308" s="13" t="s">
        <v>1852</v>
      </c>
    </row>
    <row r="2309" spans="1:1" x14ac:dyDescent="0.2">
      <c r="A2309" s="13" t="s">
        <v>3342</v>
      </c>
    </row>
    <row r="2310" spans="1:1" x14ac:dyDescent="0.2">
      <c r="A2310" s="13" t="s">
        <v>2469</v>
      </c>
    </row>
    <row r="2311" spans="1:1" x14ac:dyDescent="0.2">
      <c r="A2311" s="13" t="s">
        <v>1132</v>
      </c>
    </row>
    <row r="2312" spans="1:1" x14ac:dyDescent="0.2">
      <c r="A2312" s="13" t="s">
        <v>5008</v>
      </c>
    </row>
    <row r="2313" spans="1:1" x14ac:dyDescent="0.2">
      <c r="A2313" s="13" t="s">
        <v>5009</v>
      </c>
    </row>
    <row r="2314" spans="1:1" x14ac:dyDescent="0.2">
      <c r="A2314" s="13" t="s">
        <v>1953</v>
      </c>
    </row>
    <row r="2315" spans="1:1" x14ac:dyDescent="0.2">
      <c r="A2315" s="13" t="s">
        <v>734</v>
      </c>
    </row>
    <row r="2316" spans="1:1" x14ac:dyDescent="0.2">
      <c r="A2316" s="13" t="s">
        <v>5010</v>
      </c>
    </row>
    <row r="2317" spans="1:1" x14ac:dyDescent="0.2">
      <c r="A2317" s="13" t="s">
        <v>1352</v>
      </c>
    </row>
    <row r="2318" spans="1:1" x14ac:dyDescent="0.2">
      <c r="A2318" s="13" t="s">
        <v>2305</v>
      </c>
    </row>
    <row r="2319" spans="1:1" x14ac:dyDescent="0.2">
      <c r="A2319" s="13" t="s">
        <v>1211</v>
      </c>
    </row>
    <row r="2320" spans="1:1" x14ac:dyDescent="0.2">
      <c r="A2320" s="13" t="s">
        <v>2871</v>
      </c>
    </row>
    <row r="2321" spans="1:1" x14ac:dyDescent="0.2">
      <c r="A2321" s="13" t="s">
        <v>5011</v>
      </c>
    </row>
    <row r="2322" spans="1:1" x14ac:dyDescent="0.2">
      <c r="A2322" s="13" t="s">
        <v>3983</v>
      </c>
    </row>
    <row r="2323" spans="1:1" x14ac:dyDescent="0.2">
      <c r="A2323" s="13" t="s">
        <v>5012</v>
      </c>
    </row>
    <row r="2324" spans="1:1" x14ac:dyDescent="0.2">
      <c r="A2324" s="13" t="s">
        <v>1340</v>
      </c>
    </row>
    <row r="2325" spans="1:1" x14ac:dyDescent="0.2">
      <c r="A2325" s="13" t="s">
        <v>5013</v>
      </c>
    </row>
    <row r="2326" spans="1:1" x14ac:dyDescent="0.2">
      <c r="A2326" s="13" t="s">
        <v>1090</v>
      </c>
    </row>
    <row r="2327" spans="1:1" x14ac:dyDescent="0.2">
      <c r="A2327" s="13" t="s">
        <v>896</v>
      </c>
    </row>
    <row r="2328" spans="1:1" x14ac:dyDescent="0.2">
      <c r="A2328" s="13" t="s">
        <v>1697</v>
      </c>
    </row>
    <row r="2329" spans="1:1" x14ac:dyDescent="0.2">
      <c r="A2329" s="13" t="s">
        <v>715</v>
      </c>
    </row>
    <row r="2330" spans="1:1" x14ac:dyDescent="0.2">
      <c r="A2330" s="13" t="s">
        <v>5014</v>
      </c>
    </row>
    <row r="2331" spans="1:1" x14ac:dyDescent="0.2">
      <c r="A2331" s="13" t="s">
        <v>735</v>
      </c>
    </row>
    <row r="2332" spans="1:1" x14ac:dyDescent="0.2">
      <c r="A2332" s="13" t="s">
        <v>1721</v>
      </c>
    </row>
    <row r="2333" spans="1:1" x14ac:dyDescent="0.2">
      <c r="A2333" s="13" t="s">
        <v>5015</v>
      </c>
    </row>
    <row r="2334" spans="1:1" x14ac:dyDescent="0.2">
      <c r="A2334" s="13" t="s">
        <v>3901</v>
      </c>
    </row>
    <row r="2335" spans="1:1" x14ac:dyDescent="0.2">
      <c r="A2335" s="13" t="s">
        <v>2993</v>
      </c>
    </row>
    <row r="2336" spans="1:1" x14ac:dyDescent="0.2">
      <c r="A2336" s="13" t="s">
        <v>3297</v>
      </c>
    </row>
    <row r="2337" spans="1:1" x14ac:dyDescent="0.2">
      <c r="A2337" s="13" t="s">
        <v>2093</v>
      </c>
    </row>
    <row r="2338" spans="1:1" x14ac:dyDescent="0.2">
      <c r="A2338" s="13" t="s">
        <v>1648</v>
      </c>
    </row>
    <row r="2339" spans="1:1" x14ac:dyDescent="0.2">
      <c r="A2339" s="13" t="s">
        <v>4066</v>
      </c>
    </row>
    <row r="2340" spans="1:1" x14ac:dyDescent="0.2">
      <c r="A2340" s="13" t="s">
        <v>247</v>
      </c>
    </row>
    <row r="2341" spans="1:1" x14ac:dyDescent="0.2">
      <c r="A2341" s="13" t="s">
        <v>3892</v>
      </c>
    </row>
    <row r="2342" spans="1:1" x14ac:dyDescent="0.2">
      <c r="A2342" s="13" t="s">
        <v>5016</v>
      </c>
    </row>
    <row r="2343" spans="1:1" x14ac:dyDescent="0.2">
      <c r="A2343" s="13" t="s">
        <v>5017</v>
      </c>
    </row>
    <row r="2344" spans="1:1" x14ac:dyDescent="0.2">
      <c r="A2344" s="13" t="s">
        <v>543</v>
      </c>
    </row>
    <row r="2345" spans="1:1" x14ac:dyDescent="0.2">
      <c r="A2345" s="13" t="s">
        <v>5018</v>
      </c>
    </row>
    <row r="2346" spans="1:1" x14ac:dyDescent="0.2">
      <c r="A2346" s="13" t="s">
        <v>3239</v>
      </c>
    </row>
    <row r="2347" spans="1:1" x14ac:dyDescent="0.2">
      <c r="A2347" s="13" t="s">
        <v>2680</v>
      </c>
    </row>
    <row r="2348" spans="1:1" x14ac:dyDescent="0.2">
      <c r="A2348" s="13" t="s">
        <v>5019</v>
      </c>
    </row>
    <row r="2349" spans="1:1" x14ac:dyDescent="0.2">
      <c r="A2349" s="13" t="s">
        <v>1247</v>
      </c>
    </row>
    <row r="2350" spans="1:1" x14ac:dyDescent="0.2">
      <c r="A2350" s="13" t="s">
        <v>334</v>
      </c>
    </row>
    <row r="2351" spans="1:1" x14ac:dyDescent="0.2">
      <c r="A2351" s="13" t="s">
        <v>2816</v>
      </c>
    </row>
    <row r="2352" spans="1:1" x14ac:dyDescent="0.2">
      <c r="A2352" s="13" t="s">
        <v>1293</v>
      </c>
    </row>
    <row r="2353" spans="1:1" x14ac:dyDescent="0.2">
      <c r="A2353" s="13" t="s">
        <v>5020</v>
      </c>
    </row>
    <row r="2354" spans="1:1" x14ac:dyDescent="0.2">
      <c r="A2354" s="13" t="s">
        <v>5021</v>
      </c>
    </row>
    <row r="2355" spans="1:1" x14ac:dyDescent="0.2">
      <c r="A2355" s="13" t="s">
        <v>3037</v>
      </c>
    </row>
    <row r="2356" spans="1:1" x14ac:dyDescent="0.2">
      <c r="A2356" s="13" t="s">
        <v>5022</v>
      </c>
    </row>
    <row r="2357" spans="1:1" x14ac:dyDescent="0.2">
      <c r="A2357" s="13" t="s">
        <v>838</v>
      </c>
    </row>
    <row r="2358" spans="1:1" x14ac:dyDescent="0.2">
      <c r="A2358" s="13" t="s">
        <v>2297</v>
      </c>
    </row>
    <row r="2359" spans="1:1" x14ac:dyDescent="0.2">
      <c r="A2359" s="13" t="s">
        <v>719</v>
      </c>
    </row>
    <row r="2360" spans="1:1" x14ac:dyDescent="0.2">
      <c r="A2360" s="13" t="s">
        <v>3252</v>
      </c>
    </row>
    <row r="2361" spans="1:1" x14ac:dyDescent="0.2">
      <c r="A2361" s="13" t="s">
        <v>5023</v>
      </c>
    </row>
    <row r="2362" spans="1:1" x14ac:dyDescent="0.2">
      <c r="A2362" s="13" t="s">
        <v>5024</v>
      </c>
    </row>
    <row r="2363" spans="1:1" x14ac:dyDescent="0.2">
      <c r="A2363" s="13" t="s">
        <v>5025</v>
      </c>
    </row>
    <row r="2364" spans="1:1" x14ac:dyDescent="0.2">
      <c r="A2364" s="13" t="s">
        <v>5026</v>
      </c>
    </row>
    <row r="2365" spans="1:1" x14ac:dyDescent="0.2">
      <c r="A2365" s="13" t="s">
        <v>321</v>
      </c>
    </row>
    <row r="2366" spans="1:1" x14ac:dyDescent="0.2">
      <c r="A2366" s="13" t="s">
        <v>1639</v>
      </c>
    </row>
    <row r="2367" spans="1:1" x14ac:dyDescent="0.2">
      <c r="A2367" s="13" t="s">
        <v>5027</v>
      </c>
    </row>
    <row r="2368" spans="1:1" x14ac:dyDescent="0.2">
      <c r="A2368" s="13" t="s">
        <v>2317</v>
      </c>
    </row>
    <row r="2369" spans="1:1" x14ac:dyDescent="0.2">
      <c r="A2369" s="13" t="s">
        <v>1273</v>
      </c>
    </row>
    <row r="2370" spans="1:1" x14ac:dyDescent="0.2">
      <c r="A2370" s="13" t="s">
        <v>428</v>
      </c>
    </row>
    <row r="2371" spans="1:1" x14ac:dyDescent="0.2">
      <c r="A2371" s="13" t="s">
        <v>1968</v>
      </c>
    </row>
    <row r="2372" spans="1:1" x14ac:dyDescent="0.2">
      <c r="A2372" s="13" t="s">
        <v>1048</v>
      </c>
    </row>
    <row r="2373" spans="1:1" x14ac:dyDescent="0.2">
      <c r="A2373" s="13" t="s">
        <v>3026</v>
      </c>
    </row>
    <row r="2374" spans="1:1" x14ac:dyDescent="0.2">
      <c r="A2374" s="13" t="s">
        <v>5028</v>
      </c>
    </row>
    <row r="2375" spans="1:1" x14ac:dyDescent="0.2">
      <c r="A2375" s="13" t="s">
        <v>1624</v>
      </c>
    </row>
    <row r="2376" spans="1:1" x14ac:dyDescent="0.2">
      <c r="A2376" s="13" t="s">
        <v>5029</v>
      </c>
    </row>
    <row r="2377" spans="1:1" x14ac:dyDescent="0.2">
      <c r="A2377" s="13" t="s">
        <v>3586</v>
      </c>
    </row>
    <row r="2378" spans="1:1" x14ac:dyDescent="0.2">
      <c r="A2378" s="13" t="s">
        <v>5030</v>
      </c>
    </row>
    <row r="2379" spans="1:1" x14ac:dyDescent="0.2">
      <c r="A2379" s="13" t="s">
        <v>5031</v>
      </c>
    </row>
    <row r="2380" spans="1:1" x14ac:dyDescent="0.2">
      <c r="A2380" s="13" t="s">
        <v>5032</v>
      </c>
    </row>
    <row r="2381" spans="1:1" x14ac:dyDescent="0.2">
      <c r="A2381" s="13" t="s">
        <v>349</v>
      </c>
    </row>
    <row r="2382" spans="1:1" x14ac:dyDescent="0.2">
      <c r="A2382" s="13" t="s">
        <v>5033</v>
      </c>
    </row>
    <row r="2383" spans="1:1" x14ac:dyDescent="0.2">
      <c r="A2383" s="13" t="s">
        <v>5034</v>
      </c>
    </row>
    <row r="2384" spans="1:1" x14ac:dyDescent="0.2">
      <c r="A2384" s="13" t="s">
        <v>1092</v>
      </c>
    </row>
    <row r="2385" spans="1:1" x14ac:dyDescent="0.2">
      <c r="A2385" s="13" t="s">
        <v>5035</v>
      </c>
    </row>
    <row r="2386" spans="1:1" x14ac:dyDescent="0.2">
      <c r="A2386" s="13" t="s">
        <v>1974</v>
      </c>
    </row>
    <row r="2387" spans="1:1" x14ac:dyDescent="0.2">
      <c r="A2387" s="13" t="s">
        <v>5036</v>
      </c>
    </row>
    <row r="2388" spans="1:1" x14ac:dyDescent="0.2">
      <c r="A2388" s="13" t="s">
        <v>5037</v>
      </c>
    </row>
    <row r="2389" spans="1:1" x14ac:dyDescent="0.2">
      <c r="A2389" s="13" t="s">
        <v>1070</v>
      </c>
    </row>
    <row r="2390" spans="1:1" x14ac:dyDescent="0.2">
      <c r="A2390" s="13" t="s">
        <v>2575</v>
      </c>
    </row>
    <row r="2391" spans="1:1" x14ac:dyDescent="0.2">
      <c r="A2391" s="13" t="s">
        <v>5038</v>
      </c>
    </row>
    <row r="2392" spans="1:1" x14ac:dyDescent="0.2">
      <c r="A2392" s="13" t="s">
        <v>5039</v>
      </c>
    </row>
    <row r="2393" spans="1:1" x14ac:dyDescent="0.2">
      <c r="A2393" s="13" t="s">
        <v>5040</v>
      </c>
    </row>
    <row r="2394" spans="1:1" x14ac:dyDescent="0.2">
      <c r="A2394" s="13" t="s">
        <v>2916</v>
      </c>
    </row>
    <row r="2395" spans="1:1" x14ac:dyDescent="0.2">
      <c r="A2395" s="13" t="s">
        <v>5041</v>
      </c>
    </row>
    <row r="2396" spans="1:1" x14ac:dyDescent="0.2">
      <c r="A2396" s="13" t="s">
        <v>5042</v>
      </c>
    </row>
    <row r="2397" spans="1:1" x14ac:dyDescent="0.2">
      <c r="A2397" s="13" t="s">
        <v>2086</v>
      </c>
    </row>
    <row r="2398" spans="1:1" x14ac:dyDescent="0.2">
      <c r="A2398" s="13" t="s">
        <v>5043</v>
      </c>
    </row>
    <row r="2399" spans="1:1" x14ac:dyDescent="0.2">
      <c r="A2399" s="13" t="s">
        <v>1230</v>
      </c>
    </row>
    <row r="2400" spans="1:1" x14ac:dyDescent="0.2">
      <c r="A2400" s="13" t="s">
        <v>783</v>
      </c>
    </row>
    <row r="2401" spans="1:1" x14ac:dyDescent="0.2">
      <c r="A2401" s="13" t="s">
        <v>483</v>
      </c>
    </row>
    <row r="2402" spans="1:1" x14ac:dyDescent="0.2">
      <c r="A2402" s="13" t="s">
        <v>1066</v>
      </c>
    </row>
    <row r="2403" spans="1:1" x14ac:dyDescent="0.2">
      <c r="A2403" s="13" t="s">
        <v>5044</v>
      </c>
    </row>
    <row r="2404" spans="1:1" x14ac:dyDescent="0.2">
      <c r="A2404" s="13" t="s">
        <v>960</v>
      </c>
    </row>
    <row r="2405" spans="1:1" x14ac:dyDescent="0.2">
      <c r="A2405" s="13" t="s">
        <v>2637</v>
      </c>
    </row>
    <row r="2406" spans="1:1" x14ac:dyDescent="0.2">
      <c r="A2406" s="13" t="s">
        <v>5045</v>
      </c>
    </row>
    <row r="2407" spans="1:1" x14ac:dyDescent="0.2">
      <c r="A2407" s="13" t="s">
        <v>1149</v>
      </c>
    </row>
    <row r="2408" spans="1:1" x14ac:dyDescent="0.2">
      <c r="A2408" s="13" t="s">
        <v>5046</v>
      </c>
    </row>
    <row r="2409" spans="1:1" x14ac:dyDescent="0.2">
      <c r="A2409" s="13" t="s">
        <v>1626</v>
      </c>
    </row>
    <row r="2410" spans="1:1" x14ac:dyDescent="0.2">
      <c r="A2410" s="13" t="s">
        <v>2690</v>
      </c>
    </row>
    <row r="2411" spans="1:1" x14ac:dyDescent="0.2">
      <c r="A2411" s="13" t="s">
        <v>486</v>
      </c>
    </row>
    <row r="2412" spans="1:1" x14ac:dyDescent="0.2">
      <c r="A2412" s="13" t="s">
        <v>5047</v>
      </c>
    </row>
    <row r="2413" spans="1:1" x14ac:dyDescent="0.2">
      <c r="A2413" s="13" t="s">
        <v>5048</v>
      </c>
    </row>
    <row r="2414" spans="1:1" x14ac:dyDescent="0.2">
      <c r="A2414" s="13" t="s">
        <v>3714</v>
      </c>
    </row>
    <row r="2415" spans="1:1" x14ac:dyDescent="0.2">
      <c r="A2415" s="13" t="s">
        <v>1604</v>
      </c>
    </row>
    <row r="2416" spans="1:1" x14ac:dyDescent="0.2">
      <c r="A2416" s="13" t="s">
        <v>1985</v>
      </c>
    </row>
    <row r="2417" spans="1:1" x14ac:dyDescent="0.2">
      <c r="A2417" s="13" t="s">
        <v>5049</v>
      </c>
    </row>
    <row r="2418" spans="1:1" x14ac:dyDescent="0.2">
      <c r="A2418" s="13" t="s">
        <v>243</v>
      </c>
    </row>
    <row r="2419" spans="1:1" x14ac:dyDescent="0.2">
      <c r="A2419" s="13" t="s">
        <v>5050</v>
      </c>
    </row>
    <row r="2420" spans="1:1" x14ac:dyDescent="0.2">
      <c r="A2420" s="13" t="s">
        <v>2304</v>
      </c>
    </row>
    <row r="2421" spans="1:1" x14ac:dyDescent="0.2">
      <c r="A2421" s="13" t="s">
        <v>2082</v>
      </c>
    </row>
    <row r="2422" spans="1:1" x14ac:dyDescent="0.2">
      <c r="A2422" s="13" t="s">
        <v>1884</v>
      </c>
    </row>
    <row r="2423" spans="1:1" x14ac:dyDescent="0.2">
      <c r="A2423" s="13" t="s">
        <v>2712</v>
      </c>
    </row>
    <row r="2424" spans="1:1" x14ac:dyDescent="0.2">
      <c r="A2424" s="13" t="s">
        <v>5051</v>
      </c>
    </row>
    <row r="2425" spans="1:1" x14ac:dyDescent="0.2">
      <c r="A2425" s="13" t="s">
        <v>5052</v>
      </c>
    </row>
    <row r="2426" spans="1:1" x14ac:dyDescent="0.2">
      <c r="A2426" s="13" t="s">
        <v>2954</v>
      </c>
    </row>
    <row r="2427" spans="1:1" x14ac:dyDescent="0.2">
      <c r="A2427" s="13" t="s">
        <v>5053</v>
      </c>
    </row>
    <row r="2428" spans="1:1" x14ac:dyDescent="0.2">
      <c r="A2428" s="13" t="s">
        <v>5054</v>
      </c>
    </row>
    <row r="2429" spans="1:1" x14ac:dyDescent="0.2">
      <c r="A2429" s="13" t="s">
        <v>3176</v>
      </c>
    </row>
    <row r="2430" spans="1:1" x14ac:dyDescent="0.2">
      <c r="A2430" s="13" t="s">
        <v>510</v>
      </c>
    </row>
    <row r="2431" spans="1:1" x14ac:dyDescent="0.2">
      <c r="A2431" s="13" t="s">
        <v>5055</v>
      </c>
    </row>
    <row r="2432" spans="1:1" x14ac:dyDescent="0.2">
      <c r="A2432" s="13" t="s">
        <v>3513</v>
      </c>
    </row>
    <row r="2433" spans="1:1" x14ac:dyDescent="0.2">
      <c r="A2433" s="13" t="s">
        <v>1393</v>
      </c>
    </row>
    <row r="2434" spans="1:1" x14ac:dyDescent="0.2">
      <c r="A2434" s="13" t="s">
        <v>618</v>
      </c>
    </row>
    <row r="2435" spans="1:1" x14ac:dyDescent="0.2">
      <c r="A2435" s="13" t="s">
        <v>571</v>
      </c>
    </row>
    <row r="2436" spans="1:1" x14ac:dyDescent="0.2">
      <c r="A2436" s="13" t="s">
        <v>803</v>
      </c>
    </row>
    <row r="2437" spans="1:1" x14ac:dyDescent="0.2">
      <c r="A2437" s="13" t="s">
        <v>4101</v>
      </c>
    </row>
    <row r="2438" spans="1:1" x14ac:dyDescent="0.2">
      <c r="A2438" s="13" t="s">
        <v>5056</v>
      </c>
    </row>
    <row r="2439" spans="1:1" x14ac:dyDescent="0.2">
      <c r="A2439" s="13" t="s">
        <v>4024</v>
      </c>
    </row>
    <row r="2440" spans="1:1" x14ac:dyDescent="0.2">
      <c r="A2440" s="13" t="s">
        <v>3403</v>
      </c>
    </row>
    <row r="2441" spans="1:1" x14ac:dyDescent="0.2">
      <c r="A2441" s="13" t="s">
        <v>2946</v>
      </c>
    </row>
    <row r="2442" spans="1:1" x14ac:dyDescent="0.2">
      <c r="A2442" s="13" t="s">
        <v>1368</v>
      </c>
    </row>
    <row r="2443" spans="1:1" x14ac:dyDescent="0.2">
      <c r="A2443" s="13" t="s">
        <v>5057</v>
      </c>
    </row>
    <row r="2444" spans="1:1" x14ac:dyDescent="0.2">
      <c r="A2444" s="13" t="s">
        <v>5058</v>
      </c>
    </row>
    <row r="2445" spans="1:1" x14ac:dyDescent="0.2">
      <c r="A2445" s="13" t="s">
        <v>5059</v>
      </c>
    </row>
    <row r="2446" spans="1:1" x14ac:dyDescent="0.2">
      <c r="A2446" s="13" t="s">
        <v>5060</v>
      </c>
    </row>
    <row r="2447" spans="1:1" x14ac:dyDescent="0.2">
      <c r="A2447" s="13" t="s">
        <v>2431</v>
      </c>
    </row>
    <row r="2448" spans="1:1" x14ac:dyDescent="0.2">
      <c r="A2448" s="13" t="s">
        <v>2397</v>
      </c>
    </row>
    <row r="2449" spans="1:1" x14ac:dyDescent="0.2">
      <c r="A2449" s="13" t="s">
        <v>5061</v>
      </c>
    </row>
    <row r="2450" spans="1:1" x14ac:dyDescent="0.2">
      <c r="A2450" s="13" t="s">
        <v>5062</v>
      </c>
    </row>
    <row r="2451" spans="1:1" x14ac:dyDescent="0.2">
      <c r="A2451" s="13" t="s">
        <v>3975</v>
      </c>
    </row>
    <row r="2452" spans="1:1" x14ac:dyDescent="0.2">
      <c r="A2452" s="13" t="s">
        <v>498</v>
      </c>
    </row>
    <row r="2453" spans="1:1" x14ac:dyDescent="0.2">
      <c r="A2453" s="13" t="s">
        <v>810</v>
      </c>
    </row>
    <row r="2454" spans="1:1" x14ac:dyDescent="0.2">
      <c r="A2454" s="13" t="s">
        <v>5063</v>
      </c>
    </row>
    <row r="2455" spans="1:1" x14ac:dyDescent="0.2">
      <c r="A2455" s="13" t="s">
        <v>1945</v>
      </c>
    </row>
    <row r="2456" spans="1:1" x14ac:dyDescent="0.2">
      <c r="A2456" s="13" t="s">
        <v>3623</v>
      </c>
    </row>
    <row r="2457" spans="1:1" x14ac:dyDescent="0.2">
      <c r="A2457" s="13" t="s">
        <v>1189</v>
      </c>
    </row>
    <row r="2458" spans="1:1" x14ac:dyDescent="0.2">
      <c r="A2458" s="13" t="s">
        <v>5064</v>
      </c>
    </row>
    <row r="2459" spans="1:1" x14ac:dyDescent="0.2">
      <c r="A2459" s="13" t="s">
        <v>5065</v>
      </c>
    </row>
    <row r="2460" spans="1:1" x14ac:dyDescent="0.2">
      <c r="A2460" s="13" t="s">
        <v>5066</v>
      </c>
    </row>
    <row r="2461" spans="1:1" x14ac:dyDescent="0.2">
      <c r="A2461" s="13" t="s">
        <v>5067</v>
      </c>
    </row>
    <row r="2462" spans="1:1" x14ac:dyDescent="0.2">
      <c r="A2462" s="13" t="s">
        <v>5068</v>
      </c>
    </row>
    <row r="2463" spans="1:1" x14ac:dyDescent="0.2">
      <c r="A2463" s="13" t="s">
        <v>2440</v>
      </c>
    </row>
    <row r="2464" spans="1:1" x14ac:dyDescent="0.2">
      <c r="A2464" s="13" t="s">
        <v>5069</v>
      </c>
    </row>
    <row r="2465" spans="1:1" x14ac:dyDescent="0.2">
      <c r="A2465" s="13" t="s">
        <v>5070</v>
      </c>
    </row>
    <row r="2466" spans="1:1" x14ac:dyDescent="0.2">
      <c r="A2466" s="13" t="s">
        <v>4111</v>
      </c>
    </row>
    <row r="2467" spans="1:1" x14ac:dyDescent="0.2">
      <c r="A2467" s="13" t="s">
        <v>5071</v>
      </c>
    </row>
    <row r="2468" spans="1:1" x14ac:dyDescent="0.2">
      <c r="A2468" s="13" t="s">
        <v>5072</v>
      </c>
    </row>
    <row r="2469" spans="1:1" x14ac:dyDescent="0.2">
      <c r="A2469" s="13" t="s">
        <v>1201</v>
      </c>
    </row>
    <row r="2470" spans="1:1" x14ac:dyDescent="0.2">
      <c r="A2470" s="13" t="s">
        <v>3400</v>
      </c>
    </row>
    <row r="2471" spans="1:1" x14ac:dyDescent="0.2">
      <c r="A2471" s="13" t="s">
        <v>3274</v>
      </c>
    </row>
    <row r="2472" spans="1:1" x14ac:dyDescent="0.2">
      <c r="A2472" s="13" t="s">
        <v>5073</v>
      </c>
    </row>
    <row r="2473" spans="1:1" x14ac:dyDescent="0.2">
      <c r="A2473" s="13" t="s">
        <v>5074</v>
      </c>
    </row>
    <row r="2474" spans="1:1" x14ac:dyDescent="0.2">
      <c r="A2474" s="13" t="s">
        <v>5075</v>
      </c>
    </row>
    <row r="2475" spans="1:1" x14ac:dyDescent="0.2">
      <c r="A2475" s="13" t="s">
        <v>3093</v>
      </c>
    </row>
    <row r="2476" spans="1:1" x14ac:dyDescent="0.2">
      <c r="A2476" s="13" t="s">
        <v>3294</v>
      </c>
    </row>
    <row r="2477" spans="1:1" x14ac:dyDescent="0.2">
      <c r="A2477" s="13" t="s">
        <v>1547</v>
      </c>
    </row>
    <row r="2478" spans="1:1" x14ac:dyDescent="0.2">
      <c r="A2478" s="13" t="s">
        <v>5076</v>
      </c>
    </row>
    <row r="2479" spans="1:1" x14ac:dyDescent="0.2">
      <c r="A2479" s="13" t="s">
        <v>1701</v>
      </c>
    </row>
    <row r="2480" spans="1:1" x14ac:dyDescent="0.2">
      <c r="A2480" s="13" t="s">
        <v>5077</v>
      </c>
    </row>
    <row r="2481" spans="1:1" x14ac:dyDescent="0.2">
      <c r="A2481" s="13" t="s">
        <v>5078</v>
      </c>
    </row>
    <row r="2482" spans="1:1" x14ac:dyDescent="0.2">
      <c r="A2482" s="13" t="s">
        <v>5079</v>
      </c>
    </row>
    <row r="2483" spans="1:1" x14ac:dyDescent="0.2">
      <c r="A2483" s="13" t="s">
        <v>997</v>
      </c>
    </row>
    <row r="2484" spans="1:1" x14ac:dyDescent="0.2">
      <c r="A2484" s="13" t="s">
        <v>5080</v>
      </c>
    </row>
    <row r="2485" spans="1:1" x14ac:dyDescent="0.2">
      <c r="A2485" s="13" t="s">
        <v>5081</v>
      </c>
    </row>
    <row r="2486" spans="1:1" x14ac:dyDescent="0.2">
      <c r="A2486" s="13" t="s">
        <v>5082</v>
      </c>
    </row>
    <row r="2487" spans="1:1" x14ac:dyDescent="0.2">
      <c r="A2487" s="13" t="s">
        <v>5083</v>
      </c>
    </row>
    <row r="2488" spans="1:1" x14ac:dyDescent="0.2">
      <c r="A2488" s="13" t="s">
        <v>5084</v>
      </c>
    </row>
    <row r="2489" spans="1:1" x14ac:dyDescent="0.2">
      <c r="A2489" s="13" t="s">
        <v>5085</v>
      </c>
    </row>
    <row r="2490" spans="1:1" x14ac:dyDescent="0.2">
      <c r="A2490" s="13" t="s">
        <v>5086</v>
      </c>
    </row>
    <row r="2491" spans="1:1" x14ac:dyDescent="0.2">
      <c r="A2491" s="13" t="s">
        <v>3023</v>
      </c>
    </row>
    <row r="2492" spans="1:1" x14ac:dyDescent="0.2">
      <c r="A2492" s="13" t="s">
        <v>5087</v>
      </c>
    </row>
    <row r="2493" spans="1:1" x14ac:dyDescent="0.2">
      <c r="A2493" s="13" t="s">
        <v>5088</v>
      </c>
    </row>
    <row r="2494" spans="1:1" x14ac:dyDescent="0.2">
      <c r="A2494" s="13" t="s">
        <v>5089</v>
      </c>
    </row>
    <row r="2495" spans="1:1" x14ac:dyDescent="0.2">
      <c r="A2495" s="13" t="s">
        <v>5090</v>
      </c>
    </row>
    <row r="2496" spans="1:1" x14ac:dyDescent="0.2">
      <c r="A2496" s="13" t="s">
        <v>5091</v>
      </c>
    </row>
    <row r="2497" spans="1:1" x14ac:dyDescent="0.2">
      <c r="A2497" s="13" t="s">
        <v>5092</v>
      </c>
    </row>
    <row r="2498" spans="1:1" x14ac:dyDescent="0.2">
      <c r="A2498" s="13" t="s">
        <v>5093</v>
      </c>
    </row>
    <row r="2499" spans="1:1" x14ac:dyDescent="0.2">
      <c r="A2499" s="13" t="s">
        <v>5094</v>
      </c>
    </row>
    <row r="2500" spans="1:1" x14ac:dyDescent="0.2">
      <c r="A2500" s="13" t="s">
        <v>5095</v>
      </c>
    </row>
    <row r="2501" spans="1:1" x14ac:dyDescent="0.2">
      <c r="A2501" s="13" t="s">
        <v>5096</v>
      </c>
    </row>
    <row r="2502" spans="1:1" x14ac:dyDescent="0.2">
      <c r="A2502" s="13" t="s">
        <v>5097</v>
      </c>
    </row>
    <row r="2503" spans="1:1" x14ac:dyDescent="0.2">
      <c r="A2503" s="13" t="s">
        <v>5098</v>
      </c>
    </row>
    <row r="2504" spans="1:1" x14ac:dyDescent="0.2">
      <c r="A2504" s="13" t="s">
        <v>5099</v>
      </c>
    </row>
    <row r="2505" spans="1:1" x14ac:dyDescent="0.2">
      <c r="A2505" s="13" t="s">
        <v>5100</v>
      </c>
    </row>
    <row r="2506" spans="1:1" x14ac:dyDescent="0.2">
      <c r="A2506" s="13" t="s">
        <v>5101</v>
      </c>
    </row>
    <row r="2507" spans="1:1" x14ac:dyDescent="0.2">
      <c r="A2507" s="13" t="s">
        <v>5102</v>
      </c>
    </row>
    <row r="2508" spans="1:1" x14ac:dyDescent="0.2">
      <c r="A2508" s="13" t="s">
        <v>5103</v>
      </c>
    </row>
    <row r="2509" spans="1:1" x14ac:dyDescent="0.2">
      <c r="A2509" s="13" t="s">
        <v>5104</v>
      </c>
    </row>
    <row r="2510" spans="1:1" x14ac:dyDescent="0.2">
      <c r="A2510" s="13" t="s">
        <v>5105</v>
      </c>
    </row>
    <row r="2511" spans="1:1" x14ac:dyDescent="0.2">
      <c r="A2511" s="13" t="s">
        <v>5106</v>
      </c>
    </row>
    <row r="2512" spans="1:1" x14ac:dyDescent="0.2">
      <c r="A2512" s="13" t="s">
        <v>5107</v>
      </c>
    </row>
    <row r="2513" spans="1:1" x14ac:dyDescent="0.2">
      <c r="A2513" s="13" t="s">
        <v>5108</v>
      </c>
    </row>
    <row r="2514" spans="1:1" x14ac:dyDescent="0.2">
      <c r="A2514" s="13" t="s">
        <v>5109</v>
      </c>
    </row>
    <row r="2515" spans="1:1" x14ac:dyDescent="0.2">
      <c r="A2515" s="13" t="s">
        <v>5110</v>
      </c>
    </row>
    <row r="2516" spans="1:1" x14ac:dyDescent="0.2">
      <c r="A2516" s="13" t="s">
        <v>5111</v>
      </c>
    </row>
    <row r="2517" spans="1:1" x14ac:dyDescent="0.2">
      <c r="A2517" s="13" t="s">
        <v>5112</v>
      </c>
    </row>
    <row r="2518" spans="1:1" x14ac:dyDescent="0.2">
      <c r="A2518" s="13" t="s">
        <v>5113</v>
      </c>
    </row>
    <row r="2519" spans="1:1" x14ac:dyDescent="0.2">
      <c r="A2519" s="13" t="s">
        <v>5114</v>
      </c>
    </row>
    <row r="2520" spans="1:1" x14ac:dyDescent="0.2">
      <c r="A2520" s="13" t="s">
        <v>5115</v>
      </c>
    </row>
    <row r="2521" spans="1:1" x14ac:dyDescent="0.2">
      <c r="A2521" s="13" t="s">
        <v>5116</v>
      </c>
    </row>
    <row r="2522" spans="1:1" x14ac:dyDescent="0.2">
      <c r="A2522" s="13" t="s">
        <v>5117</v>
      </c>
    </row>
    <row r="2523" spans="1:1" x14ac:dyDescent="0.2">
      <c r="A2523" s="13" t="s">
        <v>5118</v>
      </c>
    </row>
    <row r="2524" spans="1:1" x14ac:dyDescent="0.2">
      <c r="A2524" s="13" t="s">
        <v>5119</v>
      </c>
    </row>
    <row r="2525" spans="1:1" x14ac:dyDescent="0.2">
      <c r="A2525" s="13" t="s">
        <v>2915</v>
      </c>
    </row>
    <row r="2526" spans="1:1" x14ac:dyDescent="0.2">
      <c r="A2526" s="13" t="s">
        <v>5120</v>
      </c>
    </row>
    <row r="2527" spans="1:1" x14ac:dyDescent="0.2">
      <c r="A2527" s="13" t="s">
        <v>5121</v>
      </c>
    </row>
    <row r="2528" spans="1:1" x14ac:dyDescent="0.2">
      <c r="A2528" s="13" t="s">
        <v>5122</v>
      </c>
    </row>
    <row r="2529" spans="1:1" x14ac:dyDescent="0.2">
      <c r="A2529" s="13" t="s">
        <v>5123</v>
      </c>
    </row>
    <row r="2530" spans="1:1" x14ac:dyDescent="0.2">
      <c r="A2530" s="13" t="s">
        <v>5124</v>
      </c>
    </row>
    <row r="2531" spans="1:1" x14ac:dyDescent="0.2">
      <c r="A2531" s="13" t="s">
        <v>317</v>
      </c>
    </row>
    <row r="2532" spans="1:1" x14ac:dyDescent="0.2">
      <c r="A2532" s="13" t="s">
        <v>5125</v>
      </c>
    </row>
    <row r="2533" spans="1:1" x14ac:dyDescent="0.2">
      <c r="A2533" s="13" t="s">
        <v>5126</v>
      </c>
    </row>
    <row r="2534" spans="1:1" x14ac:dyDescent="0.2">
      <c r="A2534" s="13" t="s">
        <v>5127</v>
      </c>
    </row>
    <row r="2535" spans="1:1" x14ac:dyDescent="0.2">
      <c r="A2535" s="13" t="s">
        <v>2711</v>
      </c>
    </row>
    <row r="2536" spans="1:1" x14ac:dyDescent="0.2">
      <c r="A2536" s="13" t="s">
        <v>5128</v>
      </c>
    </row>
    <row r="2537" spans="1:1" x14ac:dyDescent="0.2">
      <c r="A2537" s="13" t="s">
        <v>5129</v>
      </c>
    </row>
    <row r="2538" spans="1:1" x14ac:dyDescent="0.2">
      <c r="A2538" s="13" t="s">
        <v>5130</v>
      </c>
    </row>
    <row r="2539" spans="1:1" x14ac:dyDescent="0.2">
      <c r="A2539" s="13" t="s">
        <v>5131</v>
      </c>
    </row>
    <row r="2540" spans="1:1" x14ac:dyDescent="0.2">
      <c r="A2540" s="13" t="s">
        <v>5132</v>
      </c>
    </row>
    <row r="2541" spans="1:1" x14ac:dyDescent="0.2">
      <c r="A2541" s="13" t="s">
        <v>5133</v>
      </c>
    </row>
    <row r="2542" spans="1:1" x14ac:dyDescent="0.2">
      <c r="A2542" s="13" t="s">
        <v>5134</v>
      </c>
    </row>
    <row r="2543" spans="1:1" x14ac:dyDescent="0.2">
      <c r="A2543" s="13" t="s">
        <v>5135</v>
      </c>
    </row>
    <row r="2544" spans="1:1" x14ac:dyDescent="0.2">
      <c r="A2544" s="13" t="s">
        <v>5136</v>
      </c>
    </row>
    <row r="2545" spans="1:1" x14ac:dyDescent="0.2">
      <c r="A2545" s="13" t="s">
        <v>5137</v>
      </c>
    </row>
    <row r="2546" spans="1:1" x14ac:dyDescent="0.2">
      <c r="A2546" s="13" t="s">
        <v>5138</v>
      </c>
    </row>
    <row r="2547" spans="1:1" x14ac:dyDescent="0.2">
      <c r="A2547" s="13" t="s">
        <v>5139</v>
      </c>
    </row>
    <row r="2548" spans="1:1" x14ac:dyDescent="0.2">
      <c r="A2548" s="13" t="s">
        <v>5140</v>
      </c>
    </row>
    <row r="2549" spans="1:1" x14ac:dyDescent="0.2">
      <c r="A2549" s="13" t="s">
        <v>5141</v>
      </c>
    </row>
    <row r="2550" spans="1:1" x14ac:dyDescent="0.2">
      <c r="A2550" s="13" t="s">
        <v>5142</v>
      </c>
    </row>
    <row r="2551" spans="1:1" x14ac:dyDescent="0.2">
      <c r="A2551" s="13" t="s">
        <v>5143</v>
      </c>
    </row>
    <row r="2552" spans="1:1" x14ac:dyDescent="0.2">
      <c r="A2552" s="13" t="s">
        <v>5144</v>
      </c>
    </row>
    <row r="2553" spans="1:1" x14ac:dyDescent="0.2">
      <c r="A2553" s="13" t="s">
        <v>5145</v>
      </c>
    </row>
    <row r="2554" spans="1:1" x14ac:dyDescent="0.2">
      <c r="A2554" s="13" t="s">
        <v>5146</v>
      </c>
    </row>
    <row r="2555" spans="1:1" x14ac:dyDescent="0.2">
      <c r="A2555" s="13" t="s">
        <v>5147</v>
      </c>
    </row>
    <row r="2556" spans="1:1" x14ac:dyDescent="0.2">
      <c r="A2556" s="13" t="s">
        <v>5148</v>
      </c>
    </row>
    <row r="2557" spans="1:1" x14ac:dyDescent="0.2">
      <c r="A2557" s="13" t="s">
        <v>5149</v>
      </c>
    </row>
    <row r="2558" spans="1:1" x14ac:dyDescent="0.2">
      <c r="A2558" s="13" t="s">
        <v>5150</v>
      </c>
    </row>
    <row r="2559" spans="1:1" x14ac:dyDescent="0.2">
      <c r="A2559" s="13" t="s">
        <v>5151</v>
      </c>
    </row>
    <row r="2560" spans="1:1" x14ac:dyDescent="0.2">
      <c r="A2560" s="13" t="s">
        <v>5152</v>
      </c>
    </row>
    <row r="2561" spans="1:1" x14ac:dyDescent="0.2">
      <c r="A2561" s="13" t="s">
        <v>5153</v>
      </c>
    </row>
    <row r="2562" spans="1:1" x14ac:dyDescent="0.2">
      <c r="A2562" s="13" t="s">
        <v>5154</v>
      </c>
    </row>
    <row r="2563" spans="1:1" x14ac:dyDescent="0.2">
      <c r="A2563" s="13" t="s">
        <v>5155</v>
      </c>
    </row>
    <row r="2564" spans="1:1" x14ac:dyDescent="0.2">
      <c r="A2564" s="13" t="s">
        <v>5156</v>
      </c>
    </row>
    <row r="2565" spans="1:1" x14ac:dyDescent="0.2">
      <c r="A2565" s="13" t="s">
        <v>5157</v>
      </c>
    </row>
    <row r="2566" spans="1:1" x14ac:dyDescent="0.2">
      <c r="A2566" s="13" t="s">
        <v>5158</v>
      </c>
    </row>
    <row r="2567" spans="1:1" x14ac:dyDescent="0.2">
      <c r="A2567" s="13" t="s">
        <v>5159</v>
      </c>
    </row>
    <row r="2568" spans="1:1" x14ac:dyDescent="0.2">
      <c r="A2568" s="13" t="s">
        <v>5160</v>
      </c>
    </row>
    <row r="2569" spans="1:1" x14ac:dyDescent="0.2">
      <c r="A2569" s="13" t="s">
        <v>5161</v>
      </c>
    </row>
    <row r="2570" spans="1:1" x14ac:dyDescent="0.2">
      <c r="A2570" s="13" t="s">
        <v>5162</v>
      </c>
    </row>
    <row r="2571" spans="1:1" x14ac:dyDescent="0.2">
      <c r="A2571" s="13" t="s">
        <v>5163</v>
      </c>
    </row>
    <row r="2572" spans="1:1" x14ac:dyDescent="0.2">
      <c r="A2572" s="13" t="s">
        <v>5164</v>
      </c>
    </row>
    <row r="2573" spans="1:1" x14ac:dyDescent="0.2">
      <c r="A2573" s="13" t="s">
        <v>5165</v>
      </c>
    </row>
    <row r="2574" spans="1:1" x14ac:dyDescent="0.2">
      <c r="A2574" s="13" t="s">
        <v>5166</v>
      </c>
    </row>
    <row r="2575" spans="1:1" x14ac:dyDescent="0.2">
      <c r="A2575" s="13" t="s">
        <v>5167</v>
      </c>
    </row>
    <row r="2576" spans="1:1" x14ac:dyDescent="0.2">
      <c r="A2576" s="13" t="s">
        <v>5168</v>
      </c>
    </row>
    <row r="2577" spans="1:1" x14ac:dyDescent="0.2">
      <c r="A2577" s="13" t="s">
        <v>5169</v>
      </c>
    </row>
    <row r="2578" spans="1:1" x14ac:dyDescent="0.2">
      <c r="A2578" s="13" t="s">
        <v>5170</v>
      </c>
    </row>
    <row r="2579" spans="1:1" x14ac:dyDescent="0.2">
      <c r="A2579" s="13" t="s">
        <v>5171</v>
      </c>
    </row>
    <row r="2580" spans="1:1" x14ac:dyDescent="0.2">
      <c r="A2580" s="13" t="s">
        <v>5172</v>
      </c>
    </row>
    <row r="2581" spans="1:1" x14ac:dyDescent="0.2">
      <c r="A2581" s="13" t="s">
        <v>5173</v>
      </c>
    </row>
    <row r="2582" spans="1:1" x14ac:dyDescent="0.2">
      <c r="A2582" s="13" t="s">
        <v>5174</v>
      </c>
    </row>
    <row r="2583" spans="1:1" x14ac:dyDescent="0.2">
      <c r="A2583" s="13" t="s">
        <v>5175</v>
      </c>
    </row>
    <row r="2584" spans="1:1" x14ac:dyDescent="0.2">
      <c r="A2584" s="13" t="s">
        <v>5176</v>
      </c>
    </row>
    <row r="2585" spans="1:1" x14ac:dyDescent="0.2">
      <c r="A2585" s="13" t="s">
        <v>5177</v>
      </c>
    </row>
    <row r="2586" spans="1:1" x14ac:dyDescent="0.2">
      <c r="A2586" s="13" t="s">
        <v>5178</v>
      </c>
    </row>
    <row r="2587" spans="1:1" x14ac:dyDescent="0.2">
      <c r="A2587" s="13" t="s">
        <v>5179</v>
      </c>
    </row>
    <row r="2588" spans="1:1" x14ac:dyDescent="0.2">
      <c r="A2588" s="13" t="s">
        <v>5180</v>
      </c>
    </row>
    <row r="2589" spans="1:1" x14ac:dyDescent="0.2">
      <c r="A2589" s="13" t="s">
        <v>5181</v>
      </c>
    </row>
    <row r="2590" spans="1:1" x14ac:dyDescent="0.2">
      <c r="A2590" s="13" t="s">
        <v>5182</v>
      </c>
    </row>
    <row r="2591" spans="1:1" x14ac:dyDescent="0.2">
      <c r="A2591" s="13" t="s">
        <v>5183</v>
      </c>
    </row>
    <row r="2592" spans="1:1" x14ac:dyDescent="0.2">
      <c r="A2592" s="13" t="s">
        <v>5184</v>
      </c>
    </row>
    <row r="2593" spans="1:1" x14ac:dyDescent="0.2">
      <c r="A2593" s="13" t="s">
        <v>5185</v>
      </c>
    </row>
    <row r="2594" spans="1:1" x14ac:dyDescent="0.2">
      <c r="A2594" s="13" t="s">
        <v>5186</v>
      </c>
    </row>
    <row r="2595" spans="1:1" x14ac:dyDescent="0.2">
      <c r="A2595" s="13" t="s">
        <v>5187</v>
      </c>
    </row>
    <row r="2596" spans="1:1" x14ac:dyDescent="0.2">
      <c r="A2596" s="13" t="s">
        <v>5188</v>
      </c>
    </row>
    <row r="2597" spans="1:1" x14ac:dyDescent="0.2">
      <c r="A2597" s="13" t="s">
        <v>5189</v>
      </c>
    </row>
    <row r="2598" spans="1:1" x14ac:dyDescent="0.2">
      <c r="A2598" s="13" t="s">
        <v>5190</v>
      </c>
    </row>
    <row r="2599" spans="1:1" x14ac:dyDescent="0.2">
      <c r="A2599" s="13" t="s">
        <v>5191</v>
      </c>
    </row>
    <row r="2600" spans="1:1" x14ac:dyDescent="0.2">
      <c r="A2600" s="13" t="s">
        <v>5192</v>
      </c>
    </row>
    <row r="2601" spans="1:1" x14ac:dyDescent="0.2">
      <c r="A2601" s="13" t="s">
        <v>5193</v>
      </c>
    </row>
    <row r="2602" spans="1:1" x14ac:dyDescent="0.2">
      <c r="A2602" s="13" t="s">
        <v>5194</v>
      </c>
    </row>
    <row r="2603" spans="1:1" x14ac:dyDescent="0.2">
      <c r="A2603" s="13" t="s">
        <v>5195</v>
      </c>
    </row>
    <row r="2604" spans="1:1" x14ac:dyDescent="0.2">
      <c r="A2604" s="13" t="s">
        <v>5196</v>
      </c>
    </row>
    <row r="2605" spans="1:1" x14ac:dyDescent="0.2">
      <c r="A2605" s="13" t="s">
        <v>5197</v>
      </c>
    </row>
    <row r="2606" spans="1:1" x14ac:dyDescent="0.2">
      <c r="A2606" s="13" t="s">
        <v>5198</v>
      </c>
    </row>
    <row r="2607" spans="1:1" x14ac:dyDescent="0.2">
      <c r="A2607" s="13" t="s">
        <v>5199</v>
      </c>
    </row>
    <row r="2608" spans="1:1" x14ac:dyDescent="0.2">
      <c r="A2608" s="13" t="s">
        <v>5200</v>
      </c>
    </row>
    <row r="2609" spans="1:1" x14ac:dyDescent="0.2">
      <c r="A2609" s="13" t="s">
        <v>5201</v>
      </c>
    </row>
    <row r="2610" spans="1:1" x14ac:dyDescent="0.2">
      <c r="A2610" s="13" t="s">
        <v>5202</v>
      </c>
    </row>
    <row r="2611" spans="1:1" x14ac:dyDescent="0.2">
      <c r="A2611" s="13" t="s">
        <v>5203</v>
      </c>
    </row>
    <row r="2612" spans="1:1" x14ac:dyDescent="0.2">
      <c r="A2612" s="13" t="s">
        <v>5204</v>
      </c>
    </row>
    <row r="2613" spans="1:1" x14ac:dyDescent="0.2">
      <c r="A2613" s="13" t="s">
        <v>5205</v>
      </c>
    </row>
    <row r="2614" spans="1:1" x14ac:dyDescent="0.2">
      <c r="A2614" s="13" t="s">
        <v>5206</v>
      </c>
    </row>
    <row r="2615" spans="1:1" x14ac:dyDescent="0.2">
      <c r="A2615" s="13" t="s">
        <v>5207</v>
      </c>
    </row>
    <row r="2616" spans="1:1" x14ac:dyDescent="0.2">
      <c r="A2616" s="13" t="s">
        <v>5208</v>
      </c>
    </row>
    <row r="2617" spans="1:1" x14ac:dyDescent="0.2">
      <c r="A2617" s="13" t="s">
        <v>5209</v>
      </c>
    </row>
    <row r="2618" spans="1:1" x14ac:dyDescent="0.2">
      <c r="A2618" s="13" t="s">
        <v>5210</v>
      </c>
    </row>
    <row r="2619" spans="1:1" x14ac:dyDescent="0.2">
      <c r="A2619" s="13" t="s">
        <v>5211</v>
      </c>
    </row>
    <row r="2620" spans="1:1" x14ac:dyDescent="0.2">
      <c r="A2620" s="13" t="s">
        <v>5212</v>
      </c>
    </row>
    <row r="2621" spans="1:1" x14ac:dyDescent="0.2">
      <c r="A2621" s="13" t="s">
        <v>5213</v>
      </c>
    </row>
    <row r="2622" spans="1:1" x14ac:dyDescent="0.2">
      <c r="A2622" s="13" t="s">
        <v>5214</v>
      </c>
    </row>
    <row r="2623" spans="1:1" x14ac:dyDescent="0.2">
      <c r="A2623" s="13" t="s">
        <v>5215</v>
      </c>
    </row>
    <row r="2624" spans="1:1" x14ac:dyDescent="0.2">
      <c r="A2624" s="13" t="s">
        <v>5216</v>
      </c>
    </row>
    <row r="2625" spans="1:1" x14ac:dyDescent="0.2">
      <c r="A2625" s="13" t="s">
        <v>5217</v>
      </c>
    </row>
    <row r="2626" spans="1:1" x14ac:dyDescent="0.2">
      <c r="A2626" s="13" t="s">
        <v>5218</v>
      </c>
    </row>
    <row r="2627" spans="1:1" x14ac:dyDescent="0.2">
      <c r="A2627" s="13" t="s">
        <v>5219</v>
      </c>
    </row>
    <row r="2628" spans="1:1" x14ac:dyDescent="0.2">
      <c r="A2628" s="13" t="s">
        <v>5220</v>
      </c>
    </row>
    <row r="2629" spans="1:1" x14ac:dyDescent="0.2">
      <c r="A2629" s="13" t="s">
        <v>5221</v>
      </c>
    </row>
    <row r="2630" spans="1:1" x14ac:dyDescent="0.2">
      <c r="A2630" s="13" t="s">
        <v>5222</v>
      </c>
    </row>
    <row r="2631" spans="1:1" x14ac:dyDescent="0.2">
      <c r="A2631" s="13" t="s">
        <v>5223</v>
      </c>
    </row>
    <row r="2632" spans="1:1" x14ac:dyDescent="0.2">
      <c r="A2632" s="13" t="s">
        <v>5224</v>
      </c>
    </row>
    <row r="2633" spans="1:1" x14ac:dyDescent="0.2">
      <c r="A2633" s="13" t="s">
        <v>5225</v>
      </c>
    </row>
    <row r="2634" spans="1:1" x14ac:dyDescent="0.2">
      <c r="A2634" s="13" t="s">
        <v>5226</v>
      </c>
    </row>
    <row r="2635" spans="1:1" x14ac:dyDescent="0.2">
      <c r="A2635" s="13" t="s">
        <v>5227</v>
      </c>
    </row>
    <row r="2636" spans="1:1" x14ac:dyDescent="0.2">
      <c r="A2636" s="13" t="s">
        <v>5228</v>
      </c>
    </row>
    <row r="2637" spans="1:1" x14ac:dyDescent="0.2">
      <c r="A2637" s="13" t="s">
        <v>5229</v>
      </c>
    </row>
    <row r="2638" spans="1:1" x14ac:dyDescent="0.2">
      <c r="A2638" s="13" t="s">
        <v>5230</v>
      </c>
    </row>
    <row r="2639" spans="1:1" x14ac:dyDescent="0.2">
      <c r="A2639" s="13" t="s">
        <v>5231</v>
      </c>
    </row>
    <row r="2640" spans="1:1" x14ac:dyDescent="0.2">
      <c r="A2640" s="13" t="s">
        <v>5232</v>
      </c>
    </row>
    <row r="2641" spans="1:1" x14ac:dyDescent="0.2">
      <c r="A2641" s="13" t="s">
        <v>5233</v>
      </c>
    </row>
    <row r="2642" spans="1:1" x14ac:dyDescent="0.2">
      <c r="A2642" s="13" t="s">
        <v>5234</v>
      </c>
    </row>
    <row r="2643" spans="1:1" x14ac:dyDescent="0.2">
      <c r="A2643" s="13" t="s">
        <v>5235</v>
      </c>
    </row>
    <row r="2644" spans="1:1" x14ac:dyDescent="0.2">
      <c r="A2644" s="13" t="s">
        <v>5236</v>
      </c>
    </row>
    <row r="2645" spans="1:1" x14ac:dyDescent="0.2">
      <c r="A2645" s="13" t="s">
        <v>5237</v>
      </c>
    </row>
    <row r="2646" spans="1:1" x14ac:dyDescent="0.2">
      <c r="A2646" s="13" t="s">
        <v>5238</v>
      </c>
    </row>
    <row r="2647" spans="1:1" x14ac:dyDescent="0.2">
      <c r="A2647" s="13" t="s">
        <v>5239</v>
      </c>
    </row>
    <row r="2648" spans="1:1" x14ac:dyDescent="0.2">
      <c r="A2648" s="13" t="s">
        <v>5240</v>
      </c>
    </row>
    <row r="2649" spans="1:1" x14ac:dyDescent="0.2">
      <c r="A2649" s="13" t="s">
        <v>5241</v>
      </c>
    </row>
    <row r="2650" spans="1:1" x14ac:dyDescent="0.2">
      <c r="A2650" s="13" t="s">
        <v>5242</v>
      </c>
    </row>
    <row r="2651" spans="1:1" x14ac:dyDescent="0.2">
      <c r="A2651" s="13" t="s">
        <v>5243</v>
      </c>
    </row>
    <row r="2652" spans="1:1" x14ac:dyDescent="0.2">
      <c r="A2652" s="13" t="s">
        <v>5244</v>
      </c>
    </row>
    <row r="2653" spans="1:1" x14ac:dyDescent="0.2">
      <c r="A2653" s="13" t="s">
        <v>5245</v>
      </c>
    </row>
    <row r="2654" spans="1:1" x14ac:dyDescent="0.2">
      <c r="A2654" s="13" t="s">
        <v>5246</v>
      </c>
    </row>
    <row r="2655" spans="1:1" x14ac:dyDescent="0.2">
      <c r="A2655" s="13" t="s">
        <v>5247</v>
      </c>
    </row>
    <row r="2656" spans="1:1" x14ac:dyDescent="0.2">
      <c r="A2656" s="13" t="s">
        <v>5248</v>
      </c>
    </row>
    <row r="2657" spans="1:1" x14ac:dyDescent="0.2">
      <c r="A2657" s="13" t="s">
        <v>5249</v>
      </c>
    </row>
    <row r="2658" spans="1:1" x14ac:dyDescent="0.2">
      <c r="A2658" s="13" t="s">
        <v>5250</v>
      </c>
    </row>
    <row r="2659" spans="1:1" x14ac:dyDescent="0.2">
      <c r="A2659" s="13" t="s">
        <v>5251</v>
      </c>
    </row>
    <row r="2660" spans="1:1" x14ac:dyDescent="0.2">
      <c r="A2660" s="13" t="s">
        <v>5252</v>
      </c>
    </row>
    <row r="2661" spans="1:1" x14ac:dyDescent="0.2">
      <c r="A2661" s="13" t="s">
        <v>5253</v>
      </c>
    </row>
    <row r="2662" spans="1:1" x14ac:dyDescent="0.2">
      <c r="A2662" s="13" t="s">
        <v>5254</v>
      </c>
    </row>
    <row r="2663" spans="1:1" x14ac:dyDescent="0.2">
      <c r="A2663" s="13" t="s">
        <v>5255</v>
      </c>
    </row>
    <row r="2664" spans="1:1" x14ac:dyDescent="0.2">
      <c r="A2664" s="13" t="s">
        <v>5256</v>
      </c>
    </row>
    <row r="2665" spans="1:1" x14ac:dyDescent="0.2">
      <c r="A2665" s="13" t="s">
        <v>5257</v>
      </c>
    </row>
    <row r="2666" spans="1:1" x14ac:dyDescent="0.2">
      <c r="A2666" s="13" t="s">
        <v>5258</v>
      </c>
    </row>
    <row r="2667" spans="1:1" x14ac:dyDescent="0.2">
      <c r="A2667" s="13" t="s">
        <v>5259</v>
      </c>
    </row>
    <row r="2668" spans="1:1" x14ac:dyDescent="0.2">
      <c r="A2668" s="13" t="s">
        <v>5260</v>
      </c>
    </row>
    <row r="2669" spans="1:1" x14ac:dyDescent="0.2">
      <c r="A2669" s="13" t="s">
        <v>5261</v>
      </c>
    </row>
    <row r="2670" spans="1:1" x14ac:dyDescent="0.2">
      <c r="A2670" s="13" t="s">
        <v>5262</v>
      </c>
    </row>
    <row r="2671" spans="1:1" x14ac:dyDescent="0.2">
      <c r="A2671" s="13" t="s">
        <v>5263</v>
      </c>
    </row>
    <row r="2672" spans="1:1" x14ac:dyDescent="0.2">
      <c r="A2672" s="13" t="s">
        <v>5264</v>
      </c>
    </row>
    <row r="2673" spans="1:1" x14ac:dyDescent="0.2">
      <c r="A2673" s="13" t="s">
        <v>5265</v>
      </c>
    </row>
    <row r="2674" spans="1:1" x14ac:dyDescent="0.2">
      <c r="A2674" s="13" t="s">
        <v>5266</v>
      </c>
    </row>
    <row r="2675" spans="1:1" x14ac:dyDescent="0.2">
      <c r="A2675" s="13" t="s">
        <v>5267</v>
      </c>
    </row>
    <row r="2676" spans="1:1" x14ac:dyDescent="0.2">
      <c r="A2676" s="13" t="s">
        <v>5268</v>
      </c>
    </row>
    <row r="2677" spans="1:1" x14ac:dyDescent="0.2">
      <c r="A2677" s="13" t="s">
        <v>5269</v>
      </c>
    </row>
    <row r="2678" spans="1:1" x14ac:dyDescent="0.2">
      <c r="A2678" s="13" t="s">
        <v>5270</v>
      </c>
    </row>
    <row r="2679" spans="1:1" x14ac:dyDescent="0.2">
      <c r="A2679" s="13" t="s">
        <v>5271</v>
      </c>
    </row>
    <row r="2680" spans="1:1" x14ac:dyDescent="0.2">
      <c r="A2680" s="13" t="s">
        <v>5272</v>
      </c>
    </row>
    <row r="2681" spans="1:1" x14ac:dyDescent="0.2">
      <c r="A2681" s="13" t="s">
        <v>5273</v>
      </c>
    </row>
    <row r="2682" spans="1:1" x14ac:dyDescent="0.2">
      <c r="A2682" s="13" t="s">
        <v>5274</v>
      </c>
    </row>
    <row r="2683" spans="1:1" x14ac:dyDescent="0.2">
      <c r="A2683" s="13" t="s">
        <v>5275</v>
      </c>
    </row>
    <row r="2684" spans="1:1" x14ac:dyDescent="0.2">
      <c r="A2684" s="13" t="s">
        <v>5276</v>
      </c>
    </row>
    <row r="2685" spans="1:1" x14ac:dyDescent="0.2">
      <c r="A2685" s="13" t="s">
        <v>5277</v>
      </c>
    </row>
    <row r="2686" spans="1:1" x14ac:dyDescent="0.2">
      <c r="A2686" s="13" t="s">
        <v>5278</v>
      </c>
    </row>
    <row r="2687" spans="1:1" x14ac:dyDescent="0.2">
      <c r="A2687" s="13" t="s">
        <v>5279</v>
      </c>
    </row>
    <row r="2688" spans="1:1" x14ac:dyDescent="0.2">
      <c r="A2688" s="13" t="s">
        <v>5280</v>
      </c>
    </row>
    <row r="2689" spans="1:1" x14ac:dyDescent="0.2">
      <c r="A2689" s="13" t="s">
        <v>5281</v>
      </c>
    </row>
    <row r="2690" spans="1:1" x14ac:dyDescent="0.2">
      <c r="A2690" s="13" t="s">
        <v>5282</v>
      </c>
    </row>
    <row r="2691" spans="1:1" x14ac:dyDescent="0.2">
      <c r="A2691" s="13" t="s">
        <v>5283</v>
      </c>
    </row>
    <row r="2692" spans="1:1" x14ac:dyDescent="0.2">
      <c r="A2692" s="13" t="s">
        <v>5284</v>
      </c>
    </row>
    <row r="2693" spans="1:1" x14ac:dyDescent="0.2">
      <c r="A2693" s="13" t="s">
        <v>5285</v>
      </c>
    </row>
    <row r="2694" spans="1:1" x14ac:dyDescent="0.2">
      <c r="A2694" s="13" t="s">
        <v>5286</v>
      </c>
    </row>
    <row r="2695" spans="1:1" x14ac:dyDescent="0.2">
      <c r="A2695" s="13" t="s">
        <v>5287</v>
      </c>
    </row>
    <row r="2696" spans="1:1" x14ac:dyDescent="0.2">
      <c r="A2696" s="13" t="s">
        <v>5288</v>
      </c>
    </row>
    <row r="2697" spans="1:1" x14ac:dyDescent="0.2">
      <c r="A2697" s="13" t="s">
        <v>5289</v>
      </c>
    </row>
    <row r="2698" spans="1:1" x14ac:dyDescent="0.2">
      <c r="A2698" s="13" t="s">
        <v>5290</v>
      </c>
    </row>
    <row r="2699" spans="1:1" x14ac:dyDescent="0.2">
      <c r="A2699" s="13" t="s">
        <v>5291</v>
      </c>
    </row>
    <row r="2700" spans="1:1" x14ac:dyDescent="0.2">
      <c r="A2700" s="13" t="s">
        <v>5292</v>
      </c>
    </row>
    <row r="2701" spans="1:1" x14ac:dyDescent="0.2">
      <c r="A2701" s="13" t="s">
        <v>5293</v>
      </c>
    </row>
    <row r="2702" spans="1:1" x14ac:dyDescent="0.2">
      <c r="A2702" s="13" t="s">
        <v>5294</v>
      </c>
    </row>
    <row r="2703" spans="1:1" x14ac:dyDescent="0.2">
      <c r="A2703" s="13" t="s">
        <v>5295</v>
      </c>
    </row>
    <row r="2704" spans="1:1" x14ac:dyDescent="0.2">
      <c r="A2704" s="13" t="s">
        <v>5296</v>
      </c>
    </row>
    <row r="2705" spans="1:1" x14ac:dyDescent="0.2">
      <c r="A2705" s="13" t="s">
        <v>5297</v>
      </c>
    </row>
    <row r="2706" spans="1:1" x14ac:dyDescent="0.2">
      <c r="A2706" s="13" t="s">
        <v>5298</v>
      </c>
    </row>
    <row r="2707" spans="1:1" x14ac:dyDescent="0.2">
      <c r="A2707" s="13" t="s">
        <v>5299</v>
      </c>
    </row>
    <row r="2708" spans="1:1" x14ac:dyDescent="0.2">
      <c r="A2708" s="13" t="s">
        <v>5300</v>
      </c>
    </row>
    <row r="2709" spans="1:1" x14ac:dyDescent="0.2">
      <c r="A2709" s="13" t="s">
        <v>5301</v>
      </c>
    </row>
    <row r="2710" spans="1:1" x14ac:dyDescent="0.2">
      <c r="A2710" s="13" t="s">
        <v>5302</v>
      </c>
    </row>
    <row r="2711" spans="1:1" x14ac:dyDescent="0.2">
      <c r="A2711" s="13" t="s">
        <v>5303</v>
      </c>
    </row>
    <row r="2712" spans="1:1" x14ac:dyDescent="0.2">
      <c r="A2712" s="13" t="s">
        <v>632</v>
      </c>
    </row>
    <row r="2713" spans="1:1" x14ac:dyDescent="0.2">
      <c r="A2713" s="13" t="s">
        <v>3383</v>
      </c>
    </row>
    <row r="2714" spans="1:1" x14ac:dyDescent="0.2">
      <c r="A2714" s="13" t="s">
        <v>5304</v>
      </c>
    </row>
    <row r="2715" spans="1:1" x14ac:dyDescent="0.2">
      <c r="A2715" s="13" t="s">
        <v>5305</v>
      </c>
    </row>
    <row r="2716" spans="1:1" x14ac:dyDescent="0.2">
      <c r="A2716" s="13" t="s">
        <v>5306</v>
      </c>
    </row>
    <row r="2717" spans="1:1" x14ac:dyDescent="0.2">
      <c r="A2717" s="13" t="s">
        <v>834</v>
      </c>
    </row>
    <row r="2718" spans="1:1" x14ac:dyDescent="0.2">
      <c r="A2718" s="13" t="s">
        <v>5307</v>
      </c>
    </row>
    <row r="2719" spans="1:1" x14ac:dyDescent="0.2">
      <c r="A2719" s="13" t="s">
        <v>5308</v>
      </c>
    </row>
    <row r="2720" spans="1:1" x14ac:dyDescent="0.2">
      <c r="A2720" s="13" t="s">
        <v>184</v>
      </c>
    </row>
    <row r="2721" spans="1:1" x14ac:dyDescent="0.2">
      <c r="A2721" s="13" t="s">
        <v>755</v>
      </c>
    </row>
    <row r="2722" spans="1:1" x14ac:dyDescent="0.2">
      <c r="A2722" s="13" t="s">
        <v>5309</v>
      </c>
    </row>
    <row r="2723" spans="1:1" x14ac:dyDescent="0.2">
      <c r="A2723" s="13" t="s">
        <v>3935</v>
      </c>
    </row>
    <row r="2724" spans="1:1" x14ac:dyDescent="0.2">
      <c r="A2724" s="13" t="s">
        <v>1169</v>
      </c>
    </row>
    <row r="2725" spans="1:1" x14ac:dyDescent="0.2">
      <c r="A2725" s="13" t="s">
        <v>3508</v>
      </c>
    </row>
    <row r="2726" spans="1:1" x14ac:dyDescent="0.2">
      <c r="A2726" s="13" t="s">
        <v>5310</v>
      </c>
    </row>
    <row r="2727" spans="1:1" x14ac:dyDescent="0.2">
      <c r="A2727" s="13" t="s">
        <v>4134</v>
      </c>
    </row>
    <row r="2728" spans="1:1" x14ac:dyDescent="0.2">
      <c r="A2728" s="13" t="s">
        <v>5311</v>
      </c>
    </row>
    <row r="2729" spans="1:1" x14ac:dyDescent="0.2">
      <c r="A2729" s="13" t="s">
        <v>1268</v>
      </c>
    </row>
    <row r="2730" spans="1:1" x14ac:dyDescent="0.2">
      <c r="A2730" s="13" t="s">
        <v>5312</v>
      </c>
    </row>
    <row r="2731" spans="1:1" x14ac:dyDescent="0.2">
      <c r="A2731" s="13" t="s">
        <v>5313</v>
      </c>
    </row>
    <row r="2732" spans="1:1" x14ac:dyDescent="0.2">
      <c r="A2732" s="13" t="s">
        <v>5314</v>
      </c>
    </row>
    <row r="2733" spans="1:1" x14ac:dyDescent="0.2">
      <c r="A2733" s="13" t="s">
        <v>5315</v>
      </c>
    </row>
    <row r="2734" spans="1:1" x14ac:dyDescent="0.2">
      <c r="A2734" s="13" t="s">
        <v>5316</v>
      </c>
    </row>
    <row r="2735" spans="1:1" x14ac:dyDescent="0.2">
      <c r="A2735" s="13" t="s">
        <v>5317</v>
      </c>
    </row>
    <row r="2736" spans="1:1" x14ac:dyDescent="0.2">
      <c r="A2736" s="13" t="s">
        <v>5318</v>
      </c>
    </row>
    <row r="2737" spans="1:1" x14ac:dyDescent="0.2">
      <c r="A2737" s="13" t="s">
        <v>1110</v>
      </c>
    </row>
    <row r="2738" spans="1:1" x14ac:dyDescent="0.2">
      <c r="A2738" s="13" t="s">
        <v>5319</v>
      </c>
    </row>
    <row r="2739" spans="1:1" x14ac:dyDescent="0.2">
      <c r="A2739" s="13" t="s">
        <v>5320</v>
      </c>
    </row>
    <row r="2740" spans="1:1" x14ac:dyDescent="0.2">
      <c r="A2740" s="13" t="s">
        <v>5321</v>
      </c>
    </row>
    <row r="2741" spans="1:1" x14ac:dyDescent="0.2">
      <c r="A2741" s="13" t="s">
        <v>1052</v>
      </c>
    </row>
    <row r="2742" spans="1:1" x14ac:dyDescent="0.2">
      <c r="A2742" s="13" t="s">
        <v>5322</v>
      </c>
    </row>
    <row r="2743" spans="1:1" x14ac:dyDescent="0.2">
      <c r="A2743" s="13" t="s">
        <v>5323</v>
      </c>
    </row>
    <row r="2744" spans="1:1" x14ac:dyDescent="0.2">
      <c r="A2744" s="13" t="s">
        <v>5324</v>
      </c>
    </row>
    <row r="2745" spans="1:1" x14ac:dyDescent="0.2">
      <c r="A2745" s="13" t="s">
        <v>5325</v>
      </c>
    </row>
    <row r="2746" spans="1:1" x14ac:dyDescent="0.2">
      <c r="A2746" s="13" t="s">
        <v>5326</v>
      </c>
    </row>
    <row r="2747" spans="1:1" x14ac:dyDescent="0.2">
      <c r="A2747" s="13" t="s">
        <v>5327</v>
      </c>
    </row>
    <row r="2748" spans="1:1" x14ac:dyDescent="0.2">
      <c r="A2748" s="13" t="s">
        <v>5328</v>
      </c>
    </row>
    <row r="2749" spans="1:1" x14ac:dyDescent="0.2">
      <c r="A2749" s="13" t="s">
        <v>5329</v>
      </c>
    </row>
    <row r="2750" spans="1:1" x14ac:dyDescent="0.2">
      <c r="A2750" s="13" t="s">
        <v>5330</v>
      </c>
    </row>
    <row r="2751" spans="1:1" x14ac:dyDescent="0.2">
      <c r="A2751" s="13" t="s">
        <v>5331</v>
      </c>
    </row>
    <row r="2752" spans="1:1" x14ac:dyDescent="0.2">
      <c r="A2752" s="13" t="s">
        <v>5332</v>
      </c>
    </row>
    <row r="2753" spans="1:1" x14ac:dyDescent="0.2">
      <c r="A2753" s="13" t="s">
        <v>5333</v>
      </c>
    </row>
    <row r="2754" spans="1:1" x14ac:dyDescent="0.2">
      <c r="A2754" s="13" t="s">
        <v>5334</v>
      </c>
    </row>
    <row r="2755" spans="1:1" x14ac:dyDescent="0.2">
      <c r="A2755" s="13" t="s">
        <v>5335</v>
      </c>
    </row>
    <row r="2756" spans="1:1" x14ac:dyDescent="0.2">
      <c r="A2756" s="13" t="s">
        <v>5336</v>
      </c>
    </row>
    <row r="2757" spans="1:1" x14ac:dyDescent="0.2">
      <c r="A2757" s="13" t="s">
        <v>5337</v>
      </c>
    </row>
    <row r="2758" spans="1:1" x14ac:dyDescent="0.2">
      <c r="A2758" s="13" t="s">
        <v>5338</v>
      </c>
    </row>
    <row r="2759" spans="1:1" x14ac:dyDescent="0.2">
      <c r="A2759" s="13" t="s">
        <v>5339</v>
      </c>
    </row>
    <row r="2760" spans="1:1" x14ac:dyDescent="0.2">
      <c r="A2760" s="13" t="s">
        <v>5340</v>
      </c>
    </row>
    <row r="2761" spans="1:1" x14ac:dyDescent="0.2">
      <c r="A2761" s="13" t="s">
        <v>5341</v>
      </c>
    </row>
    <row r="2762" spans="1:1" x14ac:dyDescent="0.2">
      <c r="A2762" s="13" t="s">
        <v>5342</v>
      </c>
    </row>
    <row r="2763" spans="1:1" x14ac:dyDescent="0.2">
      <c r="A2763" s="13" t="s">
        <v>5343</v>
      </c>
    </row>
    <row r="2764" spans="1:1" x14ac:dyDescent="0.2">
      <c r="A2764" s="13" t="s">
        <v>5344</v>
      </c>
    </row>
    <row r="2765" spans="1:1" x14ac:dyDescent="0.2">
      <c r="A2765" s="13" t="s">
        <v>5345</v>
      </c>
    </row>
    <row r="2766" spans="1:1" x14ac:dyDescent="0.2">
      <c r="A2766" s="13" t="s">
        <v>5346</v>
      </c>
    </row>
    <row r="2767" spans="1:1" x14ac:dyDescent="0.2">
      <c r="A2767" s="13" t="s">
        <v>5347</v>
      </c>
    </row>
    <row r="2768" spans="1:1" x14ac:dyDescent="0.2">
      <c r="A2768" s="13" t="s">
        <v>5348</v>
      </c>
    </row>
    <row r="2769" spans="1:1" x14ac:dyDescent="0.2">
      <c r="A2769" s="13" t="s">
        <v>5349</v>
      </c>
    </row>
    <row r="2770" spans="1:1" x14ac:dyDescent="0.2">
      <c r="A2770" s="13" t="s">
        <v>5350</v>
      </c>
    </row>
    <row r="2771" spans="1:1" x14ac:dyDescent="0.2">
      <c r="A2771" s="13" t="s">
        <v>5351</v>
      </c>
    </row>
    <row r="2772" spans="1:1" x14ac:dyDescent="0.2">
      <c r="A2772" s="13" t="s">
        <v>5352</v>
      </c>
    </row>
    <row r="2773" spans="1:1" x14ac:dyDescent="0.2">
      <c r="A2773" s="13" t="s">
        <v>5353</v>
      </c>
    </row>
    <row r="2774" spans="1:1" x14ac:dyDescent="0.2">
      <c r="A2774" s="13" t="s">
        <v>5354</v>
      </c>
    </row>
    <row r="2775" spans="1:1" x14ac:dyDescent="0.2">
      <c r="A2775" s="13" t="s">
        <v>5355</v>
      </c>
    </row>
    <row r="2776" spans="1:1" x14ac:dyDescent="0.2">
      <c r="A2776" s="13" t="s">
        <v>5356</v>
      </c>
    </row>
    <row r="2777" spans="1:1" x14ac:dyDescent="0.2">
      <c r="A2777" s="13" t="s">
        <v>5357</v>
      </c>
    </row>
    <row r="2778" spans="1:1" x14ac:dyDescent="0.2">
      <c r="A2778" s="13" t="s">
        <v>5358</v>
      </c>
    </row>
    <row r="2779" spans="1:1" x14ac:dyDescent="0.2">
      <c r="A2779" s="13" t="s">
        <v>5359</v>
      </c>
    </row>
    <row r="2780" spans="1:1" x14ac:dyDescent="0.2">
      <c r="A2780" s="13" t="s">
        <v>5360</v>
      </c>
    </row>
    <row r="2781" spans="1:1" x14ac:dyDescent="0.2">
      <c r="A2781" s="13" t="s">
        <v>5361</v>
      </c>
    </row>
    <row r="2782" spans="1:1" x14ac:dyDescent="0.2">
      <c r="A2782" s="13" t="s">
        <v>5362</v>
      </c>
    </row>
    <row r="2783" spans="1:1" x14ac:dyDescent="0.2">
      <c r="A2783" s="13" t="s">
        <v>5363</v>
      </c>
    </row>
    <row r="2784" spans="1:1" x14ac:dyDescent="0.2">
      <c r="A2784" s="13" t="s">
        <v>5364</v>
      </c>
    </row>
    <row r="2785" spans="1:1" x14ac:dyDescent="0.2">
      <c r="A2785" s="13" t="s">
        <v>5365</v>
      </c>
    </row>
    <row r="2786" spans="1:1" x14ac:dyDescent="0.2">
      <c r="A2786" s="13" t="s">
        <v>5366</v>
      </c>
    </row>
    <row r="2787" spans="1:1" x14ac:dyDescent="0.2">
      <c r="A2787" s="13" t="s">
        <v>5367</v>
      </c>
    </row>
    <row r="2788" spans="1:1" x14ac:dyDescent="0.2">
      <c r="A2788" s="13" t="s">
        <v>5368</v>
      </c>
    </row>
    <row r="2789" spans="1:1" x14ac:dyDescent="0.2">
      <c r="A2789" s="13" t="s">
        <v>5369</v>
      </c>
    </row>
    <row r="2790" spans="1:1" x14ac:dyDescent="0.2">
      <c r="A2790" s="13" t="s">
        <v>5370</v>
      </c>
    </row>
    <row r="2791" spans="1:1" x14ac:dyDescent="0.2">
      <c r="A2791" s="13" t="s">
        <v>5371</v>
      </c>
    </row>
    <row r="2792" spans="1:1" x14ac:dyDescent="0.2">
      <c r="A2792" s="13" t="s">
        <v>5372</v>
      </c>
    </row>
    <row r="2793" spans="1:1" x14ac:dyDescent="0.2">
      <c r="A2793" s="13" t="s">
        <v>5373</v>
      </c>
    </row>
    <row r="2794" spans="1:1" x14ac:dyDescent="0.2">
      <c r="A2794" s="13" t="s">
        <v>5374</v>
      </c>
    </row>
    <row r="2795" spans="1:1" x14ac:dyDescent="0.2">
      <c r="A2795" s="13" t="s">
        <v>5375</v>
      </c>
    </row>
    <row r="2796" spans="1:1" x14ac:dyDescent="0.2">
      <c r="A2796" s="13" t="s">
        <v>5376</v>
      </c>
    </row>
    <row r="2797" spans="1:1" x14ac:dyDescent="0.2">
      <c r="A2797" s="13" t="s">
        <v>5377</v>
      </c>
    </row>
    <row r="2798" spans="1:1" x14ac:dyDescent="0.2">
      <c r="A2798" s="13" t="s">
        <v>5378</v>
      </c>
    </row>
    <row r="2799" spans="1:1" x14ac:dyDescent="0.2">
      <c r="A2799" s="13" t="s">
        <v>5379</v>
      </c>
    </row>
    <row r="2800" spans="1:1" x14ac:dyDescent="0.2">
      <c r="A2800" s="13" t="s">
        <v>5380</v>
      </c>
    </row>
    <row r="2801" spans="1:1" x14ac:dyDescent="0.2">
      <c r="A2801" s="13" t="s">
        <v>5381</v>
      </c>
    </row>
    <row r="2802" spans="1:1" x14ac:dyDescent="0.2">
      <c r="A2802" s="13" t="s">
        <v>5382</v>
      </c>
    </row>
    <row r="2803" spans="1:1" x14ac:dyDescent="0.2">
      <c r="A2803" s="13" t="s">
        <v>5383</v>
      </c>
    </row>
    <row r="2804" spans="1:1" x14ac:dyDescent="0.2">
      <c r="A2804" s="13" t="s">
        <v>5384</v>
      </c>
    </row>
    <row r="2805" spans="1:1" x14ac:dyDescent="0.2">
      <c r="A2805" s="13" t="s">
        <v>5385</v>
      </c>
    </row>
    <row r="2806" spans="1:1" x14ac:dyDescent="0.2">
      <c r="A2806" s="13" t="s">
        <v>5386</v>
      </c>
    </row>
    <row r="2807" spans="1:1" x14ac:dyDescent="0.2">
      <c r="A2807" s="13" t="s">
        <v>5387</v>
      </c>
    </row>
    <row r="2808" spans="1:1" x14ac:dyDescent="0.2">
      <c r="A2808" s="13" t="s">
        <v>5388</v>
      </c>
    </row>
    <row r="2809" spans="1:1" x14ac:dyDescent="0.2">
      <c r="A2809" s="13" t="s">
        <v>5389</v>
      </c>
    </row>
    <row r="2810" spans="1:1" x14ac:dyDescent="0.2">
      <c r="A2810" s="13" t="s">
        <v>5390</v>
      </c>
    </row>
    <row r="2811" spans="1:1" x14ac:dyDescent="0.2">
      <c r="A2811" s="13" t="s">
        <v>5391</v>
      </c>
    </row>
    <row r="2812" spans="1:1" x14ac:dyDescent="0.2">
      <c r="A2812" s="13" t="s">
        <v>5392</v>
      </c>
    </row>
    <row r="2813" spans="1:1" x14ac:dyDescent="0.2">
      <c r="A2813" s="13" t="s">
        <v>5393</v>
      </c>
    </row>
    <row r="2814" spans="1:1" x14ac:dyDescent="0.2">
      <c r="A2814" s="13" t="s">
        <v>5394</v>
      </c>
    </row>
    <row r="2815" spans="1:1" x14ac:dyDescent="0.2">
      <c r="A2815" s="13" t="s">
        <v>5395</v>
      </c>
    </row>
    <row r="2816" spans="1:1" x14ac:dyDescent="0.2">
      <c r="A2816" s="13" t="s">
        <v>5396</v>
      </c>
    </row>
    <row r="2817" spans="1:1" x14ac:dyDescent="0.2">
      <c r="A2817" s="13" t="s">
        <v>5397</v>
      </c>
    </row>
    <row r="2818" spans="1:1" x14ac:dyDescent="0.2">
      <c r="A2818" s="13" t="s">
        <v>5398</v>
      </c>
    </row>
    <row r="2819" spans="1:1" x14ac:dyDescent="0.2">
      <c r="A2819" s="13" t="s">
        <v>5399</v>
      </c>
    </row>
    <row r="2820" spans="1:1" x14ac:dyDescent="0.2">
      <c r="A2820" s="13" t="s">
        <v>5400</v>
      </c>
    </row>
    <row r="2821" spans="1:1" x14ac:dyDescent="0.2">
      <c r="A2821" s="13" t="s">
        <v>5401</v>
      </c>
    </row>
    <row r="2822" spans="1:1" x14ac:dyDescent="0.2">
      <c r="A2822" s="13" t="s">
        <v>5402</v>
      </c>
    </row>
    <row r="2823" spans="1:1" x14ac:dyDescent="0.2">
      <c r="A2823" s="13" t="s">
        <v>5403</v>
      </c>
    </row>
    <row r="2824" spans="1:1" x14ac:dyDescent="0.2">
      <c r="A2824" s="13" t="s">
        <v>5404</v>
      </c>
    </row>
    <row r="2825" spans="1:1" x14ac:dyDescent="0.2">
      <c r="A2825" s="13" t="s">
        <v>5405</v>
      </c>
    </row>
    <row r="2826" spans="1:1" x14ac:dyDescent="0.2">
      <c r="A2826" s="13" t="s">
        <v>5406</v>
      </c>
    </row>
    <row r="2827" spans="1:1" x14ac:dyDescent="0.2">
      <c r="A2827" s="13" t="s">
        <v>5407</v>
      </c>
    </row>
    <row r="2828" spans="1:1" x14ac:dyDescent="0.2">
      <c r="A2828" s="13" t="s">
        <v>5408</v>
      </c>
    </row>
    <row r="2829" spans="1:1" x14ac:dyDescent="0.2">
      <c r="A2829" s="13" t="s">
        <v>5409</v>
      </c>
    </row>
    <row r="2830" spans="1:1" x14ac:dyDescent="0.2">
      <c r="A2830" s="13" t="s">
        <v>5410</v>
      </c>
    </row>
    <row r="2831" spans="1:1" x14ac:dyDescent="0.2">
      <c r="A2831" s="13" t="s">
        <v>5411</v>
      </c>
    </row>
    <row r="2832" spans="1:1" x14ac:dyDescent="0.2">
      <c r="A2832" s="13" t="s">
        <v>5412</v>
      </c>
    </row>
    <row r="2833" spans="1:1" x14ac:dyDescent="0.2">
      <c r="A2833" s="13" t="s">
        <v>5413</v>
      </c>
    </row>
    <row r="2834" spans="1:1" x14ac:dyDescent="0.2">
      <c r="A2834" s="13" t="s">
        <v>5414</v>
      </c>
    </row>
    <row r="2835" spans="1:1" x14ac:dyDescent="0.2">
      <c r="A2835" s="13" t="s">
        <v>5415</v>
      </c>
    </row>
    <row r="2836" spans="1:1" x14ac:dyDescent="0.2">
      <c r="A2836" s="13" t="s">
        <v>5416</v>
      </c>
    </row>
    <row r="2837" spans="1:1" x14ac:dyDescent="0.2">
      <c r="A2837" s="13" t="s">
        <v>5417</v>
      </c>
    </row>
    <row r="2838" spans="1:1" x14ac:dyDescent="0.2">
      <c r="A2838" s="13" t="s">
        <v>5418</v>
      </c>
    </row>
    <row r="2839" spans="1:1" x14ac:dyDescent="0.2">
      <c r="A2839" s="13" t="s">
        <v>5419</v>
      </c>
    </row>
    <row r="2840" spans="1:1" x14ac:dyDescent="0.2">
      <c r="A2840" s="13" t="s">
        <v>5420</v>
      </c>
    </row>
    <row r="2841" spans="1:1" x14ac:dyDescent="0.2">
      <c r="A2841" s="13" t="s">
        <v>5421</v>
      </c>
    </row>
    <row r="2842" spans="1:1" x14ac:dyDescent="0.2">
      <c r="A2842" s="13" t="s">
        <v>5422</v>
      </c>
    </row>
    <row r="2843" spans="1:1" x14ac:dyDescent="0.2">
      <c r="A2843" s="13" t="s">
        <v>5423</v>
      </c>
    </row>
    <row r="2844" spans="1:1" x14ac:dyDescent="0.2">
      <c r="A2844" s="13" t="s">
        <v>5424</v>
      </c>
    </row>
    <row r="2845" spans="1:1" x14ac:dyDescent="0.2">
      <c r="A2845" s="13" t="s">
        <v>5425</v>
      </c>
    </row>
    <row r="2846" spans="1:1" x14ac:dyDescent="0.2">
      <c r="A2846" s="13" t="s">
        <v>5426</v>
      </c>
    </row>
    <row r="2847" spans="1:1" x14ac:dyDescent="0.2">
      <c r="A2847" s="13" t="s">
        <v>5427</v>
      </c>
    </row>
    <row r="2848" spans="1:1" x14ac:dyDescent="0.2">
      <c r="A2848" s="13" t="s">
        <v>5428</v>
      </c>
    </row>
    <row r="2849" spans="1:1" x14ac:dyDescent="0.2">
      <c r="A2849" s="13" t="s">
        <v>5429</v>
      </c>
    </row>
    <row r="2850" spans="1:1" x14ac:dyDescent="0.2">
      <c r="A2850" s="13" t="s">
        <v>5430</v>
      </c>
    </row>
    <row r="2851" spans="1:1" x14ac:dyDescent="0.2">
      <c r="A2851" s="13" t="s">
        <v>5431</v>
      </c>
    </row>
    <row r="2852" spans="1:1" x14ac:dyDescent="0.2">
      <c r="A2852" s="13" t="s">
        <v>5432</v>
      </c>
    </row>
    <row r="2853" spans="1:1" x14ac:dyDescent="0.2">
      <c r="A2853" s="13" t="s">
        <v>5433</v>
      </c>
    </row>
    <row r="2854" spans="1:1" x14ac:dyDescent="0.2">
      <c r="A2854" s="13" t="s">
        <v>5434</v>
      </c>
    </row>
    <row r="2855" spans="1:1" x14ac:dyDescent="0.2">
      <c r="A2855" s="13" t="s">
        <v>5435</v>
      </c>
    </row>
    <row r="2856" spans="1:1" x14ac:dyDescent="0.2">
      <c r="A2856" s="13" t="s">
        <v>5436</v>
      </c>
    </row>
    <row r="2857" spans="1:1" x14ac:dyDescent="0.2">
      <c r="A2857" s="13" t="s">
        <v>5437</v>
      </c>
    </row>
    <row r="2858" spans="1:1" x14ac:dyDescent="0.2">
      <c r="A2858" s="13" t="s">
        <v>5438</v>
      </c>
    </row>
    <row r="2859" spans="1:1" x14ac:dyDescent="0.2">
      <c r="A2859" s="13" t="s">
        <v>5439</v>
      </c>
    </row>
    <row r="2860" spans="1:1" x14ac:dyDescent="0.2">
      <c r="A2860" s="13" t="s">
        <v>5440</v>
      </c>
    </row>
    <row r="2861" spans="1:1" x14ac:dyDescent="0.2">
      <c r="A2861" s="13" t="s">
        <v>5441</v>
      </c>
    </row>
    <row r="2862" spans="1:1" x14ac:dyDescent="0.2">
      <c r="A2862" s="13" t="s">
        <v>5442</v>
      </c>
    </row>
    <row r="2863" spans="1:1" x14ac:dyDescent="0.2">
      <c r="A2863" s="13" t="s">
        <v>5443</v>
      </c>
    </row>
    <row r="2864" spans="1:1" x14ac:dyDescent="0.2">
      <c r="A2864" s="13" t="s">
        <v>5444</v>
      </c>
    </row>
    <row r="2865" spans="1:1" x14ac:dyDescent="0.2">
      <c r="A2865" s="13" t="s">
        <v>5445</v>
      </c>
    </row>
    <row r="2866" spans="1:1" x14ac:dyDescent="0.2">
      <c r="A2866" s="13" t="s">
        <v>5446</v>
      </c>
    </row>
    <row r="2867" spans="1:1" x14ac:dyDescent="0.2">
      <c r="A2867" s="13" t="s">
        <v>5447</v>
      </c>
    </row>
    <row r="2868" spans="1:1" x14ac:dyDescent="0.2">
      <c r="A2868" s="13" t="s">
        <v>5448</v>
      </c>
    </row>
    <row r="2869" spans="1:1" x14ac:dyDescent="0.2">
      <c r="A2869" s="13" t="s">
        <v>5449</v>
      </c>
    </row>
    <row r="2870" spans="1:1" x14ac:dyDescent="0.2">
      <c r="A2870" s="13" t="s">
        <v>5450</v>
      </c>
    </row>
    <row r="2871" spans="1:1" x14ac:dyDescent="0.2">
      <c r="A2871" s="13" t="s">
        <v>5451</v>
      </c>
    </row>
    <row r="2872" spans="1:1" x14ac:dyDescent="0.2">
      <c r="A2872" s="13" t="s">
        <v>5452</v>
      </c>
    </row>
    <row r="2873" spans="1:1" x14ac:dyDescent="0.2">
      <c r="A2873" s="13" t="s">
        <v>5453</v>
      </c>
    </row>
    <row r="2874" spans="1:1" x14ac:dyDescent="0.2">
      <c r="A2874" s="13" t="s">
        <v>5454</v>
      </c>
    </row>
    <row r="2875" spans="1:1" x14ac:dyDescent="0.2">
      <c r="A2875" s="13" t="s">
        <v>5455</v>
      </c>
    </row>
    <row r="2876" spans="1:1" x14ac:dyDescent="0.2">
      <c r="A2876" s="13" t="s">
        <v>5456</v>
      </c>
    </row>
    <row r="2877" spans="1:1" x14ac:dyDescent="0.2">
      <c r="A2877" s="13" t="s">
        <v>5457</v>
      </c>
    </row>
    <row r="2878" spans="1:1" x14ac:dyDescent="0.2">
      <c r="A2878" s="13" t="s">
        <v>5458</v>
      </c>
    </row>
    <row r="2879" spans="1:1" x14ac:dyDescent="0.2">
      <c r="A2879" s="13" t="s">
        <v>5459</v>
      </c>
    </row>
    <row r="2880" spans="1:1" x14ac:dyDescent="0.2">
      <c r="A2880" s="13" t="s">
        <v>5460</v>
      </c>
    </row>
    <row r="2881" spans="1:1" x14ac:dyDescent="0.2">
      <c r="A2881" s="13" t="s">
        <v>5461</v>
      </c>
    </row>
    <row r="2882" spans="1:1" x14ac:dyDescent="0.2">
      <c r="A2882" s="13" t="s">
        <v>5462</v>
      </c>
    </row>
    <row r="2883" spans="1:1" x14ac:dyDescent="0.2">
      <c r="A2883" s="13" t="s">
        <v>5463</v>
      </c>
    </row>
    <row r="2884" spans="1:1" x14ac:dyDescent="0.2">
      <c r="A2884" s="13" t="s">
        <v>5464</v>
      </c>
    </row>
    <row r="2885" spans="1:1" x14ac:dyDescent="0.2">
      <c r="A2885" s="13" t="s">
        <v>5465</v>
      </c>
    </row>
    <row r="2886" spans="1:1" x14ac:dyDescent="0.2">
      <c r="A2886" s="13" t="s">
        <v>5466</v>
      </c>
    </row>
    <row r="2887" spans="1:1" x14ac:dyDescent="0.2">
      <c r="A2887" s="13" t="s">
        <v>5467</v>
      </c>
    </row>
    <row r="2888" spans="1:1" x14ac:dyDescent="0.2">
      <c r="A2888" s="13" t="s">
        <v>5468</v>
      </c>
    </row>
    <row r="2889" spans="1:1" x14ac:dyDescent="0.2">
      <c r="A2889" s="13" t="s">
        <v>5469</v>
      </c>
    </row>
    <row r="2890" spans="1:1" x14ac:dyDescent="0.2">
      <c r="A2890" s="13" t="s">
        <v>5470</v>
      </c>
    </row>
    <row r="2891" spans="1:1" x14ac:dyDescent="0.2">
      <c r="A2891" s="13" t="s">
        <v>5471</v>
      </c>
    </row>
    <row r="2892" spans="1:1" x14ac:dyDescent="0.2">
      <c r="A2892" s="13" t="s">
        <v>5472</v>
      </c>
    </row>
    <row r="2893" spans="1:1" x14ac:dyDescent="0.2">
      <c r="A2893" s="13" t="s">
        <v>5473</v>
      </c>
    </row>
    <row r="2894" spans="1:1" x14ac:dyDescent="0.2">
      <c r="A2894" s="13" t="s">
        <v>5474</v>
      </c>
    </row>
    <row r="2895" spans="1:1" x14ac:dyDescent="0.2">
      <c r="A2895" s="13" t="s">
        <v>5475</v>
      </c>
    </row>
    <row r="2896" spans="1:1" x14ac:dyDescent="0.2">
      <c r="A2896" s="13" t="s">
        <v>5476</v>
      </c>
    </row>
    <row r="2897" spans="1:1" x14ac:dyDescent="0.2">
      <c r="A2897" s="13" t="s">
        <v>5477</v>
      </c>
    </row>
    <row r="2898" spans="1:1" x14ac:dyDescent="0.2">
      <c r="A2898" s="13" t="s">
        <v>5478</v>
      </c>
    </row>
    <row r="2899" spans="1:1" x14ac:dyDescent="0.2">
      <c r="A2899" s="13" t="s">
        <v>5479</v>
      </c>
    </row>
    <row r="2900" spans="1:1" x14ac:dyDescent="0.2">
      <c r="A2900" s="13" t="s">
        <v>5480</v>
      </c>
    </row>
    <row r="2901" spans="1:1" x14ac:dyDescent="0.2">
      <c r="A2901" s="13" t="s">
        <v>5481</v>
      </c>
    </row>
    <row r="2902" spans="1:1" x14ac:dyDescent="0.2">
      <c r="A2902" s="13" t="s">
        <v>5482</v>
      </c>
    </row>
    <row r="2903" spans="1:1" x14ac:dyDescent="0.2">
      <c r="A2903" s="13" t="s">
        <v>5483</v>
      </c>
    </row>
    <row r="2904" spans="1:1" x14ac:dyDescent="0.2">
      <c r="A2904" s="13" t="s">
        <v>5484</v>
      </c>
    </row>
    <row r="2905" spans="1:1" x14ac:dyDescent="0.2">
      <c r="A2905" s="13" t="s">
        <v>5485</v>
      </c>
    </row>
    <row r="2906" spans="1:1" x14ac:dyDescent="0.2">
      <c r="A2906" s="13" t="s">
        <v>5486</v>
      </c>
    </row>
    <row r="2907" spans="1:1" x14ac:dyDescent="0.2">
      <c r="A2907" s="13" t="s">
        <v>5487</v>
      </c>
    </row>
    <row r="2908" spans="1:1" x14ac:dyDescent="0.2">
      <c r="A2908" s="13" t="s">
        <v>5488</v>
      </c>
    </row>
    <row r="2909" spans="1:1" x14ac:dyDescent="0.2">
      <c r="A2909" s="13" t="s">
        <v>5489</v>
      </c>
    </row>
    <row r="2910" spans="1:1" x14ac:dyDescent="0.2">
      <c r="A2910" s="13" t="s">
        <v>5490</v>
      </c>
    </row>
    <row r="2911" spans="1:1" x14ac:dyDescent="0.2">
      <c r="A2911" s="13" t="s">
        <v>5491</v>
      </c>
    </row>
    <row r="2912" spans="1:1" x14ac:dyDescent="0.2">
      <c r="A2912" s="13" t="s">
        <v>5492</v>
      </c>
    </row>
    <row r="2913" spans="1:1" x14ac:dyDescent="0.2">
      <c r="A2913" s="13" t="s">
        <v>5493</v>
      </c>
    </row>
    <row r="2914" spans="1:1" x14ac:dyDescent="0.2">
      <c r="A2914" s="13" t="s">
        <v>5494</v>
      </c>
    </row>
    <row r="2915" spans="1:1" x14ac:dyDescent="0.2">
      <c r="A2915" s="13" t="s">
        <v>5495</v>
      </c>
    </row>
    <row r="2916" spans="1:1" x14ac:dyDescent="0.2">
      <c r="A2916" s="13" t="s">
        <v>5496</v>
      </c>
    </row>
    <row r="2917" spans="1:1" x14ac:dyDescent="0.2">
      <c r="A2917" s="13" t="s">
        <v>5497</v>
      </c>
    </row>
    <row r="2918" spans="1:1" x14ac:dyDescent="0.2">
      <c r="A2918" s="13" t="s">
        <v>5498</v>
      </c>
    </row>
    <row r="2919" spans="1:1" x14ac:dyDescent="0.2">
      <c r="A2919" s="13" t="s">
        <v>5499</v>
      </c>
    </row>
    <row r="2920" spans="1:1" x14ac:dyDescent="0.2">
      <c r="A2920" s="13" t="s">
        <v>5500</v>
      </c>
    </row>
    <row r="2921" spans="1:1" x14ac:dyDescent="0.2">
      <c r="A2921" s="13" t="s">
        <v>5501</v>
      </c>
    </row>
    <row r="2922" spans="1:1" x14ac:dyDescent="0.2">
      <c r="A2922" s="13" t="s">
        <v>5502</v>
      </c>
    </row>
    <row r="2923" spans="1:1" x14ac:dyDescent="0.2">
      <c r="A2923" s="13" t="s">
        <v>5503</v>
      </c>
    </row>
    <row r="2924" spans="1:1" x14ac:dyDescent="0.2">
      <c r="A2924" s="13" t="s">
        <v>5504</v>
      </c>
    </row>
    <row r="2925" spans="1:1" x14ac:dyDescent="0.2">
      <c r="A2925" s="13" t="s">
        <v>5505</v>
      </c>
    </row>
    <row r="2926" spans="1:1" x14ac:dyDescent="0.2">
      <c r="A2926" s="13" t="s">
        <v>5506</v>
      </c>
    </row>
    <row r="2927" spans="1:1" x14ac:dyDescent="0.2">
      <c r="A2927" s="13" t="s">
        <v>5507</v>
      </c>
    </row>
    <row r="2928" spans="1:1" x14ac:dyDescent="0.2">
      <c r="A2928" s="13" t="s">
        <v>5508</v>
      </c>
    </row>
    <row r="2929" spans="1:1" x14ac:dyDescent="0.2">
      <c r="A2929" s="13" t="s">
        <v>5509</v>
      </c>
    </row>
    <row r="2930" spans="1:1" x14ac:dyDescent="0.2">
      <c r="A2930" s="13" t="s">
        <v>5510</v>
      </c>
    </row>
    <row r="2931" spans="1:1" x14ac:dyDescent="0.2">
      <c r="A2931" s="13" t="s">
        <v>5511</v>
      </c>
    </row>
    <row r="2932" spans="1:1" x14ac:dyDescent="0.2">
      <c r="A2932" s="13" t="s">
        <v>5512</v>
      </c>
    </row>
    <row r="2933" spans="1:1" x14ac:dyDescent="0.2">
      <c r="A2933" s="13" t="s">
        <v>2598</v>
      </c>
    </row>
    <row r="2934" spans="1:1" x14ac:dyDescent="0.2">
      <c r="A2934" s="13" t="s">
        <v>2589</v>
      </c>
    </row>
    <row r="2935" spans="1:1" x14ac:dyDescent="0.2">
      <c r="A2935" s="13" t="s">
        <v>2406</v>
      </c>
    </row>
    <row r="2936" spans="1:1" x14ac:dyDescent="0.2">
      <c r="A2936" s="13" t="s">
        <v>901</v>
      </c>
    </row>
    <row r="2937" spans="1:1" x14ac:dyDescent="0.2">
      <c r="A2937" s="13" t="s">
        <v>3467</v>
      </c>
    </row>
    <row r="2938" spans="1:1" x14ac:dyDescent="0.2">
      <c r="A2938" s="13" t="s">
        <v>5513</v>
      </c>
    </row>
    <row r="2939" spans="1:1" x14ac:dyDescent="0.2">
      <c r="A2939" s="13" t="s">
        <v>958</v>
      </c>
    </row>
    <row r="2940" spans="1:1" x14ac:dyDescent="0.2">
      <c r="A2940" s="13" t="s">
        <v>3743</v>
      </c>
    </row>
    <row r="2941" spans="1:1" x14ac:dyDescent="0.2">
      <c r="A2941" s="13" t="s">
        <v>1082</v>
      </c>
    </row>
    <row r="2942" spans="1:1" x14ac:dyDescent="0.2">
      <c r="A2942" s="13" t="s">
        <v>5514</v>
      </c>
    </row>
    <row r="2943" spans="1:1" x14ac:dyDescent="0.2">
      <c r="A2943" s="13" t="s">
        <v>1285</v>
      </c>
    </row>
    <row r="2944" spans="1:1" x14ac:dyDescent="0.2">
      <c r="A2944" s="13" t="s">
        <v>5515</v>
      </c>
    </row>
    <row r="2945" spans="1:1" x14ac:dyDescent="0.2">
      <c r="A2945" s="13" t="s">
        <v>1728</v>
      </c>
    </row>
    <row r="2946" spans="1:1" x14ac:dyDescent="0.2">
      <c r="A2946" s="13" t="s">
        <v>3959</v>
      </c>
    </row>
    <row r="2947" spans="1:1" x14ac:dyDescent="0.2">
      <c r="A2947" s="13" t="s">
        <v>2416</v>
      </c>
    </row>
    <row r="2948" spans="1:1" x14ac:dyDescent="0.2">
      <c r="A2948" s="13" t="s">
        <v>1263</v>
      </c>
    </row>
    <row r="2949" spans="1:1" x14ac:dyDescent="0.2">
      <c r="A2949" s="13" t="s">
        <v>1682</v>
      </c>
    </row>
    <row r="2950" spans="1:1" x14ac:dyDescent="0.2">
      <c r="A2950" s="13" t="s">
        <v>2075</v>
      </c>
    </row>
    <row r="2951" spans="1:1" x14ac:dyDescent="0.2">
      <c r="A2951" s="13" t="s">
        <v>5516</v>
      </c>
    </row>
    <row r="2952" spans="1:1" x14ac:dyDescent="0.2">
      <c r="A2952" s="13" t="s">
        <v>5517</v>
      </c>
    </row>
    <row r="2953" spans="1:1" x14ac:dyDescent="0.2">
      <c r="A2953" s="13" t="s">
        <v>293</v>
      </c>
    </row>
    <row r="2954" spans="1:1" x14ac:dyDescent="0.2">
      <c r="A2954" s="13" t="s">
        <v>434</v>
      </c>
    </row>
    <row r="2955" spans="1:1" x14ac:dyDescent="0.2">
      <c r="A2955" s="13" t="s">
        <v>5518</v>
      </c>
    </row>
    <row r="2956" spans="1:1" x14ac:dyDescent="0.2">
      <c r="A2956" s="13" t="s">
        <v>5519</v>
      </c>
    </row>
    <row r="2957" spans="1:1" x14ac:dyDescent="0.2">
      <c r="A2957" s="13" t="s">
        <v>2791</v>
      </c>
    </row>
    <row r="2958" spans="1:1" x14ac:dyDescent="0.2">
      <c r="A2958" s="13" t="s">
        <v>5520</v>
      </c>
    </row>
    <row r="2959" spans="1:1" x14ac:dyDescent="0.2">
      <c r="A2959" s="13" t="s">
        <v>5521</v>
      </c>
    </row>
    <row r="2960" spans="1:1" x14ac:dyDescent="0.2">
      <c r="A2960" s="13" t="s">
        <v>1022</v>
      </c>
    </row>
    <row r="2961" spans="1:1" x14ac:dyDescent="0.2">
      <c r="A2961" s="13" t="s">
        <v>2891</v>
      </c>
    </row>
    <row r="2962" spans="1:1" x14ac:dyDescent="0.2">
      <c r="A2962" s="13" t="s">
        <v>5522</v>
      </c>
    </row>
    <row r="2963" spans="1:1" x14ac:dyDescent="0.2">
      <c r="A2963" s="13" t="s">
        <v>948</v>
      </c>
    </row>
    <row r="2964" spans="1:1" x14ac:dyDescent="0.2">
      <c r="A2964" s="13" t="s">
        <v>5523</v>
      </c>
    </row>
    <row r="2965" spans="1:1" x14ac:dyDescent="0.2">
      <c r="A2965" s="13" t="s">
        <v>3570</v>
      </c>
    </row>
    <row r="2966" spans="1:1" x14ac:dyDescent="0.2">
      <c r="A2966" s="13" t="s">
        <v>3920</v>
      </c>
    </row>
    <row r="2967" spans="1:1" x14ac:dyDescent="0.2">
      <c r="A2967" s="13" t="s">
        <v>5524</v>
      </c>
    </row>
    <row r="2968" spans="1:1" x14ac:dyDescent="0.2">
      <c r="A2968" s="13" t="s">
        <v>1161</v>
      </c>
    </row>
    <row r="2969" spans="1:1" x14ac:dyDescent="0.2">
      <c r="A2969" s="13" t="s">
        <v>3392</v>
      </c>
    </row>
    <row r="2970" spans="1:1" x14ac:dyDescent="0.2">
      <c r="A2970" s="13" t="s">
        <v>5525</v>
      </c>
    </row>
    <row r="2971" spans="1:1" x14ac:dyDescent="0.2">
      <c r="A2971" s="13" t="s">
        <v>5526</v>
      </c>
    </row>
    <row r="2972" spans="1:1" x14ac:dyDescent="0.2">
      <c r="A2972" s="13" t="s">
        <v>5527</v>
      </c>
    </row>
    <row r="2973" spans="1:1" x14ac:dyDescent="0.2">
      <c r="A2973" s="13" t="s">
        <v>3028</v>
      </c>
    </row>
    <row r="2974" spans="1:1" x14ac:dyDescent="0.2">
      <c r="A2974" s="13" t="s">
        <v>2323</v>
      </c>
    </row>
    <row r="2975" spans="1:1" x14ac:dyDescent="0.2">
      <c r="A2975" s="13" t="s">
        <v>5528</v>
      </c>
    </row>
    <row r="2976" spans="1:1" x14ac:dyDescent="0.2">
      <c r="A2976" s="13" t="s">
        <v>3858</v>
      </c>
    </row>
    <row r="2977" spans="1:1" x14ac:dyDescent="0.2">
      <c r="A2977" s="13" t="s">
        <v>830</v>
      </c>
    </row>
    <row r="2978" spans="1:1" x14ac:dyDescent="0.2">
      <c r="A2978" s="13" t="s">
        <v>1938</v>
      </c>
    </row>
    <row r="2979" spans="1:1" x14ac:dyDescent="0.2">
      <c r="A2979" s="13" t="s">
        <v>3814</v>
      </c>
    </row>
    <row r="2980" spans="1:1" x14ac:dyDescent="0.2">
      <c r="A2980" s="13" t="s">
        <v>5529</v>
      </c>
    </row>
    <row r="2981" spans="1:1" x14ac:dyDescent="0.2">
      <c r="A2981" s="13" t="s">
        <v>3375</v>
      </c>
    </row>
    <row r="2982" spans="1:1" x14ac:dyDescent="0.2">
      <c r="A2982" s="13" t="s">
        <v>2077</v>
      </c>
    </row>
    <row r="2983" spans="1:1" x14ac:dyDescent="0.2">
      <c r="A2983" s="13" t="s">
        <v>2330</v>
      </c>
    </row>
    <row r="2984" spans="1:1" x14ac:dyDescent="0.2">
      <c r="A2984" s="13" t="s">
        <v>5530</v>
      </c>
    </row>
    <row r="2985" spans="1:1" x14ac:dyDescent="0.2">
      <c r="A2985" s="13" t="s">
        <v>2033</v>
      </c>
    </row>
    <row r="2986" spans="1:1" x14ac:dyDescent="0.2">
      <c r="A2986" s="13" t="s">
        <v>2707</v>
      </c>
    </row>
    <row r="2987" spans="1:1" x14ac:dyDescent="0.2">
      <c r="A2987" s="13" t="s">
        <v>1889</v>
      </c>
    </row>
    <row r="2988" spans="1:1" x14ac:dyDescent="0.2">
      <c r="A2988" s="13" t="s">
        <v>2678</v>
      </c>
    </row>
    <row r="2989" spans="1:1" x14ac:dyDescent="0.2">
      <c r="A2989" s="13" t="s">
        <v>2613</v>
      </c>
    </row>
    <row r="2990" spans="1:1" x14ac:dyDescent="0.2">
      <c r="A2990" s="13" t="s">
        <v>696</v>
      </c>
    </row>
    <row r="2991" spans="1:1" x14ac:dyDescent="0.2">
      <c r="A2991" s="13" t="s">
        <v>1312</v>
      </c>
    </row>
    <row r="2992" spans="1:1" x14ac:dyDescent="0.2">
      <c r="A2992" s="13" t="s">
        <v>3755</v>
      </c>
    </row>
    <row r="2993" spans="1:1" x14ac:dyDescent="0.2">
      <c r="A2993" s="13" t="s">
        <v>5531</v>
      </c>
    </row>
    <row r="2994" spans="1:1" x14ac:dyDescent="0.2">
      <c r="A2994" s="13" t="s">
        <v>5532</v>
      </c>
    </row>
    <row r="2995" spans="1:1" x14ac:dyDescent="0.2">
      <c r="A2995" s="13" t="s">
        <v>3367</v>
      </c>
    </row>
    <row r="2996" spans="1:1" x14ac:dyDescent="0.2">
      <c r="A2996" s="13" t="s">
        <v>344</v>
      </c>
    </row>
    <row r="2997" spans="1:1" x14ac:dyDescent="0.2">
      <c r="A2997" s="13" t="s">
        <v>5533</v>
      </c>
    </row>
    <row r="2998" spans="1:1" x14ac:dyDescent="0.2">
      <c r="A2998" s="13" t="s">
        <v>2672</v>
      </c>
    </row>
    <row r="2999" spans="1:1" x14ac:dyDescent="0.2">
      <c r="A2999" s="13" t="s">
        <v>3165</v>
      </c>
    </row>
    <row r="3000" spans="1:1" x14ac:dyDescent="0.2">
      <c r="A3000" s="13" t="s">
        <v>2618</v>
      </c>
    </row>
    <row r="3001" spans="1:1" x14ac:dyDescent="0.2">
      <c r="A3001" s="13" t="s">
        <v>1367</v>
      </c>
    </row>
    <row r="3002" spans="1:1" x14ac:dyDescent="0.2">
      <c r="A3002" s="13" t="s">
        <v>3188</v>
      </c>
    </row>
    <row r="3003" spans="1:1" x14ac:dyDescent="0.2">
      <c r="A3003" s="13" t="s">
        <v>5534</v>
      </c>
    </row>
    <row r="3004" spans="1:1" x14ac:dyDescent="0.2">
      <c r="A3004" s="13" t="s">
        <v>5535</v>
      </c>
    </row>
    <row r="3005" spans="1:1" x14ac:dyDescent="0.2">
      <c r="A3005" s="13" t="s">
        <v>3782</v>
      </c>
    </row>
    <row r="3006" spans="1:1" x14ac:dyDescent="0.2">
      <c r="A3006" s="13" t="s">
        <v>684</v>
      </c>
    </row>
    <row r="3007" spans="1:1" x14ac:dyDescent="0.2">
      <c r="A3007" s="13" t="s">
        <v>5536</v>
      </c>
    </row>
    <row r="3008" spans="1:1" x14ac:dyDescent="0.2">
      <c r="A3008" s="13" t="s">
        <v>5537</v>
      </c>
    </row>
    <row r="3009" spans="1:1" x14ac:dyDescent="0.2">
      <c r="A3009" s="13" t="s">
        <v>5538</v>
      </c>
    </row>
    <row r="3010" spans="1:1" x14ac:dyDescent="0.2">
      <c r="A3010" s="13" t="s">
        <v>1544</v>
      </c>
    </row>
    <row r="3011" spans="1:1" x14ac:dyDescent="0.2">
      <c r="A3011" s="13" t="s">
        <v>1135</v>
      </c>
    </row>
    <row r="3012" spans="1:1" x14ac:dyDescent="0.2">
      <c r="A3012" s="13" t="s">
        <v>1458</v>
      </c>
    </row>
    <row r="3013" spans="1:1" x14ac:dyDescent="0.2">
      <c r="A3013" s="13" t="s">
        <v>4050</v>
      </c>
    </row>
    <row r="3014" spans="1:1" x14ac:dyDescent="0.2">
      <c r="A3014" s="13" t="s">
        <v>5539</v>
      </c>
    </row>
    <row r="3015" spans="1:1" x14ac:dyDescent="0.2">
      <c r="A3015" s="13" t="s">
        <v>5540</v>
      </c>
    </row>
    <row r="3016" spans="1:1" x14ac:dyDescent="0.2">
      <c r="A3016" s="13" t="s">
        <v>5541</v>
      </c>
    </row>
    <row r="3017" spans="1:1" x14ac:dyDescent="0.2">
      <c r="A3017" s="13" t="s">
        <v>3779</v>
      </c>
    </row>
    <row r="3018" spans="1:1" x14ac:dyDescent="0.2">
      <c r="A3018" s="13" t="s">
        <v>444</v>
      </c>
    </row>
    <row r="3019" spans="1:1" x14ac:dyDescent="0.2">
      <c r="A3019" s="13" t="s">
        <v>2625</v>
      </c>
    </row>
    <row r="3020" spans="1:1" x14ac:dyDescent="0.2">
      <c r="A3020" s="13" t="s">
        <v>5542</v>
      </c>
    </row>
    <row r="3021" spans="1:1" x14ac:dyDescent="0.2">
      <c r="A3021" s="13" t="s">
        <v>513</v>
      </c>
    </row>
    <row r="3022" spans="1:1" x14ac:dyDescent="0.2">
      <c r="A3022" s="13" t="s">
        <v>2443</v>
      </c>
    </row>
    <row r="3023" spans="1:1" x14ac:dyDescent="0.2">
      <c r="A3023" s="13" t="s">
        <v>1729</v>
      </c>
    </row>
    <row r="3024" spans="1:1" x14ac:dyDescent="0.2">
      <c r="A3024" s="13" t="s">
        <v>3667</v>
      </c>
    </row>
    <row r="3025" spans="1:1" x14ac:dyDescent="0.2">
      <c r="A3025" s="13" t="s">
        <v>932</v>
      </c>
    </row>
    <row r="3026" spans="1:1" x14ac:dyDescent="0.2">
      <c r="A3026" s="13" t="s">
        <v>288</v>
      </c>
    </row>
    <row r="3027" spans="1:1" x14ac:dyDescent="0.2">
      <c r="A3027" s="13" t="s">
        <v>5543</v>
      </c>
    </row>
    <row r="3028" spans="1:1" x14ac:dyDescent="0.2">
      <c r="A3028" s="13" t="s">
        <v>1080</v>
      </c>
    </row>
    <row r="3029" spans="1:1" x14ac:dyDescent="0.2">
      <c r="A3029" s="13" t="s">
        <v>3544</v>
      </c>
    </row>
    <row r="3030" spans="1:1" x14ac:dyDescent="0.2">
      <c r="A3030" s="13" t="s">
        <v>5544</v>
      </c>
    </row>
    <row r="3031" spans="1:1" x14ac:dyDescent="0.2">
      <c r="A3031" s="13" t="s">
        <v>2421</v>
      </c>
    </row>
    <row r="3032" spans="1:1" x14ac:dyDescent="0.2">
      <c r="A3032" s="13" t="s">
        <v>1307</v>
      </c>
    </row>
    <row r="3033" spans="1:1" x14ac:dyDescent="0.2">
      <c r="A3033" s="13" t="s">
        <v>5545</v>
      </c>
    </row>
    <row r="3034" spans="1:1" x14ac:dyDescent="0.2">
      <c r="A3034" s="13" t="s">
        <v>657</v>
      </c>
    </row>
    <row r="3035" spans="1:1" x14ac:dyDescent="0.2">
      <c r="A3035" s="13" t="s">
        <v>3553</v>
      </c>
    </row>
    <row r="3036" spans="1:1" x14ac:dyDescent="0.2">
      <c r="A3036" s="13" t="s">
        <v>5546</v>
      </c>
    </row>
    <row r="3037" spans="1:1" x14ac:dyDescent="0.2">
      <c r="A3037" s="13" t="s">
        <v>1642</v>
      </c>
    </row>
    <row r="3038" spans="1:1" x14ac:dyDescent="0.2">
      <c r="A3038" s="13" t="s">
        <v>3598</v>
      </c>
    </row>
    <row r="3039" spans="1:1" x14ac:dyDescent="0.2">
      <c r="A3039" s="13" t="s">
        <v>2731</v>
      </c>
    </row>
    <row r="3040" spans="1:1" x14ac:dyDescent="0.2">
      <c r="A3040" s="13" t="s">
        <v>5547</v>
      </c>
    </row>
    <row r="3041" spans="1:1" x14ac:dyDescent="0.2">
      <c r="A3041" s="13" t="s">
        <v>1102</v>
      </c>
    </row>
    <row r="3042" spans="1:1" x14ac:dyDescent="0.2">
      <c r="A3042" s="13" t="s">
        <v>2505</v>
      </c>
    </row>
    <row r="3043" spans="1:1" x14ac:dyDescent="0.2">
      <c r="A3043" s="13" t="s">
        <v>5548</v>
      </c>
    </row>
    <row r="3044" spans="1:1" x14ac:dyDescent="0.2">
      <c r="A3044" s="13" t="s">
        <v>3620</v>
      </c>
    </row>
    <row r="3045" spans="1:1" x14ac:dyDescent="0.2">
      <c r="A3045" s="13" t="s">
        <v>5549</v>
      </c>
    </row>
    <row r="3046" spans="1:1" x14ac:dyDescent="0.2">
      <c r="A3046" s="13" t="s">
        <v>3889</v>
      </c>
    </row>
    <row r="3047" spans="1:1" x14ac:dyDescent="0.2">
      <c r="A3047" s="13" t="s">
        <v>5550</v>
      </c>
    </row>
    <row r="3048" spans="1:1" x14ac:dyDescent="0.2">
      <c r="A3048" s="13" t="s">
        <v>1700</v>
      </c>
    </row>
    <row r="3049" spans="1:1" x14ac:dyDescent="0.2">
      <c r="A3049" s="13" t="s">
        <v>2896</v>
      </c>
    </row>
    <row r="3050" spans="1:1" x14ac:dyDescent="0.2">
      <c r="A3050" s="13" t="s">
        <v>1159</v>
      </c>
    </row>
    <row r="3051" spans="1:1" x14ac:dyDescent="0.2">
      <c r="A3051" s="13" t="s">
        <v>5551</v>
      </c>
    </row>
    <row r="3052" spans="1:1" x14ac:dyDescent="0.2">
      <c r="A3052" s="13" t="s">
        <v>5552</v>
      </c>
    </row>
    <row r="3053" spans="1:1" x14ac:dyDescent="0.2">
      <c r="A3053" s="13" t="s">
        <v>5553</v>
      </c>
    </row>
    <row r="3054" spans="1:1" x14ac:dyDescent="0.2">
      <c r="A3054" s="13" t="s">
        <v>3906</v>
      </c>
    </row>
    <row r="3055" spans="1:1" x14ac:dyDescent="0.2">
      <c r="A3055" s="13" t="s">
        <v>3872</v>
      </c>
    </row>
    <row r="3056" spans="1:1" x14ac:dyDescent="0.2">
      <c r="A3056" s="13" t="s">
        <v>5554</v>
      </c>
    </row>
    <row r="3057" spans="1:1" x14ac:dyDescent="0.2">
      <c r="A3057" s="13" t="s">
        <v>5555</v>
      </c>
    </row>
    <row r="3058" spans="1:1" x14ac:dyDescent="0.2">
      <c r="A3058" s="13" t="s">
        <v>4009</v>
      </c>
    </row>
    <row r="3059" spans="1:1" x14ac:dyDescent="0.2">
      <c r="A3059" s="13" t="s">
        <v>5556</v>
      </c>
    </row>
    <row r="3060" spans="1:1" x14ac:dyDescent="0.2">
      <c r="A3060" s="13" t="s">
        <v>5557</v>
      </c>
    </row>
    <row r="3061" spans="1:1" x14ac:dyDescent="0.2">
      <c r="A3061" s="13" t="s">
        <v>5558</v>
      </c>
    </row>
    <row r="3062" spans="1:1" x14ac:dyDescent="0.2">
      <c r="A3062" s="13" t="s">
        <v>1316</v>
      </c>
    </row>
    <row r="3063" spans="1:1" x14ac:dyDescent="0.2">
      <c r="A3063" s="13" t="s">
        <v>3164</v>
      </c>
    </row>
    <row r="3064" spans="1:1" x14ac:dyDescent="0.2">
      <c r="A3064" s="13" t="s">
        <v>5559</v>
      </c>
    </row>
    <row r="3065" spans="1:1" x14ac:dyDescent="0.2">
      <c r="A3065" s="13" t="s">
        <v>176</v>
      </c>
    </row>
    <row r="3066" spans="1:1" x14ac:dyDescent="0.2">
      <c r="A3066" s="13" t="s">
        <v>1739</v>
      </c>
    </row>
    <row r="3067" spans="1:1" x14ac:dyDescent="0.2">
      <c r="A3067" s="13" t="s">
        <v>1772</v>
      </c>
    </row>
    <row r="3068" spans="1:1" x14ac:dyDescent="0.2">
      <c r="A3068" s="13" t="s">
        <v>4072</v>
      </c>
    </row>
    <row r="3069" spans="1:1" x14ac:dyDescent="0.2">
      <c r="A3069" s="13" t="s">
        <v>3999</v>
      </c>
    </row>
    <row r="3070" spans="1:1" x14ac:dyDescent="0.2">
      <c r="A3070" s="13" t="s">
        <v>5560</v>
      </c>
    </row>
    <row r="3071" spans="1:1" x14ac:dyDescent="0.2">
      <c r="A3071" s="13" t="s">
        <v>1417</v>
      </c>
    </row>
    <row r="3072" spans="1:1" x14ac:dyDescent="0.2">
      <c r="A3072" s="13" t="s">
        <v>1042</v>
      </c>
    </row>
    <row r="3073" spans="1:1" x14ac:dyDescent="0.2">
      <c r="A3073" s="13" t="s">
        <v>5561</v>
      </c>
    </row>
    <row r="3074" spans="1:1" x14ac:dyDescent="0.2">
      <c r="A3074" s="13" t="s">
        <v>3819</v>
      </c>
    </row>
    <row r="3075" spans="1:1" x14ac:dyDescent="0.2">
      <c r="A3075" s="13" t="s">
        <v>4124</v>
      </c>
    </row>
    <row r="3076" spans="1:1" x14ac:dyDescent="0.2">
      <c r="A3076" s="13" t="s">
        <v>3832</v>
      </c>
    </row>
    <row r="3077" spans="1:1" x14ac:dyDescent="0.2">
      <c r="A3077" s="13" t="s">
        <v>5562</v>
      </c>
    </row>
    <row r="3078" spans="1:1" x14ac:dyDescent="0.2">
      <c r="A3078" s="13" t="s">
        <v>5563</v>
      </c>
    </row>
    <row r="3079" spans="1:1" x14ac:dyDescent="0.2">
      <c r="A3079" s="13" t="s">
        <v>2577</v>
      </c>
    </row>
    <row r="3080" spans="1:1" x14ac:dyDescent="0.2">
      <c r="A3080" s="13" t="s">
        <v>3220</v>
      </c>
    </row>
    <row r="3081" spans="1:1" x14ac:dyDescent="0.2">
      <c r="A3081" s="13" t="s">
        <v>5564</v>
      </c>
    </row>
    <row r="3082" spans="1:1" x14ac:dyDescent="0.2">
      <c r="A3082" s="13" t="s">
        <v>1909</v>
      </c>
    </row>
    <row r="3083" spans="1:1" x14ac:dyDescent="0.2">
      <c r="A3083" s="13" t="s">
        <v>5565</v>
      </c>
    </row>
    <row r="3084" spans="1:1" x14ac:dyDescent="0.2">
      <c r="A3084" s="13" t="s">
        <v>5566</v>
      </c>
    </row>
    <row r="3085" spans="1:1" x14ac:dyDescent="0.2">
      <c r="A3085" s="13" t="s">
        <v>2801</v>
      </c>
    </row>
    <row r="3086" spans="1:1" x14ac:dyDescent="0.2">
      <c r="A3086" s="13" t="s">
        <v>1363</v>
      </c>
    </row>
    <row r="3087" spans="1:1" x14ac:dyDescent="0.2">
      <c r="A3087" s="13" t="s">
        <v>5567</v>
      </c>
    </row>
    <row r="3088" spans="1:1" x14ac:dyDescent="0.2">
      <c r="A3088" s="13" t="s">
        <v>5568</v>
      </c>
    </row>
    <row r="3089" spans="1:1" x14ac:dyDescent="0.2">
      <c r="A3089" s="13" t="s">
        <v>3903</v>
      </c>
    </row>
    <row r="3090" spans="1:1" x14ac:dyDescent="0.2">
      <c r="A3090" s="13" t="s">
        <v>5569</v>
      </c>
    </row>
    <row r="3091" spans="1:1" x14ac:dyDescent="0.2">
      <c r="A3091" s="13" t="s">
        <v>5570</v>
      </c>
    </row>
    <row r="3092" spans="1:1" x14ac:dyDescent="0.2">
      <c r="A3092" s="13" t="s">
        <v>2150</v>
      </c>
    </row>
    <row r="3093" spans="1:1" x14ac:dyDescent="0.2">
      <c r="A3093" s="13" t="s">
        <v>2108</v>
      </c>
    </row>
    <row r="3094" spans="1:1" x14ac:dyDescent="0.2">
      <c r="A3094" s="13" t="s">
        <v>1512</v>
      </c>
    </row>
    <row r="3095" spans="1:1" x14ac:dyDescent="0.2">
      <c r="A3095" s="13" t="s">
        <v>5571</v>
      </c>
    </row>
    <row r="3096" spans="1:1" x14ac:dyDescent="0.2">
      <c r="A3096" s="13" t="s">
        <v>5572</v>
      </c>
    </row>
    <row r="3097" spans="1:1" x14ac:dyDescent="0.2">
      <c r="A3097" s="13" t="s">
        <v>2191</v>
      </c>
    </row>
    <row r="3098" spans="1:1" x14ac:dyDescent="0.2">
      <c r="A3098" s="13" t="s">
        <v>2626</v>
      </c>
    </row>
    <row r="3099" spans="1:1" x14ac:dyDescent="0.2">
      <c r="A3099" s="13" t="s">
        <v>2258</v>
      </c>
    </row>
    <row r="3100" spans="1:1" x14ac:dyDescent="0.2">
      <c r="A3100" s="13" t="s">
        <v>3462</v>
      </c>
    </row>
    <row r="3101" spans="1:1" x14ac:dyDescent="0.2">
      <c r="A3101" s="13" t="s">
        <v>3281</v>
      </c>
    </row>
    <row r="3102" spans="1:1" x14ac:dyDescent="0.2">
      <c r="A3102" s="13" t="s">
        <v>5573</v>
      </c>
    </row>
    <row r="3103" spans="1:1" x14ac:dyDescent="0.2">
      <c r="A3103" s="13" t="s">
        <v>5574</v>
      </c>
    </row>
    <row r="3104" spans="1:1" x14ac:dyDescent="0.2">
      <c r="A3104" s="13" t="s">
        <v>2851</v>
      </c>
    </row>
    <row r="3105" spans="1:1" x14ac:dyDescent="0.2">
      <c r="A3105" s="13" t="s">
        <v>2508</v>
      </c>
    </row>
    <row r="3106" spans="1:1" x14ac:dyDescent="0.2">
      <c r="A3106" s="13" t="s">
        <v>5575</v>
      </c>
    </row>
    <row r="3107" spans="1:1" x14ac:dyDescent="0.2">
      <c r="A3107" s="13" t="s">
        <v>1952</v>
      </c>
    </row>
    <row r="3108" spans="1:1" x14ac:dyDescent="0.2">
      <c r="A3108" s="13" t="s">
        <v>1242</v>
      </c>
    </row>
    <row r="3109" spans="1:1" x14ac:dyDescent="0.2">
      <c r="A3109" s="13" t="s">
        <v>1725</v>
      </c>
    </row>
    <row r="3110" spans="1:1" x14ac:dyDescent="0.2">
      <c r="A3110" s="13" t="s">
        <v>2914</v>
      </c>
    </row>
    <row r="3111" spans="1:1" x14ac:dyDescent="0.2">
      <c r="A3111" s="13" t="s">
        <v>5576</v>
      </c>
    </row>
    <row r="3112" spans="1:1" x14ac:dyDescent="0.2">
      <c r="A3112" s="13" t="s">
        <v>2332</v>
      </c>
    </row>
    <row r="3113" spans="1:1" x14ac:dyDescent="0.2">
      <c r="A3113" s="13" t="s">
        <v>2944</v>
      </c>
    </row>
    <row r="3114" spans="1:1" x14ac:dyDescent="0.2">
      <c r="A3114" s="13" t="s">
        <v>3184</v>
      </c>
    </row>
    <row r="3115" spans="1:1" x14ac:dyDescent="0.2">
      <c r="A3115" s="13" t="s">
        <v>5577</v>
      </c>
    </row>
    <row r="3116" spans="1:1" x14ac:dyDescent="0.2">
      <c r="A3116" s="13" t="s">
        <v>5578</v>
      </c>
    </row>
    <row r="3117" spans="1:1" x14ac:dyDescent="0.2">
      <c r="A3117" s="13" t="s">
        <v>5579</v>
      </c>
    </row>
    <row r="3118" spans="1:1" x14ac:dyDescent="0.2">
      <c r="A3118" s="13" t="s">
        <v>378</v>
      </c>
    </row>
    <row r="3119" spans="1:1" x14ac:dyDescent="0.2">
      <c r="A3119" s="13" t="s">
        <v>3988</v>
      </c>
    </row>
    <row r="3120" spans="1:1" x14ac:dyDescent="0.2">
      <c r="A3120" s="13" t="s">
        <v>5580</v>
      </c>
    </row>
    <row r="3121" spans="1:1" x14ac:dyDescent="0.2">
      <c r="A3121" s="13" t="s">
        <v>612</v>
      </c>
    </row>
    <row r="3122" spans="1:1" x14ac:dyDescent="0.2">
      <c r="A3122" s="13" t="s">
        <v>5581</v>
      </c>
    </row>
    <row r="3123" spans="1:1" x14ac:dyDescent="0.2">
      <c r="A3123" s="13" t="s">
        <v>1621</v>
      </c>
    </row>
    <row r="3124" spans="1:1" x14ac:dyDescent="0.2">
      <c r="A3124" s="13" t="s">
        <v>5582</v>
      </c>
    </row>
    <row r="3125" spans="1:1" x14ac:dyDescent="0.2">
      <c r="A3125" s="13" t="s">
        <v>5583</v>
      </c>
    </row>
    <row r="3126" spans="1:1" x14ac:dyDescent="0.2">
      <c r="A3126" s="13" t="s">
        <v>5584</v>
      </c>
    </row>
    <row r="3127" spans="1:1" x14ac:dyDescent="0.2">
      <c r="A3127" s="13" t="s">
        <v>1959</v>
      </c>
    </row>
    <row r="3128" spans="1:1" x14ac:dyDescent="0.2">
      <c r="A3128" s="13" t="s">
        <v>5585</v>
      </c>
    </row>
    <row r="3129" spans="1:1" x14ac:dyDescent="0.2">
      <c r="A3129" s="13" t="s">
        <v>5586</v>
      </c>
    </row>
    <row r="3130" spans="1:1" x14ac:dyDescent="0.2">
      <c r="A3130" s="13" t="s">
        <v>5587</v>
      </c>
    </row>
    <row r="3131" spans="1:1" x14ac:dyDescent="0.2">
      <c r="A3131" s="13" t="s">
        <v>1554</v>
      </c>
    </row>
    <row r="3132" spans="1:1" x14ac:dyDescent="0.2">
      <c r="A3132" s="13" t="s">
        <v>3194</v>
      </c>
    </row>
    <row r="3133" spans="1:1" x14ac:dyDescent="0.2">
      <c r="A3133" s="13" t="s">
        <v>5588</v>
      </c>
    </row>
    <row r="3134" spans="1:1" x14ac:dyDescent="0.2">
      <c r="A3134" s="13" t="s">
        <v>1408</v>
      </c>
    </row>
    <row r="3135" spans="1:1" x14ac:dyDescent="0.2">
      <c r="A3135" s="13" t="s">
        <v>5589</v>
      </c>
    </row>
    <row r="3136" spans="1:1" x14ac:dyDescent="0.2">
      <c r="A3136" s="13" t="s">
        <v>228</v>
      </c>
    </row>
    <row r="3137" spans="1:1" x14ac:dyDescent="0.2">
      <c r="A3137" s="13" t="s">
        <v>3536</v>
      </c>
    </row>
    <row r="3138" spans="1:1" x14ac:dyDescent="0.2">
      <c r="A3138" s="13" t="s">
        <v>503</v>
      </c>
    </row>
    <row r="3139" spans="1:1" x14ac:dyDescent="0.2">
      <c r="A3139" s="13" t="s">
        <v>1799</v>
      </c>
    </row>
    <row r="3140" spans="1:1" x14ac:dyDescent="0.2">
      <c r="A3140" s="13" t="s">
        <v>3112</v>
      </c>
    </row>
    <row r="3141" spans="1:1" x14ac:dyDescent="0.2">
      <c r="A3141" s="13" t="s">
        <v>843</v>
      </c>
    </row>
    <row r="3142" spans="1:1" x14ac:dyDescent="0.2">
      <c r="A3142" s="13" t="s">
        <v>5590</v>
      </c>
    </row>
    <row r="3143" spans="1:1" x14ac:dyDescent="0.2">
      <c r="A3143" s="13" t="s">
        <v>5591</v>
      </c>
    </row>
    <row r="3144" spans="1:1" x14ac:dyDescent="0.2">
      <c r="A3144" s="13" t="s">
        <v>2097</v>
      </c>
    </row>
    <row r="3145" spans="1:1" x14ac:dyDescent="0.2">
      <c r="A3145" s="13" t="s">
        <v>5592</v>
      </c>
    </row>
    <row r="3146" spans="1:1" x14ac:dyDescent="0.2">
      <c r="A3146" s="13" t="s">
        <v>5593</v>
      </c>
    </row>
    <row r="3147" spans="1:1" x14ac:dyDescent="0.2">
      <c r="A3147" s="13" t="s">
        <v>3978</v>
      </c>
    </row>
    <row r="3148" spans="1:1" x14ac:dyDescent="0.2">
      <c r="A3148" s="13" t="s">
        <v>595</v>
      </c>
    </row>
    <row r="3149" spans="1:1" x14ac:dyDescent="0.2">
      <c r="A3149" s="13" t="s">
        <v>1140</v>
      </c>
    </row>
    <row r="3150" spans="1:1" x14ac:dyDescent="0.2">
      <c r="A3150" s="13" t="s">
        <v>3001</v>
      </c>
    </row>
    <row r="3151" spans="1:1" x14ac:dyDescent="0.2">
      <c r="A3151" s="13" t="s">
        <v>1350</v>
      </c>
    </row>
    <row r="3152" spans="1:1" x14ac:dyDescent="0.2">
      <c r="A3152" s="13" t="s">
        <v>2495</v>
      </c>
    </row>
    <row r="3153" spans="1:1" x14ac:dyDescent="0.2">
      <c r="A3153" s="13" t="s">
        <v>4098</v>
      </c>
    </row>
    <row r="3154" spans="1:1" x14ac:dyDescent="0.2">
      <c r="A3154" s="13" t="s">
        <v>1740</v>
      </c>
    </row>
    <row r="3155" spans="1:1" x14ac:dyDescent="0.2">
      <c r="A3155" s="13" t="s">
        <v>4011</v>
      </c>
    </row>
    <row r="3156" spans="1:1" x14ac:dyDescent="0.2">
      <c r="A3156" s="13" t="s">
        <v>3351</v>
      </c>
    </row>
    <row r="3157" spans="1:1" x14ac:dyDescent="0.2">
      <c r="A3157" s="13" t="s">
        <v>5594</v>
      </c>
    </row>
    <row r="3158" spans="1:1" x14ac:dyDescent="0.2">
      <c r="A3158" s="13" t="s">
        <v>5595</v>
      </c>
    </row>
    <row r="3159" spans="1:1" x14ac:dyDescent="0.2">
      <c r="A3159" s="13" t="s">
        <v>4076</v>
      </c>
    </row>
    <row r="3160" spans="1:1" x14ac:dyDescent="0.2">
      <c r="A3160" s="13" t="s">
        <v>423</v>
      </c>
    </row>
    <row r="3161" spans="1:1" x14ac:dyDescent="0.2">
      <c r="A3161" s="13" t="s">
        <v>1643</v>
      </c>
    </row>
    <row r="3162" spans="1:1" x14ac:dyDescent="0.2">
      <c r="A3162" s="13" t="s">
        <v>5596</v>
      </c>
    </row>
    <row r="3163" spans="1:1" x14ac:dyDescent="0.2">
      <c r="A3163" s="13" t="s">
        <v>5597</v>
      </c>
    </row>
    <row r="3164" spans="1:1" x14ac:dyDescent="0.2">
      <c r="A3164" s="13" t="s">
        <v>3643</v>
      </c>
    </row>
    <row r="3165" spans="1:1" x14ac:dyDescent="0.2">
      <c r="A3165" s="13" t="s">
        <v>5598</v>
      </c>
    </row>
    <row r="3166" spans="1:1" x14ac:dyDescent="0.2">
      <c r="A3166" s="13" t="s">
        <v>1576</v>
      </c>
    </row>
    <row r="3167" spans="1:1" x14ac:dyDescent="0.2">
      <c r="A3167" s="13" t="s">
        <v>860</v>
      </c>
    </row>
    <row r="3168" spans="1:1" x14ac:dyDescent="0.2">
      <c r="A3168" s="13" t="s">
        <v>1195</v>
      </c>
    </row>
    <row r="3169" spans="1:1" x14ac:dyDescent="0.2">
      <c r="A3169" s="13" t="s">
        <v>323</v>
      </c>
    </row>
    <row r="3170" spans="1:1" x14ac:dyDescent="0.2">
      <c r="A3170" s="13" t="s">
        <v>5599</v>
      </c>
    </row>
    <row r="3171" spans="1:1" x14ac:dyDescent="0.2">
      <c r="A3171" s="13" t="s">
        <v>5600</v>
      </c>
    </row>
    <row r="3172" spans="1:1" x14ac:dyDescent="0.2">
      <c r="A3172" s="13" t="s">
        <v>3473</v>
      </c>
    </row>
    <row r="3173" spans="1:1" x14ac:dyDescent="0.2">
      <c r="A3173" s="13" t="s">
        <v>2159</v>
      </c>
    </row>
    <row r="3174" spans="1:1" x14ac:dyDescent="0.2">
      <c r="A3174" s="13" t="s">
        <v>2202</v>
      </c>
    </row>
    <row r="3175" spans="1:1" x14ac:dyDescent="0.2">
      <c r="A3175" s="13" t="s">
        <v>5601</v>
      </c>
    </row>
    <row r="3176" spans="1:1" x14ac:dyDescent="0.2">
      <c r="A3176" s="13" t="s">
        <v>2975</v>
      </c>
    </row>
    <row r="3177" spans="1:1" x14ac:dyDescent="0.2">
      <c r="A3177" s="13" t="s">
        <v>3881</v>
      </c>
    </row>
    <row r="3178" spans="1:1" x14ac:dyDescent="0.2">
      <c r="A3178" s="13" t="s">
        <v>5602</v>
      </c>
    </row>
    <row r="3179" spans="1:1" x14ac:dyDescent="0.2">
      <c r="A3179" s="13" t="s">
        <v>5603</v>
      </c>
    </row>
    <row r="3180" spans="1:1" x14ac:dyDescent="0.2">
      <c r="A3180" s="13" t="s">
        <v>2207</v>
      </c>
    </row>
    <row r="3181" spans="1:1" x14ac:dyDescent="0.2">
      <c r="A3181" s="13" t="s">
        <v>2700</v>
      </c>
    </row>
    <row r="3182" spans="1:1" x14ac:dyDescent="0.2">
      <c r="A3182" s="13" t="s">
        <v>5604</v>
      </c>
    </row>
    <row r="3183" spans="1:1" x14ac:dyDescent="0.2">
      <c r="A3183" s="13" t="s">
        <v>5605</v>
      </c>
    </row>
    <row r="3184" spans="1:1" x14ac:dyDescent="0.2">
      <c r="A3184" s="13" t="s">
        <v>1403</v>
      </c>
    </row>
    <row r="3185" spans="1:1" x14ac:dyDescent="0.2">
      <c r="A3185" s="13" t="s">
        <v>2793</v>
      </c>
    </row>
    <row r="3186" spans="1:1" x14ac:dyDescent="0.2">
      <c r="A3186" s="13" t="s">
        <v>2646</v>
      </c>
    </row>
    <row r="3187" spans="1:1" x14ac:dyDescent="0.2">
      <c r="A3187" s="13" t="s">
        <v>594</v>
      </c>
    </row>
    <row r="3188" spans="1:1" x14ac:dyDescent="0.2">
      <c r="A3188" s="13" t="s">
        <v>3247</v>
      </c>
    </row>
    <row r="3189" spans="1:1" x14ac:dyDescent="0.2">
      <c r="A3189" s="13" t="s">
        <v>3287</v>
      </c>
    </row>
    <row r="3190" spans="1:1" x14ac:dyDescent="0.2">
      <c r="A3190" s="13" t="s">
        <v>5606</v>
      </c>
    </row>
    <row r="3191" spans="1:1" x14ac:dyDescent="0.2">
      <c r="A3191" s="13" t="s">
        <v>2774</v>
      </c>
    </row>
    <row r="3192" spans="1:1" x14ac:dyDescent="0.2">
      <c r="A3192" s="13" t="s">
        <v>1854</v>
      </c>
    </row>
    <row r="3193" spans="1:1" x14ac:dyDescent="0.2">
      <c r="A3193" s="13" t="s">
        <v>5607</v>
      </c>
    </row>
    <row r="3194" spans="1:1" x14ac:dyDescent="0.2">
      <c r="A3194" s="13" t="s">
        <v>3930</v>
      </c>
    </row>
    <row r="3195" spans="1:1" x14ac:dyDescent="0.2">
      <c r="A3195" s="13" t="s">
        <v>2590</v>
      </c>
    </row>
    <row r="3196" spans="1:1" x14ac:dyDescent="0.2">
      <c r="A3196" s="13" t="s">
        <v>1200</v>
      </c>
    </row>
    <row r="3197" spans="1:1" x14ac:dyDescent="0.2">
      <c r="A3197" s="13" t="s">
        <v>3610</v>
      </c>
    </row>
    <row r="3198" spans="1:1" x14ac:dyDescent="0.2">
      <c r="A3198" s="13" t="s">
        <v>614</v>
      </c>
    </row>
    <row r="3199" spans="1:1" x14ac:dyDescent="0.2">
      <c r="A3199" s="13" t="s">
        <v>3229</v>
      </c>
    </row>
    <row r="3200" spans="1:1" x14ac:dyDescent="0.2">
      <c r="A3200" s="13" t="s">
        <v>2567</v>
      </c>
    </row>
    <row r="3201" spans="1:1" x14ac:dyDescent="0.2">
      <c r="A3201" s="13" t="s">
        <v>659</v>
      </c>
    </row>
    <row r="3202" spans="1:1" x14ac:dyDescent="0.2">
      <c r="A3202" s="13" t="s">
        <v>5608</v>
      </c>
    </row>
    <row r="3203" spans="1:1" x14ac:dyDescent="0.2">
      <c r="A3203" s="13" t="s">
        <v>3260</v>
      </c>
    </row>
    <row r="3204" spans="1:1" x14ac:dyDescent="0.2">
      <c r="A3204" s="13" t="s">
        <v>347</v>
      </c>
    </row>
    <row r="3205" spans="1:1" x14ac:dyDescent="0.2">
      <c r="A3205" s="13" t="s">
        <v>5609</v>
      </c>
    </row>
    <row r="3206" spans="1:1" x14ac:dyDescent="0.2">
      <c r="A3206" s="13" t="s">
        <v>2122</v>
      </c>
    </row>
    <row r="3207" spans="1:1" x14ac:dyDescent="0.2">
      <c r="A3207" s="13" t="s">
        <v>2897</v>
      </c>
    </row>
    <row r="3208" spans="1:1" x14ac:dyDescent="0.2">
      <c r="A3208" s="13" t="s">
        <v>5610</v>
      </c>
    </row>
    <row r="3209" spans="1:1" x14ac:dyDescent="0.2">
      <c r="A3209" s="13" t="s">
        <v>5611</v>
      </c>
    </row>
    <row r="3210" spans="1:1" x14ac:dyDescent="0.2">
      <c r="A3210" s="13" t="s">
        <v>2364</v>
      </c>
    </row>
    <row r="3211" spans="1:1" x14ac:dyDescent="0.2">
      <c r="A3211" s="13" t="s">
        <v>5612</v>
      </c>
    </row>
    <row r="3212" spans="1:1" x14ac:dyDescent="0.2">
      <c r="A3212" s="13" t="s">
        <v>4062</v>
      </c>
    </row>
    <row r="3213" spans="1:1" x14ac:dyDescent="0.2">
      <c r="A3213" s="13" t="s">
        <v>5613</v>
      </c>
    </row>
    <row r="3214" spans="1:1" x14ac:dyDescent="0.2">
      <c r="A3214" s="13" t="s">
        <v>2355</v>
      </c>
    </row>
    <row r="3215" spans="1:1" x14ac:dyDescent="0.2">
      <c r="A3215" s="13" t="s">
        <v>2599</v>
      </c>
    </row>
    <row r="3216" spans="1:1" x14ac:dyDescent="0.2">
      <c r="A3216" s="13" t="s">
        <v>2770</v>
      </c>
    </row>
    <row r="3217" spans="1:1" x14ac:dyDescent="0.2">
      <c r="A3217" s="13" t="s">
        <v>772</v>
      </c>
    </row>
    <row r="3218" spans="1:1" x14ac:dyDescent="0.2">
      <c r="A3218" s="13" t="s">
        <v>5614</v>
      </c>
    </row>
    <row r="3219" spans="1:1" x14ac:dyDescent="0.2">
      <c r="A3219" s="13" t="s">
        <v>2407</v>
      </c>
    </row>
    <row r="3220" spans="1:1" x14ac:dyDescent="0.2">
      <c r="A3220" s="13" t="s">
        <v>1370</v>
      </c>
    </row>
    <row r="3221" spans="1:1" x14ac:dyDescent="0.2">
      <c r="A3221" s="13" t="s">
        <v>3948</v>
      </c>
    </row>
    <row r="3222" spans="1:1" x14ac:dyDescent="0.2">
      <c r="A3222" s="13" t="s">
        <v>3326</v>
      </c>
    </row>
    <row r="3223" spans="1:1" x14ac:dyDescent="0.2">
      <c r="A3223" s="13" t="s">
        <v>363</v>
      </c>
    </row>
    <row r="3224" spans="1:1" x14ac:dyDescent="0.2">
      <c r="A3224" s="13" t="s">
        <v>2178</v>
      </c>
    </row>
    <row r="3225" spans="1:1" x14ac:dyDescent="0.2">
      <c r="A3225" s="13" t="s">
        <v>5615</v>
      </c>
    </row>
    <row r="3226" spans="1:1" x14ac:dyDescent="0.2">
      <c r="A3226" s="13" t="s">
        <v>5616</v>
      </c>
    </row>
    <row r="3227" spans="1:1" x14ac:dyDescent="0.2">
      <c r="A3227" s="13" t="s">
        <v>990</v>
      </c>
    </row>
    <row r="3228" spans="1:1" x14ac:dyDescent="0.2">
      <c r="A3228" s="13" t="s">
        <v>5617</v>
      </c>
    </row>
    <row r="3229" spans="1:1" x14ac:dyDescent="0.2">
      <c r="A3229" s="13" t="s">
        <v>5618</v>
      </c>
    </row>
    <row r="3230" spans="1:1" x14ac:dyDescent="0.2">
      <c r="A3230" s="13" t="s">
        <v>5619</v>
      </c>
    </row>
    <row r="3231" spans="1:1" x14ac:dyDescent="0.2">
      <c r="A3231" s="13" t="s">
        <v>1156</v>
      </c>
    </row>
    <row r="3232" spans="1:1" x14ac:dyDescent="0.2">
      <c r="A3232" s="13" t="s">
        <v>5620</v>
      </c>
    </row>
    <row r="3233" spans="1:1" x14ac:dyDescent="0.2">
      <c r="A3233" s="13" t="s">
        <v>1058</v>
      </c>
    </row>
    <row r="3234" spans="1:1" x14ac:dyDescent="0.2">
      <c r="A3234" s="13" t="s">
        <v>989</v>
      </c>
    </row>
    <row r="3235" spans="1:1" x14ac:dyDescent="0.2">
      <c r="A3235" s="13" t="s">
        <v>2675</v>
      </c>
    </row>
    <row r="3236" spans="1:1" x14ac:dyDescent="0.2">
      <c r="A3236" s="13" t="s">
        <v>1071</v>
      </c>
    </row>
    <row r="3237" spans="1:1" x14ac:dyDescent="0.2">
      <c r="A3237" s="13" t="s">
        <v>5621</v>
      </c>
    </row>
    <row r="3238" spans="1:1" x14ac:dyDescent="0.2">
      <c r="A3238" s="13" t="s">
        <v>786</v>
      </c>
    </row>
    <row r="3239" spans="1:1" x14ac:dyDescent="0.2">
      <c r="A3239" s="13" t="s">
        <v>2062</v>
      </c>
    </row>
    <row r="3240" spans="1:1" x14ac:dyDescent="0.2">
      <c r="A3240" s="13" t="s">
        <v>5622</v>
      </c>
    </row>
    <row r="3241" spans="1:1" x14ac:dyDescent="0.2">
      <c r="A3241" s="13" t="s">
        <v>3484</v>
      </c>
    </row>
    <row r="3242" spans="1:1" x14ac:dyDescent="0.2">
      <c r="A3242" s="13" t="s">
        <v>1780</v>
      </c>
    </row>
    <row r="3243" spans="1:1" x14ac:dyDescent="0.2">
      <c r="A3243" s="13" t="s">
        <v>3890</v>
      </c>
    </row>
    <row r="3244" spans="1:1" x14ac:dyDescent="0.2">
      <c r="A3244" s="13" t="s">
        <v>5623</v>
      </c>
    </row>
    <row r="3245" spans="1:1" x14ac:dyDescent="0.2">
      <c r="A3245" s="13" t="s">
        <v>5624</v>
      </c>
    </row>
    <row r="3246" spans="1:1" x14ac:dyDescent="0.2">
      <c r="A3246" s="13" t="s">
        <v>1750</v>
      </c>
    </row>
    <row r="3247" spans="1:1" x14ac:dyDescent="0.2">
      <c r="A3247" s="13" t="s">
        <v>3581</v>
      </c>
    </row>
    <row r="3248" spans="1:1" x14ac:dyDescent="0.2">
      <c r="A3248" s="13" t="s">
        <v>3994</v>
      </c>
    </row>
    <row r="3249" spans="1:1" x14ac:dyDescent="0.2">
      <c r="A3249" s="13" t="s">
        <v>3478</v>
      </c>
    </row>
    <row r="3250" spans="1:1" x14ac:dyDescent="0.2">
      <c r="A3250" s="13" t="s">
        <v>5625</v>
      </c>
    </row>
    <row r="3251" spans="1:1" x14ac:dyDescent="0.2">
      <c r="A3251" s="13" t="s">
        <v>315</v>
      </c>
    </row>
    <row r="3252" spans="1:1" x14ac:dyDescent="0.2">
      <c r="A3252" s="13" t="s">
        <v>1328</v>
      </c>
    </row>
    <row r="3253" spans="1:1" x14ac:dyDescent="0.2">
      <c r="A3253" s="13" t="s">
        <v>2103</v>
      </c>
    </row>
    <row r="3254" spans="1:1" x14ac:dyDescent="0.2">
      <c r="A3254" s="13" t="s">
        <v>2398</v>
      </c>
    </row>
    <row r="3255" spans="1:1" x14ac:dyDescent="0.2">
      <c r="A3255" s="13" t="s">
        <v>2670</v>
      </c>
    </row>
    <row r="3256" spans="1:1" x14ac:dyDescent="0.2">
      <c r="A3256" s="13" t="s">
        <v>3393</v>
      </c>
    </row>
    <row r="3257" spans="1:1" x14ac:dyDescent="0.2">
      <c r="A3257" s="13" t="s">
        <v>1798</v>
      </c>
    </row>
    <row r="3258" spans="1:1" x14ac:dyDescent="0.2">
      <c r="A3258" s="13" t="s">
        <v>5626</v>
      </c>
    </row>
    <row r="3259" spans="1:1" x14ac:dyDescent="0.2">
      <c r="A3259" s="13" t="s">
        <v>5627</v>
      </c>
    </row>
    <row r="3260" spans="1:1" x14ac:dyDescent="0.2">
      <c r="A3260" s="13" t="s">
        <v>5628</v>
      </c>
    </row>
    <row r="3261" spans="1:1" x14ac:dyDescent="0.2">
      <c r="A3261" s="13" t="s">
        <v>5629</v>
      </c>
    </row>
    <row r="3262" spans="1:1" x14ac:dyDescent="0.2">
      <c r="A3262" s="13" t="s">
        <v>5630</v>
      </c>
    </row>
    <row r="3263" spans="1:1" x14ac:dyDescent="0.2">
      <c r="A3263" s="13" t="s">
        <v>1734</v>
      </c>
    </row>
    <row r="3264" spans="1:1" x14ac:dyDescent="0.2">
      <c r="A3264" s="13" t="s">
        <v>5631</v>
      </c>
    </row>
    <row r="3265" spans="1:1" x14ac:dyDescent="0.2">
      <c r="A3265" s="13" t="s">
        <v>1468</v>
      </c>
    </row>
    <row r="3266" spans="1:1" x14ac:dyDescent="0.2">
      <c r="A3266" s="13" t="s">
        <v>4003</v>
      </c>
    </row>
    <row r="3267" spans="1:1" x14ac:dyDescent="0.2">
      <c r="A3267" s="13" t="s">
        <v>394</v>
      </c>
    </row>
    <row r="3268" spans="1:1" x14ac:dyDescent="0.2">
      <c r="A3268" s="13" t="s">
        <v>1872</v>
      </c>
    </row>
    <row r="3269" spans="1:1" x14ac:dyDescent="0.2">
      <c r="A3269" s="13" t="s">
        <v>5632</v>
      </c>
    </row>
    <row r="3270" spans="1:1" x14ac:dyDescent="0.2">
      <c r="A3270" s="13" t="s">
        <v>837</v>
      </c>
    </row>
    <row r="3271" spans="1:1" x14ac:dyDescent="0.2">
      <c r="A3271" s="13" t="s">
        <v>1322</v>
      </c>
    </row>
    <row r="3272" spans="1:1" x14ac:dyDescent="0.2">
      <c r="A3272" s="13" t="s">
        <v>5633</v>
      </c>
    </row>
    <row r="3273" spans="1:1" x14ac:dyDescent="0.2">
      <c r="A3273" s="13" t="s">
        <v>5634</v>
      </c>
    </row>
    <row r="3274" spans="1:1" x14ac:dyDescent="0.2">
      <c r="A3274" s="13" t="s">
        <v>5635</v>
      </c>
    </row>
    <row r="3275" spans="1:1" x14ac:dyDescent="0.2">
      <c r="A3275" s="13" t="s">
        <v>5636</v>
      </c>
    </row>
    <row r="3276" spans="1:1" x14ac:dyDescent="0.2">
      <c r="A3276" s="13" t="s">
        <v>679</v>
      </c>
    </row>
    <row r="3277" spans="1:1" x14ac:dyDescent="0.2">
      <c r="A3277" s="13" t="s">
        <v>5637</v>
      </c>
    </row>
    <row r="3278" spans="1:1" x14ac:dyDescent="0.2">
      <c r="A3278" s="13" t="s">
        <v>5638</v>
      </c>
    </row>
    <row r="3279" spans="1:1" x14ac:dyDescent="0.2">
      <c r="A3279" s="13" t="s">
        <v>669</v>
      </c>
    </row>
    <row r="3280" spans="1:1" x14ac:dyDescent="0.2">
      <c r="A3280" s="13" t="s">
        <v>2189</v>
      </c>
    </row>
    <row r="3281" spans="1:1" x14ac:dyDescent="0.2">
      <c r="A3281" s="13" t="s">
        <v>5639</v>
      </c>
    </row>
    <row r="3282" spans="1:1" x14ac:dyDescent="0.2">
      <c r="A3282" s="13" t="s">
        <v>2049</v>
      </c>
    </row>
    <row r="3283" spans="1:1" x14ac:dyDescent="0.2">
      <c r="A3283" s="13" t="s">
        <v>395</v>
      </c>
    </row>
    <row r="3284" spans="1:1" x14ac:dyDescent="0.2">
      <c r="A3284" s="13" t="s">
        <v>1885</v>
      </c>
    </row>
    <row r="3285" spans="1:1" x14ac:dyDescent="0.2">
      <c r="A3285" s="13" t="s">
        <v>5640</v>
      </c>
    </row>
    <row r="3286" spans="1:1" x14ac:dyDescent="0.2">
      <c r="A3286" s="13" t="s">
        <v>5641</v>
      </c>
    </row>
    <row r="3287" spans="1:1" x14ac:dyDescent="0.2">
      <c r="A3287" s="13" t="s">
        <v>1199</v>
      </c>
    </row>
    <row r="3288" spans="1:1" x14ac:dyDescent="0.2">
      <c r="A3288" s="13" t="s">
        <v>575</v>
      </c>
    </row>
    <row r="3289" spans="1:1" x14ac:dyDescent="0.2">
      <c r="A3289" s="13" t="s">
        <v>804</v>
      </c>
    </row>
    <row r="3290" spans="1:1" x14ac:dyDescent="0.2">
      <c r="A3290" s="13" t="s">
        <v>4026</v>
      </c>
    </row>
    <row r="3291" spans="1:1" x14ac:dyDescent="0.2">
      <c r="A3291" s="13" t="s">
        <v>5642</v>
      </c>
    </row>
    <row r="3292" spans="1:1" x14ac:dyDescent="0.2">
      <c r="A3292" s="13" t="s">
        <v>5643</v>
      </c>
    </row>
    <row r="3293" spans="1:1" x14ac:dyDescent="0.2">
      <c r="A3293" s="13" t="s">
        <v>2605</v>
      </c>
    </row>
    <row r="3294" spans="1:1" x14ac:dyDescent="0.2">
      <c r="A3294" s="13" t="s">
        <v>5644</v>
      </c>
    </row>
    <row r="3295" spans="1:1" x14ac:dyDescent="0.2">
      <c r="A3295" s="13" t="s">
        <v>5645</v>
      </c>
    </row>
    <row r="3296" spans="1:1" x14ac:dyDescent="0.2">
      <c r="A3296" s="13" t="s">
        <v>5646</v>
      </c>
    </row>
    <row r="3297" spans="1:1" x14ac:dyDescent="0.2">
      <c r="A3297" s="13" t="s">
        <v>2226</v>
      </c>
    </row>
    <row r="3298" spans="1:1" x14ac:dyDescent="0.2">
      <c r="A3298" s="13" t="s">
        <v>5647</v>
      </c>
    </row>
    <row r="3299" spans="1:1" x14ac:dyDescent="0.2">
      <c r="A3299" s="13" t="s">
        <v>1873</v>
      </c>
    </row>
    <row r="3300" spans="1:1" x14ac:dyDescent="0.2">
      <c r="A3300" s="13" t="s">
        <v>5648</v>
      </c>
    </row>
    <row r="3301" spans="1:1" x14ac:dyDescent="0.2">
      <c r="A3301" s="13" t="s">
        <v>5649</v>
      </c>
    </row>
    <row r="3302" spans="1:1" x14ac:dyDescent="0.2">
      <c r="A3302" s="13" t="s">
        <v>3697</v>
      </c>
    </row>
    <row r="3303" spans="1:1" x14ac:dyDescent="0.2">
      <c r="A3303" s="13" t="s">
        <v>3071</v>
      </c>
    </row>
    <row r="3304" spans="1:1" x14ac:dyDescent="0.2">
      <c r="A3304" s="13" t="s">
        <v>1188</v>
      </c>
    </row>
    <row r="3305" spans="1:1" x14ac:dyDescent="0.2">
      <c r="A3305" s="13" t="s">
        <v>2969</v>
      </c>
    </row>
    <row r="3306" spans="1:1" x14ac:dyDescent="0.2">
      <c r="A3306" s="13" t="s">
        <v>5650</v>
      </c>
    </row>
    <row r="3307" spans="1:1" x14ac:dyDescent="0.2">
      <c r="A3307" s="13" t="s">
        <v>5651</v>
      </c>
    </row>
    <row r="3308" spans="1:1" x14ac:dyDescent="0.2">
      <c r="A3308" s="13" t="s">
        <v>5652</v>
      </c>
    </row>
    <row r="3309" spans="1:1" x14ac:dyDescent="0.2">
      <c r="A3309" s="13" t="s">
        <v>1483</v>
      </c>
    </row>
    <row r="3310" spans="1:1" x14ac:dyDescent="0.2">
      <c r="A3310" s="13" t="s">
        <v>5653</v>
      </c>
    </row>
    <row r="3311" spans="1:1" x14ac:dyDescent="0.2">
      <c r="A3311" s="13" t="s">
        <v>573</v>
      </c>
    </row>
    <row r="3312" spans="1:1" x14ac:dyDescent="0.2">
      <c r="A3312" s="13" t="s">
        <v>2868</v>
      </c>
    </row>
    <row r="3313" spans="1:1" x14ac:dyDescent="0.2">
      <c r="A3313" s="13" t="s">
        <v>1495</v>
      </c>
    </row>
    <row r="3314" spans="1:1" x14ac:dyDescent="0.2">
      <c r="A3314" s="13" t="s">
        <v>5654</v>
      </c>
    </row>
    <row r="3315" spans="1:1" x14ac:dyDescent="0.2">
      <c r="A3315" s="13" t="s">
        <v>3306</v>
      </c>
    </row>
    <row r="3316" spans="1:1" x14ac:dyDescent="0.2">
      <c r="A3316" s="13" t="s">
        <v>5655</v>
      </c>
    </row>
    <row r="3317" spans="1:1" x14ac:dyDescent="0.2">
      <c r="A3317" s="13" t="s">
        <v>5656</v>
      </c>
    </row>
    <row r="3318" spans="1:1" x14ac:dyDescent="0.2">
      <c r="A3318" s="13" t="s">
        <v>4016</v>
      </c>
    </row>
    <row r="3319" spans="1:1" x14ac:dyDescent="0.2">
      <c r="A3319" s="13" t="s">
        <v>5657</v>
      </c>
    </row>
    <row r="3320" spans="1:1" x14ac:dyDescent="0.2">
      <c r="A3320" s="13" t="s">
        <v>2824</v>
      </c>
    </row>
    <row r="3321" spans="1:1" x14ac:dyDescent="0.2">
      <c r="A3321" s="13" t="s">
        <v>5658</v>
      </c>
    </row>
    <row r="3322" spans="1:1" x14ac:dyDescent="0.2">
      <c r="A3322" s="13" t="s">
        <v>5659</v>
      </c>
    </row>
    <row r="3323" spans="1:1" x14ac:dyDescent="0.2">
      <c r="A3323" s="13" t="s">
        <v>1808</v>
      </c>
    </row>
    <row r="3324" spans="1:1" x14ac:dyDescent="0.2">
      <c r="A3324" s="13" t="s">
        <v>5660</v>
      </c>
    </row>
    <row r="3325" spans="1:1" x14ac:dyDescent="0.2">
      <c r="A3325" s="13" t="s">
        <v>5661</v>
      </c>
    </row>
    <row r="3326" spans="1:1" x14ac:dyDescent="0.2">
      <c r="A3326" s="13" t="s">
        <v>5662</v>
      </c>
    </row>
    <row r="3327" spans="1:1" x14ac:dyDescent="0.2">
      <c r="A3327" s="13" t="s">
        <v>5663</v>
      </c>
    </row>
    <row r="3328" spans="1:1" x14ac:dyDescent="0.2">
      <c r="A3328" s="13" t="s">
        <v>5664</v>
      </c>
    </row>
    <row r="3329" spans="1:1" x14ac:dyDescent="0.2">
      <c r="A3329" s="13" t="s">
        <v>5665</v>
      </c>
    </row>
    <row r="3330" spans="1:1" x14ac:dyDescent="0.2">
      <c r="A3330" s="13" t="s">
        <v>5666</v>
      </c>
    </row>
    <row r="3331" spans="1:1" x14ac:dyDescent="0.2">
      <c r="A3331" s="13" t="s">
        <v>5667</v>
      </c>
    </row>
    <row r="3332" spans="1:1" x14ac:dyDescent="0.2">
      <c r="A3332" s="13" t="s">
        <v>5668</v>
      </c>
    </row>
    <row r="3333" spans="1:1" x14ac:dyDescent="0.2">
      <c r="A3333" s="13" t="s">
        <v>2269</v>
      </c>
    </row>
    <row r="3334" spans="1:1" x14ac:dyDescent="0.2">
      <c r="A3334" s="13" t="s">
        <v>1703</v>
      </c>
    </row>
    <row r="3335" spans="1:1" x14ac:dyDescent="0.2">
      <c r="A3335" s="13" t="s">
        <v>2133</v>
      </c>
    </row>
    <row r="3336" spans="1:1" x14ac:dyDescent="0.2">
      <c r="A3336" s="13" t="s">
        <v>529</v>
      </c>
    </row>
    <row r="3337" spans="1:1" x14ac:dyDescent="0.2">
      <c r="A3337" s="13" t="s">
        <v>3996</v>
      </c>
    </row>
    <row r="3338" spans="1:1" x14ac:dyDescent="0.2">
      <c r="A3338" s="13" t="s">
        <v>5669</v>
      </c>
    </row>
    <row r="3339" spans="1:1" x14ac:dyDescent="0.2">
      <c r="A3339" s="13" t="s">
        <v>2393</v>
      </c>
    </row>
    <row r="3340" spans="1:1" x14ac:dyDescent="0.2">
      <c r="A3340" s="13" t="s">
        <v>2064</v>
      </c>
    </row>
    <row r="3341" spans="1:1" x14ac:dyDescent="0.2">
      <c r="A3341" s="13" t="s">
        <v>5670</v>
      </c>
    </row>
    <row r="3342" spans="1:1" x14ac:dyDescent="0.2">
      <c r="A3342" s="13" t="s">
        <v>3656</v>
      </c>
    </row>
    <row r="3343" spans="1:1" x14ac:dyDescent="0.2">
      <c r="A3343" s="13" t="s">
        <v>1333</v>
      </c>
    </row>
    <row r="3344" spans="1:1" x14ac:dyDescent="0.2">
      <c r="A3344" s="13" t="s">
        <v>3236</v>
      </c>
    </row>
    <row r="3345" spans="1:1" x14ac:dyDescent="0.2">
      <c r="A3345" s="13" t="s">
        <v>5671</v>
      </c>
    </row>
    <row r="3346" spans="1:1" x14ac:dyDescent="0.2">
      <c r="A3346" s="13" t="s">
        <v>1645</v>
      </c>
    </row>
    <row r="3347" spans="1:1" x14ac:dyDescent="0.2">
      <c r="A3347" s="13" t="s">
        <v>2084</v>
      </c>
    </row>
    <row r="3348" spans="1:1" x14ac:dyDescent="0.2">
      <c r="A3348" s="13" t="s">
        <v>5672</v>
      </c>
    </row>
    <row r="3349" spans="1:1" x14ac:dyDescent="0.2">
      <c r="A3349" s="13" t="s">
        <v>5673</v>
      </c>
    </row>
    <row r="3350" spans="1:1" x14ac:dyDescent="0.2">
      <c r="A3350" s="13" t="s">
        <v>5674</v>
      </c>
    </row>
    <row r="3351" spans="1:1" x14ac:dyDescent="0.2">
      <c r="A3351" s="13" t="s">
        <v>381</v>
      </c>
    </row>
    <row r="3352" spans="1:1" x14ac:dyDescent="0.2">
      <c r="A3352" s="13" t="s">
        <v>5675</v>
      </c>
    </row>
    <row r="3353" spans="1:1" x14ac:dyDescent="0.2">
      <c r="A3353" s="13" t="s">
        <v>5676</v>
      </c>
    </row>
    <row r="3354" spans="1:1" x14ac:dyDescent="0.2">
      <c r="A3354" s="13" t="s">
        <v>3411</v>
      </c>
    </row>
    <row r="3355" spans="1:1" x14ac:dyDescent="0.2">
      <c r="A3355" s="13" t="s">
        <v>5677</v>
      </c>
    </row>
    <row r="3356" spans="1:1" x14ac:dyDescent="0.2">
      <c r="A3356" s="13" t="s">
        <v>2467</v>
      </c>
    </row>
    <row r="3357" spans="1:1" x14ac:dyDescent="0.2">
      <c r="A3357" s="13" t="s">
        <v>1255</v>
      </c>
    </row>
    <row r="3358" spans="1:1" x14ac:dyDescent="0.2">
      <c r="A3358" s="13" t="s">
        <v>2527</v>
      </c>
    </row>
    <row r="3359" spans="1:1" x14ac:dyDescent="0.2">
      <c r="A3359" s="13" t="s">
        <v>1762</v>
      </c>
    </row>
    <row r="3360" spans="1:1" x14ac:dyDescent="0.2">
      <c r="A3360" s="13" t="s">
        <v>5678</v>
      </c>
    </row>
    <row r="3361" spans="1:1" x14ac:dyDescent="0.2">
      <c r="A3361" s="13" t="s">
        <v>494</v>
      </c>
    </row>
    <row r="3362" spans="1:1" x14ac:dyDescent="0.2">
      <c r="A3362" s="13" t="s">
        <v>3662</v>
      </c>
    </row>
    <row r="3363" spans="1:1" x14ac:dyDescent="0.2">
      <c r="A3363" s="13" t="s">
        <v>5679</v>
      </c>
    </row>
    <row r="3364" spans="1:1" x14ac:dyDescent="0.2">
      <c r="A3364" s="13" t="s">
        <v>920</v>
      </c>
    </row>
    <row r="3365" spans="1:1" x14ac:dyDescent="0.2">
      <c r="A3365" s="13" t="s">
        <v>5680</v>
      </c>
    </row>
    <row r="3366" spans="1:1" x14ac:dyDescent="0.2">
      <c r="A3366" s="13" t="s">
        <v>805</v>
      </c>
    </row>
    <row r="3367" spans="1:1" x14ac:dyDescent="0.2">
      <c r="A3367" s="13" t="s">
        <v>5681</v>
      </c>
    </row>
    <row r="3368" spans="1:1" x14ac:dyDescent="0.2">
      <c r="A3368" s="13" t="s">
        <v>5682</v>
      </c>
    </row>
    <row r="3369" spans="1:1" x14ac:dyDescent="0.2">
      <c r="A3369" s="13" t="s">
        <v>3225</v>
      </c>
    </row>
    <row r="3370" spans="1:1" x14ac:dyDescent="0.2">
      <c r="A3370" s="13" t="s">
        <v>5683</v>
      </c>
    </row>
    <row r="3371" spans="1:1" x14ac:dyDescent="0.2">
      <c r="A3371" s="13" t="s">
        <v>3348</v>
      </c>
    </row>
    <row r="3372" spans="1:1" x14ac:dyDescent="0.2">
      <c r="A3372" s="13" t="s">
        <v>5684</v>
      </c>
    </row>
    <row r="3373" spans="1:1" x14ac:dyDescent="0.2">
      <c r="A3373" s="13" t="s">
        <v>5685</v>
      </c>
    </row>
    <row r="3374" spans="1:1" x14ac:dyDescent="0.2">
      <c r="A3374" s="13" t="s">
        <v>5686</v>
      </c>
    </row>
    <row r="3375" spans="1:1" x14ac:dyDescent="0.2">
      <c r="A3375" s="13" t="s">
        <v>3554</v>
      </c>
    </row>
    <row r="3376" spans="1:1" x14ac:dyDescent="0.2">
      <c r="A3376" s="13" t="s">
        <v>1494</v>
      </c>
    </row>
    <row r="3377" spans="1:1" x14ac:dyDescent="0.2">
      <c r="A3377" s="13" t="s">
        <v>5687</v>
      </c>
    </row>
    <row r="3378" spans="1:1" x14ac:dyDescent="0.2">
      <c r="A3378" s="13" t="s">
        <v>3639</v>
      </c>
    </row>
    <row r="3379" spans="1:1" x14ac:dyDescent="0.2">
      <c r="A3379" s="13" t="s">
        <v>5688</v>
      </c>
    </row>
    <row r="3380" spans="1:1" x14ac:dyDescent="0.2">
      <c r="A3380" s="13" t="s">
        <v>1926</v>
      </c>
    </row>
    <row r="3381" spans="1:1" x14ac:dyDescent="0.2">
      <c r="A3381" s="13" t="s">
        <v>3288</v>
      </c>
    </row>
    <row r="3382" spans="1:1" x14ac:dyDescent="0.2">
      <c r="A3382" s="13" t="s">
        <v>5689</v>
      </c>
    </row>
    <row r="3383" spans="1:1" x14ac:dyDescent="0.2">
      <c r="A3383" s="13" t="s">
        <v>5690</v>
      </c>
    </row>
    <row r="3384" spans="1:1" x14ac:dyDescent="0.2">
      <c r="A3384" s="13" t="s">
        <v>2803</v>
      </c>
    </row>
    <row r="3385" spans="1:1" x14ac:dyDescent="0.2">
      <c r="A3385" s="13" t="s">
        <v>4122</v>
      </c>
    </row>
    <row r="3386" spans="1:1" x14ac:dyDescent="0.2">
      <c r="A3386" s="13" t="s">
        <v>2386</v>
      </c>
    </row>
    <row r="3387" spans="1:1" x14ac:dyDescent="0.2">
      <c r="A3387" s="13" t="s">
        <v>798</v>
      </c>
    </row>
    <row r="3388" spans="1:1" x14ac:dyDescent="0.2">
      <c r="A3388" s="13" t="s">
        <v>1334</v>
      </c>
    </row>
    <row r="3389" spans="1:1" x14ac:dyDescent="0.2">
      <c r="A3389" s="13" t="s">
        <v>3535</v>
      </c>
    </row>
    <row r="3390" spans="1:1" x14ac:dyDescent="0.2">
      <c r="A3390" s="13" t="s">
        <v>5691</v>
      </c>
    </row>
    <row r="3391" spans="1:1" x14ac:dyDescent="0.2">
      <c r="A3391" s="13" t="s">
        <v>940</v>
      </c>
    </row>
    <row r="3392" spans="1:1" x14ac:dyDescent="0.2">
      <c r="A3392" s="13" t="s">
        <v>2636</v>
      </c>
    </row>
    <row r="3393" spans="1:1" x14ac:dyDescent="0.2">
      <c r="A3393" s="13" t="s">
        <v>5692</v>
      </c>
    </row>
    <row r="3394" spans="1:1" x14ac:dyDescent="0.2">
      <c r="A3394" s="13" t="s">
        <v>5693</v>
      </c>
    </row>
    <row r="3395" spans="1:1" x14ac:dyDescent="0.2">
      <c r="A3395" s="13" t="s">
        <v>5694</v>
      </c>
    </row>
    <row r="3396" spans="1:1" x14ac:dyDescent="0.2">
      <c r="A3396" s="13" t="s">
        <v>5695</v>
      </c>
    </row>
    <row r="3397" spans="1:1" x14ac:dyDescent="0.2">
      <c r="A3397" s="13" t="s">
        <v>5696</v>
      </c>
    </row>
    <row r="3398" spans="1:1" x14ac:dyDescent="0.2">
      <c r="A3398" s="13" t="s">
        <v>3081</v>
      </c>
    </row>
    <row r="3399" spans="1:1" x14ac:dyDescent="0.2">
      <c r="A3399" s="13" t="s">
        <v>2145</v>
      </c>
    </row>
    <row r="3400" spans="1:1" x14ac:dyDescent="0.2">
      <c r="A3400" s="13" t="s">
        <v>1137</v>
      </c>
    </row>
    <row r="3401" spans="1:1" x14ac:dyDescent="0.2">
      <c r="A3401" s="13" t="s">
        <v>5697</v>
      </c>
    </row>
    <row r="3402" spans="1:1" x14ac:dyDescent="0.2">
      <c r="A3402" s="13" t="s">
        <v>5698</v>
      </c>
    </row>
    <row r="3403" spans="1:1" x14ac:dyDescent="0.2">
      <c r="A3403" s="13" t="s">
        <v>5699</v>
      </c>
    </row>
    <row r="3404" spans="1:1" x14ac:dyDescent="0.2">
      <c r="A3404" s="13" t="s">
        <v>5700</v>
      </c>
    </row>
    <row r="3405" spans="1:1" x14ac:dyDescent="0.2">
      <c r="A3405" s="13" t="s">
        <v>5701</v>
      </c>
    </row>
    <row r="3406" spans="1:1" x14ac:dyDescent="0.2">
      <c r="A3406" s="13" t="s">
        <v>1883</v>
      </c>
    </row>
    <row r="3407" spans="1:1" x14ac:dyDescent="0.2">
      <c r="A3407" s="13" t="s">
        <v>5702</v>
      </c>
    </row>
    <row r="3408" spans="1:1" x14ac:dyDescent="0.2">
      <c r="A3408" s="13" t="s">
        <v>4046</v>
      </c>
    </row>
    <row r="3409" spans="1:1" x14ac:dyDescent="0.2">
      <c r="A3409" s="13" t="s">
        <v>1407</v>
      </c>
    </row>
    <row r="3410" spans="1:1" x14ac:dyDescent="0.2">
      <c r="A3410" s="13" t="s">
        <v>5703</v>
      </c>
    </row>
    <row r="3411" spans="1:1" x14ac:dyDescent="0.2">
      <c r="A3411" s="13" t="s">
        <v>5704</v>
      </c>
    </row>
    <row r="3412" spans="1:1" x14ac:dyDescent="0.2">
      <c r="A3412" s="13" t="s">
        <v>5705</v>
      </c>
    </row>
    <row r="3413" spans="1:1" x14ac:dyDescent="0.2">
      <c r="A3413" s="13" t="s">
        <v>1839</v>
      </c>
    </row>
    <row r="3414" spans="1:1" x14ac:dyDescent="0.2">
      <c r="A3414" s="13" t="s">
        <v>5706</v>
      </c>
    </row>
    <row r="3415" spans="1:1" x14ac:dyDescent="0.2">
      <c r="A3415" s="13" t="s">
        <v>5707</v>
      </c>
    </row>
    <row r="3416" spans="1:1" x14ac:dyDescent="0.2">
      <c r="A3416" s="13" t="s">
        <v>5708</v>
      </c>
    </row>
    <row r="3417" spans="1:1" x14ac:dyDescent="0.2">
      <c r="A3417" s="13" t="s">
        <v>3452</v>
      </c>
    </row>
    <row r="3418" spans="1:1" x14ac:dyDescent="0.2">
      <c r="A3418" s="13" t="s">
        <v>2131</v>
      </c>
    </row>
    <row r="3419" spans="1:1" x14ac:dyDescent="0.2">
      <c r="A3419" s="13" t="s">
        <v>5709</v>
      </c>
    </row>
    <row r="3420" spans="1:1" x14ac:dyDescent="0.2">
      <c r="A3420" s="13" t="s">
        <v>5710</v>
      </c>
    </row>
    <row r="3421" spans="1:1" x14ac:dyDescent="0.2">
      <c r="A3421" s="13" t="s">
        <v>2038</v>
      </c>
    </row>
    <row r="3422" spans="1:1" x14ac:dyDescent="0.2">
      <c r="A3422" s="13" t="s">
        <v>974</v>
      </c>
    </row>
    <row r="3423" spans="1:1" x14ac:dyDescent="0.2">
      <c r="A3423" s="13" t="s">
        <v>5711</v>
      </c>
    </row>
    <row r="3424" spans="1:1" x14ac:dyDescent="0.2">
      <c r="A3424" s="13" t="s">
        <v>2306</v>
      </c>
    </row>
    <row r="3425" spans="1:1" x14ac:dyDescent="0.2">
      <c r="A3425" s="13" t="s">
        <v>5712</v>
      </c>
    </row>
    <row r="3426" spans="1:1" x14ac:dyDescent="0.2">
      <c r="A3426" s="13" t="s">
        <v>1371</v>
      </c>
    </row>
    <row r="3427" spans="1:1" x14ac:dyDescent="0.2">
      <c r="A3427" s="13" t="s">
        <v>507</v>
      </c>
    </row>
    <row r="3428" spans="1:1" x14ac:dyDescent="0.2">
      <c r="A3428" s="13" t="s">
        <v>3137</v>
      </c>
    </row>
    <row r="3429" spans="1:1" x14ac:dyDescent="0.2">
      <c r="A3429" s="13" t="s">
        <v>2116</v>
      </c>
    </row>
    <row r="3430" spans="1:1" x14ac:dyDescent="0.2">
      <c r="A3430" s="13" t="s">
        <v>3522</v>
      </c>
    </row>
    <row r="3431" spans="1:1" x14ac:dyDescent="0.2">
      <c r="A3431" s="13" t="s">
        <v>5713</v>
      </c>
    </row>
    <row r="3432" spans="1:1" x14ac:dyDescent="0.2">
      <c r="A3432" s="13" t="s">
        <v>2771</v>
      </c>
    </row>
    <row r="3433" spans="1:1" x14ac:dyDescent="0.2">
      <c r="A3433" s="13" t="s">
        <v>2785</v>
      </c>
    </row>
    <row r="3434" spans="1:1" x14ac:dyDescent="0.2">
      <c r="A3434" s="13" t="s">
        <v>5714</v>
      </c>
    </row>
    <row r="3435" spans="1:1" x14ac:dyDescent="0.2">
      <c r="A3435" s="13" t="s">
        <v>961</v>
      </c>
    </row>
    <row r="3436" spans="1:1" x14ac:dyDescent="0.2">
      <c r="A3436" s="13" t="s">
        <v>2378</v>
      </c>
    </row>
    <row r="3437" spans="1:1" x14ac:dyDescent="0.2">
      <c r="A3437" s="13" t="s">
        <v>1036</v>
      </c>
    </row>
    <row r="3438" spans="1:1" x14ac:dyDescent="0.2">
      <c r="A3438" s="13" t="s">
        <v>3105</v>
      </c>
    </row>
    <row r="3439" spans="1:1" x14ac:dyDescent="0.2">
      <c r="A3439" s="13" t="s">
        <v>1767</v>
      </c>
    </row>
    <row r="3440" spans="1:1" x14ac:dyDescent="0.2">
      <c r="A3440" s="13" t="s">
        <v>2260</v>
      </c>
    </row>
    <row r="3441" spans="1:1" x14ac:dyDescent="0.2">
      <c r="A3441" s="13" t="s">
        <v>5715</v>
      </c>
    </row>
    <row r="3442" spans="1:1" x14ac:dyDescent="0.2">
      <c r="A3442" s="13" t="s">
        <v>5716</v>
      </c>
    </row>
    <row r="3443" spans="1:1" x14ac:dyDescent="0.2">
      <c r="A3443" s="13" t="s">
        <v>933</v>
      </c>
    </row>
    <row r="3444" spans="1:1" x14ac:dyDescent="0.2">
      <c r="A3444" s="13" t="s">
        <v>3020</v>
      </c>
    </row>
    <row r="3445" spans="1:1" x14ac:dyDescent="0.2">
      <c r="A3445" s="13" t="s">
        <v>2988</v>
      </c>
    </row>
    <row r="3446" spans="1:1" x14ac:dyDescent="0.2">
      <c r="A3446" s="13" t="s">
        <v>5717</v>
      </c>
    </row>
    <row r="3447" spans="1:1" x14ac:dyDescent="0.2">
      <c r="A3447" s="13" t="s">
        <v>5718</v>
      </c>
    </row>
    <row r="3448" spans="1:1" x14ac:dyDescent="0.2">
      <c r="A3448" s="13" t="s">
        <v>196</v>
      </c>
    </row>
    <row r="3449" spans="1:1" x14ac:dyDescent="0.2">
      <c r="A3449" s="13" t="s">
        <v>5719</v>
      </c>
    </row>
    <row r="3450" spans="1:1" x14ac:dyDescent="0.2">
      <c r="A3450" s="13" t="s">
        <v>5720</v>
      </c>
    </row>
    <row r="3451" spans="1:1" x14ac:dyDescent="0.2">
      <c r="A3451" s="13" t="s">
        <v>3098</v>
      </c>
    </row>
    <row r="3452" spans="1:1" x14ac:dyDescent="0.2">
      <c r="A3452" s="13" t="s">
        <v>5721</v>
      </c>
    </row>
    <row r="3453" spans="1:1" x14ac:dyDescent="0.2">
      <c r="A3453" s="13" t="s">
        <v>2008</v>
      </c>
    </row>
    <row r="3454" spans="1:1" x14ac:dyDescent="0.2">
      <c r="A3454" s="13" t="s">
        <v>2019</v>
      </c>
    </row>
    <row r="3455" spans="1:1" x14ac:dyDescent="0.2">
      <c r="A3455" s="13" t="s">
        <v>1845</v>
      </c>
    </row>
    <row r="3456" spans="1:1" x14ac:dyDescent="0.2">
      <c r="A3456" s="13" t="s">
        <v>5722</v>
      </c>
    </row>
    <row r="3457" spans="1:1" x14ac:dyDescent="0.2">
      <c r="A3457" s="13" t="s">
        <v>2673</v>
      </c>
    </row>
    <row r="3458" spans="1:1" x14ac:dyDescent="0.2">
      <c r="A3458" s="13" t="s">
        <v>1148</v>
      </c>
    </row>
    <row r="3459" spans="1:1" x14ac:dyDescent="0.2">
      <c r="A3459" s="13" t="s">
        <v>5723</v>
      </c>
    </row>
    <row r="3460" spans="1:1" x14ac:dyDescent="0.2">
      <c r="A3460" s="13" t="s">
        <v>2655</v>
      </c>
    </row>
    <row r="3461" spans="1:1" x14ac:dyDescent="0.2">
      <c r="A3461" s="13" t="s">
        <v>5724</v>
      </c>
    </row>
    <row r="3462" spans="1:1" x14ac:dyDescent="0.2">
      <c r="A3462" s="13" t="s">
        <v>2341</v>
      </c>
    </row>
    <row r="3463" spans="1:1" x14ac:dyDescent="0.2">
      <c r="A3463" s="13" t="s">
        <v>5725</v>
      </c>
    </row>
    <row r="3464" spans="1:1" x14ac:dyDescent="0.2">
      <c r="A3464" s="13" t="s">
        <v>3706</v>
      </c>
    </row>
    <row r="3465" spans="1:1" x14ac:dyDescent="0.2">
      <c r="A3465" s="13" t="s">
        <v>5726</v>
      </c>
    </row>
    <row r="3466" spans="1:1" x14ac:dyDescent="0.2">
      <c r="A3466" s="13" t="s">
        <v>2459</v>
      </c>
    </row>
    <row r="3467" spans="1:1" x14ac:dyDescent="0.2">
      <c r="A3467" s="13" t="s">
        <v>5727</v>
      </c>
    </row>
    <row r="3468" spans="1:1" x14ac:dyDescent="0.2">
      <c r="A3468" s="13" t="s">
        <v>5728</v>
      </c>
    </row>
    <row r="3469" spans="1:1" x14ac:dyDescent="0.2">
      <c r="A3469" s="13" t="s">
        <v>2591</v>
      </c>
    </row>
    <row r="3470" spans="1:1" x14ac:dyDescent="0.2">
      <c r="A3470" s="13" t="s">
        <v>5729</v>
      </c>
    </row>
    <row r="3471" spans="1:1" x14ac:dyDescent="0.2">
      <c r="A3471" s="13" t="s">
        <v>5730</v>
      </c>
    </row>
    <row r="3472" spans="1:1" x14ac:dyDescent="0.2">
      <c r="A3472" s="13" t="s">
        <v>1727</v>
      </c>
    </row>
    <row r="3473" spans="1:1" x14ac:dyDescent="0.2">
      <c r="A3473" s="13" t="s">
        <v>2128</v>
      </c>
    </row>
    <row r="3474" spans="1:1" x14ac:dyDescent="0.2">
      <c r="A3474" s="13" t="s">
        <v>2650</v>
      </c>
    </row>
    <row r="3475" spans="1:1" x14ac:dyDescent="0.2">
      <c r="A3475" s="13" t="s">
        <v>3272</v>
      </c>
    </row>
    <row r="3476" spans="1:1" x14ac:dyDescent="0.2">
      <c r="A3476" s="13" t="s">
        <v>2253</v>
      </c>
    </row>
    <row r="3477" spans="1:1" x14ac:dyDescent="0.2">
      <c r="A3477" s="13" t="s">
        <v>5731</v>
      </c>
    </row>
    <row r="3478" spans="1:1" x14ac:dyDescent="0.2">
      <c r="A3478" s="13" t="s">
        <v>983</v>
      </c>
    </row>
    <row r="3479" spans="1:1" x14ac:dyDescent="0.2">
      <c r="A3479" s="13" t="s">
        <v>3547</v>
      </c>
    </row>
    <row r="3480" spans="1:1" x14ac:dyDescent="0.2">
      <c r="A3480" s="13" t="s">
        <v>3605</v>
      </c>
    </row>
    <row r="3481" spans="1:1" x14ac:dyDescent="0.2">
      <c r="A3481" s="13" t="s">
        <v>3918</v>
      </c>
    </row>
    <row r="3482" spans="1:1" x14ac:dyDescent="0.2">
      <c r="A3482" s="13" t="s">
        <v>5732</v>
      </c>
    </row>
    <row r="3483" spans="1:1" x14ac:dyDescent="0.2">
      <c r="A3483" s="13" t="s">
        <v>5733</v>
      </c>
    </row>
    <row r="3484" spans="1:1" x14ac:dyDescent="0.2">
      <c r="A3484" s="13" t="s">
        <v>5734</v>
      </c>
    </row>
    <row r="3485" spans="1:1" x14ac:dyDescent="0.2">
      <c r="A3485" s="13" t="s">
        <v>2017</v>
      </c>
    </row>
    <row r="3486" spans="1:1" x14ac:dyDescent="0.2">
      <c r="A3486" s="13" t="s">
        <v>5735</v>
      </c>
    </row>
    <row r="3487" spans="1:1" x14ac:dyDescent="0.2">
      <c r="A3487" s="13" t="s">
        <v>1498</v>
      </c>
    </row>
    <row r="3488" spans="1:1" x14ac:dyDescent="0.2">
      <c r="A3488" s="13" t="s">
        <v>5736</v>
      </c>
    </row>
    <row r="3489" spans="1:1" x14ac:dyDescent="0.2">
      <c r="A3489" s="13" t="s">
        <v>5737</v>
      </c>
    </row>
    <row r="3490" spans="1:1" x14ac:dyDescent="0.2">
      <c r="A3490" s="13" t="s">
        <v>3058</v>
      </c>
    </row>
    <row r="3491" spans="1:1" x14ac:dyDescent="0.2">
      <c r="A3491" s="13" t="s">
        <v>2633</v>
      </c>
    </row>
    <row r="3492" spans="1:1" x14ac:dyDescent="0.2">
      <c r="A3492" s="13" t="s">
        <v>5738</v>
      </c>
    </row>
    <row r="3493" spans="1:1" x14ac:dyDescent="0.2">
      <c r="A3493" s="13" t="s">
        <v>890</v>
      </c>
    </row>
    <row r="3494" spans="1:1" x14ac:dyDescent="0.2">
      <c r="A3494" s="13" t="s">
        <v>3641</v>
      </c>
    </row>
    <row r="3495" spans="1:1" x14ac:dyDescent="0.2">
      <c r="A3495" s="13" t="s">
        <v>608</v>
      </c>
    </row>
    <row r="3496" spans="1:1" x14ac:dyDescent="0.2">
      <c r="A3496" s="13" t="s">
        <v>3489</v>
      </c>
    </row>
    <row r="3497" spans="1:1" x14ac:dyDescent="0.2">
      <c r="A3497" s="13" t="s">
        <v>5739</v>
      </c>
    </row>
    <row r="3498" spans="1:1" x14ac:dyDescent="0.2">
      <c r="A3498" s="13" t="s">
        <v>3712</v>
      </c>
    </row>
    <row r="3499" spans="1:1" x14ac:dyDescent="0.2">
      <c r="A3499" s="13" t="s">
        <v>1222</v>
      </c>
    </row>
    <row r="3500" spans="1:1" x14ac:dyDescent="0.2">
      <c r="A3500" s="13" t="s">
        <v>2662</v>
      </c>
    </row>
    <row r="3501" spans="1:1" x14ac:dyDescent="0.2">
      <c r="A3501" s="13" t="s">
        <v>2174</v>
      </c>
    </row>
    <row r="3502" spans="1:1" x14ac:dyDescent="0.2">
      <c r="A3502" s="13" t="s">
        <v>1214</v>
      </c>
    </row>
    <row r="3503" spans="1:1" x14ac:dyDescent="0.2">
      <c r="A3503" s="13" t="s">
        <v>2813</v>
      </c>
    </row>
    <row r="3504" spans="1:1" x14ac:dyDescent="0.2">
      <c r="A3504" s="13" t="s">
        <v>3865</v>
      </c>
    </row>
    <row r="3505" spans="1:1" x14ac:dyDescent="0.2">
      <c r="A3505" s="13" t="s">
        <v>1694</v>
      </c>
    </row>
    <row r="3506" spans="1:1" x14ac:dyDescent="0.2">
      <c r="A3506" s="13" t="s">
        <v>1796</v>
      </c>
    </row>
    <row r="3507" spans="1:1" x14ac:dyDescent="0.2">
      <c r="A3507" s="13" t="s">
        <v>406</v>
      </c>
    </row>
    <row r="3508" spans="1:1" x14ac:dyDescent="0.2">
      <c r="A3508" s="13" t="s">
        <v>1054</v>
      </c>
    </row>
    <row r="3509" spans="1:1" x14ac:dyDescent="0.2">
      <c r="A3509" s="13" t="s">
        <v>4130</v>
      </c>
    </row>
    <row r="3510" spans="1:1" x14ac:dyDescent="0.2">
      <c r="A3510" s="13" t="s">
        <v>1402</v>
      </c>
    </row>
    <row r="3511" spans="1:1" x14ac:dyDescent="0.2">
      <c r="A3511" s="13" t="s">
        <v>2129</v>
      </c>
    </row>
    <row r="3512" spans="1:1" x14ac:dyDescent="0.2">
      <c r="A3512" s="13" t="s">
        <v>287</v>
      </c>
    </row>
    <row r="3513" spans="1:1" x14ac:dyDescent="0.2">
      <c r="A3513" s="13" t="s">
        <v>3358</v>
      </c>
    </row>
    <row r="3514" spans="1:1" x14ac:dyDescent="0.2">
      <c r="A3514" s="13" t="s">
        <v>5740</v>
      </c>
    </row>
    <row r="3515" spans="1:1" x14ac:dyDescent="0.2">
      <c r="A3515" s="13" t="s">
        <v>5741</v>
      </c>
    </row>
    <row r="3516" spans="1:1" x14ac:dyDescent="0.2">
      <c r="A3516" s="13" t="s">
        <v>5742</v>
      </c>
    </row>
    <row r="3517" spans="1:1" x14ac:dyDescent="0.2">
      <c r="A3517" s="13" t="s">
        <v>5743</v>
      </c>
    </row>
    <row r="3518" spans="1:1" x14ac:dyDescent="0.2">
      <c r="A3518" s="13" t="s">
        <v>5744</v>
      </c>
    </row>
    <row r="3519" spans="1:1" x14ac:dyDescent="0.2">
      <c r="A3519" s="13" t="s">
        <v>3631</v>
      </c>
    </row>
    <row r="3520" spans="1:1" x14ac:dyDescent="0.2">
      <c r="A3520" s="13" t="s">
        <v>5745</v>
      </c>
    </row>
    <row r="3521" spans="1:1" x14ac:dyDescent="0.2">
      <c r="A3521" s="13" t="s">
        <v>1574</v>
      </c>
    </row>
    <row r="3522" spans="1:1" x14ac:dyDescent="0.2">
      <c r="A3522" s="13" t="s">
        <v>2041</v>
      </c>
    </row>
    <row r="3523" spans="1:1" x14ac:dyDescent="0.2">
      <c r="A3523" s="13" t="s">
        <v>5746</v>
      </c>
    </row>
    <row r="3524" spans="1:1" x14ac:dyDescent="0.2">
      <c r="A3524" s="13" t="s">
        <v>3454</v>
      </c>
    </row>
    <row r="3525" spans="1:1" x14ac:dyDescent="0.2">
      <c r="A3525" s="13" t="s">
        <v>1171</v>
      </c>
    </row>
    <row r="3526" spans="1:1" x14ac:dyDescent="0.2">
      <c r="A3526" s="13" t="s">
        <v>5747</v>
      </c>
    </row>
    <row r="3527" spans="1:1" x14ac:dyDescent="0.2">
      <c r="A3527" s="13" t="s">
        <v>3495</v>
      </c>
    </row>
    <row r="3528" spans="1:1" x14ac:dyDescent="0.2">
      <c r="A3528" s="13" t="s">
        <v>3785</v>
      </c>
    </row>
    <row r="3529" spans="1:1" x14ac:dyDescent="0.2">
      <c r="A3529" s="13" t="s">
        <v>3161</v>
      </c>
    </row>
    <row r="3530" spans="1:1" x14ac:dyDescent="0.2">
      <c r="A3530" s="13" t="s">
        <v>5748</v>
      </c>
    </row>
    <row r="3531" spans="1:1" x14ac:dyDescent="0.2">
      <c r="A3531" s="13" t="s">
        <v>3163</v>
      </c>
    </row>
    <row r="3532" spans="1:1" x14ac:dyDescent="0.2">
      <c r="A3532" s="13" t="s">
        <v>1297</v>
      </c>
    </row>
    <row r="3533" spans="1:1" x14ac:dyDescent="0.2">
      <c r="A3533" s="13" t="s">
        <v>5749</v>
      </c>
    </row>
    <row r="3534" spans="1:1" x14ac:dyDescent="0.2">
      <c r="A3534" s="13" t="s">
        <v>1279</v>
      </c>
    </row>
    <row r="3535" spans="1:1" x14ac:dyDescent="0.2">
      <c r="A3535" s="13" t="s">
        <v>4178</v>
      </c>
    </row>
    <row r="3536" spans="1:1" x14ac:dyDescent="0.2">
      <c r="A3536" s="13" t="s">
        <v>5750</v>
      </c>
    </row>
    <row r="3537" spans="1:1" x14ac:dyDescent="0.2">
      <c r="A3537" s="13" t="s">
        <v>5751</v>
      </c>
    </row>
    <row r="3538" spans="1:1" x14ac:dyDescent="0.2">
      <c r="A3538" s="13" t="s">
        <v>5752</v>
      </c>
    </row>
    <row r="3539" spans="1:1" x14ac:dyDescent="0.2">
      <c r="A3539" s="13" t="s">
        <v>5753</v>
      </c>
    </row>
    <row r="3540" spans="1:1" x14ac:dyDescent="0.2">
      <c r="A3540" s="13" t="s">
        <v>2068</v>
      </c>
    </row>
    <row r="3541" spans="1:1" x14ac:dyDescent="0.2">
      <c r="A3541" s="13" t="s">
        <v>854</v>
      </c>
    </row>
    <row r="3542" spans="1:1" x14ac:dyDescent="0.2">
      <c r="A3542" s="13" t="s">
        <v>5754</v>
      </c>
    </row>
    <row r="3543" spans="1:1" x14ac:dyDescent="0.2">
      <c r="A3543" s="13" t="s">
        <v>2491</v>
      </c>
    </row>
    <row r="3544" spans="1:1" x14ac:dyDescent="0.2">
      <c r="A3544" s="13" t="s">
        <v>1748</v>
      </c>
    </row>
    <row r="3545" spans="1:1" x14ac:dyDescent="0.2">
      <c r="A3545" s="13" t="s">
        <v>5755</v>
      </c>
    </row>
    <row r="3546" spans="1:1" x14ac:dyDescent="0.2">
      <c r="A3546" s="13" t="s">
        <v>5756</v>
      </c>
    </row>
    <row r="3547" spans="1:1" x14ac:dyDescent="0.2">
      <c r="A3547" s="13" t="s">
        <v>2796</v>
      </c>
    </row>
    <row r="3548" spans="1:1" x14ac:dyDescent="0.2">
      <c r="A3548" s="13" t="s">
        <v>3312</v>
      </c>
    </row>
    <row r="3549" spans="1:1" x14ac:dyDescent="0.2">
      <c r="A3549" s="13" t="s">
        <v>2113</v>
      </c>
    </row>
    <row r="3550" spans="1:1" x14ac:dyDescent="0.2">
      <c r="A3550" s="13" t="s">
        <v>1500</v>
      </c>
    </row>
    <row r="3551" spans="1:1" x14ac:dyDescent="0.2">
      <c r="A3551" s="13" t="s">
        <v>5757</v>
      </c>
    </row>
    <row r="3552" spans="1:1" x14ac:dyDescent="0.2">
      <c r="A3552" s="13" t="s">
        <v>3014</v>
      </c>
    </row>
    <row r="3553" spans="1:1" x14ac:dyDescent="0.2">
      <c r="A3553" s="13" t="s">
        <v>4177</v>
      </c>
    </row>
    <row r="3554" spans="1:1" x14ac:dyDescent="0.2">
      <c r="A3554" s="13" t="s">
        <v>1053</v>
      </c>
    </row>
    <row r="3555" spans="1:1" x14ac:dyDescent="0.2">
      <c r="A3555" s="13" t="s">
        <v>1609</v>
      </c>
    </row>
    <row r="3556" spans="1:1" x14ac:dyDescent="0.2">
      <c r="A3556" s="13" t="s">
        <v>5758</v>
      </c>
    </row>
    <row r="3557" spans="1:1" x14ac:dyDescent="0.2">
      <c r="A3557" s="13" t="s">
        <v>5759</v>
      </c>
    </row>
    <row r="3558" spans="1:1" x14ac:dyDescent="0.2">
      <c r="A3558" s="13" t="s">
        <v>4167</v>
      </c>
    </row>
    <row r="3559" spans="1:1" x14ac:dyDescent="0.2">
      <c r="A3559" s="13" t="s">
        <v>3711</v>
      </c>
    </row>
    <row r="3560" spans="1:1" x14ac:dyDescent="0.2">
      <c r="A3560" s="13" t="s">
        <v>5760</v>
      </c>
    </row>
    <row r="3561" spans="1:1" x14ac:dyDescent="0.2">
      <c r="A3561" s="13" t="s">
        <v>720</v>
      </c>
    </row>
    <row r="3562" spans="1:1" x14ac:dyDescent="0.2">
      <c r="A3562" s="13" t="s">
        <v>5761</v>
      </c>
    </row>
    <row r="3563" spans="1:1" x14ac:dyDescent="0.2">
      <c r="A3563" s="13" t="s">
        <v>5762</v>
      </c>
    </row>
    <row r="3564" spans="1:1" x14ac:dyDescent="0.2">
      <c r="A3564" s="13" t="s">
        <v>5763</v>
      </c>
    </row>
    <row r="3565" spans="1:1" x14ac:dyDescent="0.2">
      <c r="A3565" s="13" t="s">
        <v>5764</v>
      </c>
    </row>
    <row r="3566" spans="1:1" x14ac:dyDescent="0.2">
      <c r="A3566" s="13" t="s">
        <v>2292</v>
      </c>
    </row>
    <row r="3567" spans="1:1" x14ac:dyDescent="0.2">
      <c r="A3567" s="13" t="s">
        <v>5765</v>
      </c>
    </row>
    <row r="3568" spans="1:1" x14ac:dyDescent="0.2">
      <c r="A3568" s="13" t="s">
        <v>882</v>
      </c>
    </row>
    <row r="3569" spans="1:1" x14ac:dyDescent="0.2">
      <c r="A3569" s="13" t="s">
        <v>3255</v>
      </c>
    </row>
    <row r="3570" spans="1:1" x14ac:dyDescent="0.2">
      <c r="A3570" s="13" t="s">
        <v>5766</v>
      </c>
    </row>
    <row r="3571" spans="1:1" x14ac:dyDescent="0.2">
      <c r="A3571" s="13" t="s">
        <v>3502</v>
      </c>
    </row>
    <row r="3572" spans="1:1" x14ac:dyDescent="0.2">
      <c r="A3572" s="13" t="s">
        <v>3789</v>
      </c>
    </row>
    <row r="3573" spans="1:1" x14ac:dyDescent="0.2">
      <c r="A3573" s="13" t="s">
        <v>1757</v>
      </c>
    </row>
    <row r="3574" spans="1:1" x14ac:dyDescent="0.2">
      <c r="A3574" s="13" t="s">
        <v>5767</v>
      </c>
    </row>
    <row r="3575" spans="1:1" x14ac:dyDescent="0.2">
      <c r="A3575" s="13" t="s">
        <v>5768</v>
      </c>
    </row>
    <row r="3576" spans="1:1" x14ac:dyDescent="0.2">
      <c r="A3576" s="13" t="s">
        <v>1232</v>
      </c>
    </row>
    <row r="3577" spans="1:1" x14ac:dyDescent="0.2">
      <c r="A3577" s="13" t="s">
        <v>5769</v>
      </c>
    </row>
    <row r="3578" spans="1:1" x14ac:dyDescent="0.2">
      <c r="A3578" s="13" t="s">
        <v>2934</v>
      </c>
    </row>
    <row r="3579" spans="1:1" x14ac:dyDescent="0.2">
      <c r="A3579" s="13" t="s">
        <v>872</v>
      </c>
    </row>
    <row r="3580" spans="1:1" x14ac:dyDescent="0.2">
      <c r="A3580" s="13" t="s">
        <v>2063</v>
      </c>
    </row>
    <row r="3581" spans="1:1" x14ac:dyDescent="0.2">
      <c r="A3581" s="13" t="s">
        <v>5770</v>
      </c>
    </row>
    <row r="3582" spans="1:1" x14ac:dyDescent="0.2">
      <c r="A3582" s="13" t="s">
        <v>5771</v>
      </c>
    </row>
    <row r="3583" spans="1:1" x14ac:dyDescent="0.2">
      <c r="A3583" s="13" t="s">
        <v>4084</v>
      </c>
    </row>
    <row r="3584" spans="1:1" x14ac:dyDescent="0.2">
      <c r="A3584" s="13" t="s">
        <v>5772</v>
      </c>
    </row>
    <row r="3585" spans="1:1" x14ac:dyDescent="0.2">
      <c r="A3585" s="13" t="s">
        <v>5773</v>
      </c>
    </row>
    <row r="3586" spans="1:1" x14ac:dyDescent="0.2">
      <c r="A3586" s="13" t="s">
        <v>3583</v>
      </c>
    </row>
    <row r="3587" spans="1:1" x14ac:dyDescent="0.2">
      <c r="A3587" s="13" t="s">
        <v>4132</v>
      </c>
    </row>
    <row r="3588" spans="1:1" x14ac:dyDescent="0.2">
      <c r="A3588" s="13" t="s">
        <v>324</v>
      </c>
    </row>
    <row r="3589" spans="1:1" x14ac:dyDescent="0.2">
      <c r="A3589" s="13" t="s">
        <v>5774</v>
      </c>
    </row>
    <row r="3590" spans="1:1" x14ac:dyDescent="0.2">
      <c r="A3590" s="13" t="s">
        <v>5775</v>
      </c>
    </row>
    <row r="3591" spans="1:1" x14ac:dyDescent="0.2">
      <c r="A3591" s="13" t="s">
        <v>5776</v>
      </c>
    </row>
    <row r="3592" spans="1:1" x14ac:dyDescent="0.2">
      <c r="A3592" s="13" t="s">
        <v>3074</v>
      </c>
    </row>
    <row r="3593" spans="1:1" x14ac:dyDescent="0.2">
      <c r="A3593" s="13" t="s">
        <v>4020</v>
      </c>
    </row>
    <row r="3594" spans="1:1" x14ac:dyDescent="0.2">
      <c r="A3594" s="13" t="s">
        <v>1715</v>
      </c>
    </row>
    <row r="3595" spans="1:1" x14ac:dyDescent="0.2">
      <c r="A3595" s="13" t="s">
        <v>3006</v>
      </c>
    </row>
    <row r="3596" spans="1:1" x14ac:dyDescent="0.2">
      <c r="A3596" s="13" t="s">
        <v>727</v>
      </c>
    </row>
    <row r="3597" spans="1:1" x14ac:dyDescent="0.2">
      <c r="A3597" s="13" t="s">
        <v>3121</v>
      </c>
    </row>
    <row r="3598" spans="1:1" x14ac:dyDescent="0.2">
      <c r="A3598" s="13" t="s">
        <v>3589</v>
      </c>
    </row>
    <row r="3599" spans="1:1" x14ac:dyDescent="0.2">
      <c r="A3599" s="13" t="s">
        <v>3724</v>
      </c>
    </row>
    <row r="3600" spans="1:1" x14ac:dyDescent="0.2">
      <c r="A3600" s="13" t="s">
        <v>2345</v>
      </c>
    </row>
    <row r="3601" spans="1:1" x14ac:dyDescent="0.2">
      <c r="A3601" s="13" t="s">
        <v>5777</v>
      </c>
    </row>
    <row r="3602" spans="1:1" x14ac:dyDescent="0.2">
      <c r="A3602" s="13" t="s">
        <v>2576</v>
      </c>
    </row>
    <row r="3603" spans="1:1" x14ac:dyDescent="0.2">
      <c r="A3603" s="13" t="s">
        <v>5778</v>
      </c>
    </row>
    <row r="3604" spans="1:1" x14ac:dyDescent="0.2">
      <c r="A3604" s="13" t="s">
        <v>1915</v>
      </c>
    </row>
    <row r="3605" spans="1:1" x14ac:dyDescent="0.2">
      <c r="A3605" s="13" t="s">
        <v>508</v>
      </c>
    </row>
    <row r="3606" spans="1:1" x14ac:dyDescent="0.2">
      <c r="A3606" s="13" t="s">
        <v>3705</v>
      </c>
    </row>
    <row r="3607" spans="1:1" x14ac:dyDescent="0.2">
      <c r="A3607" s="13" t="s">
        <v>5779</v>
      </c>
    </row>
    <row r="3608" spans="1:1" x14ac:dyDescent="0.2">
      <c r="A3608" s="13" t="s">
        <v>5780</v>
      </c>
    </row>
    <row r="3609" spans="1:1" x14ac:dyDescent="0.2">
      <c r="A3609" s="13" t="s">
        <v>348</v>
      </c>
    </row>
    <row r="3610" spans="1:1" x14ac:dyDescent="0.2">
      <c r="A3610" s="13" t="s">
        <v>2739</v>
      </c>
    </row>
    <row r="3611" spans="1:1" x14ac:dyDescent="0.2">
      <c r="A3611" s="13" t="s">
        <v>5781</v>
      </c>
    </row>
    <row r="3612" spans="1:1" x14ac:dyDescent="0.2">
      <c r="A3612" s="13" t="s">
        <v>354</v>
      </c>
    </row>
    <row r="3613" spans="1:1" x14ac:dyDescent="0.2">
      <c r="A3613" s="13" t="s">
        <v>5782</v>
      </c>
    </row>
    <row r="3614" spans="1:1" x14ac:dyDescent="0.2">
      <c r="A3614" s="13" t="s">
        <v>364</v>
      </c>
    </row>
    <row r="3615" spans="1:1" x14ac:dyDescent="0.2">
      <c r="A3615" s="13" t="s">
        <v>5783</v>
      </c>
    </row>
    <row r="3616" spans="1:1" x14ac:dyDescent="0.2">
      <c r="A3616" s="13" t="s">
        <v>5784</v>
      </c>
    </row>
    <row r="3617" spans="1:1" x14ac:dyDescent="0.2">
      <c r="A3617" s="13" t="s">
        <v>1414</v>
      </c>
    </row>
    <row r="3618" spans="1:1" x14ac:dyDescent="0.2">
      <c r="A3618" s="13" t="s">
        <v>5785</v>
      </c>
    </row>
    <row r="3619" spans="1:1" x14ac:dyDescent="0.2">
      <c r="A3619" s="13" t="s">
        <v>906</v>
      </c>
    </row>
    <row r="3620" spans="1:1" x14ac:dyDescent="0.2">
      <c r="A3620" s="13" t="s">
        <v>921</v>
      </c>
    </row>
    <row r="3621" spans="1:1" x14ac:dyDescent="0.2">
      <c r="A3621" s="13" t="s">
        <v>4019</v>
      </c>
    </row>
    <row r="3622" spans="1:1" x14ac:dyDescent="0.2">
      <c r="A3622" s="13" t="s">
        <v>716</v>
      </c>
    </row>
    <row r="3623" spans="1:1" x14ac:dyDescent="0.2">
      <c r="A3623" s="13" t="s">
        <v>2622</v>
      </c>
    </row>
    <row r="3624" spans="1:1" x14ac:dyDescent="0.2">
      <c r="A3624" s="13" t="s">
        <v>5786</v>
      </c>
    </row>
    <row r="3625" spans="1:1" x14ac:dyDescent="0.2">
      <c r="A3625" s="13" t="s">
        <v>2067</v>
      </c>
    </row>
    <row r="3626" spans="1:1" x14ac:dyDescent="0.2">
      <c r="A3626" s="13" t="s">
        <v>986</v>
      </c>
    </row>
    <row r="3627" spans="1:1" x14ac:dyDescent="0.2">
      <c r="A3627" s="13" t="s">
        <v>1756</v>
      </c>
    </row>
    <row r="3628" spans="1:1" x14ac:dyDescent="0.2">
      <c r="A3628" s="13" t="s">
        <v>1283</v>
      </c>
    </row>
    <row r="3629" spans="1:1" x14ac:dyDescent="0.2">
      <c r="A3629" s="13" t="s">
        <v>5787</v>
      </c>
    </row>
    <row r="3630" spans="1:1" x14ac:dyDescent="0.2">
      <c r="A3630" s="13" t="s">
        <v>5788</v>
      </c>
    </row>
    <row r="3631" spans="1:1" x14ac:dyDescent="0.2">
      <c r="A3631" s="13" t="s">
        <v>5789</v>
      </c>
    </row>
    <row r="3632" spans="1:1" x14ac:dyDescent="0.2">
      <c r="A3632" s="13" t="s">
        <v>1951</v>
      </c>
    </row>
    <row r="3633" spans="1:1" x14ac:dyDescent="0.2">
      <c r="A3633" s="13" t="s">
        <v>3735</v>
      </c>
    </row>
    <row r="3634" spans="1:1" x14ac:dyDescent="0.2">
      <c r="A3634" s="13" t="s">
        <v>3167</v>
      </c>
    </row>
    <row r="3635" spans="1:1" x14ac:dyDescent="0.2">
      <c r="A3635" s="13" t="s">
        <v>665</v>
      </c>
    </row>
    <row r="3636" spans="1:1" x14ac:dyDescent="0.2">
      <c r="A3636" s="13" t="s">
        <v>795</v>
      </c>
    </row>
    <row r="3637" spans="1:1" x14ac:dyDescent="0.2">
      <c r="A3637" s="13" t="s">
        <v>5790</v>
      </c>
    </row>
    <row r="3638" spans="1:1" x14ac:dyDescent="0.2">
      <c r="A3638" s="13" t="s">
        <v>2822</v>
      </c>
    </row>
    <row r="3639" spans="1:1" x14ac:dyDescent="0.2">
      <c r="A3639" s="13" t="s">
        <v>5791</v>
      </c>
    </row>
    <row r="3640" spans="1:1" x14ac:dyDescent="0.2">
      <c r="A3640" s="13" t="s">
        <v>1406</v>
      </c>
    </row>
    <row r="3641" spans="1:1" x14ac:dyDescent="0.2">
      <c r="A3641" s="13" t="s">
        <v>2007</v>
      </c>
    </row>
    <row r="3642" spans="1:1" x14ac:dyDescent="0.2">
      <c r="A3642" s="13" t="s">
        <v>3995</v>
      </c>
    </row>
    <row r="3643" spans="1:1" x14ac:dyDescent="0.2">
      <c r="A3643" s="13" t="s">
        <v>1526</v>
      </c>
    </row>
    <row r="3644" spans="1:1" x14ac:dyDescent="0.2">
      <c r="A3644" s="13" t="s">
        <v>5792</v>
      </c>
    </row>
    <row r="3645" spans="1:1" x14ac:dyDescent="0.2">
      <c r="A3645" s="13" t="s">
        <v>3461</v>
      </c>
    </row>
    <row r="3646" spans="1:1" x14ac:dyDescent="0.2">
      <c r="A3646" s="13" t="s">
        <v>5793</v>
      </c>
    </row>
    <row r="3647" spans="1:1" x14ac:dyDescent="0.2">
      <c r="A3647" s="13" t="s">
        <v>5794</v>
      </c>
    </row>
    <row r="3648" spans="1:1" x14ac:dyDescent="0.2">
      <c r="A3648" s="13" t="s">
        <v>3757</v>
      </c>
    </row>
    <row r="3649" spans="1:1" x14ac:dyDescent="0.2">
      <c r="A3649" s="13" t="s">
        <v>5795</v>
      </c>
    </row>
    <row r="3650" spans="1:1" x14ac:dyDescent="0.2">
      <c r="A3650" s="13" t="s">
        <v>5796</v>
      </c>
    </row>
    <row r="3651" spans="1:1" x14ac:dyDescent="0.2">
      <c r="A3651" s="13" t="s">
        <v>5797</v>
      </c>
    </row>
    <row r="3652" spans="1:1" x14ac:dyDescent="0.2">
      <c r="A3652" s="13" t="s">
        <v>3156</v>
      </c>
    </row>
    <row r="3653" spans="1:1" x14ac:dyDescent="0.2">
      <c r="A3653" s="13" t="s">
        <v>1087</v>
      </c>
    </row>
    <row r="3654" spans="1:1" x14ac:dyDescent="0.2">
      <c r="A3654" s="13" t="s">
        <v>5798</v>
      </c>
    </row>
    <row r="3655" spans="1:1" x14ac:dyDescent="0.2">
      <c r="A3655" s="13" t="s">
        <v>3670</v>
      </c>
    </row>
    <row r="3656" spans="1:1" x14ac:dyDescent="0.2">
      <c r="A3656" s="13" t="s">
        <v>5799</v>
      </c>
    </row>
    <row r="3657" spans="1:1" x14ac:dyDescent="0.2">
      <c r="A3657" s="13" t="s">
        <v>2482</v>
      </c>
    </row>
    <row r="3658" spans="1:1" x14ac:dyDescent="0.2">
      <c r="A3658" s="13" t="s">
        <v>1002</v>
      </c>
    </row>
    <row r="3659" spans="1:1" x14ac:dyDescent="0.2">
      <c r="A3659" s="13" t="s">
        <v>675</v>
      </c>
    </row>
    <row r="3660" spans="1:1" x14ac:dyDescent="0.2">
      <c r="A3660" s="13" t="s">
        <v>3135</v>
      </c>
    </row>
    <row r="3661" spans="1:1" x14ac:dyDescent="0.2">
      <c r="A3661" s="13" t="s">
        <v>4005</v>
      </c>
    </row>
    <row r="3662" spans="1:1" x14ac:dyDescent="0.2">
      <c r="A3662" s="13" t="s">
        <v>5800</v>
      </c>
    </row>
    <row r="3663" spans="1:1" x14ac:dyDescent="0.2">
      <c r="A3663" s="13" t="s">
        <v>2811</v>
      </c>
    </row>
    <row r="3664" spans="1:1" x14ac:dyDescent="0.2">
      <c r="A3664" s="13" t="s">
        <v>3575</v>
      </c>
    </row>
    <row r="3665" spans="1:1" x14ac:dyDescent="0.2">
      <c r="A3665" s="13" t="s">
        <v>2040</v>
      </c>
    </row>
    <row r="3666" spans="1:1" x14ac:dyDescent="0.2">
      <c r="A3666" s="13" t="s">
        <v>5801</v>
      </c>
    </row>
    <row r="3667" spans="1:1" x14ac:dyDescent="0.2">
      <c r="A3667" s="13" t="s">
        <v>5802</v>
      </c>
    </row>
    <row r="3668" spans="1:1" x14ac:dyDescent="0.2">
      <c r="A3668" s="13" t="s">
        <v>2635</v>
      </c>
    </row>
    <row r="3669" spans="1:1" x14ac:dyDescent="0.2">
      <c r="A3669" s="13" t="s">
        <v>5803</v>
      </c>
    </row>
    <row r="3670" spans="1:1" x14ac:dyDescent="0.2">
      <c r="A3670" s="13" t="s">
        <v>1929</v>
      </c>
    </row>
    <row r="3671" spans="1:1" x14ac:dyDescent="0.2">
      <c r="A3671" s="13" t="s">
        <v>3843</v>
      </c>
    </row>
    <row r="3672" spans="1:1" x14ac:dyDescent="0.2">
      <c r="A3672" s="13" t="s">
        <v>4172</v>
      </c>
    </row>
    <row r="3673" spans="1:1" x14ac:dyDescent="0.2">
      <c r="A3673" s="13" t="s">
        <v>5804</v>
      </c>
    </row>
    <row r="3674" spans="1:1" x14ac:dyDescent="0.2">
      <c r="A3674" s="13" t="s">
        <v>5805</v>
      </c>
    </row>
    <row r="3675" spans="1:1" x14ac:dyDescent="0.2">
      <c r="A3675" s="13" t="s">
        <v>5806</v>
      </c>
    </row>
    <row r="3676" spans="1:1" x14ac:dyDescent="0.2">
      <c r="A3676" s="13" t="s">
        <v>5807</v>
      </c>
    </row>
    <row r="3677" spans="1:1" x14ac:dyDescent="0.2">
      <c r="A3677" s="13" t="s">
        <v>5808</v>
      </c>
    </row>
    <row r="3678" spans="1:1" x14ac:dyDescent="0.2">
      <c r="A3678" s="13" t="s">
        <v>844</v>
      </c>
    </row>
    <row r="3679" spans="1:1" x14ac:dyDescent="0.2">
      <c r="A3679" s="13" t="s">
        <v>2232</v>
      </c>
    </row>
    <row r="3680" spans="1:1" x14ac:dyDescent="0.2">
      <c r="A3680" s="13" t="s">
        <v>1931</v>
      </c>
    </row>
    <row r="3681" spans="1:1" x14ac:dyDescent="0.2">
      <c r="A3681" s="13" t="s">
        <v>4088</v>
      </c>
    </row>
    <row r="3682" spans="1:1" x14ac:dyDescent="0.2">
      <c r="A3682" s="13" t="s">
        <v>458</v>
      </c>
    </row>
    <row r="3683" spans="1:1" x14ac:dyDescent="0.2">
      <c r="A3683" s="13" t="s">
        <v>5809</v>
      </c>
    </row>
    <row r="3684" spans="1:1" x14ac:dyDescent="0.2">
      <c r="A3684" s="13" t="s">
        <v>1591</v>
      </c>
    </row>
    <row r="3685" spans="1:1" x14ac:dyDescent="0.2">
      <c r="A3685" s="13" t="s">
        <v>5810</v>
      </c>
    </row>
    <row r="3686" spans="1:1" x14ac:dyDescent="0.2">
      <c r="A3686" s="13" t="s">
        <v>2745</v>
      </c>
    </row>
    <row r="3687" spans="1:1" x14ac:dyDescent="0.2">
      <c r="A3687" s="13" t="s">
        <v>5811</v>
      </c>
    </row>
    <row r="3688" spans="1:1" x14ac:dyDescent="0.2">
      <c r="A3688" s="13" t="s">
        <v>5812</v>
      </c>
    </row>
    <row r="3689" spans="1:1" x14ac:dyDescent="0.2">
      <c r="A3689" s="13" t="s">
        <v>2360</v>
      </c>
    </row>
    <row r="3690" spans="1:1" x14ac:dyDescent="0.2">
      <c r="A3690" s="13" t="s">
        <v>685</v>
      </c>
    </row>
    <row r="3691" spans="1:1" x14ac:dyDescent="0.2">
      <c r="A3691" s="13" t="s">
        <v>3273</v>
      </c>
    </row>
    <row r="3692" spans="1:1" x14ac:dyDescent="0.2">
      <c r="A3692" s="13" t="s">
        <v>1047</v>
      </c>
    </row>
    <row r="3693" spans="1:1" x14ac:dyDescent="0.2">
      <c r="A3693" s="13" t="s">
        <v>3614</v>
      </c>
    </row>
    <row r="3694" spans="1:1" x14ac:dyDescent="0.2">
      <c r="A3694" s="13" t="s">
        <v>5813</v>
      </c>
    </row>
    <row r="3695" spans="1:1" x14ac:dyDescent="0.2">
      <c r="A3695" s="13" t="s">
        <v>5814</v>
      </c>
    </row>
    <row r="3696" spans="1:1" x14ac:dyDescent="0.2">
      <c r="A3696" s="13" t="s">
        <v>422</v>
      </c>
    </row>
    <row r="3697" spans="1:1" x14ac:dyDescent="0.2">
      <c r="A3697" s="13" t="s">
        <v>5815</v>
      </c>
    </row>
    <row r="3698" spans="1:1" x14ac:dyDescent="0.2">
      <c r="A3698" s="13" t="s">
        <v>5816</v>
      </c>
    </row>
    <row r="3699" spans="1:1" x14ac:dyDescent="0.2">
      <c r="A3699" s="13" t="s">
        <v>2938</v>
      </c>
    </row>
    <row r="3700" spans="1:1" x14ac:dyDescent="0.2">
      <c r="A3700" s="13" t="s">
        <v>5817</v>
      </c>
    </row>
    <row r="3701" spans="1:1" x14ac:dyDescent="0.2">
      <c r="A3701" s="13" t="s">
        <v>2242</v>
      </c>
    </row>
    <row r="3702" spans="1:1" x14ac:dyDescent="0.2">
      <c r="A3702" s="13" t="s">
        <v>4152</v>
      </c>
    </row>
    <row r="3703" spans="1:1" x14ac:dyDescent="0.2">
      <c r="A3703" s="13" t="s">
        <v>5818</v>
      </c>
    </row>
    <row r="3704" spans="1:1" x14ac:dyDescent="0.2">
      <c r="A3704" s="13" t="s">
        <v>5819</v>
      </c>
    </row>
    <row r="3705" spans="1:1" x14ac:dyDescent="0.2">
      <c r="A3705" s="13" t="s">
        <v>2687</v>
      </c>
    </row>
    <row r="3706" spans="1:1" x14ac:dyDescent="0.2">
      <c r="A3706" s="13" t="s">
        <v>3837</v>
      </c>
    </row>
    <row r="3707" spans="1:1" x14ac:dyDescent="0.2">
      <c r="A3707" s="13" t="s">
        <v>3909</v>
      </c>
    </row>
    <row r="3708" spans="1:1" x14ac:dyDescent="0.2">
      <c r="A3708" s="13" t="s">
        <v>2276</v>
      </c>
    </row>
    <row r="3709" spans="1:1" x14ac:dyDescent="0.2">
      <c r="A3709" s="13" t="s">
        <v>5820</v>
      </c>
    </row>
    <row r="3710" spans="1:1" x14ac:dyDescent="0.2">
      <c r="A3710" s="13" t="s">
        <v>3296</v>
      </c>
    </row>
    <row r="3711" spans="1:1" x14ac:dyDescent="0.2">
      <c r="A3711" s="13" t="s">
        <v>3932</v>
      </c>
    </row>
    <row r="3712" spans="1:1" x14ac:dyDescent="0.2">
      <c r="A3712" s="13" t="s">
        <v>560</v>
      </c>
    </row>
    <row r="3713" spans="1:1" x14ac:dyDescent="0.2">
      <c r="A3713" s="13" t="s">
        <v>5821</v>
      </c>
    </row>
    <row r="3714" spans="1:1" x14ac:dyDescent="0.2">
      <c r="A3714" s="13" t="s">
        <v>1584</v>
      </c>
    </row>
    <row r="3715" spans="1:1" x14ac:dyDescent="0.2">
      <c r="A3715" s="13" t="s">
        <v>5822</v>
      </c>
    </row>
    <row r="3716" spans="1:1" x14ac:dyDescent="0.2">
      <c r="A3716" s="13" t="s">
        <v>5823</v>
      </c>
    </row>
    <row r="3717" spans="1:1" x14ac:dyDescent="0.2">
      <c r="A3717" s="13" t="s">
        <v>1428</v>
      </c>
    </row>
    <row r="3718" spans="1:1" x14ac:dyDescent="0.2">
      <c r="A3718" s="13" t="s">
        <v>1644</v>
      </c>
    </row>
    <row r="3719" spans="1:1" x14ac:dyDescent="0.2">
      <c r="A3719" s="13" t="s">
        <v>3660</v>
      </c>
    </row>
    <row r="3720" spans="1:1" x14ac:dyDescent="0.2">
      <c r="A3720" s="13" t="s">
        <v>1917</v>
      </c>
    </row>
    <row r="3721" spans="1:1" x14ac:dyDescent="0.2">
      <c r="A3721" s="13" t="s">
        <v>3778</v>
      </c>
    </row>
    <row r="3722" spans="1:1" x14ac:dyDescent="0.2">
      <c r="A3722" s="13" t="s">
        <v>5824</v>
      </c>
    </row>
    <row r="3723" spans="1:1" x14ac:dyDescent="0.2">
      <c r="A3723" s="13" t="s">
        <v>5825</v>
      </c>
    </row>
    <row r="3724" spans="1:1" x14ac:dyDescent="0.2">
      <c r="A3724" s="13" t="s">
        <v>5826</v>
      </c>
    </row>
    <row r="3725" spans="1:1" x14ac:dyDescent="0.2">
      <c r="A3725" s="13" t="s">
        <v>1164</v>
      </c>
    </row>
    <row r="3726" spans="1:1" x14ac:dyDescent="0.2">
      <c r="A3726" s="13" t="s">
        <v>3541</v>
      </c>
    </row>
    <row r="3727" spans="1:1" x14ac:dyDescent="0.2">
      <c r="A3727" s="13" t="s">
        <v>3386</v>
      </c>
    </row>
    <row r="3728" spans="1:1" x14ac:dyDescent="0.2">
      <c r="A3728" s="13" t="s">
        <v>3068</v>
      </c>
    </row>
    <row r="3729" spans="1:1" x14ac:dyDescent="0.2">
      <c r="A3729" s="13" t="s">
        <v>5827</v>
      </c>
    </row>
    <row r="3730" spans="1:1" x14ac:dyDescent="0.2">
      <c r="A3730" s="13" t="s">
        <v>5828</v>
      </c>
    </row>
    <row r="3731" spans="1:1" x14ac:dyDescent="0.2">
      <c r="A3731" s="13" t="s">
        <v>5829</v>
      </c>
    </row>
    <row r="3732" spans="1:1" x14ac:dyDescent="0.2">
      <c r="A3732" s="13" t="s">
        <v>5830</v>
      </c>
    </row>
    <row r="3733" spans="1:1" x14ac:dyDescent="0.2">
      <c r="A3733" s="13" t="s">
        <v>5831</v>
      </c>
    </row>
    <row r="3734" spans="1:1" x14ac:dyDescent="0.2">
      <c r="A3734" s="13" t="s">
        <v>2053</v>
      </c>
    </row>
    <row r="3735" spans="1:1" x14ac:dyDescent="0.2">
      <c r="A3735" s="13" t="s">
        <v>2289</v>
      </c>
    </row>
    <row r="3736" spans="1:1" x14ac:dyDescent="0.2">
      <c r="A3736" s="13" t="s">
        <v>5832</v>
      </c>
    </row>
    <row r="3737" spans="1:1" x14ac:dyDescent="0.2">
      <c r="A3737" s="13" t="s">
        <v>3761</v>
      </c>
    </row>
    <row r="3738" spans="1:1" x14ac:dyDescent="0.2">
      <c r="A3738" s="13" t="s">
        <v>5833</v>
      </c>
    </row>
    <row r="3739" spans="1:1" x14ac:dyDescent="0.2">
      <c r="A3739" s="13" t="s">
        <v>5834</v>
      </c>
    </row>
    <row r="3740" spans="1:1" x14ac:dyDescent="0.2">
      <c r="A3740" s="13" t="s">
        <v>2287</v>
      </c>
    </row>
    <row r="3741" spans="1:1" x14ac:dyDescent="0.2">
      <c r="A3741" s="13" t="s">
        <v>5835</v>
      </c>
    </row>
    <row r="3742" spans="1:1" x14ac:dyDescent="0.2">
      <c r="A3742" s="13" t="s">
        <v>5836</v>
      </c>
    </row>
    <row r="3743" spans="1:1" x14ac:dyDescent="0.2">
      <c r="A3743" s="13" t="s">
        <v>3314</v>
      </c>
    </row>
    <row r="3744" spans="1:1" x14ac:dyDescent="0.2">
      <c r="A3744" s="13" t="s">
        <v>5837</v>
      </c>
    </row>
    <row r="3745" spans="1:1" x14ac:dyDescent="0.2">
      <c r="A3745" s="13" t="s">
        <v>3061</v>
      </c>
    </row>
    <row r="3746" spans="1:1" x14ac:dyDescent="0.2">
      <c r="A3746" s="13" t="s">
        <v>5838</v>
      </c>
    </row>
    <row r="3747" spans="1:1" x14ac:dyDescent="0.2">
      <c r="A3747" s="13" t="s">
        <v>5839</v>
      </c>
    </row>
    <row r="3748" spans="1:1" x14ac:dyDescent="0.2">
      <c r="A3748" s="13" t="s">
        <v>5840</v>
      </c>
    </row>
    <row r="3749" spans="1:1" x14ac:dyDescent="0.2">
      <c r="A3749" s="13" t="s">
        <v>1722</v>
      </c>
    </row>
    <row r="3750" spans="1:1" x14ac:dyDescent="0.2">
      <c r="A3750" s="13" t="s">
        <v>1661</v>
      </c>
    </row>
    <row r="3751" spans="1:1" x14ac:dyDescent="0.2">
      <c r="A3751" s="13" t="s">
        <v>1937</v>
      </c>
    </row>
    <row r="3752" spans="1:1" x14ac:dyDescent="0.2">
      <c r="A3752" s="13" t="s">
        <v>5841</v>
      </c>
    </row>
    <row r="3753" spans="1:1" x14ac:dyDescent="0.2">
      <c r="A3753" s="13" t="s">
        <v>1838</v>
      </c>
    </row>
    <row r="3754" spans="1:1" x14ac:dyDescent="0.2">
      <c r="A3754" s="13" t="s">
        <v>2634</v>
      </c>
    </row>
    <row r="3755" spans="1:1" x14ac:dyDescent="0.2">
      <c r="A3755" s="13" t="s">
        <v>1265</v>
      </c>
    </row>
    <row r="3756" spans="1:1" x14ac:dyDescent="0.2">
      <c r="A3756" s="13" t="s">
        <v>5842</v>
      </c>
    </row>
    <row r="3757" spans="1:1" x14ac:dyDescent="0.2">
      <c r="A3757" s="13" t="s">
        <v>3984</v>
      </c>
    </row>
    <row r="3758" spans="1:1" x14ac:dyDescent="0.2">
      <c r="A3758" s="13" t="s">
        <v>2320</v>
      </c>
    </row>
    <row r="3759" spans="1:1" x14ac:dyDescent="0.2">
      <c r="A3759" s="13" t="s">
        <v>3475</v>
      </c>
    </row>
    <row r="3760" spans="1:1" x14ac:dyDescent="0.2">
      <c r="A3760" s="13" t="s">
        <v>3546</v>
      </c>
    </row>
    <row r="3761" spans="1:1" x14ac:dyDescent="0.2">
      <c r="A3761" s="13" t="s">
        <v>5843</v>
      </c>
    </row>
    <row r="3762" spans="1:1" x14ac:dyDescent="0.2">
      <c r="A3762" s="13" t="s">
        <v>1597</v>
      </c>
    </row>
    <row r="3763" spans="1:1" x14ac:dyDescent="0.2">
      <c r="A3763" s="13" t="s">
        <v>1662</v>
      </c>
    </row>
    <row r="3764" spans="1:1" x14ac:dyDescent="0.2">
      <c r="A3764" s="13" t="s">
        <v>2927</v>
      </c>
    </row>
    <row r="3765" spans="1:1" x14ac:dyDescent="0.2">
      <c r="A3765" s="13" t="s">
        <v>3498</v>
      </c>
    </row>
    <row r="3766" spans="1:1" x14ac:dyDescent="0.2">
      <c r="A3766" s="13" t="s">
        <v>1117</v>
      </c>
    </row>
    <row r="3767" spans="1:1" x14ac:dyDescent="0.2">
      <c r="A3767" s="13" t="s">
        <v>5844</v>
      </c>
    </row>
    <row r="3768" spans="1:1" x14ac:dyDescent="0.2">
      <c r="A3768" s="13" t="s">
        <v>3504</v>
      </c>
    </row>
    <row r="3769" spans="1:1" x14ac:dyDescent="0.2">
      <c r="A3769" s="13" t="s">
        <v>5845</v>
      </c>
    </row>
    <row r="3770" spans="1:1" x14ac:dyDescent="0.2">
      <c r="A3770" s="13" t="s">
        <v>2982</v>
      </c>
    </row>
    <row r="3771" spans="1:1" x14ac:dyDescent="0.2">
      <c r="A3771" s="13" t="s">
        <v>5846</v>
      </c>
    </row>
    <row r="3772" spans="1:1" x14ac:dyDescent="0.2">
      <c r="A3772" s="13" t="s">
        <v>5847</v>
      </c>
    </row>
    <row r="3773" spans="1:1" x14ac:dyDescent="0.2">
      <c r="A3773" s="13" t="s">
        <v>1657</v>
      </c>
    </row>
    <row r="3774" spans="1:1" x14ac:dyDescent="0.2">
      <c r="A3774" s="13" t="s">
        <v>5848</v>
      </c>
    </row>
    <row r="3775" spans="1:1" x14ac:dyDescent="0.2">
      <c r="A3775" s="13" t="s">
        <v>5849</v>
      </c>
    </row>
    <row r="3776" spans="1:1" x14ac:dyDescent="0.2">
      <c r="A3776" s="13" t="s">
        <v>5850</v>
      </c>
    </row>
    <row r="3777" spans="1:1" x14ac:dyDescent="0.2">
      <c r="A3777" s="13" t="s">
        <v>5851</v>
      </c>
    </row>
    <row r="3778" spans="1:1" x14ac:dyDescent="0.2">
      <c r="A3778" s="13" t="s">
        <v>5852</v>
      </c>
    </row>
    <row r="3779" spans="1:1" x14ac:dyDescent="0.2">
      <c r="A3779" s="13" t="s">
        <v>3801</v>
      </c>
    </row>
    <row r="3780" spans="1:1" x14ac:dyDescent="0.2">
      <c r="A3780" s="13" t="s">
        <v>2071</v>
      </c>
    </row>
    <row r="3781" spans="1:1" x14ac:dyDescent="0.2">
      <c r="A3781" s="13" t="s">
        <v>1736</v>
      </c>
    </row>
    <row r="3782" spans="1:1" x14ac:dyDescent="0.2">
      <c r="A3782" s="13" t="s">
        <v>3404</v>
      </c>
    </row>
    <row r="3783" spans="1:1" x14ac:dyDescent="0.2">
      <c r="A3783" s="13" t="s">
        <v>5853</v>
      </c>
    </row>
    <row r="3784" spans="1:1" x14ac:dyDescent="0.2">
      <c r="A3784" s="13" t="s">
        <v>4065</v>
      </c>
    </row>
    <row r="3785" spans="1:1" x14ac:dyDescent="0.2">
      <c r="A3785" s="13" t="s">
        <v>1486</v>
      </c>
    </row>
    <row r="3786" spans="1:1" x14ac:dyDescent="0.2">
      <c r="A3786" s="13" t="s">
        <v>2500</v>
      </c>
    </row>
    <row r="3787" spans="1:1" x14ac:dyDescent="0.2">
      <c r="A3787" s="13" t="s">
        <v>5854</v>
      </c>
    </row>
    <row r="3788" spans="1:1" x14ac:dyDescent="0.2">
      <c r="A3788" s="13" t="s">
        <v>5855</v>
      </c>
    </row>
    <row r="3789" spans="1:1" x14ac:dyDescent="0.2">
      <c r="A3789" s="13" t="s">
        <v>3991</v>
      </c>
    </row>
    <row r="3790" spans="1:1" x14ac:dyDescent="0.2">
      <c r="A3790" s="13" t="s">
        <v>2340</v>
      </c>
    </row>
    <row r="3791" spans="1:1" x14ac:dyDescent="0.2">
      <c r="A3791" s="13" t="s">
        <v>3543</v>
      </c>
    </row>
    <row r="3792" spans="1:1" x14ac:dyDescent="0.2">
      <c r="A3792" s="13" t="s">
        <v>5856</v>
      </c>
    </row>
    <row r="3793" spans="1:1" x14ac:dyDescent="0.2">
      <c r="A3793" s="13" t="s">
        <v>5857</v>
      </c>
    </row>
    <row r="3794" spans="1:1" x14ac:dyDescent="0.2">
      <c r="A3794" s="13" t="s">
        <v>3784</v>
      </c>
    </row>
    <row r="3795" spans="1:1" x14ac:dyDescent="0.2">
      <c r="A3795" s="13" t="s">
        <v>5858</v>
      </c>
    </row>
    <row r="3796" spans="1:1" x14ac:dyDescent="0.2">
      <c r="A3796" s="13" t="s">
        <v>5859</v>
      </c>
    </row>
    <row r="3797" spans="1:1" x14ac:dyDescent="0.2">
      <c r="A3797" s="13" t="s">
        <v>5860</v>
      </c>
    </row>
    <row r="3798" spans="1:1" x14ac:dyDescent="0.2">
      <c r="A3798" s="13" t="s">
        <v>3224</v>
      </c>
    </row>
    <row r="3799" spans="1:1" x14ac:dyDescent="0.2">
      <c r="A3799" s="13" t="s">
        <v>5861</v>
      </c>
    </row>
    <row r="3800" spans="1:1" x14ac:dyDescent="0.2">
      <c r="A3800" s="13" t="s">
        <v>5862</v>
      </c>
    </row>
    <row r="3801" spans="1:1" x14ac:dyDescent="0.2">
      <c r="A3801" s="13" t="s">
        <v>908</v>
      </c>
    </row>
    <row r="3802" spans="1:1" x14ac:dyDescent="0.2">
      <c r="A3802" s="13" t="s">
        <v>5863</v>
      </c>
    </row>
    <row r="3803" spans="1:1" x14ac:dyDescent="0.2">
      <c r="A3803" s="13" t="s">
        <v>1467</v>
      </c>
    </row>
    <row r="3804" spans="1:1" x14ac:dyDescent="0.2">
      <c r="A3804" s="13" t="s">
        <v>2948</v>
      </c>
    </row>
    <row r="3805" spans="1:1" x14ac:dyDescent="0.2">
      <c r="A3805" s="13" t="s">
        <v>2664</v>
      </c>
    </row>
    <row r="3806" spans="1:1" x14ac:dyDescent="0.2">
      <c r="A3806" s="13" t="s">
        <v>3349</v>
      </c>
    </row>
    <row r="3807" spans="1:1" x14ac:dyDescent="0.2">
      <c r="A3807" s="13" t="s">
        <v>5864</v>
      </c>
    </row>
    <row r="3808" spans="1:1" x14ac:dyDescent="0.2">
      <c r="A3808" s="13" t="s">
        <v>1397</v>
      </c>
    </row>
    <row r="3809" spans="1:1" x14ac:dyDescent="0.2">
      <c r="A3809" s="13" t="s">
        <v>493</v>
      </c>
    </row>
    <row r="3810" spans="1:1" x14ac:dyDescent="0.2">
      <c r="A3810" s="13" t="s">
        <v>794</v>
      </c>
    </row>
    <row r="3811" spans="1:1" x14ac:dyDescent="0.2">
      <c r="A3811" s="13" t="s">
        <v>5865</v>
      </c>
    </row>
    <row r="3812" spans="1:1" x14ac:dyDescent="0.2">
      <c r="A3812" s="13" t="s">
        <v>3763</v>
      </c>
    </row>
    <row r="3813" spans="1:1" x14ac:dyDescent="0.2">
      <c r="A3813" s="13" t="s">
        <v>3258</v>
      </c>
    </row>
    <row r="3814" spans="1:1" x14ac:dyDescent="0.2">
      <c r="A3814" s="13" t="s">
        <v>5866</v>
      </c>
    </row>
    <row r="3815" spans="1:1" x14ac:dyDescent="0.2">
      <c r="A3815" s="13" t="s">
        <v>2991</v>
      </c>
    </row>
    <row r="3816" spans="1:1" x14ac:dyDescent="0.2">
      <c r="A3816" s="13" t="s">
        <v>5867</v>
      </c>
    </row>
    <row r="3817" spans="1:1" x14ac:dyDescent="0.2">
      <c r="A3817" s="13" t="s">
        <v>3325</v>
      </c>
    </row>
    <row r="3818" spans="1:1" x14ac:dyDescent="0.2">
      <c r="A3818" s="13" t="s">
        <v>900</v>
      </c>
    </row>
    <row r="3819" spans="1:1" x14ac:dyDescent="0.2">
      <c r="A3819" s="13" t="s">
        <v>5868</v>
      </c>
    </row>
    <row r="3820" spans="1:1" x14ac:dyDescent="0.2">
      <c r="A3820" s="13" t="s">
        <v>5869</v>
      </c>
    </row>
    <row r="3821" spans="1:1" x14ac:dyDescent="0.2">
      <c r="A3821" s="13" t="s">
        <v>5870</v>
      </c>
    </row>
    <row r="3822" spans="1:1" x14ac:dyDescent="0.2">
      <c r="A3822" s="13" t="s">
        <v>2379</v>
      </c>
    </row>
    <row r="3823" spans="1:1" x14ac:dyDescent="0.2">
      <c r="A3823" s="13" t="s">
        <v>5871</v>
      </c>
    </row>
    <row r="3824" spans="1:1" x14ac:dyDescent="0.2">
      <c r="A3824" s="13" t="s">
        <v>1913</v>
      </c>
    </row>
    <row r="3825" spans="1:1" x14ac:dyDescent="0.2">
      <c r="A3825" s="13" t="s">
        <v>1916</v>
      </c>
    </row>
    <row r="3826" spans="1:1" x14ac:dyDescent="0.2">
      <c r="A3826" s="13" t="s">
        <v>4090</v>
      </c>
    </row>
    <row r="3827" spans="1:1" x14ac:dyDescent="0.2">
      <c r="A3827" s="13" t="s">
        <v>5872</v>
      </c>
    </row>
    <row r="3828" spans="1:1" x14ac:dyDescent="0.2">
      <c r="A3828" s="13" t="s">
        <v>5873</v>
      </c>
    </row>
    <row r="3829" spans="1:1" x14ac:dyDescent="0.2">
      <c r="A3829" s="13" t="s">
        <v>5874</v>
      </c>
    </row>
    <row r="3830" spans="1:1" x14ac:dyDescent="0.2">
      <c r="A3830" s="13" t="s">
        <v>593</v>
      </c>
    </row>
    <row r="3831" spans="1:1" x14ac:dyDescent="0.2">
      <c r="A3831" s="13" t="s">
        <v>5875</v>
      </c>
    </row>
    <row r="3832" spans="1:1" x14ac:dyDescent="0.2">
      <c r="A3832" s="13" t="s">
        <v>5876</v>
      </c>
    </row>
    <row r="3833" spans="1:1" x14ac:dyDescent="0.2">
      <c r="A3833" s="13" t="s">
        <v>887</v>
      </c>
    </row>
    <row r="3834" spans="1:1" x14ac:dyDescent="0.2">
      <c r="A3834" s="13" t="s">
        <v>5877</v>
      </c>
    </row>
    <row r="3835" spans="1:1" x14ac:dyDescent="0.2">
      <c r="A3835" s="13" t="s">
        <v>283</v>
      </c>
    </row>
    <row r="3836" spans="1:1" x14ac:dyDescent="0.2">
      <c r="A3836" s="13" t="s">
        <v>1970</v>
      </c>
    </row>
    <row r="3837" spans="1:1" x14ac:dyDescent="0.2">
      <c r="A3837" s="13" t="s">
        <v>5878</v>
      </c>
    </row>
    <row r="3838" spans="1:1" x14ac:dyDescent="0.2">
      <c r="A3838" s="13" t="s">
        <v>5879</v>
      </c>
    </row>
    <row r="3839" spans="1:1" x14ac:dyDescent="0.2">
      <c r="A3839" s="13" t="s">
        <v>1302</v>
      </c>
    </row>
    <row r="3840" spans="1:1" x14ac:dyDescent="0.2">
      <c r="A3840" s="13" t="s">
        <v>3584</v>
      </c>
    </row>
    <row r="3841" spans="1:1" x14ac:dyDescent="0.2">
      <c r="A3841" s="13" t="s">
        <v>1969</v>
      </c>
    </row>
    <row r="3842" spans="1:1" x14ac:dyDescent="0.2">
      <c r="A3842" s="13" t="s">
        <v>2294</v>
      </c>
    </row>
    <row r="3843" spans="1:1" x14ac:dyDescent="0.2">
      <c r="A3843" s="13" t="s">
        <v>2744</v>
      </c>
    </row>
    <row r="3844" spans="1:1" x14ac:dyDescent="0.2">
      <c r="A3844" s="13" t="s">
        <v>1593</v>
      </c>
    </row>
    <row r="3845" spans="1:1" x14ac:dyDescent="0.2">
      <c r="A3845" s="13" t="s">
        <v>1869</v>
      </c>
    </row>
    <row r="3846" spans="1:1" x14ac:dyDescent="0.2">
      <c r="A3846" s="13" t="s">
        <v>3904</v>
      </c>
    </row>
    <row r="3847" spans="1:1" x14ac:dyDescent="0.2">
      <c r="A3847" s="13" t="s">
        <v>2654</v>
      </c>
    </row>
    <row r="3848" spans="1:1" x14ac:dyDescent="0.2">
      <c r="A3848" s="13" t="s">
        <v>2091</v>
      </c>
    </row>
    <row r="3849" spans="1:1" x14ac:dyDescent="0.2">
      <c r="A3849" s="13" t="s">
        <v>905</v>
      </c>
    </row>
    <row r="3850" spans="1:1" x14ac:dyDescent="0.2">
      <c r="A3850" s="13" t="s">
        <v>1582</v>
      </c>
    </row>
    <row r="3851" spans="1:1" x14ac:dyDescent="0.2">
      <c r="A3851" s="13" t="s">
        <v>2229</v>
      </c>
    </row>
    <row r="3852" spans="1:1" x14ac:dyDescent="0.2">
      <c r="A3852" s="13" t="s">
        <v>5880</v>
      </c>
    </row>
    <row r="3853" spans="1:1" x14ac:dyDescent="0.2">
      <c r="A3853" s="13" t="s">
        <v>3989</v>
      </c>
    </row>
    <row r="3854" spans="1:1" x14ac:dyDescent="0.2">
      <c r="A3854" s="13" t="s">
        <v>1653</v>
      </c>
    </row>
    <row r="3855" spans="1:1" x14ac:dyDescent="0.2">
      <c r="A3855" s="13" t="s">
        <v>760</v>
      </c>
    </row>
    <row r="3856" spans="1:1" x14ac:dyDescent="0.2">
      <c r="A3856" s="13" t="s">
        <v>5881</v>
      </c>
    </row>
    <row r="3857" spans="1:1" x14ac:dyDescent="0.2">
      <c r="A3857" s="13" t="s">
        <v>2734</v>
      </c>
    </row>
    <row r="3858" spans="1:1" x14ac:dyDescent="0.2">
      <c r="A3858" s="13" t="s">
        <v>3185</v>
      </c>
    </row>
    <row r="3859" spans="1:1" x14ac:dyDescent="0.2">
      <c r="A3859" s="13" t="s">
        <v>5882</v>
      </c>
    </row>
    <row r="3860" spans="1:1" x14ac:dyDescent="0.2">
      <c r="A3860" s="13" t="s">
        <v>5883</v>
      </c>
    </row>
    <row r="3861" spans="1:1" x14ac:dyDescent="0.2">
      <c r="A3861" s="13" t="s">
        <v>5884</v>
      </c>
    </row>
    <row r="3862" spans="1:1" x14ac:dyDescent="0.2">
      <c r="A3862" s="13" t="s">
        <v>5885</v>
      </c>
    </row>
    <row r="3863" spans="1:1" x14ac:dyDescent="0.2">
      <c r="A3863" s="13" t="s">
        <v>5886</v>
      </c>
    </row>
    <row r="3864" spans="1:1" x14ac:dyDescent="0.2">
      <c r="A3864" s="13" t="s">
        <v>5887</v>
      </c>
    </row>
    <row r="3865" spans="1:1" x14ac:dyDescent="0.2">
      <c r="A3865" s="13" t="s">
        <v>5888</v>
      </c>
    </row>
    <row r="3866" spans="1:1" x14ac:dyDescent="0.2">
      <c r="A3866" s="13" t="s">
        <v>3242</v>
      </c>
    </row>
    <row r="3867" spans="1:1" x14ac:dyDescent="0.2">
      <c r="A3867" s="13" t="s">
        <v>3182</v>
      </c>
    </row>
    <row r="3868" spans="1:1" x14ac:dyDescent="0.2">
      <c r="A3868" s="13" t="s">
        <v>5889</v>
      </c>
    </row>
    <row r="3869" spans="1:1" x14ac:dyDescent="0.2">
      <c r="A3869" s="13" t="s">
        <v>1531</v>
      </c>
    </row>
    <row r="3870" spans="1:1" x14ac:dyDescent="0.2">
      <c r="A3870" s="13" t="s">
        <v>5890</v>
      </c>
    </row>
    <row r="3871" spans="1:1" x14ac:dyDescent="0.2">
      <c r="A3871" s="13" t="s">
        <v>825</v>
      </c>
    </row>
    <row r="3872" spans="1:1" x14ac:dyDescent="0.2">
      <c r="A3872" s="13" t="s">
        <v>1691</v>
      </c>
    </row>
    <row r="3873" spans="1:1" x14ac:dyDescent="0.2">
      <c r="A3873" s="13" t="s">
        <v>5891</v>
      </c>
    </row>
    <row r="3874" spans="1:1" x14ac:dyDescent="0.2">
      <c r="A3874" s="13" t="s">
        <v>5892</v>
      </c>
    </row>
    <row r="3875" spans="1:1" x14ac:dyDescent="0.2">
      <c r="A3875" s="13" t="s">
        <v>1712</v>
      </c>
    </row>
    <row r="3876" spans="1:1" x14ac:dyDescent="0.2">
      <c r="A3876" s="13" t="s">
        <v>5893</v>
      </c>
    </row>
    <row r="3877" spans="1:1" x14ac:dyDescent="0.2">
      <c r="A3877" s="13" t="s">
        <v>3151</v>
      </c>
    </row>
    <row r="3878" spans="1:1" x14ac:dyDescent="0.2">
      <c r="A3878" s="13" t="s">
        <v>3512</v>
      </c>
    </row>
    <row r="3879" spans="1:1" x14ac:dyDescent="0.2">
      <c r="A3879" s="13" t="s">
        <v>2898</v>
      </c>
    </row>
    <row r="3880" spans="1:1" x14ac:dyDescent="0.2">
      <c r="A3880" s="13" t="s">
        <v>3190</v>
      </c>
    </row>
    <row r="3881" spans="1:1" x14ac:dyDescent="0.2">
      <c r="A3881" s="13" t="s">
        <v>2780</v>
      </c>
    </row>
    <row r="3882" spans="1:1" x14ac:dyDescent="0.2">
      <c r="A3882" s="13" t="s">
        <v>3680</v>
      </c>
    </row>
    <row r="3883" spans="1:1" x14ac:dyDescent="0.2">
      <c r="A3883" s="13" t="s">
        <v>2856</v>
      </c>
    </row>
    <row r="3884" spans="1:1" x14ac:dyDescent="0.2">
      <c r="A3884" s="13" t="s">
        <v>2031</v>
      </c>
    </row>
    <row r="3885" spans="1:1" x14ac:dyDescent="0.2">
      <c r="A3885" s="13" t="s">
        <v>5894</v>
      </c>
    </row>
    <row r="3886" spans="1:1" x14ac:dyDescent="0.2">
      <c r="A3886" s="13" t="s">
        <v>913</v>
      </c>
    </row>
    <row r="3887" spans="1:1" x14ac:dyDescent="0.2">
      <c r="A3887" s="13" t="s">
        <v>2574</v>
      </c>
    </row>
    <row r="3888" spans="1:1" x14ac:dyDescent="0.2">
      <c r="A3888" s="13" t="s">
        <v>5895</v>
      </c>
    </row>
    <row r="3889" spans="1:1" x14ac:dyDescent="0.2">
      <c r="A3889" s="13" t="s">
        <v>5896</v>
      </c>
    </row>
    <row r="3890" spans="1:1" x14ac:dyDescent="0.2">
      <c r="A3890" s="13" t="s">
        <v>5897</v>
      </c>
    </row>
    <row r="3891" spans="1:1" x14ac:dyDescent="0.2">
      <c r="A3891" s="13" t="s">
        <v>1894</v>
      </c>
    </row>
    <row r="3892" spans="1:1" x14ac:dyDescent="0.2">
      <c r="A3892" s="13" t="s">
        <v>3922</v>
      </c>
    </row>
    <row r="3893" spans="1:1" x14ac:dyDescent="0.2">
      <c r="A3893" s="13" t="s">
        <v>788</v>
      </c>
    </row>
    <row r="3894" spans="1:1" x14ac:dyDescent="0.2">
      <c r="A3894" s="13" t="s">
        <v>5898</v>
      </c>
    </row>
    <row r="3895" spans="1:1" x14ac:dyDescent="0.2">
      <c r="A3895" s="13" t="s">
        <v>1594</v>
      </c>
    </row>
    <row r="3896" spans="1:1" x14ac:dyDescent="0.2">
      <c r="A3896" s="13" t="s">
        <v>5899</v>
      </c>
    </row>
    <row r="3897" spans="1:1" x14ac:dyDescent="0.2">
      <c r="A3897" s="13" t="s">
        <v>5900</v>
      </c>
    </row>
    <row r="3898" spans="1:1" x14ac:dyDescent="0.2">
      <c r="A3898" s="13" t="s">
        <v>963</v>
      </c>
    </row>
    <row r="3899" spans="1:1" x14ac:dyDescent="0.2">
      <c r="A3899" s="13" t="s">
        <v>2322</v>
      </c>
    </row>
    <row r="3900" spans="1:1" x14ac:dyDescent="0.2">
      <c r="A3900" s="13" t="s">
        <v>1587</v>
      </c>
    </row>
    <row r="3901" spans="1:1" x14ac:dyDescent="0.2">
      <c r="A3901" s="13" t="s">
        <v>2299</v>
      </c>
    </row>
    <row r="3902" spans="1:1" x14ac:dyDescent="0.2">
      <c r="A3902" s="13" t="s">
        <v>630</v>
      </c>
    </row>
    <row r="3903" spans="1:1" x14ac:dyDescent="0.2">
      <c r="A3903" s="13" t="s">
        <v>3433</v>
      </c>
    </row>
    <row r="3904" spans="1:1" x14ac:dyDescent="0.2">
      <c r="A3904" s="13" t="s">
        <v>5901</v>
      </c>
    </row>
    <row r="3905" spans="1:1" x14ac:dyDescent="0.2">
      <c r="A3905" s="13" t="s">
        <v>1763</v>
      </c>
    </row>
    <row r="3906" spans="1:1" x14ac:dyDescent="0.2">
      <c r="A3906" s="13" t="s">
        <v>3561</v>
      </c>
    </row>
    <row r="3907" spans="1:1" x14ac:dyDescent="0.2">
      <c r="A3907" s="13" t="s">
        <v>3799</v>
      </c>
    </row>
    <row r="3908" spans="1:1" x14ac:dyDescent="0.2">
      <c r="A3908" s="13" t="s">
        <v>5902</v>
      </c>
    </row>
    <row r="3909" spans="1:1" x14ac:dyDescent="0.2">
      <c r="A3909" s="13" t="s">
        <v>2537</v>
      </c>
    </row>
    <row r="3910" spans="1:1" x14ac:dyDescent="0.2">
      <c r="A3910" s="13" t="s">
        <v>2640</v>
      </c>
    </row>
    <row r="3911" spans="1:1" x14ac:dyDescent="0.2">
      <c r="A3911" s="13" t="s">
        <v>2359</v>
      </c>
    </row>
    <row r="3912" spans="1:1" x14ac:dyDescent="0.2">
      <c r="A3912" s="13" t="s">
        <v>1936</v>
      </c>
    </row>
    <row r="3913" spans="1:1" x14ac:dyDescent="0.2">
      <c r="A3913" s="13" t="s">
        <v>1875</v>
      </c>
    </row>
    <row r="3914" spans="1:1" x14ac:dyDescent="0.2">
      <c r="A3914" s="13" t="s">
        <v>1788</v>
      </c>
    </row>
    <row r="3915" spans="1:1" x14ac:dyDescent="0.2">
      <c r="A3915" s="13" t="s">
        <v>5903</v>
      </c>
    </row>
    <row r="3916" spans="1:1" x14ac:dyDescent="0.2">
      <c r="A3916" s="13" t="s">
        <v>5904</v>
      </c>
    </row>
    <row r="3917" spans="1:1" x14ac:dyDescent="0.2">
      <c r="A3917" s="13" t="s">
        <v>5905</v>
      </c>
    </row>
    <row r="3918" spans="1:1" x14ac:dyDescent="0.2">
      <c r="A3918" s="13" t="s">
        <v>1714</v>
      </c>
    </row>
    <row r="3919" spans="1:1" x14ac:dyDescent="0.2">
      <c r="A3919" s="13" t="s">
        <v>5906</v>
      </c>
    </row>
    <row r="3920" spans="1:1" x14ac:dyDescent="0.2">
      <c r="A3920" s="13" t="s">
        <v>3829</v>
      </c>
    </row>
    <row r="3921" spans="1:1" x14ac:dyDescent="0.2">
      <c r="A3921" s="13" t="s">
        <v>3970</v>
      </c>
    </row>
    <row r="3922" spans="1:1" x14ac:dyDescent="0.2">
      <c r="A3922" s="13" t="s">
        <v>5907</v>
      </c>
    </row>
    <row r="3923" spans="1:1" x14ac:dyDescent="0.2">
      <c r="A3923" s="13" t="s">
        <v>5908</v>
      </c>
    </row>
    <row r="3924" spans="1:1" x14ac:dyDescent="0.2">
      <c r="A3924" s="13" t="s">
        <v>671</v>
      </c>
    </row>
    <row r="3925" spans="1:1" x14ac:dyDescent="0.2">
      <c r="A3925" s="13" t="s">
        <v>4114</v>
      </c>
    </row>
    <row r="3926" spans="1:1" x14ac:dyDescent="0.2">
      <c r="A3926" s="13" t="s">
        <v>827</v>
      </c>
    </row>
    <row r="3927" spans="1:1" x14ac:dyDescent="0.2">
      <c r="A3927" s="13" t="s">
        <v>5909</v>
      </c>
    </row>
    <row r="3928" spans="1:1" x14ac:dyDescent="0.2">
      <c r="A3928" s="13" t="s">
        <v>272</v>
      </c>
    </row>
    <row r="3929" spans="1:1" x14ac:dyDescent="0.2">
      <c r="A3929" s="13" t="s">
        <v>2990</v>
      </c>
    </row>
    <row r="3930" spans="1:1" x14ac:dyDescent="0.2">
      <c r="A3930" s="13" t="s">
        <v>3657</v>
      </c>
    </row>
    <row r="3931" spans="1:1" x14ac:dyDescent="0.2">
      <c r="A3931" s="13" t="s">
        <v>1389</v>
      </c>
    </row>
    <row r="3932" spans="1:1" x14ac:dyDescent="0.2">
      <c r="A3932" s="13" t="s">
        <v>5910</v>
      </c>
    </row>
    <row r="3933" spans="1:1" x14ac:dyDescent="0.2">
      <c r="A3933" s="13" t="s">
        <v>5911</v>
      </c>
    </row>
    <row r="3934" spans="1:1" x14ac:dyDescent="0.2">
      <c r="A3934" s="13" t="s">
        <v>2820</v>
      </c>
    </row>
    <row r="3935" spans="1:1" x14ac:dyDescent="0.2">
      <c r="A3935" s="13" t="s">
        <v>3632</v>
      </c>
    </row>
    <row r="3936" spans="1:1" x14ac:dyDescent="0.2">
      <c r="A3936" s="13" t="s">
        <v>3725</v>
      </c>
    </row>
    <row r="3937" spans="1:1" x14ac:dyDescent="0.2">
      <c r="A3937" s="13" t="s">
        <v>5912</v>
      </c>
    </row>
    <row r="3938" spans="1:1" x14ac:dyDescent="0.2">
      <c r="A3938" s="13" t="s">
        <v>5913</v>
      </c>
    </row>
    <row r="3939" spans="1:1" x14ac:dyDescent="0.2">
      <c r="A3939" s="13" t="s">
        <v>5914</v>
      </c>
    </row>
    <row r="3940" spans="1:1" x14ac:dyDescent="0.2">
      <c r="A3940" s="13" t="s">
        <v>938</v>
      </c>
    </row>
    <row r="3941" spans="1:1" x14ac:dyDescent="0.2">
      <c r="A3941" s="13" t="s">
        <v>5915</v>
      </c>
    </row>
    <row r="3942" spans="1:1" x14ac:dyDescent="0.2">
      <c r="A3942" s="13" t="s">
        <v>5916</v>
      </c>
    </row>
    <row r="3943" spans="1:1" x14ac:dyDescent="0.2">
      <c r="A3943" s="13" t="s">
        <v>454</v>
      </c>
    </row>
    <row r="3944" spans="1:1" x14ac:dyDescent="0.2">
      <c r="A3944" s="13" t="s">
        <v>2215</v>
      </c>
    </row>
    <row r="3945" spans="1:1" x14ac:dyDescent="0.2">
      <c r="A3945" s="13" t="s">
        <v>5917</v>
      </c>
    </row>
    <row r="3946" spans="1:1" x14ac:dyDescent="0.2">
      <c r="A3946" s="13" t="s">
        <v>2563</v>
      </c>
    </row>
    <row r="3947" spans="1:1" x14ac:dyDescent="0.2">
      <c r="A3947" s="13" t="s">
        <v>784</v>
      </c>
    </row>
    <row r="3948" spans="1:1" x14ac:dyDescent="0.2">
      <c r="A3948" s="13" t="s">
        <v>5918</v>
      </c>
    </row>
    <row r="3949" spans="1:1" x14ac:dyDescent="0.2">
      <c r="A3949" s="13" t="s">
        <v>5919</v>
      </c>
    </row>
    <row r="3950" spans="1:1" x14ac:dyDescent="0.2">
      <c r="A3950" s="13" t="s">
        <v>185</v>
      </c>
    </row>
    <row r="3951" spans="1:1" x14ac:dyDescent="0.2">
      <c r="A3951" s="13" t="s">
        <v>5920</v>
      </c>
    </row>
    <row r="3952" spans="1:1" x14ac:dyDescent="0.2">
      <c r="A3952" s="13" t="s">
        <v>3967</v>
      </c>
    </row>
    <row r="3953" spans="1:1" x14ac:dyDescent="0.2">
      <c r="A3953" s="13" t="s">
        <v>5921</v>
      </c>
    </row>
    <row r="3954" spans="1:1" x14ac:dyDescent="0.2">
      <c r="A3954" s="13" t="s">
        <v>5922</v>
      </c>
    </row>
    <row r="3955" spans="1:1" x14ac:dyDescent="0.2">
      <c r="A3955" s="13" t="s">
        <v>2612</v>
      </c>
    </row>
    <row r="3956" spans="1:1" x14ac:dyDescent="0.2">
      <c r="A3956" s="13" t="s">
        <v>2157</v>
      </c>
    </row>
    <row r="3957" spans="1:1" x14ac:dyDescent="0.2">
      <c r="A3957" s="13" t="s">
        <v>5923</v>
      </c>
    </row>
    <row r="3958" spans="1:1" x14ac:dyDescent="0.2">
      <c r="A3958" s="13" t="s">
        <v>5924</v>
      </c>
    </row>
    <row r="3959" spans="1:1" x14ac:dyDescent="0.2">
      <c r="A3959" s="13" t="s">
        <v>2125</v>
      </c>
    </row>
    <row r="3960" spans="1:1" x14ac:dyDescent="0.2">
      <c r="A3960" s="13" t="s">
        <v>5925</v>
      </c>
    </row>
    <row r="3961" spans="1:1" x14ac:dyDescent="0.2">
      <c r="A3961" s="13" t="s">
        <v>3710</v>
      </c>
    </row>
    <row r="3962" spans="1:1" x14ac:dyDescent="0.2">
      <c r="A3962" s="13" t="s">
        <v>2351</v>
      </c>
    </row>
    <row r="3963" spans="1:1" x14ac:dyDescent="0.2">
      <c r="A3963" s="13" t="s">
        <v>3577</v>
      </c>
    </row>
    <row r="3964" spans="1:1" x14ac:dyDescent="0.2">
      <c r="A3964" s="13" t="s">
        <v>2518</v>
      </c>
    </row>
    <row r="3965" spans="1:1" x14ac:dyDescent="0.2">
      <c r="A3965" s="13" t="s">
        <v>5926</v>
      </c>
    </row>
    <row r="3966" spans="1:1" x14ac:dyDescent="0.2">
      <c r="A3966" s="13" t="s">
        <v>5927</v>
      </c>
    </row>
    <row r="3967" spans="1:1" x14ac:dyDescent="0.2">
      <c r="A3967" s="13" t="s">
        <v>2666</v>
      </c>
    </row>
    <row r="3968" spans="1:1" x14ac:dyDescent="0.2">
      <c r="A3968" s="13" t="s">
        <v>3370</v>
      </c>
    </row>
    <row r="3969" spans="1:1" x14ac:dyDescent="0.2">
      <c r="A3969" s="13" t="s">
        <v>505</v>
      </c>
    </row>
    <row r="3970" spans="1:1" x14ac:dyDescent="0.2">
      <c r="A3970" s="13" t="s">
        <v>1768</v>
      </c>
    </row>
    <row r="3971" spans="1:1" x14ac:dyDescent="0.2">
      <c r="A3971" s="13" t="s">
        <v>1361</v>
      </c>
    </row>
    <row r="3972" spans="1:1" x14ac:dyDescent="0.2">
      <c r="A3972" s="13" t="s">
        <v>2236</v>
      </c>
    </row>
    <row r="3973" spans="1:1" x14ac:dyDescent="0.2">
      <c r="A3973" s="13" t="s">
        <v>5928</v>
      </c>
    </row>
    <row r="3974" spans="1:1" x14ac:dyDescent="0.2">
      <c r="A3974" s="13" t="s">
        <v>1765</v>
      </c>
    </row>
    <row r="3975" spans="1:1" x14ac:dyDescent="0.2">
      <c r="A3975" s="13" t="s">
        <v>3846</v>
      </c>
    </row>
    <row r="3976" spans="1:1" x14ac:dyDescent="0.2">
      <c r="A3976" s="13" t="s">
        <v>1828</v>
      </c>
    </row>
    <row r="3977" spans="1:1" x14ac:dyDescent="0.2">
      <c r="A3977" s="13" t="s">
        <v>5929</v>
      </c>
    </row>
    <row r="3978" spans="1:1" x14ac:dyDescent="0.2">
      <c r="A3978" s="13" t="s">
        <v>2034</v>
      </c>
    </row>
    <row r="3979" spans="1:1" x14ac:dyDescent="0.2">
      <c r="A3979" s="13" t="s">
        <v>2887</v>
      </c>
    </row>
    <row r="3980" spans="1:1" x14ac:dyDescent="0.2">
      <c r="A3980" s="13" t="s">
        <v>5930</v>
      </c>
    </row>
    <row r="3981" spans="1:1" x14ac:dyDescent="0.2">
      <c r="A3981" s="13" t="s">
        <v>5931</v>
      </c>
    </row>
    <row r="3982" spans="1:1" x14ac:dyDescent="0.2">
      <c r="A3982" s="13" t="s">
        <v>1187</v>
      </c>
    </row>
    <row r="3983" spans="1:1" x14ac:dyDescent="0.2">
      <c r="A3983" s="13" t="s">
        <v>1660</v>
      </c>
    </row>
    <row r="3984" spans="1:1" x14ac:dyDescent="0.2">
      <c r="A3984" s="13" t="s">
        <v>5932</v>
      </c>
    </row>
    <row r="3985" spans="1:1" x14ac:dyDescent="0.2">
      <c r="A3985" s="13" t="s">
        <v>1416</v>
      </c>
    </row>
    <row r="3986" spans="1:1" x14ac:dyDescent="0.2">
      <c r="A3986" s="13" t="s">
        <v>557</v>
      </c>
    </row>
    <row r="3987" spans="1:1" x14ac:dyDescent="0.2">
      <c r="A3987" s="13" t="s">
        <v>5933</v>
      </c>
    </row>
    <row r="3988" spans="1:1" x14ac:dyDescent="0.2">
      <c r="A3988" s="13" t="s">
        <v>3318</v>
      </c>
    </row>
    <row r="3989" spans="1:1" x14ac:dyDescent="0.2">
      <c r="A3989" s="13" t="s">
        <v>4162</v>
      </c>
    </row>
    <row r="3990" spans="1:1" x14ac:dyDescent="0.2">
      <c r="A3990" s="13" t="s">
        <v>2307</v>
      </c>
    </row>
    <row r="3991" spans="1:1" x14ac:dyDescent="0.2">
      <c r="A3991" s="13" t="s">
        <v>5934</v>
      </c>
    </row>
    <row r="3992" spans="1:1" x14ac:dyDescent="0.2">
      <c r="A3992" s="13" t="s">
        <v>3817</v>
      </c>
    </row>
    <row r="3993" spans="1:1" x14ac:dyDescent="0.2">
      <c r="A3993" s="13" t="s">
        <v>1822</v>
      </c>
    </row>
    <row r="3994" spans="1:1" x14ac:dyDescent="0.2">
      <c r="A3994" s="13" t="s">
        <v>5935</v>
      </c>
    </row>
    <row r="3995" spans="1:1" x14ac:dyDescent="0.2">
      <c r="A3995" s="13" t="s">
        <v>2354</v>
      </c>
    </row>
    <row r="3996" spans="1:1" x14ac:dyDescent="0.2">
      <c r="A3996" s="13" t="s">
        <v>5936</v>
      </c>
    </row>
    <row r="3997" spans="1:1" x14ac:dyDescent="0.2">
      <c r="A3997" s="13" t="s">
        <v>5937</v>
      </c>
    </row>
    <row r="3998" spans="1:1" x14ac:dyDescent="0.2">
      <c r="A3998" s="13" t="s">
        <v>2765</v>
      </c>
    </row>
    <row r="3999" spans="1:1" x14ac:dyDescent="0.2">
      <c r="A3999" s="13" t="s">
        <v>5938</v>
      </c>
    </row>
    <row r="4000" spans="1:1" x14ac:dyDescent="0.2">
      <c r="A4000" s="13" t="s">
        <v>5939</v>
      </c>
    </row>
    <row r="4001" spans="1:1" x14ac:dyDescent="0.2">
      <c r="A4001" s="13" t="s">
        <v>5940</v>
      </c>
    </row>
    <row r="4002" spans="1:1" x14ac:dyDescent="0.2">
      <c r="A4002" s="13" t="s">
        <v>5941</v>
      </c>
    </row>
    <row r="4003" spans="1:1" x14ac:dyDescent="0.2">
      <c r="A4003" s="13" t="s">
        <v>5942</v>
      </c>
    </row>
    <row r="4004" spans="1:1" x14ac:dyDescent="0.2">
      <c r="A4004" s="13" t="s">
        <v>3728</v>
      </c>
    </row>
    <row r="4005" spans="1:1" x14ac:dyDescent="0.2">
      <c r="A4005" s="13" t="s">
        <v>2156</v>
      </c>
    </row>
    <row r="4006" spans="1:1" x14ac:dyDescent="0.2">
      <c r="A4006" s="13" t="s">
        <v>5943</v>
      </c>
    </row>
    <row r="4007" spans="1:1" x14ac:dyDescent="0.2">
      <c r="A4007" s="13" t="s">
        <v>2638</v>
      </c>
    </row>
    <row r="4008" spans="1:1" x14ac:dyDescent="0.2">
      <c r="A4008" s="13" t="s">
        <v>5944</v>
      </c>
    </row>
    <row r="4009" spans="1:1" x14ac:dyDescent="0.2">
      <c r="A4009" s="13" t="s">
        <v>5945</v>
      </c>
    </row>
    <row r="4010" spans="1:1" x14ac:dyDescent="0.2">
      <c r="A4010" s="13" t="s">
        <v>2436</v>
      </c>
    </row>
    <row r="4011" spans="1:1" x14ac:dyDescent="0.2">
      <c r="A4011" s="13" t="s">
        <v>2463</v>
      </c>
    </row>
    <row r="4012" spans="1:1" x14ac:dyDescent="0.2">
      <c r="A4012" s="13" t="s">
        <v>5946</v>
      </c>
    </row>
    <row r="4013" spans="1:1" x14ac:dyDescent="0.2">
      <c r="A4013" s="13" t="s">
        <v>5947</v>
      </c>
    </row>
    <row r="4014" spans="1:1" x14ac:dyDescent="0.2">
      <c r="A4014" s="13" t="s">
        <v>5948</v>
      </c>
    </row>
    <row r="4015" spans="1:1" x14ac:dyDescent="0.2">
      <c r="A4015" s="13" t="s">
        <v>2432</v>
      </c>
    </row>
    <row r="4016" spans="1:1" x14ac:dyDescent="0.2">
      <c r="A4016" s="13" t="s">
        <v>5949</v>
      </c>
    </row>
    <row r="4017" spans="1:1" x14ac:dyDescent="0.2">
      <c r="A4017" s="13" t="s">
        <v>5950</v>
      </c>
    </row>
    <row r="4018" spans="1:1" x14ac:dyDescent="0.2">
      <c r="A4018" s="13" t="s">
        <v>4112</v>
      </c>
    </row>
    <row r="4019" spans="1:1" x14ac:dyDescent="0.2">
      <c r="A4019" s="13" t="s">
        <v>1319</v>
      </c>
    </row>
    <row r="4020" spans="1:1" x14ac:dyDescent="0.2">
      <c r="A4020" s="13" t="s">
        <v>5951</v>
      </c>
    </row>
    <row r="4021" spans="1:1" x14ac:dyDescent="0.2">
      <c r="A4021" s="13" t="s">
        <v>2167</v>
      </c>
    </row>
    <row r="4022" spans="1:1" x14ac:dyDescent="0.2">
      <c r="A4022" s="13" t="s">
        <v>3956</v>
      </c>
    </row>
    <row r="4023" spans="1:1" x14ac:dyDescent="0.2">
      <c r="A4023" s="13" t="s">
        <v>5952</v>
      </c>
    </row>
    <row r="4024" spans="1:1" x14ac:dyDescent="0.2">
      <c r="A4024" s="13" t="s">
        <v>4040</v>
      </c>
    </row>
    <row r="4025" spans="1:1" x14ac:dyDescent="0.2">
      <c r="A4025" s="13" t="s">
        <v>5953</v>
      </c>
    </row>
    <row r="4026" spans="1:1" x14ac:dyDescent="0.2">
      <c r="A4026" s="13" t="s">
        <v>5954</v>
      </c>
    </row>
    <row r="4027" spans="1:1" x14ac:dyDescent="0.2">
      <c r="A4027" s="13" t="s">
        <v>2282</v>
      </c>
    </row>
    <row r="4028" spans="1:1" x14ac:dyDescent="0.2">
      <c r="A4028" s="13" t="s">
        <v>5955</v>
      </c>
    </row>
    <row r="4029" spans="1:1" x14ac:dyDescent="0.2">
      <c r="A4029" s="13" t="s">
        <v>5956</v>
      </c>
    </row>
    <row r="4030" spans="1:1" x14ac:dyDescent="0.2">
      <c r="A4030" s="13" t="s">
        <v>5957</v>
      </c>
    </row>
    <row r="4031" spans="1:1" x14ac:dyDescent="0.2">
      <c r="A4031" s="13" t="s">
        <v>1955</v>
      </c>
    </row>
    <row r="4032" spans="1:1" x14ac:dyDescent="0.2">
      <c r="A4032" s="13" t="s">
        <v>1510</v>
      </c>
    </row>
    <row r="4033" spans="1:1" x14ac:dyDescent="0.2">
      <c r="A4033" s="13" t="s">
        <v>5958</v>
      </c>
    </row>
    <row r="4034" spans="1:1" x14ac:dyDescent="0.2">
      <c r="A4034" s="13" t="s">
        <v>2849</v>
      </c>
    </row>
    <row r="4035" spans="1:1" x14ac:dyDescent="0.2">
      <c r="A4035" s="13" t="s">
        <v>5959</v>
      </c>
    </row>
    <row r="4036" spans="1:1" x14ac:dyDescent="0.2">
      <c r="A4036" s="13" t="s">
        <v>3552</v>
      </c>
    </row>
    <row r="4037" spans="1:1" x14ac:dyDescent="0.2">
      <c r="A4037" s="13" t="s">
        <v>5960</v>
      </c>
    </row>
    <row r="4038" spans="1:1" x14ac:dyDescent="0.2">
      <c r="A4038" s="13" t="s">
        <v>1130</v>
      </c>
    </row>
    <row r="4039" spans="1:1" x14ac:dyDescent="0.2">
      <c r="A4039" s="13" t="s">
        <v>5961</v>
      </c>
    </row>
    <row r="4040" spans="1:1" x14ac:dyDescent="0.2">
      <c r="A4040" s="13" t="s">
        <v>5962</v>
      </c>
    </row>
    <row r="4041" spans="1:1" x14ac:dyDescent="0.2">
      <c r="A4041" s="13" t="s">
        <v>5963</v>
      </c>
    </row>
    <row r="4042" spans="1:1" x14ac:dyDescent="0.2">
      <c r="A4042" s="13" t="s">
        <v>3062</v>
      </c>
    </row>
    <row r="4043" spans="1:1" x14ac:dyDescent="0.2">
      <c r="A4043" s="13" t="s">
        <v>1168</v>
      </c>
    </row>
    <row r="4044" spans="1:1" x14ac:dyDescent="0.2">
      <c r="A4044" s="13" t="s">
        <v>5964</v>
      </c>
    </row>
    <row r="4045" spans="1:1" x14ac:dyDescent="0.2">
      <c r="A4045" s="13" t="s">
        <v>5965</v>
      </c>
    </row>
    <row r="4046" spans="1:1" x14ac:dyDescent="0.2">
      <c r="A4046" s="13" t="s">
        <v>5966</v>
      </c>
    </row>
    <row r="4047" spans="1:1" x14ac:dyDescent="0.2">
      <c r="A4047" s="13" t="s">
        <v>3949</v>
      </c>
    </row>
    <row r="4048" spans="1:1" x14ac:dyDescent="0.2">
      <c r="A4048" s="13" t="s">
        <v>2665</v>
      </c>
    </row>
    <row r="4049" spans="1:1" x14ac:dyDescent="0.2">
      <c r="A4049" s="13" t="s">
        <v>5967</v>
      </c>
    </row>
    <row r="4050" spans="1:1" x14ac:dyDescent="0.2">
      <c r="A4050" s="13" t="s">
        <v>2221</v>
      </c>
    </row>
    <row r="4051" spans="1:1" x14ac:dyDescent="0.2">
      <c r="A4051" s="13" t="s">
        <v>2485</v>
      </c>
    </row>
    <row r="4052" spans="1:1" x14ac:dyDescent="0.2">
      <c r="A4052" s="13" t="s">
        <v>1335</v>
      </c>
    </row>
    <row r="4053" spans="1:1" x14ac:dyDescent="0.2">
      <c r="A4053" s="13" t="s">
        <v>5968</v>
      </c>
    </row>
    <row r="4054" spans="1:1" x14ac:dyDescent="0.2">
      <c r="A4054" s="13" t="s">
        <v>1770</v>
      </c>
    </row>
    <row r="4055" spans="1:1" x14ac:dyDescent="0.2">
      <c r="A4055" s="13" t="s">
        <v>5969</v>
      </c>
    </row>
    <row r="4056" spans="1:1" x14ac:dyDescent="0.2">
      <c r="A4056" s="13" t="s">
        <v>5970</v>
      </c>
    </row>
    <row r="4057" spans="1:1" x14ac:dyDescent="0.2">
      <c r="A4057" s="13" t="s">
        <v>5971</v>
      </c>
    </row>
    <row r="4058" spans="1:1" x14ac:dyDescent="0.2">
      <c r="A4058" s="13" t="s">
        <v>2336</v>
      </c>
    </row>
    <row r="4059" spans="1:1" x14ac:dyDescent="0.2">
      <c r="A4059" s="13" t="s">
        <v>5972</v>
      </c>
    </row>
    <row r="4060" spans="1:1" x14ac:dyDescent="0.2">
      <c r="A4060" s="13" t="s">
        <v>5973</v>
      </c>
    </row>
    <row r="4061" spans="1:1" x14ac:dyDescent="0.2">
      <c r="A4061" s="13" t="s">
        <v>1033</v>
      </c>
    </row>
    <row r="4062" spans="1:1" x14ac:dyDescent="0.2">
      <c r="A4062" s="13" t="s">
        <v>2683</v>
      </c>
    </row>
    <row r="4063" spans="1:1" x14ac:dyDescent="0.2">
      <c r="A4063" s="13" t="s">
        <v>631</v>
      </c>
    </row>
    <row r="4064" spans="1:1" x14ac:dyDescent="0.2">
      <c r="A4064" s="13" t="s">
        <v>5974</v>
      </c>
    </row>
    <row r="4065" spans="1:1" x14ac:dyDescent="0.2">
      <c r="A4065" s="13" t="s">
        <v>2210</v>
      </c>
    </row>
    <row r="4066" spans="1:1" x14ac:dyDescent="0.2">
      <c r="A4066" s="13" t="s">
        <v>5975</v>
      </c>
    </row>
    <row r="4067" spans="1:1" x14ac:dyDescent="0.2">
      <c r="A4067" s="13" t="s">
        <v>4148</v>
      </c>
    </row>
    <row r="4068" spans="1:1" x14ac:dyDescent="0.2">
      <c r="A4068" s="13" t="s">
        <v>5976</v>
      </c>
    </row>
    <row r="4069" spans="1:1" x14ac:dyDescent="0.2">
      <c r="A4069" s="13" t="s">
        <v>5977</v>
      </c>
    </row>
    <row r="4070" spans="1:1" x14ac:dyDescent="0.2">
      <c r="A4070" s="13" t="s">
        <v>864</v>
      </c>
    </row>
    <row r="4071" spans="1:1" x14ac:dyDescent="0.2">
      <c r="A4071" s="13" t="s">
        <v>1010</v>
      </c>
    </row>
    <row r="4072" spans="1:1" x14ac:dyDescent="0.2">
      <c r="A4072" s="13" t="s">
        <v>449</v>
      </c>
    </row>
    <row r="4073" spans="1:1" x14ac:dyDescent="0.2">
      <c r="A4073" s="13" t="s">
        <v>5978</v>
      </c>
    </row>
    <row r="4074" spans="1:1" x14ac:dyDescent="0.2">
      <c r="A4074" s="13" t="s">
        <v>5979</v>
      </c>
    </row>
    <row r="4075" spans="1:1" x14ac:dyDescent="0.2">
      <c r="A4075" s="13" t="s">
        <v>2514</v>
      </c>
    </row>
    <row r="4076" spans="1:1" x14ac:dyDescent="0.2">
      <c r="A4076" s="13" t="s">
        <v>1318</v>
      </c>
    </row>
    <row r="4077" spans="1:1" x14ac:dyDescent="0.2">
      <c r="A4077" s="13" t="s">
        <v>3860</v>
      </c>
    </row>
    <row r="4078" spans="1:1" x14ac:dyDescent="0.2">
      <c r="A4078" s="13" t="s">
        <v>5980</v>
      </c>
    </row>
    <row r="4079" spans="1:1" x14ac:dyDescent="0.2">
      <c r="A4079" s="13" t="s">
        <v>5981</v>
      </c>
    </row>
    <row r="4080" spans="1:1" x14ac:dyDescent="0.2">
      <c r="A4080" s="13" t="s">
        <v>1999</v>
      </c>
    </row>
    <row r="4081" spans="1:1" x14ac:dyDescent="0.2">
      <c r="A4081" s="13" t="s">
        <v>1950</v>
      </c>
    </row>
    <row r="4082" spans="1:1" x14ac:dyDescent="0.2">
      <c r="A4082" s="13" t="s">
        <v>359</v>
      </c>
    </row>
    <row r="4083" spans="1:1" x14ac:dyDescent="0.2">
      <c r="A4083" s="13" t="s">
        <v>3169</v>
      </c>
    </row>
    <row r="4084" spans="1:1" x14ac:dyDescent="0.2">
      <c r="A4084" s="13" t="s">
        <v>5982</v>
      </c>
    </row>
    <row r="4085" spans="1:1" x14ac:dyDescent="0.2">
      <c r="A4085" s="13" t="s">
        <v>5983</v>
      </c>
    </row>
    <row r="4086" spans="1:1" x14ac:dyDescent="0.2">
      <c r="A4086" s="13" t="s">
        <v>5984</v>
      </c>
    </row>
    <row r="4087" spans="1:1" x14ac:dyDescent="0.2">
      <c r="A4087" s="13" t="s">
        <v>5985</v>
      </c>
    </row>
    <row r="4088" spans="1:1" x14ac:dyDescent="0.2">
      <c r="A4088" s="13" t="s">
        <v>446</v>
      </c>
    </row>
    <row r="4089" spans="1:1" x14ac:dyDescent="0.2">
      <c r="A4089" s="13" t="s">
        <v>4025</v>
      </c>
    </row>
    <row r="4090" spans="1:1" x14ac:dyDescent="0.2">
      <c r="A4090" s="13" t="s">
        <v>304</v>
      </c>
    </row>
    <row r="4091" spans="1:1" x14ac:dyDescent="0.2">
      <c r="A4091" s="13" t="s">
        <v>2462</v>
      </c>
    </row>
    <row r="4092" spans="1:1" x14ac:dyDescent="0.2">
      <c r="A4092" s="13" t="s">
        <v>3929</v>
      </c>
    </row>
    <row r="4093" spans="1:1" x14ac:dyDescent="0.2">
      <c r="A4093" s="13" t="s">
        <v>5986</v>
      </c>
    </row>
    <row r="4094" spans="1:1" x14ac:dyDescent="0.2">
      <c r="A4094" s="13" t="s">
        <v>5987</v>
      </c>
    </row>
    <row r="4095" spans="1:1" x14ac:dyDescent="0.2">
      <c r="A4095" s="13" t="s">
        <v>5988</v>
      </c>
    </row>
    <row r="4096" spans="1:1" x14ac:dyDescent="0.2">
      <c r="A4096" s="13" t="s">
        <v>3376</v>
      </c>
    </row>
    <row r="4097" spans="1:1" x14ac:dyDescent="0.2">
      <c r="A4097" s="13" t="s">
        <v>1050</v>
      </c>
    </row>
    <row r="4098" spans="1:1" x14ac:dyDescent="0.2">
      <c r="A4098" s="13" t="s">
        <v>3101</v>
      </c>
    </row>
    <row r="4099" spans="1:1" x14ac:dyDescent="0.2">
      <c r="A4099" s="13" t="s">
        <v>3683</v>
      </c>
    </row>
    <row r="4100" spans="1:1" x14ac:dyDescent="0.2">
      <c r="A4100" s="13" t="s">
        <v>2923</v>
      </c>
    </row>
    <row r="4101" spans="1:1" x14ac:dyDescent="0.2">
      <c r="A4101" s="13" t="s">
        <v>3824</v>
      </c>
    </row>
    <row r="4102" spans="1:1" x14ac:dyDescent="0.2">
      <c r="A4102" s="13" t="s">
        <v>416</v>
      </c>
    </row>
    <row r="4103" spans="1:1" x14ac:dyDescent="0.2">
      <c r="A4103" s="13" t="s">
        <v>2494</v>
      </c>
    </row>
    <row r="4104" spans="1:1" x14ac:dyDescent="0.2">
      <c r="A4104" s="13" t="s">
        <v>5989</v>
      </c>
    </row>
    <row r="4105" spans="1:1" x14ac:dyDescent="0.2">
      <c r="A4105" s="13" t="s">
        <v>1733</v>
      </c>
    </row>
    <row r="4106" spans="1:1" x14ac:dyDescent="0.2">
      <c r="A4106" s="13" t="s">
        <v>5990</v>
      </c>
    </row>
    <row r="4107" spans="1:1" x14ac:dyDescent="0.2">
      <c r="A4107" s="13" t="s">
        <v>2266</v>
      </c>
    </row>
    <row r="4108" spans="1:1" x14ac:dyDescent="0.2">
      <c r="A4108" s="13" t="s">
        <v>875</v>
      </c>
    </row>
    <row r="4109" spans="1:1" x14ac:dyDescent="0.2">
      <c r="A4109" s="13" t="s">
        <v>5991</v>
      </c>
    </row>
    <row r="4110" spans="1:1" x14ac:dyDescent="0.2">
      <c r="A4110" s="13" t="s">
        <v>2395</v>
      </c>
    </row>
    <row r="4111" spans="1:1" x14ac:dyDescent="0.2">
      <c r="A4111" s="13" t="s">
        <v>5992</v>
      </c>
    </row>
    <row r="4112" spans="1:1" x14ac:dyDescent="0.2">
      <c r="A4112" s="13" t="s">
        <v>2011</v>
      </c>
    </row>
    <row r="4113" spans="1:1" x14ac:dyDescent="0.2">
      <c r="A4113" s="13" t="s">
        <v>2841</v>
      </c>
    </row>
    <row r="4114" spans="1:1" x14ac:dyDescent="0.2">
      <c r="A4114" s="13" t="s">
        <v>5993</v>
      </c>
    </row>
    <row r="4115" spans="1:1" x14ac:dyDescent="0.2">
      <c r="A4115" s="13" t="s">
        <v>4154</v>
      </c>
    </row>
    <row r="4116" spans="1:1" x14ac:dyDescent="0.2">
      <c r="A4116" s="13" t="s">
        <v>3491</v>
      </c>
    </row>
    <row r="4117" spans="1:1" x14ac:dyDescent="0.2">
      <c r="A4117" s="13" t="s">
        <v>295</v>
      </c>
    </row>
    <row r="4118" spans="1:1" x14ac:dyDescent="0.2">
      <c r="A4118" s="13" t="s">
        <v>3745</v>
      </c>
    </row>
    <row r="4119" spans="1:1" x14ac:dyDescent="0.2">
      <c r="A4119" s="13" t="s">
        <v>5994</v>
      </c>
    </row>
    <row r="4120" spans="1:1" x14ac:dyDescent="0.2">
      <c r="A4120" s="13" t="s">
        <v>5995</v>
      </c>
    </row>
    <row r="4121" spans="1:1" x14ac:dyDescent="0.2">
      <c r="A4121" s="13" t="s">
        <v>5996</v>
      </c>
    </row>
    <row r="4122" spans="1:1" x14ac:dyDescent="0.2">
      <c r="A4122" s="13" t="s">
        <v>5997</v>
      </c>
    </row>
    <row r="4123" spans="1:1" x14ac:dyDescent="0.2">
      <c r="A4123" s="13" t="s">
        <v>2624</v>
      </c>
    </row>
    <row r="4124" spans="1:1" x14ac:dyDescent="0.2">
      <c r="A4124" s="13" t="s">
        <v>3874</v>
      </c>
    </row>
    <row r="4125" spans="1:1" x14ac:dyDescent="0.2">
      <c r="A4125" s="13" t="s">
        <v>5998</v>
      </c>
    </row>
    <row r="4126" spans="1:1" x14ac:dyDescent="0.2">
      <c r="A4126" s="13" t="s">
        <v>634</v>
      </c>
    </row>
    <row r="4127" spans="1:1" x14ac:dyDescent="0.2">
      <c r="A4127" s="13" t="s">
        <v>4027</v>
      </c>
    </row>
    <row r="4128" spans="1:1" x14ac:dyDescent="0.2">
      <c r="A4128" s="13" t="s">
        <v>742</v>
      </c>
    </row>
    <row r="4129" spans="1:1" x14ac:dyDescent="0.2">
      <c r="A4129" s="13" t="s">
        <v>5999</v>
      </c>
    </row>
    <row r="4130" spans="1:1" x14ac:dyDescent="0.2">
      <c r="A4130" s="13" t="s">
        <v>1771</v>
      </c>
    </row>
    <row r="4131" spans="1:1" x14ac:dyDescent="0.2">
      <c r="A4131" s="13" t="s">
        <v>1927</v>
      </c>
    </row>
    <row r="4132" spans="1:1" x14ac:dyDescent="0.2">
      <c r="A4132" s="13" t="s">
        <v>6000</v>
      </c>
    </row>
    <row r="4133" spans="1:1" x14ac:dyDescent="0.2">
      <c r="A4133" s="13" t="s">
        <v>6001</v>
      </c>
    </row>
    <row r="4134" spans="1:1" x14ac:dyDescent="0.2">
      <c r="A4134" s="13" t="s">
        <v>6002</v>
      </c>
    </row>
    <row r="4135" spans="1:1" x14ac:dyDescent="0.2">
      <c r="A4135" s="13" t="s">
        <v>6003</v>
      </c>
    </row>
    <row r="4136" spans="1:1" x14ac:dyDescent="0.2">
      <c r="A4136" s="13" t="s">
        <v>2753</v>
      </c>
    </row>
    <row r="4137" spans="1:1" x14ac:dyDescent="0.2">
      <c r="A4137" s="13" t="s">
        <v>749</v>
      </c>
    </row>
    <row r="4138" spans="1:1" x14ac:dyDescent="0.2">
      <c r="A4138" s="13" t="s">
        <v>3800</v>
      </c>
    </row>
    <row r="4139" spans="1:1" x14ac:dyDescent="0.2">
      <c r="A4139" s="13" t="s">
        <v>6004</v>
      </c>
    </row>
    <row r="4140" spans="1:1" x14ac:dyDescent="0.2">
      <c r="A4140" s="13" t="s">
        <v>6005</v>
      </c>
    </row>
    <row r="4141" spans="1:1" x14ac:dyDescent="0.2">
      <c r="A4141" s="13" t="s">
        <v>6006</v>
      </c>
    </row>
    <row r="4142" spans="1:1" x14ac:dyDescent="0.2">
      <c r="A4142" s="13" t="s">
        <v>6007</v>
      </c>
    </row>
    <row r="4143" spans="1:1" x14ac:dyDescent="0.2">
      <c r="A4143" s="13" t="s">
        <v>3835</v>
      </c>
    </row>
    <row r="4144" spans="1:1" x14ac:dyDescent="0.2">
      <c r="A4144" s="13" t="s">
        <v>873</v>
      </c>
    </row>
    <row r="4145" spans="1:1" x14ac:dyDescent="0.2">
      <c r="A4145" s="13" t="s">
        <v>3810</v>
      </c>
    </row>
    <row r="4146" spans="1:1" x14ac:dyDescent="0.2">
      <c r="A4146" s="13" t="s">
        <v>6008</v>
      </c>
    </row>
    <row r="4147" spans="1:1" x14ac:dyDescent="0.2">
      <c r="A4147" s="13" t="s">
        <v>6009</v>
      </c>
    </row>
    <row r="4148" spans="1:1" x14ac:dyDescent="0.2">
      <c r="A4148" s="13" t="s">
        <v>6010</v>
      </c>
    </row>
    <row r="4149" spans="1:1" x14ac:dyDescent="0.2">
      <c r="A4149" s="13" t="s">
        <v>1895</v>
      </c>
    </row>
    <row r="4150" spans="1:1" x14ac:dyDescent="0.2">
      <c r="A4150" s="13" t="s">
        <v>2526</v>
      </c>
    </row>
    <row r="4151" spans="1:1" x14ac:dyDescent="0.2">
      <c r="A4151" s="13" t="s">
        <v>6011</v>
      </c>
    </row>
    <row r="4152" spans="1:1" x14ac:dyDescent="0.2">
      <c r="A4152" s="13" t="s">
        <v>6012</v>
      </c>
    </row>
    <row r="4153" spans="1:1" x14ac:dyDescent="0.2">
      <c r="A4153" s="13" t="s">
        <v>6013</v>
      </c>
    </row>
    <row r="4154" spans="1:1" x14ac:dyDescent="0.2">
      <c r="A4154" s="13" t="s">
        <v>6014</v>
      </c>
    </row>
    <row r="4155" spans="1:1" x14ac:dyDescent="0.2">
      <c r="A4155" s="13" t="s">
        <v>947</v>
      </c>
    </row>
    <row r="4156" spans="1:1" x14ac:dyDescent="0.2">
      <c r="A4156" s="13" t="s">
        <v>6015</v>
      </c>
    </row>
    <row r="4157" spans="1:1" x14ac:dyDescent="0.2">
      <c r="A4157" s="13" t="s">
        <v>6016</v>
      </c>
    </row>
    <row r="4158" spans="1:1" x14ac:dyDescent="0.2">
      <c r="A4158" s="13" t="s">
        <v>3022</v>
      </c>
    </row>
    <row r="4159" spans="1:1" x14ac:dyDescent="0.2">
      <c r="A4159" s="13" t="s">
        <v>2357</v>
      </c>
    </row>
    <row r="4160" spans="1:1" x14ac:dyDescent="0.2">
      <c r="A4160" s="13" t="s">
        <v>1457</v>
      </c>
    </row>
    <row r="4161" spans="1:1" x14ac:dyDescent="0.2">
      <c r="A4161" s="13" t="s">
        <v>500</v>
      </c>
    </row>
    <row r="4162" spans="1:1" x14ac:dyDescent="0.2">
      <c r="A4162" s="13" t="s">
        <v>3360</v>
      </c>
    </row>
    <row r="4163" spans="1:1" x14ac:dyDescent="0.2">
      <c r="A4163" s="13" t="s">
        <v>3582</v>
      </c>
    </row>
    <row r="4164" spans="1:1" x14ac:dyDescent="0.2">
      <c r="A4164" s="13" t="s">
        <v>6017</v>
      </c>
    </row>
    <row r="4165" spans="1:1" x14ac:dyDescent="0.2">
      <c r="A4165" s="13" t="s">
        <v>6018</v>
      </c>
    </row>
    <row r="4166" spans="1:1" x14ac:dyDescent="0.2">
      <c r="A4166" s="13" t="s">
        <v>3443</v>
      </c>
    </row>
    <row r="4167" spans="1:1" x14ac:dyDescent="0.2">
      <c r="A4167" s="13" t="s">
        <v>2384</v>
      </c>
    </row>
    <row r="4168" spans="1:1" x14ac:dyDescent="0.2">
      <c r="A4168" s="13" t="s">
        <v>2764</v>
      </c>
    </row>
    <row r="4169" spans="1:1" x14ac:dyDescent="0.2">
      <c r="A4169" s="13" t="s">
        <v>4092</v>
      </c>
    </row>
    <row r="4170" spans="1:1" x14ac:dyDescent="0.2">
      <c r="A4170" s="13" t="s">
        <v>2960</v>
      </c>
    </row>
    <row r="4171" spans="1:1" x14ac:dyDescent="0.2">
      <c r="A4171" s="13" t="s">
        <v>6019</v>
      </c>
    </row>
    <row r="4172" spans="1:1" x14ac:dyDescent="0.2">
      <c r="A4172" s="13" t="s">
        <v>3506</v>
      </c>
    </row>
    <row r="4173" spans="1:1" x14ac:dyDescent="0.2">
      <c r="A4173" s="13" t="s">
        <v>1429</v>
      </c>
    </row>
    <row r="4174" spans="1:1" x14ac:dyDescent="0.2">
      <c r="A4174" s="13" t="s">
        <v>1663</v>
      </c>
    </row>
    <row r="4175" spans="1:1" x14ac:dyDescent="0.2">
      <c r="A4175" s="13" t="s">
        <v>898</v>
      </c>
    </row>
    <row r="4176" spans="1:1" x14ac:dyDescent="0.2">
      <c r="A4176" s="13" t="s">
        <v>6020</v>
      </c>
    </row>
    <row r="4177" spans="1:1" x14ac:dyDescent="0.2">
      <c r="A4177" s="13" t="s">
        <v>6021</v>
      </c>
    </row>
    <row r="4178" spans="1:1" x14ac:dyDescent="0.2">
      <c r="A4178" s="13" t="s">
        <v>6022</v>
      </c>
    </row>
    <row r="4179" spans="1:1" x14ac:dyDescent="0.2">
      <c r="A4179" s="13" t="s">
        <v>6023</v>
      </c>
    </row>
    <row r="4180" spans="1:1" x14ac:dyDescent="0.2">
      <c r="A4180" s="13" t="s">
        <v>6024</v>
      </c>
    </row>
    <row r="4181" spans="1:1" x14ac:dyDescent="0.2">
      <c r="A4181" s="13" t="s">
        <v>2682</v>
      </c>
    </row>
    <row r="4182" spans="1:1" x14ac:dyDescent="0.2">
      <c r="A4182" s="13" t="s">
        <v>2453</v>
      </c>
    </row>
    <row r="4183" spans="1:1" x14ac:dyDescent="0.2">
      <c r="A4183" s="13" t="s">
        <v>1131</v>
      </c>
    </row>
    <row r="4184" spans="1:1" x14ac:dyDescent="0.2">
      <c r="A4184" s="13" t="s">
        <v>6025</v>
      </c>
    </row>
    <row r="4185" spans="1:1" x14ac:dyDescent="0.2">
      <c r="A4185" s="13" t="s">
        <v>1028</v>
      </c>
    </row>
    <row r="4186" spans="1:1" x14ac:dyDescent="0.2">
      <c r="A4186" s="13" t="s">
        <v>6026</v>
      </c>
    </row>
    <row r="4187" spans="1:1" x14ac:dyDescent="0.2">
      <c r="A4187" s="13" t="s">
        <v>6027</v>
      </c>
    </row>
    <row r="4188" spans="1:1" x14ac:dyDescent="0.2">
      <c r="A4188" s="13" t="s">
        <v>2688</v>
      </c>
    </row>
    <row r="4189" spans="1:1" x14ac:dyDescent="0.2">
      <c r="A4189" s="13" t="s">
        <v>6028</v>
      </c>
    </row>
    <row r="4190" spans="1:1" x14ac:dyDescent="0.2">
      <c r="A4190" s="13" t="s">
        <v>2424</v>
      </c>
    </row>
    <row r="4191" spans="1:1" x14ac:dyDescent="0.2">
      <c r="A4191" s="13" t="s">
        <v>2727</v>
      </c>
    </row>
    <row r="4192" spans="1:1" x14ac:dyDescent="0.2">
      <c r="A4192" s="13" t="s">
        <v>6029</v>
      </c>
    </row>
    <row r="4193" spans="1:1" x14ac:dyDescent="0.2">
      <c r="A4193" s="13" t="s">
        <v>3479</v>
      </c>
    </row>
    <row r="4194" spans="1:1" x14ac:dyDescent="0.2">
      <c r="A4194" s="13" t="s">
        <v>4181</v>
      </c>
    </row>
    <row r="4195" spans="1:1" x14ac:dyDescent="0.2">
      <c r="A4195" s="13" t="s">
        <v>559</v>
      </c>
    </row>
    <row r="4196" spans="1:1" x14ac:dyDescent="0.2">
      <c r="A4196" s="13" t="s">
        <v>3128</v>
      </c>
    </row>
    <row r="4197" spans="1:1" x14ac:dyDescent="0.2">
      <c r="A4197" s="13" t="s">
        <v>1634</v>
      </c>
    </row>
    <row r="4198" spans="1:1" x14ac:dyDescent="0.2">
      <c r="A4198" s="13" t="s">
        <v>1534</v>
      </c>
    </row>
    <row r="4199" spans="1:1" x14ac:dyDescent="0.2">
      <c r="A4199" s="13" t="s">
        <v>6030</v>
      </c>
    </row>
    <row r="4200" spans="1:1" x14ac:dyDescent="0.2">
      <c r="A4200" s="13" t="s">
        <v>2659</v>
      </c>
    </row>
    <row r="4201" spans="1:1" x14ac:dyDescent="0.2">
      <c r="A4201" s="13" t="s">
        <v>6031</v>
      </c>
    </row>
    <row r="4202" spans="1:1" x14ac:dyDescent="0.2">
      <c r="A4202" s="13" t="s">
        <v>6032</v>
      </c>
    </row>
    <row r="4203" spans="1:1" x14ac:dyDescent="0.2">
      <c r="A4203" s="13" t="s">
        <v>6033</v>
      </c>
    </row>
    <row r="4204" spans="1:1" x14ac:dyDescent="0.2">
      <c r="A4204" s="13" t="s">
        <v>6034</v>
      </c>
    </row>
    <row r="4205" spans="1:1" x14ac:dyDescent="0.2">
      <c r="A4205" s="13" t="s">
        <v>6035</v>
      </c>
    </row>
    <row r="4206" spans="1:1" x14ac:dyDescent="0.2">
      <c r="A4206" s="13" t="s">
        <v>1452</v>
      </c>
    </row>
    <row r="4207" spans="1:1" x14ac:dyDescent="0.2">
      <c r="A4207" s="13" t="s">
        <v>3998</v>
      </c>
    </row>
    <row r="4208" spans="1:1" x14ac:dyDescent="0.2">
      <c r="A4208" s="13" t="s">
        <v>6036</v>
      </c>
    </row>
    <row r="4209" spans="1:1" x14ac:dyDescent="0.2">
      <c r="A4209" s="13" t="s">
        <v>6037</v>
      </c>
    </row>
    <row r="4210" spans="1:1" x14ac:dyDescent="0.2">
      <c r="A4210" s="13" t="s">
        <v>6038</v>
      </c>
    </row>
    <row r="4211" spans="1:1" x14ac:dyDescent="0.2">
      <c r="A4211" s="13" t="s">
        <v>2168</v>
      </c>
    </row>
    <row r="4212" spans="1:1" x14ac:dyDescent="0.2">
      <c r="A4212" s="13" t="s">
        <v>2165</v>
      </c>
    </row>
    <row r="4213" spans="1:1" x14ac:dyDescent="0.2">
      <c r="A4213" s="13" t="s">
        <v>6039</v>
      </c>
    </row>
    <row r="4214" spans="1:1" x14ac:dyDescent="0.2">
      <c r="A4214" s="13" t="s">
        <v>6040</v>
      </c>
    </row>
    <row r="4215" spans="1:1" x14ac:dyDescent="0.2">
      <c r="A4215" s="13" t="s">
        <v>2102</v>
      </c>
    </row>
    <row r="4216" spans="1:1" x14ac:dyDescent="0.2">
      <c r="A4216" s="13" t="s">
        <v>1907</v>
      </c>
    </row>
    <row r="4217" spans="1:1" x14ac:dyDescent="0.2">
      <c r="A4217" s="13" t="s">
        <v>1471</v>
      </c>
    </row>
    <row r="4218" spans="1:1" x14ac:dyDescent="0.2">
      <c r="A4218" s="13" t="s">
        <v>2970</v>
      </c>
    </row>
    <row r="4219" spans="1:1" x14ac:dyDescent="0.2">
      <c r="A4219" s="13" t="s">
        <v>6041</v>
      </c>
    </row>
    <row r="4220" spans="1:1" x14ac:dyDescent="0.2">
      <c r="A4220" s="13" t="s">
        <v>6042</v>
      </c>
    </row>
    <row r="4221" spans="1:1" x14ac:dyDescent="0.2">
      <c r="A4221" s="13" t="s">
        <v>6043</v>
      </c>
    </row>
    <row r="4222" spans="1:1" x14ac:dyDescent="0.2">
      <c r="A4222" s="13" t="s">
        <v>3052</v>
      </c>
    </row>
    <row r="4223" spans="1:1" x14ac:dyDescent="0.2">
      <c r="A4223" s="13" t="s">
        <v>3981</v>
      </c>
    </row>
    <row r="4224" spans="1:1" x14ac:dyDescent="0.2">
      <c r="A4224" s="13" t="s">
        <v>2405</v>
      </c>
    </row>
    <row r="4225" spans="1:1" x14ac:dyDescent="0.2">
      <c r="A4225" s="13" t="s">
        <v>6044</v>
      </c>
    </row>
    <row r="4226" spans="1:1" x14ac:dyDescent="0.2">
      <c r="A4226" s="13" t="s">
        <v>6045</v>
      </c>
    </row>
    <row r="4227" spans="1:1" x14ac:dyDescent="0.2">
      <c r="A4227" s="13" t="s">
        <v>2772</v>
      </c>
    </row>
    <row r="4228" spans="1:1" x14ac:dyDescent="0.2">
      <c r="A4228" s="13" t="s">
        <v>3887</v>
      </c>
    </row>
    <row r="4229" spans="1:1" x14ac:dyDescent="0.2">
      <c r="A4229" s="13" t="s">
        <v>1067</v>
      </c>
    </row>
    <row r="4230" spans="1:1" x14ac:dyDescent="0.2">
      <c r="A4230" s="13" t="s">
        <v>1180</v>
      </c>
    </row>
    <row r="4231" spans="1:1" x14ac:dyDescent="0.2">
      <c r="A4231" s="13" t="s">
        <v>2370</v>
      </c>
    </row>
    <row r="4232" spans="1:1" x14ac:dyDescent="0.2">
      <c r="A4232" s="13" t="s">
        <v>6046</v>
      </c>
    </row>
    <row r="4233" spans="1:1" x14ac:dyDescent="0.2">
      <c r="A4233" s="13" t="s">
        <v>6047</v>
      </c>
    </row>
    <row r="4234" spans="1:1" x14ac:dyDescent="0.2">
      <c r="A4234" s="13" t="s">
        <v>626</v>
      </c>
    </row>
    <row r="4235" spans="1:1" x14ac:dyDescent="0.2">
      <c r="A4235" s="13" t="s">
        <v>1329</v>
      </c>
    </row>
    <row r="4236" spans="1:1" x14ac:dyDescent="0.2">
      <c r="A4236" s="13" t="s">
        <v>6048</v>
      </c>
    </row>
    <row r="4237" spans="1:1" x14ac:dyDescent="0.2">
      <c r="A4237" s="13" t="s">
        <v>6049</v>
      </c>
    </row>
    <row r="4238" spans="1:1" x14ac:dyDescent="0.2">
      <c r="A4238" s="13" t="s">
        <v>1903</v>
      </c>
    </row>
    <row r="4239" spans="1:1" x14ac:dyDescent="0.2">
      <c r="A4239" s="13" t="s">
        <v>3773</v>
      </c>
    </row>
    <row r="4240" spans="1:1" x14ac:dyDescent="0.2">
      <c r="A4240" s="13" t="s">
        <v>6050</v>
      </c>
    </row>
    <row r="4241" spans="1:1" x14ac:dyDescent="0.2">
      <c r="A4241" s="13" t="s">
        <v>2818</v>
      </c>
    </row>
    <row r="4242" spans="1:1" x14ac:dyDescent="0.2">
      <c r="A4242" s="13" t="s">
        <v>2901</v>
      </c>
    </row>
    <row r="4243" spans="1:1" x14ac:dyDescent="0.2">
      <c r="A4243" s="13" t="s">
        <v>6051</v>
      </c>
    </row>
    <row r="4244" spans="1:1" x14ac:dyDescent="0.2">
      <c r="A4244" s="13" t="s">
        <v>577</v>
      </c>
    </row>
    <row r="4245" spans="1:1" x14ac:dyDescent="0.2">
      <c r="A4245" s="13" t="s">
        <v>6052</v>
      </c>
    </row>
    <row r="4246" spans="1:1" x14ac:dyDescent="0.2">
      <c r="A4246" s="13" t="s">
        <v>6053</v>
      </c>
    </row>
    <row r="4247" spans="1:1" x14ac:dyDescent="0.2">
      <c r="A4247" s="13" t="s">
        <v>410</v>
      </c>
    </row>
    <row r="4248" spans="1:1" x14ac:dyDescent="0.2">
      <c r="A4248" s="13" t="s">
        <v>3241</v>
      </c>
    </row>
    <row r="4249" spans="1:1" x14ac:dyDescent="0.2">
      <c r="A4249" s="13" t="s">
        <v>6054</v>
      </c>
    </row>
    <row r="4250" spans="1:1" x14ac:dyDescent="0.2">
      <c r="A4250" s="13" t="s">
        <v>387</v>
      </c>
    </row>
    <row r="4251" spans="1:1" x14ac:dyDescent="0.2">
      <c r="A4251" s="13" t="s">
        <v>2706</v>
      </c>
    </row>
    <row r="4252" spans="1:1" x14ac:dyDescent="0.2">
      <c r="A4252" s="13" t="s">
        <v>550</v>
      </c>
    </row>
    <row r="4253" spans="1:1" x14ac:dyDescent="0.2">
      <c r="A4253" s="13" t="s">
        <v>6055</v>
      </c>
    </row>
    <row r="4254" spans="1:1" x14ac:dyDescent="0.2">
      <c r="A4254" s="13" t="s">
        <v>6056</v>
      </c>
    </row>
    <row r="4255" spans="1:1" x14ac:dyDescent="0.2">
      <c r="A4255" s="13" t="s">
        <v>3191</v>
      </c>
    </row>
    <row r="4256" spans="1:1" x14ac:dyDescent="0.2">
      <c r="A4256" s="13" t="s">
        <v>3519</v>
      </c>
    </row>
    <row r="4257" spans="1:1" x14ac:dyDescent="0.2">
      <c r="A4257" s="13" t="s">
        <v>3448</v>
      </c>
    </row>
    <row r="4258" spans="1:1" x14ac:dyDescent="0.2">
      <c r="A4258" s="13" t="s">
        <v>2889</v>
      </c>
    </row>
    <row r="4259" spans="1:1" x14ac:dyDescent="0.2">
      <c r="A4259" s="13" t="s">
        <v>6057</v>
      </c>
    </row>
    <row r="4260" spans="1:1" x14ac:dyDescent="0.2">
      <c r="A4260" s="13" t="s">
        <v>2952</v>
      </c>
    </row>
    <row r="4261" spans="1:1" x14ac:dyDescent="0.2">
      <c r="A4261" s="13" t="s">
        <v>935</v>
      </c>
    </row>
    <row r="4262" spans="1:1" x14ac:dyDescent="0.2">
      <c r="A4262" s="13" t="s">
        <v>1654</v>
      </c>
    </row>
    <row r="4263" spans="1:1" x14ac:dyDescent="0.2">
      <c r="A4263" s="13" t="s">
        <v>2065</v>
      </c>
    </row>
    <row r="4264" spans="1:1" x14ac:dyDescent="0.2">
      <c r="A4264" s="13" t="s">
        <v>1902</v>
      </c>
    </row>
    <row r="4265" spans="1:1" x14ac:dyDescent="0.2">
      <c r="A4265" s="13" t="s">
        <v>2685</v>
      </c>
    </row>
    <row r="4266" spans="1:1" x14ac:dyDescent="0.2">
      <c r="A4266" s="13" t="s">
        <v>1423</v>
      </c>
    </row>
    <row r="4267" spans="1:1" x14ac:dyDescent="0.2">
      <c r="A4267" s="13" t="s">
        <v>2893</v>
      </c>
    </row>
    <row r="4268" spans="1:1" x14ac:dyDescent="0.2">
      <c r="A4268" s="13" t="s">
        <v>1878</v>
      </c>
    </row>
    <row r="4269" spans="1:1" x14ac:dyDescent="0.2">
      <c r="A4269" s="13" t="s">
        <v>6058</v>
      </c>
    </row>
    <row r="4270" spans="1:1" x14ac:dyDescent="0.2">
      <c r="A4270" s="13" t="s">
        <v>6059</v>
      </c>
    </row>
    <row r="4271" spans="1:1" x14ac:dyDescent="0.2">
      <c r="A4271" s="13" t="s">
        <v>1381</v>
      </c>
    </row>
    <row r="4272" spans="1:1" x14ac:dyDescent="0.2">
      <c r="A4272" s="13" t="s">
        <v>280</v>
      </c>
    </row>
    <row r="4273" spans="1:1" x14ac:dyDescent="0.2">
      <c r="A4273" s="13" t="s">
        <v>2404</v>
      </c>
    </row>
    <row r="4274" spans="1:1" x14ac:dyDescent="0.2">
      <c r="A4274" s="13" t="s">
        <v>6060</v>
      </c>
    </row>
    <row r="4275" spans="1:1" x14ac:dyDescent="0.2">
      <c r="A4275" s="13" t="s">
        <v>388</v>
      </c>
    </row>
    <row r="4276" spans="1:1" x14ac:dyDescent="0.2">
      <c r="A4276" s="13" t="s">
        <v>3986</v>
      </c>
    </row>
    <row r="4277" spans="1:1" x14ac:dyDescent="0.2">
      <c r="A4277" s="13" t="s">
        <v>765</v>
      </c>
    </row>
    <row r="4278" spans="1:1" x14ac:dyDescent="0.2">
      <c r="A4278" s="13" t="s">
        <v>2161</v>
      </c>
    </row>
    <row r="4279" spans="1:1" x14ac:dyDescent="0.2">
      <c r="A4279" s="13" t="s">
        <v>2302</v>
      </c>
    </row>
    <row r="4280" spans="1:1" x14ac:dyDescent="0.2">
      <c r="A4280" s="13" t="s">
        <v>6061</v>
      </c>
    </row>
    <row r="4281" spans="1:1" x14ac:dyDescent="0.2">
      <c r="A4281" s="13" t="s">
        <v>6062</v>
      </c>
    </row>
    <row r="4282" spans="1:1" x14ac:dyDescent="0.2">
      <c r="A4282" s="13" t="s">
        <v>409</v>
      </c>
    </row>
    <row r="4283" spans="1:1" x14ac:dyDescent="0.2">
      <c r="A4283" s="13" t="s">
        <v>3385</v>
      </c>
    </row>
    <row r="4284" spans="1:1" x14ac:dyDescent="0.2">
      <c r="A4284" s="13" t="s">
        <v>3048</v>
      </c>
    </row>
    <row r="4285" spans="1:1" x14ac:dyDescent="0.2">
      <c r="A4285" s="13" t="s">
        <v>2742</v>
      </c>
    </row>
    <row r="4286" spans="1:1" x14ac:dyDescent="0.2">
      <c r="A4286" s="13" t="s">
        <v>6063</v>
      </c>
    </row>
    <row r="4287" spans="1:1" x14ac:dyDescent="0.2">
      <c r="A4287" s="13" t="s">
        <v>2533</v>
      </c>
    </row>
    <row r="4288" spans="1:1" x14ac:dyDescent="0.2">
      <c r="A4288" s="13" t="s">
        <v>6064</v>
      </c>
    </row>
    <row r="4289" spans="1:1" x14ac:dyDescent="0.2">
      <c r="A4289" s="13" t="s">
        <v>1347</v>
      </c>
    </row>
    <row r="4290" spans="1:1" x14ac:dyDescent="0.2">
      <c r="A4290" s="13" t="s">
        <v>6065</v>
      </c>
    </row>
    <row r="4291" spans="1:1" x14ac:dyDescent="0.2">
      <c r="A4291" s="13" t="s">
        <v>2316</v>
      </c>
    </row>
    <row r="4292" spans="1:1" x14ac:dyDescent="0.2">
      <c r="A4292" s="13" t="s">
        <v>6066</v>
      </c>
    </row>
    <row r="4293" spans="1:1" x14ac:dyDescent="0.2">
      <c r="A4293" s="13" t="s">
        <v>2864</v>
      </c>
    </row>
    <row r="4294" spans="1:1" x14ac:dyDescent="0.2">
      <c r="A4294" s="13" t="s">
        <v>6067</v>
      </c>
    </row>
    <row r="4295" spans="1:1" x14ac:dyDescent="0.2">
      <c r="A4295" s="13" t="s">
        <v>2684</v>
      </c>
    </row>
    <row r="4296" spans="1:1" x14ac:dyDescent="0.2">
      <c r="A4296" s="13" t="s">
        <v>3863</v>
      </c>
    </row>
    <row r="4297" spans="1:1" x14ac:dyDescent="0.2">
      <c r="A4297" s="13" t="s">
        <v>2942</v>
      </c>
    </row>
    <row r="4298" spans="1:1" x14ac:dyDescent="0.2">
      <c r="A4298" s="13" t="s">
        <v>6068</v>
      </c>
    </row>
    <row r="4299" spans="1:1" x14ac:dyDescent="0.2">
      <c r="A4299" s="13" t="s">
        <v>3499</v>
      </c>
    </row>
    <row r="4300" spans="1:1" x14ac:dyDescent="0.2">
      <c r="A4300" s="13" t="s">
        <v>3097</v>
      </c>
    </row>
    <row r="4301" spans="1:1" x14ac:dyDescent="0.2">
      <c r="A4301" s="13" t="s">
        <v>6069</v>
      </c>
    </row>
    <row r="4302" spans="1:1" x14ac:dyDescent="0.2">
      <c r="A4302" s="13" t="s">
        <v>6070</v>
      </c>
    </row>
    <row r="4303" spans="1:1" x14ac:dyDescent="0.2">
      <c r="A4303" s="13" t="s">
        <v>443</v>
      </c>
    </row>
    <row r="4304" spans="1:1" x14ac:dyDescent="0.2">
      <c r="A4304" s="13" t="s">
        <v>3976</v>
      </c>
    </row>
    <row r="4305" spans="1:1" x14ac:dyDescent="0.2">
      <c r="A4305" s="13" t="s">
        <v>6071</v>
      </c>
    </row>
    <row r="4306" spans="1:1" x14ac:dyDescent="0.2">
      <c r="A4306" s="13" t="s">
        <v>2058</v>
      </c>
    </row>
    <row r="4307" spans="1:1" x14ac:dyDescent="0.2">
      <c r="A4307" s="13" t="s">
        <v>4106</v>
      </c>
    </row>
    <row r="4308" spans="1:1" x14ac:dyDescent="0.2">
      <c r="A4308" s="13" t="s">
        <v>2472</v>
      </c>
    </row>
    <row r="4309" spans="1:1" x14ac:dyDescent="0.2">
      <c r="A4309" s="13" t="s">
        <v>691</v>
      </c>
    </row>
    <row r="4310" spans="1:1" x14ac:dyDescent="0.2">
      <c r="A4310" s="13" t="s">
        <v>6072</v>
      </c>
    </row>
    <row r="4311" spans="1:1" x14ac:dyDescent="0.2">
      <c r="A4311" s="13" t="s">
        <v>6073</v>
      </c>
    </row>
    <row r="4312" spans="1:1" x14ac:dyDescent="0.2">
      <c r="A4312" s="13" t="s">
        <v>2879</v>
      </c>
    </row>
    <row r="4313" spans="1:1" x14ac:dyDescent="0.2">
      <c r="A4313" s="13" t="s">
        <v>2620</v>
      </c>
    </row>
    <row r="4314" spans="1:1" x14ac:dyDescent="0.2">
      <c r="A4314" s="13" t="s">
        <v>3332</v>
      </c>
    </row>
    <row r="4315" spans="1:1" x14ac:dyDescent="0.2">
      <c r="A4315" s="13" t="s">
        <v>6074</v>
      </c>
    </row>
    <row r="4316" spans="1:1" x14ac:dyDescent="0.2">
      <c r="A4316" s="13" t="s">
        <v>1928</v>
      </c>
    </row>
    <row r="4317" spans="1:1" x14ac:dyDescent="0.2">
      <c r="A4317" s="13" t="s">
        <v>3198</v>
      </c>
    </row>
    <row r="4318" spans="1:1" x14ac:dyDescent="0.2">
      <c r="A4318" s="13" t="s">
        <v>3518</v>
      </c>
    </row>
    <row r="4319" spans="1:1" x14ac:dyDescent="0.2">
      <c r="A4319" s="13" t="s">
        <v>6075</v>
      </c>
    </row>
    <row r="4320" spans="1:1" x14ac:dyDescent="0.2">
      <c r="A4320" s="13" t="s">
        <v>2884</v>
      </c>
    </row>
    <row r="4321" spans="1:1" x14ac:dyDescent="0.2">
      <c r="A4321" s="13" t="s">
        <v>604</v>
      </c>
    </row>
    <row r="4322" spans="1:1" x14ac:dyDescent="0.2">
      <c r="A4322" s="13" t="s">
        <v>3143</v>
      </c>
    </row>
    <row r="4323" spans="1:1" x14ac:dyDescent="0.2">
      <c r="A4323" s="13" t="s">
        <v>1924</v>
      </c>
    </row>
    <row r="4324" spans="1:1" x14ac:dyDescent="0.2">
      <c r="A4324" s="13" t="s">
        <v>6076</v>
      </c>
    </row>
    <row r="4325" spans="1:1" x14ac:dyDescent="0.2">
      <c r="A4325" s="13" t="s">
        <v>1455</v>
      </c>
    </row>
    <row r="4326" spans="1:1" x14ac:dyDescent="0.2">
      <c r="A4326" s="13" t="s">
        <v>1346</v>
      </c>
    </row>
    <row r="4327" spans="1:1" x14ac:dyDescent="0.2">
      <c r="A4327" s="13" t="s">
        <v>385</v>
      </c>
    </row>
    <row r="4328" spans="1:1" x14ac:dyDescent="0.2">
      <c r="A4328" s="13" t="s">
        <v>1266</v>
      </c>
    </row>
    <row r="4329" spans="1:1" x14ac:dyDescent="0.2">
      <c r="A4329" s="13" t="s">
        <v>6077</v>
      </c>
    </row>
    <row r="4330" spans="1:1" x14ac:dyDescent="0.2">
      <c r="A4330" s="13" t="s">
        <v>3862</v>
      </c>
    </row>
    <row r="4331" spans="1:1" x14ac:dyDescent="0.2">
      <c r="A4331" s="13" t="s">
        <v>6078</v>
      </c>
    </row>
    <row r="4332" spans="1:1" x14ac:dyDescent="0.2">
      <c r="A4332" s="13" t="s">
        <v>2164</v>
      </c>
    </row>
    <row r="4333" spans="1:1" x14ac:dyDescent="0.2">
      <c r="A4333" s="13" t="s">
        <v>6079</v>
      </c>
    </row>
    <row r="4334" spans="1:1" x14ac:dyDescent="0.2">
      <c r="A4334" s="13" t="s">
        <v>6080</v>
      </c>
    </row>
    <row r="4335" spans="1:1" x14ac:dyDescent="0.2">
      <c r="A4335" s="13" t="s">
        <v>1160</v>
      </c>
    </row>
    <row r="4336" spans="1:1" x14ac:dyDescent="0.2">
      <c r="A4336" s="13" t="s">
        <v>2507</v>
      </c>
    </row>
    <row r="4337" spans="1:1" x14ac:dyDescent="0.2">
      <c r="A4337" s="13" t="s">
        <v>2738</v>
      </c>
    </row>
    <row r="4338" spans="1:1" x14ac:dyDescent="0.2">
      <c r="A4338" s="13" t="s">
        <v>6081</v>
      </c>
    </row>
    <row r="4339" spans="1:1" x14ac:dyDescent="0.2">
      <c r="A4339" s="13" t="s">
        <v>6082</v>
      </c>
    </row>
    <row r="4340" spans="1:1" x14ac:dyDescent="0.2">
      <c r="A4340" s="13" t="s">
        <v>6083</v>
      </c>
    </row>
    <row r="4341" spans="1:1" x14ac:dyDescent="0.2">
      <c r="A4341" s="13" t="s">
        <v>1443</v>
      </c>
    </row>
    <row r="4342" spans="1:1" x14ac:dyDescent="0.2">
      <c r="A4342" s="13" t="s">
        <v>6084</v>
      </c>
    </row>
    <row r="4343" spans="1:1" x14ac:dyDescent="0.2">
      <c r="A4343" s="13" t="s">
        <v>2995</v>
      </c>
    </row>
    <row r="4344" spans="1:1" x14ac:dyDescent="0.2">
      <c r="A4344" s="13" t="s">
        <v>2741</v>
      </c>
    </row>
    <row r="4345" spans="1:1" x14ac:dyDescent="0.2">
      <c r="A4345" s="13" t="s">
        <v>390</v>
      </c>
    </row>
    <row r="4346" spans="1:1" x14ac:dyDescent="0.2">
      <c r="A4346" s="13" t="s">
        <v>2169</v>
      </c>
    </row>
    <row r="4347" spans="1:1" x14ac:dyDescent="0.2">
      <c r="A4347" s="13" t="s">
        <v>673</v>
      </c>
    </row>
    <row r="4348" spans="1:1" x14ac:dyDescent="0.2">
      <c r="A4348" s="13" t="s">
        <v>6085</v>
      </c>
    </row>
    <row r="4349" spans="1:1" x14ac:dyDescent="0.2">
      <c r="A4349" s="13" t="s">
        <v>2959</v>
      </c>
    </row>
    <row r="4350" spans="1:1" x14ac:dyDescent="0.2">
      <c r="A4350" s="13" t="s">
        <v>482</v>
      </c>
    </row>
    <row r="4351" spans="1:1" x14ac:dyDescent="0.2">
      <c r="A4351" s="13" t="s">
        <v>393</v>
      </c>
    </row>
    <row r="4352" spans="1:1" x14ac:dyDescent="0.2">
      <c r="A4352" s="13" t="s">
        <v>1556</v>
      </c>
    </row>
    <row r="4353" spans="1:1" x14ac:dyDescent="0.2">
      <c r="A4353" s="13" t="s">
        <v>6086</v>
      </c>
    </row>
    <row r="4354" spans="1:1" x14ac:dyDescent="0.2">
      <c r="A4354" s="13" t="s">
        <v>2983</v>
      </c>
    </row>
    <row r="4355" spans="1:1" x14ac:dyDescent="0.2">
      <c r="A4355" s="13" t="s">
        <v>6087</v>
      </c>
    </row>
    <row r="4356" spans="1:1" x14ac:dyDescent="0.2">
      <c r="A4356" s="13" t="s">
        <v>6088</v>
      </c>
    </row>
    <row r="4357" spans="1:1" x14ac:dyDescent="0.2">
      <c r="A4357" s="13" t="s">
        <v>263</v>
      </c>
    </row>
    <row r="4358" spans="1:1" x14ac:dyDescent="0.2">
      <c r="A4358" s="13" t="s">
        <v>1418</v>
      </c>
    </row>
    <row r="4359" spans="1:1" x14ac:dyDescent="0.2">
      <c r="A4359" s="13" t="s">
        <v>6089</v>
      </c>
    </row>
    <row r="4360" spans="1:1" x14ac:dyDescent="0.2">
      <c r="A4360" s="13" t="s">
        <v>6090</v>
      </c>
    </row>
    <row r="4361" spans="1:1" x14ac:dyDescent="0.2">
      <c r="A4361" s="13" t="s">
        <v>6091</v>
      </c>
    </row>
    <row r="4362" spans="1:1" x14ac:dyDescent="0.2">
      <c r="A4362" s="13" t="s">
        <v>6092</v>
      </c>
    </row>
    <row r="4363" spans="1:1" x14ac:dyDescent="0.2">
      <c r="A4363" s="13" t="s">
        <v>3363</v>
      </c>
    </row>
    <row r="4364" spans="1:1" x14ac:dyDescent="0.2">
      <c r="A4364" s="13" t="s">
        <v>1399</v>
      </c>
    </row>
    <row r="4365" spans="1:1" x14ac:dyDescent="0.2">
      <c r="A4365" s="13" t="s">
        <v>6093</v>
      </c>
    </row>
    <row r="4366" spans="1:1" x14ac:dyDescent="0.2">
      <c r="A4366" s="13" t="s">
        <v>1994</v>
      </c>
    </row>
    <row r="4367" spans="1:1" x14ac:dyDescent="0.2">
      <c r="A4367" s="13" t="s">
        <v>1775</v>
      </c>
    </row>
    <row r="4368" spans="1:1" x14ac:dyDescent="0.2">
      <c r="A4368" s="13" t="s">
        <v>3259</v>
      </c>
    </row>
    <row r="4369" spans="1:1" x14ac:dyDescent="0.2">
      <c r="A4369" s="13" t="s">
        <v>6094</v>
      </c>
    </row>
    <row r="4370" spans="1:1" x14ac:dyDescent="0.2">
      <c r="A4370" s="13" t="s">
        <v>1787</v>
      </c>
    </row>
    <row r="4371" spans="1:1" x14ac:dyDescent="0.2">
      <c r="A4371" s="13" t="s">
        <v>2427</v>
      </c>
    </row>
    <row r="4372" spans="1:1" x14ac:dyDescent="0.2">
      <c r="A4372" s="13" t="s">
        <v>946</v>
      </c>
    </row>
    <row r="4373" spans="1:1" x14ac:dyDescent="0.2">
      <c r="A4373" s="13" t="s">
        <v>1398</v>
      </c>
    </row>
    <row r="4374" spans="1:1" x14ac:dyDescent="0.2">
      <c r="A4374" s="13" t="s">
        <v>6095</v>
      </c>
    </row>
    <row r="4375" spans="1:1" x14ac:dyDescent="0.2">
      <c r="A4375" s="13" t="s">
        <v>6096</v>
      </c>
    </row>
    <row r="4376" spans="1:1" x14ac:dyDescent="0.2">
      <c r="A4376" s="13" t="s">
        <v>777</v>
      </c>
    </row>
    <row r="4377" spans="1:1" x14ac:dyDescent="0.2">
      <c r="A4377" s="13" t="s">
        <v>745</v>
      </c>
    </row>
    <row r="4378" spans="1:1" x14ac:dyDescent="0.2">
      <c r="A4378" s="13" t="s">
        <v>2977</v>
      </c>
    </row>
    <row r="4379" spans="1:1" x14ac:dyDescent="0.2">
      <c r="A4379" s="13" t="s">
        <v>1395</v>
      </c>
    </row>
    <row r="4380" spans="1:1" x14ac:dyDescent="0.2">
      <c r="A4380" s="13" t="s">
        <v>1436</v>
      </c>
    </row>
    <row r="4381" spans="1:1" x14ac:dyDescent="0.2">
      <c r="A4381" s="13" t="s">
        <v>778</v>
      </c>
    </row>
    <row r="4382" spans="1:1" x14ac:dyDescent="0.2">
      <c r="A4382" s="13" t="s">
        <v>6097</v>
      </c>
    </row>
    <row r="4383" spans="1:1" x14ac:dyDescent="0.2">
      <c r="A4383" s="13" t="s">
        <v>1364</v>
      </c>
    </row>
    <row r="4384" spans="1:1" x14ac:dyDescent="0.2">
      <c r="A4384" s="13" t="s">
        <v>6098</v>
      </c>
    </row>
    <row r="4385" spans="1:1" x14ac:dyDescent="0.2">
      <c r="A4385" s="13" t="s">
        <v>2751</v>
      </c>
    </row>
    <row r="4386" spans="1:1" x14ac:dyDescent="0.2">
      <c r="A4386" s="13" t="s">
        <v>6099</v>
      </c>
    </row>
    <row r="4387" spans="1:1" x14ac:dyDescent="0.2">
      <c r="A4387" s="13" t="s">
        <v>3551</v>
      </c>
    </row>
    <row r="4388" spans="1:1" x14ac:dyDescent="0.2">
      <c r="A4388" s="13" t="s">
        <v>4135</v>
      </c>
    </row>
    <row r="4389" spans="1:1" x14ac:dyDescent="0.2">
      <c r="A4389" s="13" t="s">
        <v>750</v>
      </c>
    </row>
    <row r="4390" spans="1:1" x14ac:dyDescent="0.2">
      <c r="A4390" s="13" t="s">
        <v>1605</v>
      </c>
    </row>
    <row r="4391" spans="1:1" x14ac:dyDescent="0.2">
      <c r="A4391" s="13" t="s">
        <v>2899</v>
      </c>
    </row>
    <row r="4392" spans="1:1" x14ac:dyDescent="0.2">
      <c r="A4392" s="13" t="s">
        <v>6100</v>
      </c>
    </row>
    <row r="4393" spans="1:1" x14ac:dyDescent="0.2">
      <c r="A4393" s="13" t="s">
        <v>2779</v>
      </c>
    </row>
    <row r="4394" spans="1:1" x14ac:dyDescent="0.2">
      <c r="A4394" s="13" t="s">
        <v>489</v>
      </c>
    </row>
    <row r="4395" spans="1:1" x14ac:dyDescent="0.2">
      <c r="A4395" s="13" t="s">
        <v>6101</v>
      </c>
    </row>
    <row r="4396" spans="1:1" x14ac:dyDescent="0.2">
      <c r="A4396" s="13" t="s">
        <v>2925</v>
      </c>
    </row>
    <row r="4397" spans="1:1" x14ac:dyDescent="0.2">
      <c r="A4397" s="13" t="s">
        <v>6102</v>
      </c>
    </row>
    <row r="4398" spans="1:1" x14ac:dyDescent="0.2">
      <c r="A4398" s="13" t="s">
        <v>2504</v>
      </c>
    </row>
    <row r="4399" spans="1:1" x14ac:dyDescent="0.2">
      <c r="A4399" s="13" t="s">
        <v>4139</v>
      </c>
    </row>
    <row r="4400" spans="1:1" x14ac:dyDescent="0.2">
      <c r="A4400" s="13" t="s">
        <v>3798</v>
      </c>
    </row>
    <row r="4401" spans="1:1" x14ac:dyDescent="0.2">
      <c r="A4401" s="13" t="s">
        <v>6103</v>
      </c>
    </row>
    <row r="4402" spans="1:1" x14ac:dyDescent="0.2">
      <c r="A4402" s="13" t="s">
        <v>3009</v>
      </c>
    </row>
    <row r="4403" spans="1:1" x14ac:dyDescent="0.2">
      <c r="A4403" s="13" t="s">
        <v>6104</v>
      </c>
    </row>
    <row r="4404" spans="1:1" x14ac:dyDescent="0.2">
      <c r="A4404" s="13" t="s">
        <v>1202</v>
      </c>
    </row>
    <row r="4405" spans="1:1" x14ac:dyDescent="0.2">
      <c r="A4405" s="13" t="s">
        <v>3049</v>
      </c>
    </row>
    <row r="4406" spans="1:1" x14ac:dyDescent="0.2">
      <c r="A4406" s="13" t="s">
        <v>969</v>
      </c>
    </row>
    <row r="4407" spans="1:1" x14ac:dyDescent="0.2">
      <c r="A4407" s="13" t="s">
        <v>6105</v>
      </c>
    </row>
    <row r="4408" spans="1:1" x14ac:dyDescent="0.2">
      <c r="A4408" s="13" t="s">
        <v>6106</v>
      </c>
    </row>
    <row r="4409" spans="1:1" x14ac:dyDescent="0.2">
      <c r="A4409" s="13" t="s">
        <v>3751</v>
      </c>
    </row>
    <row r="4410" spans="1:1" x14ac:dyDescent="0.2">
      <c r="A4410" s="13" t="s">
        <v>6107</v>
      </c>
    </row>
    <row r="4411" spans="1:1" x14ac:dyDescent="0.2">
      <c r="A4411" s="13" t="s">
        <v>6108</v>
      </c>
    </row>
    <row r="4412" spans="1:1" x14ac:dyDescent="0.2">
      <c r="A4412" s="13" t="s">
        <v>6109</v>
      </c>
    </row>
    <row r="4413" spans="1:1" x14ac:dyDescent="0.2">
      <c r="A4413" s="13" t="s">
        <v>2561</v>
      </c>
    </row>
    <row r="4414" spans="1:1" x14ac:dyDescent="0.2">
      <c r="A4414" s="13" t="s">
        <v>621</v>
      </c>
    </row>
    <row r="4415" spans="1:1" x14ac:dyDescent="0.2">
      <c r="A4415" s="13" t="s">
        <v>6110</v>
      </c>
    </row>
    <row r="4416" spans="1:1" x14ac:dyDescent="0.2">
      <c r="A4416" s="13" t="s">
        <v>6111</v>
      </c>
    </row>
    <row r="4417" spans="1:1" x14ac:dyDescent="0.2">
      <c r="A4417" s="13" t="s">
        <v>6112</v>
      </c>
    </row>
    <row r="4418" spans="1:1" x14ac:dyDescent="0.2">
      <c r="A4418" s="13" t="s">
        <v>2848</v>
      </c>
    </row>
    <row r="4419" spans="1:1" x14ac:dyDescent="0.2">
      <c r="A4419" s="13" t="s">
        <v>3580</v>
      </c>
    </row>
    <row r="4420" spans="1:1" x14ac:dyDescent="0.2">
      <c r="A4420" s="13" t="s">
        <v>289</v>
      </c>
    </row>
    <row r="4421" spans="1:1" x14ac:dyDescent="0.2">
      <c r="A4421" s="13" t="s">
        <v>1752</v>
      </c>
    </row>
    <row r="4422" spans="1:1" x14ac:dyDescent="0.2">
      <c r="A4422" s="13" t="s">
        <v>548</v>
      </c>
    </row>
    <row r="4423" spans="1:1" x14ac:dyDescent="0.2">
      <c r="A4423" s="13" t="s">
        <v>6113</v>
      </c>
    </row>
    <row r="4424" spans="1:1" x14ac:dyDescent="0.2">
      <c r="A4424" s="13" t="s">
        <v>2263</v>
      </c>
    </row>
    <row r="4425" spans="1:1" x14ac:dyDescent="0.2">
      <c r="A4425" s="13" t="s">
        <v>6114</v>
      </c>
    </row>
    <row r="4426" spans="1:1" x14ac:dyDescent="0.2">
      <c r="A4426" s="13" t="s">
        <v>6115</v>
      </c>
    </row>
    <row r="4427" spans="1:1" x14ac:dyDescent="0.2">
      <c r="A4427" s="13" t="s">
        <v>1900</v>
      </c>
    </row>
    <row r="4428" spans="1:1" x14ac:dyDescent="0.2">
      <c r="A4428" s="13" t="s">
        <v>6116</v>
      </c>
    </row>
    <row r="4429" spans="1:1" x14ac:dyDescent="0.2">
      <c r="A4429" s="13" t="s">
        <v>6117</v>
      </c>
    </row>
    <row r="4430" spans="1:1" x14ac:dyDescent="0.2">
      <c r="A4430" s="13" t="s">
        <v>3432</v>
      </c>
    </row>
    <row r="4431" spans="1:1" x14ac:dyDescent="0.2">
      <c r="A4431" s="13" t="s">
        <v>1614</v>
      </c>
    </row>
    <row r="4432" spans="1:1" x14ac:dyDescent="0.2">
      <c r="A4432" s="13" t="s">
        <v>6118</v>
      </c>
    </row>
    <row r="4433" spans="1:1" x14ac:dyDescent="0.2">
      <c r="A4433" s="13" t="s">
        <v>6119</v>
      </c>
    </row>
    <row r="4434" spans="1:1" x14ac:dyDescent="0.2">
      <c r="A4434" s="13" t="s">
        <v>6120</v>
      </c>
    </row>
    <row r="4435" spans="1:1" x14ac:dyDescent="0.2">
      <c r="A4435" s="13" t="s">
        <v>6121</v>
      </c>
    </row>
    <row r="4436" spans="1:1" x14ac:dyDescent="0.2">
      <c r="A4436" s="13" t="s">
        <v>6122</v>
      </c>
    </row>
    <row r="4437" spans="1:1" x14ac:dyDescent="0.2">
      <c r="A4437" s="13" t="s">
        <v>4004</v>
      </c>
    </row>
    <row r="4438" spans="1:1" x14ac:dyDescent="0.2">
      <c r="A4438" s="13" t="s">
        <v>3174</v>
      </c>
    </row>
    <row r="4439" spans="1:1" x14ac:dyDescent="0.2">
      <c r="A4439" s="13" t="s">
        <v>2247</v>
      </c>
    </row>
    <row r="4440" spans="1:1" x14ac:dyDescent="0.2">
      <c r="A4440" s="13" t="s">
        <v>6123</v>
      </c>
    </row>
    <row r="4441" spans="1:1" x14ac:dyDescent="0.2">
      <c r="A4441" s="13" t="s">
        <v>6124</v>
      </c>
    </row>
    <row r="4442" spans="1:1" x14ac:dyDescent="0.2">
      <c r="A4442" s="13" t="s">
        <v>6125</v>
      </c>
    </row>
    <row r="4443" spans="1:1" x14ac:dyDescent="0.2">
      <c r="A4443" s="13" t="s">
        <v>2272</v>
      </c>
    </row>
    <row r="4444" spans="1:1" x14ac:dyDescent="0.2">
      <c r="A4444" s="13" t="s">
        <v>4030</v>
      </c>
    </row>
    <row r="4445" spans="1:1" x14ac:dyDescent="0.2">
      <c r="A4445" s="13" t="s">
        <v>4034</v>
      </c>
    </row>
    <row r="4446" spans="1:1" x14ac:dyDescent="0.2">
      <c r="A4446" s="13" t="s">
        <v>3122</v>
      </c>
    </row>
    <row r="4447" spans="1:1" x14ac:dyDescent="0.2">
      <c r="A4447" s="13" t="s">
        <v>6126</v>
      </c>
    </row>
    <row r="4448" spans="1:1" x14ac:dyDescent="0.2">
      <c r="A4448" s="13" t="s">
        <v>6127</v>
      </c>
    </row>
    <row r="4449" spans="1:1" x14ac:dyDescent="0.2">
      <c r="A4449" s="13" t="s">
        <v>6128</v>
      </c>
    </row>
    <row r="4450" spans="1:1" x14ac:dyDescent="0.2">
      <c r="A4450" s="13" t="s">
        <v>1751</v>
      </c>
    </row>
    <row r="4451" spans="1:1" x14ac:dyDescent="0.2">
      <c r="A4451" s="13" t="s">
        <v>1769</v>
      </c>
    </row>
    <row r="4452" spans="1:1" x14ac:dyDescent="0.2">
      <c r="A4452" s="13" t="s">
        <v>954</v>
      </c>
    </row>
    <row r="4453" spans="1:1" x14ac:dyDescent="0.2">
      <c r="A4453" s="13" t="s">
        <v>6129</v>
      </c>
    </row>
    <row r="4454" spans="1:1" x14ac:dyDescent="0.2">
      <c r="A4454" s="13" t="s">
        <v>1120</v>
      </c>
    </row>
    <row r="4455" spans="1:1" x14ac:dyDescent="0.2">
      <c r="A4455" s="13" t="s">
        <v>2941</v>
      </c>
    </row>
    <row r="4456" spans="1:1" x14ac:dyDescent="0.2">
      <c r="A4456" s="13" t="s">
        <v>1463</v>
      </c>
    </row>
    <row r="4457" spans="1:1" x14ac:dyDescent="0.2">
      <c r="A4457" s="13" t="s">
        <v>6130</v>
      </c>
    </row>
    <row r="4458" spans="1:1" x14ac:dyDescent="0.2">
      <c r="A4458" s="13" t="s">
        <v>6131</v>
      </c>
    </row>
    <row r="4459" spans="1:1" x14ac:dyDescent="0.2">
      <c r="A4459" s="13" t="s">
        <v>6132</v>
      </c>
    </row>
    <row r="4460" spans="1:1" x14ac:dyDescent="0.2">
      <c r="A4460" s="13" t="s">
        <v>6133</v>
      </c>
    </row>
    <row r="4461" spans="1:1" x14ac:dyDescent="0.2">
      <c r="A4461" s="13" t="s">
        <v>2466</v>
      </c>
    </row>
    <row r="4462" spans="1:1" x14ac:dyDescent="0.2">
      <c r="A4462" s="13" t="s">
        <v>2873</v>
      </c>
    </row>
    <row r="4463" spans="1:1" x14ac:dyDescent="0.2">
      <c r="A4463" s="13" t="s">
        <v>1983</v>
      </c>
    </row>
    <row r="4464" spans="1:1" x14ac:dyDescent="0.2">
      <c r="A4464" s="13" t="s">
        <v>3532</v>
      </c>
    </row>
    <row r="4465" spans="1:1" x14ac:dyDescent="0.2">
      <c r="A4465" s="13" t="s">
        <v>6134</v>
      </c>
    </row>
    <row r="4466" spans="1:1" x14ac:dyDescent="0.2">
      <c r="A4466" s="13" t="s">
        <v>6135</v>
      </c>
    </row>
    <row r="4467" spans="1:1" x14ac:dyDescent="0.2">
      <c r="A4467" s="13" t="s">
        <v>515</v>
      </c>
    </row>
    <row r="4468" spans="1:1" x14ac:dyDescent="0.2">
      <c r="A4468" s="13" t="s">
        <v>6136</v>
      </c>
    </row>
    <row r="4469" spans="1:1" x14ac:dyDescent="0.2">
      <c r="A4469" s="13" t="s">
        <v>6137</v>
      </c>
    </row>
    <row r="4470" spans="1:1" x14ac:dyDescent="0.2">
      <c r="A4470" s="13" t="s">
        <v>3153</v>
      </c>
    </row>
    <row r="4471" spans="1:1" x14ac:dyDescent="0.2">
      <c r="A4471" s="13" t="s">
        <v>6138</v>
      </c>
    </row>
    <row r="4472" spans="1:1" x14ac:dyDescent="0.2">
      <c r="A4472" s="13" t="s">
        <v>3625</v>
      </c>
    </row>
    <row r="4473" spans="1:1" x14ac:dyDescent="0.2">
      <c r="A4473" s="13" t="s">
        <v>6139</v>
      </c>
    </row>
    <row r="4474" spans="1:1" x14ac:dyDescent="0.2">
      <c r="A4474" s="13" t="s">
        <v>3850</v>
      </c>
    </row>
    <row r="4475" spans="1:1" x14ac:dyDescent="0.2">
      <c r="A4475" s="13" t="s">
        <v>6140</v>
      </c>
    </row>
    <row r="4476" spans="1:1" x14ac:dyDescent="0.2">
      <c r="A4476" s="13" t="s">
        <v>2835</v>
      </c>
    </row>
    <row r="4477" spans="1:1" x14ac:dyDescent="0.2">
      <c r="A4477" s="13" t="s">
        <v>6141</v>
      </c>
    </row>
    <row r="4478" spans="1:1" x14ac:dyDescent="0.2">
      <c r="A4478" s="13" t="s">
        <v>6142</v>
      </c>
    </row>
    <row r="4479" spans="1:1" x14ac:dyDescent="0.2">
      <c r="A4479" s="13" t="s">
        <v>6143</v>
      </c>
    </row>
    <row r="4480" spans="1:1" x14ac:dyDescent="0.2">
      <c r="A4480" s="13" t="s">
        <v>3612</v>
      </c>
    </row>
    <row r="4481" spans="1:1" x14ac:dyDescent="0.2">
      <c r="A4481" s="13" t="s">
        <v>925</v>
      </c>
    </row>
    <row r="4482" spans="1:1" x14ac:dyDescent="0.2">
      <c r="A4482" s="13" t="s">
        <v>6144</v>
      </c>
    </row>
    <row r="4483" spans="1:1" x14ac:dyDescent="0.2">
      <c r="A4483" s="13" t="s">
        <v>904</v>
      </c>
    </row>
    <row r="4484" spans="1:1" x14ac:dyDescent="0.2">
      <c r="A4484" s="13" t="s">
        <v>1396</v>
      </c>
    </row>
    <row r="4485" spans="1:1" x14ac:dyDescent="0.2">
      <c r="A4485" s="13" t="s">
        <v>1525</v>
      </c>
    </row>
    <row r="4486" spans="1:1" x14ac:dyDescent="0.2">
      <c r="A4486" s="13" t="s">
        <v>3095</v>
      </c>
    </row>
    <row r="4487" spans="1:1" x14ac:dyDescent="0.2">
      <c r="A4487" s="13" t="s">
        <v>1966</v>
      </c>
    </row>
    <row r="4488" spans="1:1" x14ac:dyDescent="0.2">
      <c r="A4488" s="13" t="s">
        <v>3771</v>
      </c>
    </row>
    <row r="4489" spans="1:1" x14ac:dyDescent="0.2">
      <c r="A4489" s="13" t="s">
        <v>3469</v>
      </c>
    </row>
    <row r="4490" spans="1:1" x14ac:dyDescent="0.2">
      <c r="A4490" s="13" t="s">
        <v>6145</v>
      </c>
    </row>
    <row r="4491" spans="1:1" x14ac:dyDescent="0.2">
      <c r="A4491" s="13" t="s">
        <v>2409</v>
      </c>
    </row>
    <row r="4492" spans="1:1" x14ac:dyDescent="0.2">
      <c r="A4492" s="13" t="s">
        <v>6146</v>
      </c>
    </row>
    <row r="4493" spans="1:1" x14ac:dyDescent="0.2">
      <c r="A4493" s="13" t="s">
        <v>3682</v>
      </c>
    </row>
    <row r="4494" spans="1:1" x14ac:dyDescent="0.2">
      <c r="A4494" s="13" t="s">
        <v>3180</v>
      </c>
    </row>
    <row r="4495" spans="1:1" x14ac:dyDescent="0.2">
      <c r="A4495" s="13" t="s">
        <v>6147</v>
      </c>
    </row>
    <row r="4496" spans="1:1" x14ac:dyDescent="0.2">
      <c r="A4496" s="13" t="s">
        <v>2089</v>
      </c>
    </row>
    <row r="4497" spans="1:1" x14ac:dyDescent="0.2">
      <c r="A4497" s="13" t="s">
        <v>3132</v>
      </c>
    </row>
    <row r="4498" spans="1:1" x14ac:dyDescent="0.2">
      <c r="A4498" s="13" t="s">
        <v>2257</v>
      </c>
    </row>
    <row r="4499" spans="1:1" x14ac:dyDescent="0.2">
      <c r="A4499" s="13" t="s">
        <v>3016</v>
      </c>
    </row>
    <row r="4500" spans="1:1" x14ac:dyDescent="0.2">
      <c r="A4500" s="13" t="s">
        <v>6148</v>
      </c>
    </row>
    <row r="4501" spans="1:1" x14ac:dyDescent="0.2">
      <c r="A4501" s="13" t="s">
        <v>3562</v>
      </c>
    </row>
    <row r="4502" spans="1:1" x14ac:dyDescent="0.2">
      <c r="A4502" s="13" t="s">
        <v>2668</v>
      </c>
    </row>
    <row r="4503" spans="1:1" x14ac:dyDescent="0.2">
      <c r="A4503" s="13" t="s">
        <v>3045</v>
      </c>
    </row>
    <row r="4504" spans="1:1" x14ac:dyDescent="0.2">
      <c r="A4504" s="13" t="s">
        <v>524</v>
      </c>
    </row>
    <row r="4505" spans="1:1" x14ac:dyDescent="0.2">
      <c r="A4505" s="13" t="s">
        <v>2595</v>
      </c>
    </row>
    <row r="4506" spans="1:1" x14ac:dyDescent="0.2">
      <c r="A4506" s="13" t="s">
        <v>3878</v>
      </c>
    </row>
    <row r="4507" spans="1:1" x14ac:dyDescent="0.2">
      <c r="A4507" s="13" t="s">
        <v>6149</v>
      </c>
    </row>
    <row r="4508" spans="1:1" x14ac:dyDescent="0.2">
      <c r="A4508" s="13" t="s">
        <v>1196</v>
      </c>
    </row>
    <row r="4509" spans="1:1" x14ac:dyDescent="0.2">
      <c r="A4509" s="13" t="s">
        <v>3494</v>
      </c>
    </row>
    <row r="4510" spans="1:1" x14ac:dyDescent="0.2">
      <c r="A4510" s="13" t="s">
        <v>785</v>
      </c>
    </row>
    <row r="4511" spans="1:1" x14ac:dyDescent="0.2">
      <c r="A4511" s="13" t="s">
        <v>1524</v>
      </c>
    </row>
    <row r="4512" spans="1:1" x14ac:dyDescent="0.2">
      <c r="A4512" s="13" t="s">
        <v>509</v>
      </c>
    </row>
    <row r="4513" spans="1:1" x14ac:dyDescent="0.2">
      <c r="A4513" s="13" t="s">
        <v>6150</v>
      </c>
    </row>
    <row r="4514" spans="1:1" x14ac:dyDescent="0.2">
      <c r="A4514" s="13" t="s">
        <v>3043</v>
      </c>
    </row>
    <row r="4515" spans="1:1" x14ac:dyDescent="0.2">
      <c r="A4515" s="13" t="s">
        <v>1362</v>
      </c>
    </row>
    <row r="4516" spans="1:1" x14ac:dyDescent="0.2">
      <c r="A4516" s="13" t="s">
        <v>6151</v>
      </c>
    </row>
    <row r="4517" spans="1:1" x14ac:dyDescent="0.2">
      <c r="A4517" s="13" t="s">
        <v>609</v>
      </c>
    </row>
    <row r="4518" spans="1:1" x14ac:dyDescent="0.2">
      <c r="A4518" s="13" t="s">
        <v>2238</v>
      </c>
    </row>
    <row r="4519" spans="1:1" x14ac:dyDescent="0.2">
      <c r="A4519" s="13" t="s">
        <v>942</v>
      </c>
    </row>
    <row r="4520" spans="1:1" x14ac:dyDescent="0.2">
      <c r="A4520" s="13" t="s">
        <v>2759</v>
      </c>
    </row>
    <row r="4521" spans="1:1" x14ac:dyDescent="0.2">
      <c r="A4521" s="13" t="s">
        <v>6152</v>
      </c>
    </row>
    <row r="4522" spans="1:1" x14ac:dyDescent="0.2">
      <c r="A4522" s="13" t="s">
        <v>6153</v>
      </c>
    </row>
    <row r="4523" spans="1:1" x14ac:dyDescent="0.2">
      <c r="A4523" s="13" t="s">
        <v>2805</v>
      </c>
    </row>
    <row r="4524" spans="1:1" x14ac:dyDescent="0.2">
      <c r="A4524" s="13" t="s">
        <v>6154</v>
      </c>
    </row>
    <row r="4525" spans="1:1" x14ac:dyDescent="0.2">
      <c r="A4525" s="13" t="s">
        <v>6155</v>
      </c>
    </row>
    <row r="4526" spans="1:1" x14ac:dyDescent="0.2">
      <c r="A4526" s="13" t="s">
        <v>4091</v>
      </c>
    </row>
    <row r="4527" spans="1:1" x14ac:dyDescent="0.2">
      <c r="A4527" s="13" t="s">
        <v>6156</v>
      </c>
    </row>
    <row r="4528" spans="1:1" x14ac:dyDescent="0.2">
      <c r="A4528" s="13" t="s">
        <v>6157</v>
      </c>
    </row>
    <row r="4529" spans="1:1" x14ac:dyDescent="0.2">
      <c r="A4529" s="13" t="s">
        <v>4085</v>
      </c>
    </row>
    <row r="4530" spans="1:1" x14ac:dyDescent="0.2">
      <c r="A4530" s="13" t="s">
        <v>2546</v>
      </c>
    </row>
    <row r="4531" spans="1:1" x14ac:dyDescent="0.2">
      <c r="A4531" s="13" t="s">
        <v>6158</v>
      </c>
    </row>
    <row r="4532" spans="1:1" x14ac:dyDescent="0.2">
      <c r="A4532" s="13" t="s">
        <v>1596</v>
      </c>
    </row>
    <row r="4533" spans="1:1" x14ac:dyDescent="0.2">
      <c r="A4533" s="13" t="s">
        <v>1191</v>
      </c>
    </row>
    <row r="4534" spans="1:1" x14ac:dyDescent="0.2">
      <c r="A4534" s="13" t="s">
        <v>610</v>
      </c>
    </row>
    <row r="4535" spans="1:1" x14ac:dyDescent="0.2">
      <c r="A4535" s="13" t="s">
        <v>3029</v>
      </c>
    </row>
    <row r="4536" spans="1:1" x14ac:dyDescent="0.2">
      <c r="A4536" s="13" t="s">
        <v>3844</v>
      </c>
    </row>
    <row r="4537" spans="1:1" x14ac:dyDescent="0.2">
      <c r="A4537" s="13" t="s">
        <v>1086</v>
      </c>
    </row>
    <row r="4538" spans="1:1" x14ac:dyDescent="0.2">
      <c r="A4538" s="13" t="s">
        <v>6159</v>
      </c>
    </row>
    <row r="4539" spans="1:1" x14ac:dyDescent="0.2">
      <c r="A4539" s="13" t="s">
        <v>2767</v>
      </c>
    </row>
    <row r="4540" spans="1:1" x14ac:dyDescent="0.2">
      <c r="A4540" s="13" t="s">
        <v>6160</v>
      </c>
    </row>
    <row r="4541" spans="1:1" x14ac:dyDescent="0.2">
      <c r="A4541" s="13" t="s">
        <v>3702</v>
      </c>
    </row>
    <row r="4542" spans="1:1" x14ac:dyDescent="0.2">
      <c r="A4542" s="13" t="s">
        <v>2460</v>
      </c>
    </row>
    <row r="4543" spans="1:1" x14ac:dyDescent="0.2">
      <c r="A4543" s="13" t="s">
        <v>6161</v>
      </c>
    </row>
    <row r="4544" spans="1:1" x14ac:dyDescent="0.2">
      <c r="A4544" s="13" t="s">
        <v>3665</v>
      </c>
    </row>
    <row r="4545" spans="1:1" x14ac:dyDescent="0.2">
      <c r="A4545" s="13" t="s">
        <v>6162</v>
      </c>
    </row>
    <row r="4546" spans="1:1" x14ac:dyDescent="0.2">
      <c r="A4546" s="13" t="s">
        <v>6163</v>
      </c>
    </row>
    <row r="4547" spans="1:1" x14ac:dyDescent="0.2">
      <c r="A4547" s="13" t="s">
        <v>2337</v>
      </c>
    </row>
    <row r="4548" spans="1:1" x14ac:dyDescent="0.2">
      <c r="A4548" s="13" t="s">
        <v>713</v>
      </c>
    </row>
    <row r="4549" spans="1:1" x14ac:dyDescent="0.2">
      <c r="A4549" s="13" t="s">
        <v>6164</v>
      </c>
    </row>
    <row r="4550" spans="1:1" x14ac:dyDescent="0.2">
      <c r="A4550" s="13" t="s">
        <v>1150</v>
      </c>
    </row>
    <row r="4551" spans="1:1" x14ac:dyDescent="0.2">
      <c r="A4551" s="13" t="s">
        <v>922</v>
      </c>
    </row>
    <row r="4552" spans="1:1" x14ac:dyDescent="0.2">
      <c r="A4552" s="13" t="s">
        <v>2890</v>
      </c>
    </row>
    <row r="4553" spans="1:1" x14ac:dyDescent="0.2">
      <c r="A4553" s="13" t="s">
        <v>6165</v>
      </c>
    </row>
    <row r="4554" spans="1:1" x14ac:dyDescent="0.2">
      <c r="A4554" s="13" t="s">
        <v>197</v>
      </c>
    </row>
    <row r="4555" spans="1:1" x14ac:dyDescent="0.2">
      <c r="A4555" s="13" t="s">
        <v>2660</v>
      </c>
    </row>
    <row r="4556" spans="1:1" x14ac:dyDescent="0.2">
      <c r="A4556" s="13" t="s">
        <v>6166</v>
      </c>
    </row>
    <row r="4557" spans="1:1" x14ac:dyDescent="0.2">
      <c r="A4557" s="13" t="s">
        <v>6167</v>
      </c>
    </row>
    <row r="4558" spans="1:1" x14ac:dyDescent="0.2">
      <c r="A4558" s="13" t="s">
        <v>6168</v>
      </c>
    </row>
    <row r="4559" spans="1:1" x14ac:dyDescent="0.2">
      <c r="A4559" s="13" t="s">
        <v>2218</v>
      </c>
    </row>
    <row r="4560" spans="1:1" x14ac:dyDescent="0.2">
      <c r="A4560" s="13" t="s">
        <v>389</v>
      </c>
    </row>
    <row r="4561" spans="1:1" x14ac:dyDescent="0.2">
      <c r="A4561" s="13" t="s">
        <v>3609</v>
      </c>
    </row>
    <row r="4562" spans="1:1" x14ac:dyDescent="0.2">
      <c r="A4562" s="13" t="s">
        <v>2461</v>
      </c>
    </row>
    <row r="4563" spans="1:1" x14ac:dyDescent="0.2">
      <c r="A4563" s="13" t="s">
        <v>2832</v>
      </c>
    </row>
    <row r="4564" spans="1:1" x14ac:dyDescent="0.2">
      <c r="A4564" s="13" t="s">
        <v>1797</v>
      </c>
    </row>
    <row r="4565" spans="1:1" x14ac:dyDescent="0.2">
      <c r="A4565" s="13" t="s">
        <v>451</v>
      </c>
    </row>
    <row r="4566" spans="1:1" x14ac:dyDescent="0.2">
      <c r="A4566" s="13" t="s">
        <v>6169</v>
      </c>
    </row>
    <row r="4567" spans="1:1" x14ac:dyDescent="0.2">
      <c r="A4567" s="13" t="s">
        <v>1871</v>
      </c>
    </row>
    <row r="4568" spans="1:1" x14ac:dyDescent="0.2">
      <c r="A4568" s="13" t="s">
        <v>6170</v>
      </c>
    </row>
    <row r="4569" spans="1:1" x14ac:dyDescent="0.2">
      <c r="A4569" s="13" t="s">
        <v>3160</v>
      </c>
    </row>
    <row r="4570" spans="1:1" x14ac:dyDescent="0.2">
      <c r="A4570" s="13" t="s">
        <v>4125</v>
      </c>
    </row>
    <row r="4571" spans="1:1" x14ac:dyDescent="0.2">
      <c r="A4571" s="13" t="s">
        <v>2909</v>
      </c>
    </row>
    <row r="4572" spans="1:1" x14ac:dyDescent="0.2">
      <c r="A4572" s="13" t="s">
        <v>6171</v>
      </c>
    </row>
    <row r="4573" spans="1:1" x14ac:dyDescent="0.2">
      <c r="A4573" s="13" t="s">
        <v>6172</v>
      </c>
    </row>
    <row r="4574" spans="1:1" x14ac:dyDescent="0.2">
      <c r="A4574" s="13" t="s">
        <v>3216</v>
      </c>
    </row>
    <row r="4575" spans="1:1" x14ac:dyDescent="0.2">
      <c r="A4575" s="13" t="s">
        <v>236</v>
      </c>
    </row>
    <row r="4576" spans="1:1" x14ac:dyDescent="0.2">
      <c r="A4576" s="13" t="s">
        <v>6173</v>
      </c>
    </row>
    <row r="4577" spans="1:1" x14ac:dyDescent="0.2">
      <c r="A4577" s="13" t="s">
        <v>2430</v>
      </c>
    </row>
    <row r="4578" spans="1:1" x14ac:dyDescent="0.2">
      <c r="A4578" s="13" t="s">
        <v>6174</v>
      </c>
    </row>
    <row r="4579" spans="1:1" x14ac:dyDescent="0.2">
      <c r="A4579" s="13" t="s">
        <v>2382</v>
      </c>
    </row>
    <row r="4580" spans="1:1" x14ac:dyDescent="0.2">
      <c r="A4580" s="13" t="s">
        <v>2516</v>
      </c>
    </row>
    <row r="4581" spans="1:1" x14ac:dyDescent="0.2">
      <c r="A4581" s="13" t="s">
        <v>6175</v>
      </c>
    </row>
    <row r="4582" spans="1:1" x14ac:dyDescent="0.2">
      <c r="A4582" s="13" t="s">
        <v>6176</v>
      </c>
    </row>
    <row r="4583" spans="1:1" x14ac:dyDescent="0.2">
      <c r="A4583" s="13" t="s">
        <v>6177</v>
      </c>
    </row>
    <row r="4584" spans="1:1" x14ac:dyDescent="0.2">
      <c r="A4584" s="13" t="s">
        <v>1867</v>
      </c>
    </row>
    <row r="4585" spans="1:1" x14ac:dyDescent="0.2">
      <c r="A4585" s="13" t="s">
        <v>1803</v>
      </c>
    </row>
    <row r="4586" spans="1:1" x14ac:dyDescent="0.2">
      <c r="A4586" s="13" t="s">
        <v>6178</v>
      </c>
    </row>
    <row r="4587" spans="1:1" x14ac:dyDescent="0.2">
      <c r="A4587" s="13" t="s">
        <v>450</v>
      </c>
    </row>
    <row r="4588" spans="1:1" x14ac:dyDescent="0.2">
      <c r="A4588" s="13" t="s">
        <v>4151</v>
      </c>
    </row>
    <row r="4589" spans="1:1" x14ac:dyDescent="0.2">
      <c r="A4589" s="13" t="s">
        <v>6179</v>
      </c>
    </row>
    <row r="4590" spans="1:1" x14ac:dyDescent="0.2">
      <c r="A4590" s="13" t="s">
        <v>2900</v>
      </c>
    </row>
    <row r="4591" spans="1:1" x14ac:dyDescent="0.2">
      <c r="A4591" s="13" t="s">
        <v>2267</v>
      </c>
    </row>
    <row r="4592" spans="1:1" x14ac:dyDescent="0.2">
      <c r="A4592" s="13" t="s">
        <v>6180</v>
      </c>
    </row>
    <row r="4593" spans="1:1" x14ac:dyDescent="0.2">
      <c r="A4593" s="13" t="s">
        <v>3217</v>
      </c>
    </row>
    <row r="4594" spans="1:1" x14ac:dyDescent="0.2">
      <c r="A4594" s="13" t="s">
        <v>6181</v>
      </c>
    </row>
    <row r="4595" spans="1:1" x14ac:dyDescent="0.2">
      <c r="A4595" s="13" t="s">
        <v>3987</v>
      </c>
    </row>
    <row r="4596" spans="1:1" x14ac:dyDescent="0.2">
      <c r="A4596" s="13" t="s">
        <v>6182</v>
      </c>
    </row>
    <row r="4597" spans="1:1" x14ac:dyDescent="0.2">
      <c r="A4597" s="13" t="s">
        <v>4073</v>
      </c>
    </row>
    <row r="4598" spans="1:1" x14ac:dyDescent="0.2">
      <c r="A4598" s="13" t="s">
        <v>6183</v>
      </c>
    </row>
    <row r="4599" spans="1:1" x14ac:dyDescent="0.2">
      <c r="A4599" s="13" t="s">
        <v>2399</v>
      </c>
    </row>
    <row r="4600" spans="1:1" x14ac:dyDescent="0.2">
      <c r="A4600" s="13" t="s">
        <v>6184</v>
      </c>
    </row>
    <row r="4601" spans="1:1" x14ac:dyDescent="0.2">
      <c r="A4601" s="13" t="s">
        <v>6185</v>
      </c>
    </row>
    <row r="4602" spans="1:1" x14ac:dyDescent="0.2">
      <c r="A4602" s="13" t="s">
        <v>981</v>
      </c>
    </row>
    <row r="4603" spans="1:1" x14ac:dyDescent="0.2">
      <c r="A4603" s="13" t="s">
        <v>1301</v>
      </c>
    </row>
    <row r="4604" spans="1:1" x14ac:dyDescent="0.2">
      <c r="A4604" s="13" t="s">
        <v>1106</v>
      </c>
    </row>
    <row r="4605" spans="1:1" x14ac:dyDescent="0.2">
      <c r="A4605" s="13" t="s">
        <v>3627</v>
      </c>
    </row>
    <row r="4606" spans="1:1" x14ac:dyDescent="0.2">
      <c r="A4606" s="13" t="s">
        <v>2951</v>
      </c>
    </row>
    <row r="4607" spans="1:1" x14ac:dyDescent="0.2">
      <c r="A4607" s="13" t="s">
        <v>6186</v>
      </c>
    </row>
    <row r="4608" spans="1:1" x14ac:dyDescent="0.2">
      <c r="A4608" s="13" t="s">
        <v>2172</v>
      </c>
    </row>
    <row r="4609" spans="1:1" x14ac:dyDescent="0.2">
      <c r="A4609" s="13" t="s">
        <v>2603</v>
      </c>
    </row>
    <row r="4610" spans="1:1" x14ac:dyDescent="0.2">
      <c r="A4610" s="13" t="s">
        <v>3483</v>
      </c>
    </row>
    <row r="4611" spans="1:1" x14ac:dyDescent="0.2">
      <c r="A4611" s="13" t="s">
        <v>1766</v>
      </c>
    </row>
    <row r="4612" spans="1:1" x14ac:dyDescent="0.2">
      <c r="A4612" s="13" t="s">
        <v>1920</v>
      </c>
    </row>
    <row r="4613" spans="1:1" x14ac:dyDescent="0.2">
      <c r="A4613" s="13" t="s">
        <v>6187</v>
      </c>
    </row>
    <row r="4614" spans="1:1" x14ac:dyDescent="0.2">
      <c r="A4614" s="13" t="s">
        <v>6188</v>
      </c>
    </row>
    <row r="4615" spans="1:1" x14ac:dyDescent="0.2">
      <c r="A4615" s="13" t="s">
        <v>849</v>
      </c>
    </row>
    <row r="4616" spans="1:1" x14ac:dyDescent="0.2">
      <c r="A4616" s="13" t="s">
        <v>1628</v>
      </c>
    </row>
    <row r="4617" spans="1:1" x14ac:dyDescent="0.2">
      <c r="A4617" s="13" t="s">
        <v>1724</v>
      </c>
    </row>
    <row r="4618" spans="1:1" x14ac:dyDescent="0.2">
      <c r="A4618" s="13" t="s">
        <v>6189</v>
      </c>
    </row>
    <row r="4619" spans="1:1" x14ac:dyDescent="0.2">
      <c r="A4619" s="13" t="s">
        <v>6190</v>
      </c>
    </row>
    <row r="4620" spans="1:1" x14ac:dyDescent="0.2">
      <c r="A4620" s="13" t="s">
        <v>1631</v>
      </c>
    </row>
    <row r="4621" spans="1:1" x14ac:dyDescent="0.2">
      <c r="A4621" s="13" t="s">
        <v>3387</v>
      </c>
    </row>
    <row r="4622" spans="1:1" x14ac:dyDescent="0.2">
      <c r="A4622" s="13" t="s">
        <v>6191</v>
      </c>
    </row>
    <row r="4623" spans="1:1" x14ac:dyDescent="0.2">
      <c r="A4623" s="13" t="s">
        <v>6192</v>
      </c>
    </row>
    <row r="4624" spans="1:1" x14ac:dyDescent="0.2">
      <c r="A4624" s="13" t="s">
        <v>6193</v>
      </c>
    </row>
    <row r="4625" spans="1:1" x14ac:dyDescent="0.2">
      <c r="A4625" s="13" t="s">
        <v>6194</v>
      </c>
    </row>
    <row r="4626" spans="1:1" x14ac:dyDescent="0.2">
      <c r="A4626" s="13" t="s">
        <v>6195</v>
      </c>
    </row>
    <row r="4627" spans="1:1" x14ac:dyDescent="0.2">
      <c r="A4627" s="13" t="s">
        <v>6196</v>
      </c>
    </row>
    <row r="4628" spans="1:1" x14ac:dyDescent="0.2">
      <c r="A4628" s="13" t="s">
        <v>3353</v>
      </c>
    </row>
    <row r="4629" spans="1:1" x14ac:dyDescent="0.2">
      <c r="A4629" s="13" t="s">
        <v>6197</v>
      </c>
    </row>
    <row r="4630" spans="1:1" x14ac:dyDescent="0.2">
      <c r="A4630" s="13" t="s">
        <v>3268</v>
      </c>
    </row>
    <row r="4631" spans="1:1" x14ac:dyDescent="0.2">
      <c r="A4631" s="13" t="s">
        <v>2906</v>
      </c>
    </row>
    <row r="4632" spans="1:1" x14ac:dyDescent="0.2">
      <c r="A4632" s="13" t="s">
        <v>1865</v>
      </c>
    </row>
    <row r="4633" spans="1:1" x14ac:dyDescent="0.2">
      <c r="A4633" s="13" t="s">
        <v>6198</v>
      </c>
    </row>
    <row r="4634" spans="1:1" x14ac:dyDescent="0.2">
      <c r="A4634" s="13" t="s">
        <v>4081</v>
      </c>
    </row>
    <row r="4635" spans="1:1" x14ac:dyDescent="0.2">
      <c r="A4635" s="13" t="s">
        <v>6199</v>
      </c>
    </row>
    <row r="4636" spans="1:1" x14ac:dyDescent="0.2">
      <c r="A4636" s="13" t="s">
        <v>829</v>
      </c>
    </row>
    <row r="4637" spans="1:1" x14ac:dyDescent="0.2">
      <c r="A4637" s="13" t="s">
        <v>6200</v>
      </c>
    </row>
    <row r="4638" spans="1:1" x14ac:dyDescent="0.2">
      <c r="A4638" s="13" t="s">
        <v>3295</v>
      </c>
    </row>
    <row r="4639" spans="1:1" x14ac:dyDescent="0.2">
      <c r="A4639" s="13" t="s">
        <v>2146</v>
      </c>
    </row>
    <row r="4640" spans="1:1" x14ac:dyDescent="0.2">
      <c r="A4640" s="13" t="s">
        <v>6201</v>
      </c>
    </row>
    <row r="4641" spans="1:1" x14ac:dyDescent="0.2">
      <c r="A4641" s="13" t="s">
        <v>6202</v>
      </c>
    </row>
    <row r="4642" spans="1:1" x14ac:dyDescent="0.2">
      <c r="A4642" s="13" t="s">
        <v>3282</v>
      </c>
    </row>
    <row r="4643" spans="1:1" x14ac:dyDescent="0.2">
      <c r="A4643" s="13" t="s">
        <v>6203</v>
      </c>
    </row>
    <row r="4644" spans="1:1" x14ac:dyDescent="0.2">
      <c r="A4644" s="13" t="s">
        <v>6204</v>
      </c>
    </row>
    <row r="4645" spans="1:1" x14ac:dyDescent="0.2">
      <c r="A4645" s="13" t="s">
        <v>6205</v>
      </c>
    </row>
    <row r="4646" spans="1:1" x14ac:dyDescent="0.2">
      <c r="A4646" s="13" t="s">
        <v>6206</v>
      </c>
    </row>
    <row r="4647" spans="1:1" x14ac:dyDescent="0.2">
      <c r="A4647" s="13" t="s">
        <v>1476</v>
      </c>
    </row>
    <row r="4648" spans="1:1" x14ac:dyDescent="0.2">
      <c r="A4648" s="13" t="s">
        <v>319</v>
      </c>
    </row>
    <row r="4649" spans="1:1" x14ac:dyDescent="0.2">
      <c r="A4649" s="13" t="s">
        <v>1320</v>
      </c>
    </row>
    <row r="4650" spans="1:1" x14ac:dyDescent="0.2">
      <c r="A4650" s="13" t="s">
        <v>6207</v>
      </c>
    </row>
    <row r="4651" spans="1:1" x14ac:dyDescent="0.2">
      <c r="A4651" s="13" t="s">
        <v>2964</v>
      </c>
    </row>
    <row r="4652" spans="1:1" x14ac:dyDescent="0.2">
      <c r="A4652" s="13" t="s">
        <v>6208</v>
      </c>
    </row>
    <row r="4653" spans="1:1" x14ac:dyDescent="0.2">
      <c r="A4653" s="13" t="s">
        <v>6209</v>
      </c>
    </row>
    <row r="4654" spans="1:1" x14ac:dyDescent="0.2">
      <c r="A4654" s="13" t="s">
        <v>2697</v>
      </c>
    </row>
    <row r="4655" spans="1:1" x14ac:dyDescent="0.2">
      <c r="A4655" s="13" t="s">
        <v>6210</v>
      </c>
    </row>
    <row r="4656" spans="1:1" x14ac:dyDescent="0.2">
      <c r="A4656" s="13" t="s">
        <v>2768</v>
      </c>
    </row>
    <row r="4657" spans="1:1" x14ac:dyDescent="0.2">
      <c r="A4657" s="13" t="s">
        <v>6211</v>
      </c>
    </row>
    <row r="4658" spans="1:1" x14ac:dyDescent="0.2">
      <c r="A4658" s="13" t="s">
        <v>764</v>
      </c>
    </row>
    <row r="4659" spans="1:1" x14ac:dyDescent="0.2">
      <c r="A4659" s="13" t="s">
        <v>1434</v>
      </c>
    </row>
    <row r="4660" spans="1:1" x14ac:dyDescent="0.2">
      <c r="A4660" s="13" t="s">
        <v>1819</v>
      </c>
    </row>
    <row r="4661" spans="1:1" x14ac:dyDescent="0.2">
      <c r="A4661" s="13" t="s">
        <v>3402</v>
      </c>
    </row>
    <row r="4662" spans="1:1" x14ac:dyDescent="0.2">
      <c r="A4662" s="13" t="s">
        <v>6212</v>
      </c>
    </row>
    <row r="4663" spans="1:1" x14ac:dyDescent="0.2">
      <c r="A4663" s="13" t="s">
        <v>1575</v>
      </c>
    </row>
    <row r="4664" spans="1:1" x14ac:dyDescent="0.2">
      <c r="A4664" s="13" t="s">
        <v>2788</v>
      </c>
    </row>
    <row r="4665" spans="1:1" x14ac:dyDescent="0.2">
      <c r="A4665" s="13" t="s">
        <v>3664</v>
      </c>
    </row>
    <row r="4666" spans="1:1" x14ac:dyDescent="0.2">
      <c r="A4666" s="13" t="s">
        <v>6213</v>
      </c>
    </row>
    <row r="4667" spans="1:1" x14ac:dyDescent="0.2">
      <c r="A4667" s="13" t="s">
        <v>3017</v>
      </c>
    </row>
    <row r="4668" spans="1:1" x14ac:dyDescent="0.2">
      <c r="A4668" s="13" t="s">
        <v>3237</v>
      </c>
    </row>
    <row r="4669" spans="1:1" x14ac:dyDescent="0.2">
      <c r="A4669" s="13" t="s">
        <v>6214</v>
      </c>
    </row>
    <row r="4670" spans="1:1" x14ac:dyDescent="0.2">
      <c r="A4670" s="13" t="s">
        <v>2775</v>
      </c>
    </row>
    <row r="4671" spans="1:1" x14ac:dyDescent="0.2">
      <c r="A4671" s="13" t="s">
        <v>6215</v>
      </c>
    </row>
    <row r="4672" spans="1:1" x14ac:dyDescent="0.2">
      <c r="A4672" s="13" t="s">
        <v>1741</v>
      </c>
    </row>
    <row r="4673" spans="1:1" x14ac:dyDescent="0.2">
      <c r="A4673" s="13" t="s">
        <v>6216</v>
      </c>
    </row>
    <row r="4674" spans="1:1" x14ac:dyDescent="0.2">
      <c r="A4674" s="13" t="s">
        <v>6217</v>
      </c>
    </row>
    <row r="4675" spans="1:1" x14ac:dyDescent="0.2">
      <c r="A4675" s="13" t="s">
        <v>3451</v>
      </c>
    </row>
    <row r="4676" spans="1:1" x14ac:dyDescent="0.2">
      <c r="A4676" s="13" t="s">
        <v>3421</v>
      </c>
    </row>
    <row r="4677" spans="1:1" x14ac:dyDescent="0.2">
      <c r="A4677" s="13" t="s">
        <v>819</v>
      </c>
    </row>
    <row r="4678" spans="1:1" x14ac:dyDescent="0.2">
      <c r="A4678" s="13" t="s">
        <v>6218</v>
      </c>
    </row>
    <row r="4679" spans="1:1" x14ac:dyDescent="0.2">
      <c r="A4679" s="13" t="s">
        <v>1747</v>
      </c>
    </row>
    <row r="4680" spans="1:1" x14ac:dyDescent="0.2">
      <c r="A4680" s="13" t="s">
        <v>1323</v>
      </c>
    </row>
    <row r="4681" spans="1:1" x14ac:dyDescent="0.2">
      <c r="A4681" s="13" t="s">
        <v>3600</v>
      </c>
    </row>
    <row r="4682" spans="1:1" x14ac:dyDescent="0.2">
      <c r="A4682" s="13" t="s">
        <v>1288</v>
      </c>
    </row>
    <row r="4683" spans="1:1" x14ac:dyDescent="0.2">
      <c r="A4683" s="13" t="s">
        <v>3900</v>
      </c>
    </row>
    <row r="4684" spans="1:1" x14ac:dyDescent="0.2">
      <c r="A4684" s="13" t="s">
        <v>3681</v>
      </c>
    </row>
    <row r="4685" spans="1:1" x14ac:dyDescent="0.2">
      <c r="A4685" s="13" t="s">
        <v>6219</v>
      </c>
    </row>
    <row r="4686" spans="1:1" x14ac:dyDescent="0.2">
      <c r="A4686" s="13" t="s">
        <v>3718</v>
      </c>
    </row>
    <row r="4687" spans="1:1" x14ac:dyDescent="0.2">
      <c r="A4687" s="13" t="s">
        <v>6220</v>
      </c>
    </row>
    <row r="4688" spans="1:1" x14ac:dyDescent="0.2">
      <c r="A4688" s="13" t="s">
        <v>3114</v>
      </c>
    </row>
    <row r="4689" spans="1:1" x14ac:dyDescent="0.2">
      <c r="A4689" s="13" t="s">
        <v>1646</v>
      </c>
    </row>
    <row r="4690" spans="1:1" x14ac:dyDescent="0.2">
      <c r="A4690" s="13" t="s">
        <v>4126</v>
      </c>
    </row>
    <row r="4691" spans="1:1" x14ac:dyDescent="0.2">
      <c r="A4691" s="13" t="s">
        <v>6221</v>
      </c>
    </row>
    <row r="4692" spans="1:1" x14ac:dyDescent="0.2">
      <c r="A4692" s="13" t="s">
        <v>6222</v>
      </c>
    </row>
    <row r="4693" spans="1:1" x14ac:dyDescent="0.2">
      <c r="A4693" s="13" t="s">
        <v>3941</v>
      </c>
    </row>
    <row r="4694" spans="1:1" x14ac:dyDescent="0.2">
      <c r="A4694" s="13" t="s">
        <v>6223</v>
      </c>
    </row>
    <row r="4695" spans="1:1" x14ac:dyDescent="0.2">
      <c r="A4695" s="13" t="s">
        <v>6224</v>
      </c>
    </row>
    <row r="4696" spans="1:1" x14ac:dyDescent="0.2">
      <c r="A4696" s="13" t="s">
        <v>2080</v>
      </c>
    </row>
    <row r="4697" spans="1:1" x14ac:dyDescent="0.2">
      <c r="A4697" s="13" t="s">
        <v>300</v>
      </c>
    </row>
    <row r="4698" spans="1:1" x14ac:dyDescent="0.2">
      <c r="A4698" s="13" t="s">
        <v>6225</v>
      </c>
    </row>
    <row r="4699" spans="1:1" x14ac:dyDescent="0.2">
      <c r="A4699" s="13" t="s">
        <v>2274</v>
      </c>
    </row>
    <row r="4700" spans="1:1" x14ac:dyDescent="0.2">
      <c r="A4700" s="13" t="s">
        <v>2104</v>
      </c>
    </row>
    <row r="4701" spans="1:1" x14ac:dyDescent="0.2">
      <c r="A4701" s="13" t="s">
        <v>6226</v>
      </c>
    </row>
    <row r="4702" spans="1:1" x14ac:dyDescent="0.2">
      <c r="A4702" s="13" t="s">
        <v>3210</v>
      </c>
    </row>
    <row r="4703" spans="1:1" x14ac:dyDescent="0.2">
      <c r="A4703" s="13" t="s">
        <v>769</v>
      </c>
    </row>
    <row r="4704" spans="1:1" x14ac:dyDescent="0.2">
      <c r="A4704" s="13" t="s">
        <v>3339</v>
      </c>
    </row>
    <row r="4705" spans="1:1" x14ac:dyDescent="0.2">
      <c r="A4705" s="13" t="s">
        <v>6227</v>
      </c>
    </row>
    <row r="4706" spans="1:1" x14ac:dyDescent="0.2">
      <c r="A4706" s="13" t="s">
        <v>6228</v>
      </c>
    </row>
    <row r="4707" spans="1:1" x14ac:dyDescent="0.2">
      <c r="A4707" s="13" t="s">
        <v>6229</v>
      </c>
    </row>
    <row r="4708" spans="1:1" x14ac:dyDescent="0.2">
      <c r="A4708" s="13" t="s">
        <v>2922</v>
      </c>
    </row>
    <row r="4709" spans="1:1" x14ac:dyDescent="0.2">
      <c r="A4709" s="13" t="s">
        <v>6230</v>
      </c>
    </row>
    <row r="4710" spans="1:1" x14ac:dyDescent="0.2">
      <c r="A4710" s="13" t="s">
        <v>2437</v>
      </c>
    </row>
    <row r="4711" spans="1:1" x14ac:dyDescent="0.2">
      <c r="A4711" s="13" t="s">
        <v>3912</v>
      </c>
    </row>
    <row r="4712" spans="1:1" x14ac:dyDescent="0.2">
      <c r="A4712" s="13" t="s">
        <v>6231</v>
      </c>
    </row>
    <row r="4713" spans="1:1" x14ac:dyDescent="0.2">
      <c r="A4713" s="13" t="s">
        <v>6232</v>
      </c>
    </row>
    <row r="4714" spans="1:1" x14ac:dyDescent="0.2">
      <c r="A4714" s="13" t="s">
        <v>2881</v>
      </c>
    </row>
    <row r="4715" spans="1:1" x14ac:dyDescent="0.2">
      <c r="A4715" s="13" t="s">
        <v>1656</v>
      </c>
    </row>
    <row r="4716" spans="1:1" x14ac:dyDescent="0.2">
      <c r="A4716" s="13" t="s">
        <v>6233</v>
      </c>
    </row>
    <row r="4717" spans="1:1" x14ac:dyDescent="0.2">
      <c r="A4717" s="13" t="s">
        <v>2762</v>
      </c>
    </row>
    <row r="4718" spans="1:1" x14ac:dyDescent="0.2">
      <c r="A4718" s="13" t="s">
        <v>4002</v>
      </c>
    </row>
    <row r="4719" spans="1:1" x14ac:dyDescent="0.2">
      <c r="A4719" s="13" t="s">
        <v>6234</v>
      </c>
    </row>
    <row r="4720" spans="1:1" x14ac:dyDescent="0.2">
      <c r="A4720" s="13" t="s">
        <v>6235</v>
      </c>
    </row>
    <row r="4721" spans="1:1" x14ac:dyDescent="0.2">
      <c r="A4721" s="13" t="s">
        <v>6236</v>
      </c>
    </row>
    <row r="4722" spans="1:1" x14ac:dyDescent="0.2">
      <c r="A4722" s="13" t="s">
        <v>6237</v>
      </c>
    </row>
    <row r="4723" spans="1:1" x14ac:dyDescent="0.2">
      <c r="A4723" s="13" t="s">
        <v>3455</v>
      </c>
    </row>
    <row r="4724" spans="1:1" x14ac:dyDescent="0.2">
      <c r="A4724" s="13" t="s">
        <v>677</v>
      </c>
    </row>
    <row r="4725" spans="1:1" x14ac:dyDescent="0.2">
      <c r="A4725" s="13" t="s">
        <v>1824</v>
      </c>
    </row>
    <row r="4726" spans="1:1" x14ac:dyDescent="0.2">
      <c r="A4726" s="13" t="s">
        <v>2845</v>
      </c>
    </row>
    <row r="4727" spans="1:1" x14ac:dyDescent="0.2">
      <c r="A4727" s="13" t="s">
        <v>1073</v>
      </c>
    </row>
    <row r="4728" spans="1:1" x14ac:dyDescent="0.2">
      <c r="A4728" s="13" t="s">
        <v>6238</v>
      </c>
    </row>
    <row r="4729" spans="1:1" x14ac:dyDescent="0.2">
      <c r="A4729" s="13" t="s">
        <v>6239</v>
      </c>
    </row>
    <row r="4730" spans="1:1" x14ac:dyDescent="0.2">
      <c r="A4730" s="13" t="s">
        <v>2251</v>
      </c>
    </row>
    <row r="4731" spans="1:1" x14ac:dyDescent="0.2">
      <c r="A4731" s="13" t="s">
        <v>2566</v>
      </c>
    </row>
    <row r="4732" spans="1:1" x14ac:dyDescent="0.2">
      <c r="A4732" s="13" t="s">
        <v>6240</v>
      </c>
    </row>
    <row r="4733" spans="1:1" x14ac:dyDescent="0.2">
      <c r="A4733" s="13" t="s">
        <v>3768</v>
      </c>
    </row>
    <row r="4734" spans="1:1" x14ac:dyDescent="0.2">
      <c r="A4734" s="13" t="s">
        <v>6241</v>
      </c>
    </row>
    <row r="4735" spans="1:1" x14ac:dyDescent="0.2">
      <c r="A4735" s="13" t="s">
        <v>6242</v>
      </c>
    </row>
    <row r="4736" spans="1:1" x14ac:dyDescent="0.2">
      <c r="A4736" s="13" t="s">
        <v>2629</v>
      </c>
    </row>
    <row r="4737" spans="1:1" x14ac:dyDescent="0.2">
      <c r="A4737" s="13" t="s">
        <v>6243</v>
      </c>
    </row>
    <row r="4738" spans="1:1" x14ac:dyDescent="0.2">
      <c r="A4738" s="13" t="s">
        <v>6244</v>
      </c>
    </row>
    <row r="4739" spans="1:1" x14ac:dyDescent="0.2">
      <c r="A4739" s="13" t="s">
        <v>6245</v>
      </c>
    </row>
    <row r="4740" spans="1:1" x14ac:dyDescent="0.2">
      <c r="A4740" s="13" t="s">
        <v>1186</v>
      </c>
    </row>
    <row r="4741" spans="1:1" x14ac:dyDescent="0.2">
      <c r="A4741" s="13" t="s">
        <v>6246</v>
      </c>
    </row>
    <row r="4742" spans="1:1" x14ac:dyDescent="0.2">
      <c r="A4742" s="13" t="s">
        <v>2593</v>
      </c>
    </row>
    <row r="4743" spans="1:1" x14ac:dyDescent="0.2">
      <c r="A4743" s="13" t="s">
        <v>3545</v>
      </c>
    </row>
    <row r="4744" spans="1:1" x14ac:dyDescent="0.2">
      <c r="A4744" s="13" t="s">
        <v>6247</v>
      </c>
    </row>
    <row r="4745" spans="1:1" x14ac:dyDescent="0.2">
      <c r="A4745" s="13" t="s">
        <v>3721</v>
      </c>
    </row>
    <row r="4746" spans="1:1" x14ac:dyDescent="0.2">
      <c r="A4746" s="13" t="s">
        <v>1746</v>
      </c>
    </row>
    <row r="4747" spans="1:1" x14ac:dyDescent="0.2">
      <c r="A4747" s="13" t="s">
        <v>1726</v>
      </c>
    </row>
    <row r="4748" spans="1:1" x14ac:dyDescent="0.2">
      <c r="A4748" s="13" t="s">
        <v>6248</v>
      </c>
    </row>
    <row r="4749" spans="1:1" x14ac:dyDescent="0.2">
      <c r="A4749" s="13" t="s">
        <v>6249</v>
      </c>
    </row>
    <row r="4750" spans="1:1" x14ac:dyDescent="0.2">
      <c r="A4750" s="13" t="s">
        <v>3084</v>
      </c>
    </row>
    <row r="4751" spans="1:1" x14ac:dyDescent="0.2">
      <c r="A4751" s="13" t="s">
        <v>6250</v>
      </c>
    </row>
    <row r="4752" spans="1:1" x14ac:dyDescent="0.2">
      <c r="A4752" s="13" t="s">
        <v>2265</v>
      </c>
    </row>
    <row r="4753" spans="1:1" x14ac:dyDescent="0.2">
      <c r="A4753" s="13" t="s">
        <v>3011</v>
      </c>
    </row>
    <row r="4754" spans="1:1" x14ac:dyDescent="0.2">
      <c r="A4754" s="13" t="s">
        <v>2331</v>
      </c>
    </row>
    <row r="4755" spans="1:1" x14ac:dyDescent="0.2">
      <c r="A4755" s="13" t="s">
        <v>3992</v>
      </c>
    </row>
    <row r="4756" spans="1:1" x14ac:dyDescent="0.2">
      <c r="A4756" s="13" t="s">
        <v>3780</v>
      </c>
    </row>
    <row r="4757" spans="1:1" x14ac:dyDescent="0.2">
      <c r="A4757" s="13" t="s">
        <v>6251</v>
      </c>
    </row>
    <row r="4758" spans="1:1" x14ac:dyDescent="0.2">
      <c r="A4758" s="13" t="s">
        <v>2522</v>
      </c>
    </row>
    <row r="4759" spans="1:1" x14ac:dyDescent="0.2">
      <c r="A4759" s="13" t="s">
        <v>3330</v>
      </c>
    </row>
    <row r="4760" spans="1:1" x14ac:dyDescent="0.2">
      <c r="A4760" s="13" t="s">
        <v>6252</v>
      </c>
    </row>
    <row r="4761" spans="1:1" x14ac:dyDescent="0.2">
      <c r="A4761" s="13" t="s">
        <v>1372</v>
      </c>
    </row>
    <row r="4762" spans="1:1" x14ac:dyDescent="0.2">
      <c r="A4762" s="13" t="s">
        <v>6253</v>
      </c>
    </row>
    <row r="4763" spans="1:1" x14ac:dyDescent="0.2">
      <c r="A4763" s="13" t="s">
        <v>6254</v>
      </c>
    </row>
    <row r="4764" spans="1:1" x14ac:dyDescent="0.2">
      <c r="A4764" s="13" t="s">
        <v>3337</v>
      </c>
    </row>
    <row r="4765" spans="1:1" x14ac:dyDescent="0.2">
      <c r="A4765" s="13" t="s">
        <v>6255</v>
      </c>
    </row>
    <row r="4766" spans="1:1" x14ac:dyDescent="0.2">
      <c r="A4766" s="13" t="s">
        <v>3305</v>
      </c>
    </row>
    <row r="4767" spans="1:1" x14ac:dyDescent="0.2">
      <c r="A4767" s="13" t="s">
        <v>6256</v>
      </c>
    </row>
    <row r="4768" spans="1:1" x14ac:dyDescent="0.2">
      <c r="A4768" s="13" t="s">
        <v>6257</v>
      </c>
    </row>
    <row r="4769" spans="1:1" x14ac:dyDescent="0.2">
      <c r="A4769" s="13" t="s">
        <v>6258</v>
      </c>
    </row>
    <row r="4770" spans="1:1" x14ac:dyDescent="0.2">
      <c r="A4770" s="13" t="s">
        <v>6259</v>
      </c>
    </row>
    <row r="4771" spans="1:1" x14ac:dyDescent="0.2">
      <c r="A4771" s="13" t="s">
        <v>3099</v>
      </c>
    </row>
    <row r="4772" spans="1:1" x14ac:dyDescent="0.2">
      <c r="A4772" s="13" t="s">
        <v>6260</v>
      </c>
    </row>
    <row r="4773" spans="1:1" x14ac:dyDescent="0.2">
      <c r="A4773" s="13" t="s">
        <v>6261</v>
      </c>
    </row>
    <row r="4774" spans="1:1" x14ac:dyDescent="0.2">
      <c r="A4774" s="13" t="s">
        <v>1981</v>
      </c>
    </row>
    <row r="4775" spans="1:1" x14ac:dyDescent="0.2">
      <c r="A4775" s="13" t="s">
        <v>6262</v>
      </c>
    </row>
    <row r="4776" spans="1:1" x14ac:dyDescent="0.2">
      <c r="A4776" s="13" t="s">
        <v>6263</v>
      </c>
    </row>
    <row r="4777" spans="1:1" x14ac:dyDescent="0.2">
      <c r="A4777" s="13" t="s">
        <v>1143</v>
      </c>
    </row>
    <row r="4778" spans="1:1" x14ac:dyDescent="0.2">
      <c r="A4778" s="13" t="s">
        <v>6264</v>
      </c>
    </row>
    <row r="4779" spans="1:1" x14ac:dyDescent="0.2">
      <c r="A4779" s="13" t="s">
        <v>3893</v>
      </c>
    </row>
    <row r="4780" spans="1:1" x14ac:dyDescent="0.2">
      <c r="A4780" s="13" t="s">
        <v>6265</v>
      </c>
    </row>
    <row r="4781" spans="1:1" x14ac:dyDescent="0.2">
      <c r="A4781" s="13" t="s">
        <v>885</v>
      </c>
    </row>
    <row r="4782" spans="1:1" x14ac:dyDescent="0.2">
      <c r="A4782" s="13" t="s">
        <v>6266</v>
      </c>
    </row>
    <row r="4783" spans="1:1" x14ac:dyDescent="0.2">
      <c r="A4783" s="13" t="s">
        <v>6267</v>
      </c>
    </row>
    <row r="4784" spans="1:1" x14ac:dyDescent="0.2">
      <c r="A4784" s="13" t="s">
        <v>6268</v>
      </c>
    </row>
    <row r="4785" spans="1:1" x14ac:dyDescent="0.2">
      <c r="A4785" s="13" t="s">
        <v>6269</v>
      </c>
    </row>
    <row r="4786" spans="1:1" x14ac:dyDescent="0.2">
      <c r="A4786" s="13" t="s">
        <v>6270</v>
      </c>
    </row>
    <row r="4787" spans="1:1" x14ac:dyDescent="0.2">
      <c r="A4787" s="13" t="s">
        <v>6271</v>
      </c>
    </row>
    <row r="4788" spans="1:1" x14ac:dyDescent="0.2">
      <c r="A4788" s="13" t="s">
        <v>1732</v>
      </c>
    </row>
    <row r="4789" spans="1:1" x14ac:dyDescent="0.2">
      <c r="A4789" s="13" t="s">
        <v>1134</v>
      </c>
    </row>
    <row r="4790" spans="1:1" x14ac:dyDescent="0.2">
      <c r="A4790" s="13" t="s">
        <v>6272</v>
      </c>
    </row>
    <row r="4791" spans="1:1" x14ac:dyDescent="0.2">
      <c r="A4791" s="13" t="s">
        <v>6273</v>
      </c>
    </row>
    <row r="4792" spans="1:1" x14ac:dyDescent="0.2">
      <c r="A4792" s="13" t="s">
        <v>2313</v>
      </c>
    </row>
    <row r="4793" spans="1:1" x14ac:dyDescent="0.2">
      <c r="A4793" s="13" t="s">
        <v>2114</v>
      </c>
    </row>
    <row r="4794" spans="1:1" x14ac:dyDescent="0.2">
      <c r="A4794" s="13" t="s">
        <v>6274</v>
      </c>
    </row>
    <row r="4795" spans="1:1" x14ac:dyDescent="0.2">
      <c r="A4795" s="13" t="s">
        <v>6275</v>
      </c>
    </row>
    <row r="4796" spans="1:1" x14ac:dyDescent="0.2">
      <c r="A4796" s="13" t="s">
        <v>2022</v>
      </c>
    </row>
    <row r="4797" spans="1:1" x14ac:dyDescent="0.2">
      <c r="A4797" s="13" t="s">
        <v>3428</v>
      </c>
    </row>
    <row r="4798" spans="1:1" x14ac:dyDescent="0.2">
      <c r="A4798" s="13" t="s">
        <v>2878</v>
      </c>
    </row>
    <row r="4799" spans="1:1" x14ac:dyDescent="0.2">
      <c r="A4799" s="13" t="s">
        <v>3146</v>
      </c>
    </row>
    <row r="4800" spans="1:1" x14ac:dyDescent="0.2">
      <c r="A4800" s="13" t="s">
        <v>6276</v>
      </c>
    </row>
    <row r="4801" spans="1:1" x14ac:dyDescent="0.2">
      <c r="A4801" s="13" t="s">
        <v>6277</v>
      </c>
    </row>
    <row r="4802" spans="1:1" x14ac:dyDescent="0.2">
      <c r="A4802" s="13" t="s">
        <v>6278</v>
      </c>
    </row>
    <row r="4803" spans="1:1" x14ac:dyDescent="0.2">
      <c r="A4803" s="13" t="s">
        <v>1119</v>
      </c>
    </row>
    <row r="4804" spans="1:1" x14ac:dyDescent="0.2">
      <c r="A4804" s="13" t="s">
        <v>4015</v>
      </c>
    </row>
    <row r="4805" spans="1:1" x14ac:dyDescent="0.2">
      <c r="A4805" s="13" t="s">
        <v>6279</v>
      </c>
    </row>
    <row r="4806" spans="1:1" x14ac:dyDescent="0.2">
      <c r="A4806" s="13" t="s">
        <v>6280</v>
      </c>
    </row>
    <row r="4807" spans="1:1" x14ac:dyDescent="0.2">
      <c r="A4807" s="13" t="s">
        <v>6281</v>
      </c>
    </row>
    <row r="4808" spans="1:1" x14ac:dyDescent="0.2">
      <c r="A4808" s="13" t="s">
        <v>6282</v>
      </c>
    </row>
    <row r="4809" spans="1:1" x14ac:dyDescent="0.2">
      <c r="A4809" s="13" t="s">
        <v>6283</v>
      </c>
    </row>
    <row r="4810" spans="1:1" x14ac:dyDescent="0.2">
      <c r="A4810" s="13" t="s">
        <v>6284</v>
      </c>
    </row>
    <row r="4811" spans="1:1" x14ac:dyDescent="0.2">
      <c r="A4811" s="13" t="s">
        <v>3024</v>
      </c>
    </row>
    <row r="4812" spans="1:1" x14ac:dyDescent="0.2">
      <c r="A4812" s="13" t="s">
        <v>1635</v>
      </c>
    </row>
    <row r="4813" spans="1:1" x14ac:dyDescent="0.2">
      <c r="A4813" s="13" t="s">
        <v>3807</v>
      </c>
    </row>
    <row r="4814" spans="1:1" x14ac:dyDescent="0.2">
      <c r="A4814" s="13" t="s">
        <v>6285</v>
      </c>
    </row>
    <row r="4815" spans="1:1" x14ac:dyDescent="0.2">
      <c r="A4815" s="13" t="s">
        <v>6286</v>
      </c>
    </row>
    <row r="4816" spans="1:1" x14ac:dyDescent="0.2">
      <c r="A4816" s="13" t="s">
        <v>6287</v>
      </c>
    </row>
    <row r="4817" spans="1:1" x14ac:dyDescent="0.2">
      <c r="A4817" s="13" t="s">
        <v>3238</v>
      </c>
    </row>
    <row r="4818" spans="1:1" x14ac:dyDescent="0.2">
      <c r="A4818" s="13" t="s">
        <v>2812</v>
      </c>
    </row>
    <row r="4819" spans="1:1" x14ac:dyDescent="0.2">
      <c r="A4819" s="13" t="s">
        <v>1989</v>
      </c>
    </row>
    <row r="4820" spans="1:1" x14ac:dyDescent="0.2">
      <c r="A4820" s="13" t="s">
        <v>912</v>
      </c>
    </row>
    <row r="4821" spans="1:1" x14ac:dyDescent="0.2">
      <c r="A4821" s="13" t="s">
        <v>6288</v>
      </c>
    </row>
    <row r="4822" spans="1:1" x14ac:dyDescent="0.2">
      <c r="A4822" s="13" t="s">
        <v>6289</v>
      </c>
    </row>
    <row r="4823" spans="1:1" x14ac:dyDescent="0.2">
      <c r="A4823" s="13" t="s">
        <v>6290</v>
      </c>
    </row>
    <row r="4824" spans="1:1" x14ac:dyDescent="0.2">
      <c r="A4824" s="13" t="s">
        <v>6291</v>
      </c>
    </row>
    <row r="4825" spans="1:1" x14ac:dyDescent="0.2">
      <c r="A4825" s="13" t="s">
        <v>6292</v>
      </c>
    </row>
    <row r="4826" spans="1:1" x14ac:dyDescent="0.2">
      <c r="A4826" s="13" t="s">
        <v>6293</v>
      </c>
    </row>
    <row r="4827" spans="1:1" x14ac:dyDescent="0.2">
      <c r="A4827" s="13" t="s">
        <v>6294</v>
      </c>
    </row>
    <row r="4828" spans="1:1" x14ac:dyDescent="0.2">
      <c r="A4828" s="13" t="s">
        <v>2056</v>
      </c>
    </row>
    <row r="4829" spans="1:1" x14ac:dyDescent="0.2">
      <c r="A4829" s="13" t="s">
        <v>2800</v>
      </c>
    </row>
    <row r="4830" spans="1:1" x14ac:dyDescent="0.2">
      <c r="A4830" s="13" t="s">
        <v>6295</v>
      </c>
    </row>
    <row r="4831" spans="1:1" x14ac:dyDescent="0.2">
      <c r="A4831" s="13" t="s">
        <v>6296</v>
      </c>
    </row>
    <row r="4832" spans="1:1" x14ac:dyDescent="0.2">
      <c r="A4832" s="13" t="s">
        <v>6297</v>
      </c>
    </row>
    <row r="4833" spans="1:1" x14ac:dyDescent="0.2">
      <c r="A4833" s="13" t="s">
        <v>880</v>
      </c>
    </row>
    <row r="4834" spans="1:1" x14ac:dyDescent="0.2">
      <c r="A4834" s="13" t="s">
        <v>4071</v>
      </c>
    </row>
    <row r="4835" spans="1:1" x14ac:dyDescent="0.2">
      <c r="A4835" s="13" t="s">
        <v>6298</v>
      </c>
    </row>
    <row r="4836" spans="1:1" x14ac:dyDescent="0.2">
      <c r="A4836" s="13" t="s">
        <v>6299</v>
      </c>
    </row>
    <row r="4837" spans="1:1" x14ac:dyDescent="0.2">
      <c r="A4837" s="13" t="s">
        <v>1193</v>
      </c>
    </row>
    <row r="4838" spans="1:1" x14ac:dyDescent="0.2">
      <c r="A4838" s="13" t="s">
        <v>6300</v>
      </c>
    </row>
    <row r="4839" spans="1:1" x14ac:dyDescent="0.2">
      <c r="A4839" s="13" t="s">
        <v>1545</v>
      </c>
    </row>
    <row r="4840" spans="1:1" x14ac:dyDescent="0.2">
      <c r="A4840" s="13" t="s">
        <v>3511</v>
      </c>
    </row>
    <row r="4841" spans="1:1" x14ac:dyDescent="0.2">
      <c r="A4841" s="13" t="s">
        <v>6301</v>
      </c>
    </row>
    <row r="4842" spans="1:1" x14ac:dyDescent="0.2">
      <c r="A4842" s="13" t="s">
        <v>2823</v>
      </c>
    </row>
    <row r="4843" spans="1:1" x14ac:dyDescent="0.2">
      <c r="A4843" s="13" t="s">
        <v>2502</v>
      </c>
    </row>
    <row r="4844" spans="1:1" x14ac:dyDescent="0.2">
      <c r="A4844" s="13" t="s">
        <v>2428</v>
      </c>
    </row>
    <row r="4845" spans="1:1" x14ac:dyDescent="0.2">
      <c r="A4845" s="13" t="s">
        <v>1045</v>
      </c>
    </row>
    <row r="4846" spans="1:1" x14ac:dyDescent="0.2">
      <c r="A4846" s="13" t="s">
        <v>3168</v>
      </c>
    </row>
    <row r="4847" spans="1:1" x14ac:dyDescent="0.2">
      <c r="A4847" s="13" t="s">
        <v>6302</v>
      </c>
    </row>
    <row r="4848" spans="1:1" x14ac:dyDescent="0.2">
      <c r="A4848" s="13" t="s">
        <v>6303</v>
      </c>
    </row>
    <row r="4849" spans="1:1" x14ac:dyDescent="0.2">
      <c r="A4849" s="13" t="s">
        <v>377</v>
      </c>
    </row>
    <row r="4850" spans="1:1" x14ac:dyDescent="0.2">
      <c r="A4850" s="13" t="s">
        <v>6304</v>
      </c>
    </row>
    <row r="4851" spans="1:1" x14ac:dyDescent="0.2">
      <c r="A4851" s="13" t="s">
        <v>672</v>
      </c>
    </row>
    <row r="4852" spans="1:1" x14ac:dyDescent="0.2">
      <c r="A4852" s="13" t="s">
        <v>6305</v>
      </c>
    </row>
    <row r="4853" spans="1:1" x14ac:dyDescent="0.2">
      <c r="A4853" s="13" t="s">
        <v>6306</v>
      </c>
    </row>
    <row r="4854" spans="1:1" x14ac:dyDescent="0.2">
      <c r="A4854" s="13" t="s">
        <v>3138</v>
      </c>
    </row>
    <row r="4855" spans="1:1" x14ac:dyDescent="0.2">
      <c r="A4855" s="13" t="s">
        <v>1980</v>
      </c>
    </row>
    <row r="4856" spans="1:1" x14ac:dyDescent="0.2">
      <c r="A4856" s="13" t="s">
        <v>2628</v>
      </c>
    </row>
    <row r="4857" spans="1:1" x14ac:dyDescent="0.2">
      <c r="A4857" s="13" t="s">
        <v>2557</v>
      </c>
    </row>
    <row r="4858" spans="1:1" x14ac:dyDescent="0.2">
      <c r="A4858" s="13" t="s">
        <v>582</v>
      </c>
    </row>
    <row r="4859" spans="1:1" x14ac:dyDescent="0.2">
      <c r="A4859" s="13" t="s">
        <v>6307</v>
      </c>
    </row>
    <row r="4860" spans="1:1" x14ac:dyDescent="0.2">
      <c r="A4860" s="13" t="s">
        <v>362</v>
      </c>
    </row>
    <row r="4861" spans="1:1" x14ac:dyDescent="0.2">
      <c r="A4861" s="13" t="s">
        <v>2531</v>
      </c>
    </row>
    <row r="4862" spans="1:1" x14ac:dyDescent="0.2">
      <c r="A4862" s="13" t="s">
        <v>1276</v>
      </c>
    </row>
    <row r="4863" spans="1:1" x14ac:dyDescent="0.2">
      <c r="A4863" s="13" t="s">
        <v>6308</v>
      </c>
    </row>
    <row r="4864" spans="1:1" x14ac:dyDescent="0.2">
      <c r="A4864" s="13" t="s">
        <v>6309</v>
      </c>
    </row>
    <row r="4865" spans="1:1" x14ac:dyDescent="0.2">
      <c r="A4865" s="13" t="s">
        <v>6310</v>
      </c>
    </row>
    <row r="4866" spans="1:1" x14ac:dyDescent="0.2">
      <c r="A4866" s="13" t="s">
        <v>1466</v>
      </c>
    </row>
    <row r="4867" spans="1:1" x14ac:dyDescent="0.2">
      <c r="A4867" s="13" t="s">
        <v>554</v>
      </c>
    </row>
    <row r="4868" spans="1:1" x14ac:dyDescent="0.2">
      <c r="A4868" s="13" t="s">
        <v>2985</v>
      </c>
    </row>
    <row r="4869" spans="1:1" x14ac:dyDescent="0.2">
      <c r="A4869" s="13" t="s">
        <v>6311</v>
      </c>
    </row>
    <row r="4870" spans="1:1" x14ac:dyDescent="0.2">
      <c r="A4870" s="13" t="s">
        <v>1157</v>
      </c>
    </row>
    <row r="4871" spans="1:1" x14ac:dyDescent="0.2">
      <c r="A4871" s="13" t="s">
        <v>6312</v>
      </c>
    </row>
    <row r="4872" spans="1:1" x14ac:dyDescent="0.2">
      <c r="A4872" s="13" t="s">
        <v>6313</v>
      </c>
    </row>
    <row r="4873" spans="1:1" x14ac:dyDescent="0.2">
      <c r="A4873" s="13" t="s">
        <v>2439</v>
      </c>
    </row>
    <row r="4874" spans="1:1" x14ac:dyDescent="0.2">
      <c r="A4874" s="13" t="s">
        <v>2180</v>
      </c>
    </row>
    <row r="4875" spans="1:1" x14ac:dyDescent="0.2">
      <c r="A4875" s="13" t="s">
        <v>811</v>
      </c>
    </row>
    <row r="4876" spans="1:1" x14ac:dyDescent="0.2">
      <c r="A4876" s="13" t="s">
        <v>6314</v>
      </c>
    </row>
    <row r="4877" spans="1:1" x14ac:dyDescent="0.2">
      <c r="A4877" s="13" t="s">
        <v>6315</v>
      </c>
    </row>
    <row r="4878" spans="1:1" x14ac:dyDescent="0.2">
      <c r="A4878" s="13" t="s">
        <v>6316</v>
      </c>
    </row>
    <row r="4879" spans="1:1" x14ac:dyDescent="0.2">
      <c r="A4879" s="13" t="s">
        <v>2144</v>
      </c>
    </row>
    <row r="4880" spans="1:1" x14ac:dyDescent="0.2">
      <c r="A4880" s="13" t="s">
        <v>1893</v>
      </c>
    </row>
    <row r="4881" spans="1:1" x14ac:dyDescent="0.2">
      <c r="A4881" s="13" t="s">
        <v>601</v>
      </c>
    </row>
    <row r="4882" spans="1:1" x14ac:dyDescent="0.2">
      <c r="A4882" s="13" t="s">
        <v>6317</v>
      </c>
    </row>
    <row r="4883" spans="1:1" x14ac:dyDescent="0.2">
      <c r="A4883" s="13" t="s">
        <v>6318</v>
      </c>
    </row>
    <row r="4884" spans="1:1" x14ac:dyDescent="0.2">
      <c r="A4884" s="13" t="s">
        <v>6319</v>
      </c>
    </row>
    <row r="4885" spans="1:1" x14ac:dyDescent="0.2">
      <c r="A4885" s="13" t="s">
        <v>2403</v>
      </c>
    </row>
    <row r="4886" spans="1:1" x14ac:dyDescent="0.2">
      <c r="A4886" s="13" t="s">
        <v>858</v>
      </c>
    </row>
    <row r="4887" spans="1:1" x14ac:dyDescent="0.2">
      <c r="A4887" s="13" t="s">
        <v>629</v>
      </c>
    </row>
    <row r="4888" spans="1:1" x14ac:dyDescent="0.2">
      <c r="A4888" s="13" t="s">
        <v>1163</v>
      </c>
    </row>
    <row r="4889" spans="1:1" x14ac:dyDescent="0.2">
      <c r="A4889" s="13" t="s">
        <v>1503</v>
      </c>
    </row>
    <row r="4890" spans="1:1" x14ac:dyDescent="0.2">
      <c r="A4890" s="13" t="s">
        <v>3993</v>
      </c>
    </row>
    <row r="4891" spans="1:1" x14ac:dyDescent="0.2">
      <c r="A4891" s="13" t="s">
        <v>1216</v>
      </c>
    </row>
    <row r="4892" spans="1:1" x14ac:dyDescent="0.2">
      <c r="A4892" s="13" t="s">
        <v>2792</v>
      </c>
    </row>
    <row r="4893" spans="1:1" x14ac:dyDescent="0.2">
      <c r="A4893" s="13" t="s">
        <v>6320</v>
      </c>
    </row>
    <row r="4894" spans="1:1" x14ac:dyDescent="0.2">
      <c r="A4894" s="13" t="s">
        <v>3077</v>
      </c>
    </row>
    <row r="4895" spans="1:1" x14ac:dyDescent="0.2">
      <c r="A4895" s="13" t="s">
        <v>2846</v>
      </c>
    </row>
    <row r="4896" spans="1:1" x14ac:dyDescent="0.2">
      <c r="A4896" s="13" t="s">
        <v>2797</v>
      </c>
    </row>
    <row r="4897" spans="1:1" x14ac:dyDescent="0.2">
      <c r="A4897" s="13" t="s">
        <v>3344</v>
      </c>
    </row>
    <row r="4898" spans="1:1" x14ac:dyDescent="0.2">
      <c r="A4898" s="13" t="s">
        <v>3396</v>
      </c>
    </row>
    <row r="4899" spans="1:1" x14ac:dyDescent="0.2">
      <c r="A4899" s="13" t="s">
        <v>6321</v>
      </c>
    </row>
    <row r="4900" spans="1:1" x14ac:dyDescent="0.2">
      <c r="A4900" s="13" t="s">
        <v>4102</v>
      </c>
    </row>
    <row r="4901" spans="1:1" x14ac:dyDescent="0.2">
      <c r="A4901" s="13" t="s">
        <v>1248</v>
      </c>
    </row>
    <row r="4902" spans="1:1" x14ac:dyDescent="0.2">
      <c r="A4902" s="13" t="s">
        <v>6322</v>
      </c>
    </row>
    <row r="4903" spans="1:1" x14ac:dyDescent="0.2">
      <c r="A4903" s="13" t="s">
        <v>6323</v>
      </c>
    </row>
    <row r="4904" spans="1:1" x14ac:dyDescent="0.2">
      <c r="A4904" s="13" t="s">
        <v>6324</v>
      </c>
    </row>
    <row r="4905" spans="1:1" x14ac:dyDescent="0.2">
      <c r="A4905" s="13" t="s">
        <v>6325</v>
      </c>
    </row>
    <row r="4906" spans="1:1" x14ac:dyDescent="0.2">
      <c r="A4906" s="13" t="s">
        <v>2704</v>
      </c>
    </row>
    <row r="4907" spans="1:1" x14ac:dyDescent="0.2">
      <c r="A4907" s="13" t="s">
        <v>3196</v>
      </c>
    </row>
    <row r="4908" spans="1:1" x14ac:dyDescent="0.2">
      <c r="A4908" s="13" t="s">
        <v>6326</v>
      </c>
    </row>
    <row r="4909" spans="1:1" x14ac:dyDescent="0.2">
      <c r="A4909" s="13" t="s">
        <v>404</v>
      </c>
    </row>
    <row r="4910" spans="1:1" x14ac:dyDescent="0.2">
      <c r="A4910" s="13" t="s">
        <v>863</v>
      </c>
    </row>
    <row r="4911" spans="1:1" x14ac:dyDescent="0.2">
      <c r="A4911" s="13" t="s">
        <v>2032</v>
      </c>
    </row>
    <row r="4912" spans="1:1" x14ac:dyDescent="0.2">
      <c r="A4912" s="13" t="s">
        <v>1573</v>
      </c>
    </row>
    <row r="4913" spans="1:1" x14ac:dyDescent="0.2">
      <c r="A4913" s="13" t="s">
        <v>987</v>
      </c>
    </row>
    <row r="4914" spans="1:1" x14ac:dyDescent="0.2">
      <c r="A4914" s="13" t="s">
        <v>3777</v>
      </c>
    </row>
    <row r="4915" spans="1:1" x14ac:dyDescent="0.2">
      <c r="A4915" s="13" t="s">
        <v>6327</v>
      </c>
    </row>
    <row r="4916" spans="1:1" x14ac:dyDescent="0.2">
      <c r="A4916" s="13" t="s">
        <v>1227</v>
      </c>
    </row>
    <row r="4917" spans="1:1" x14ac:dyDescent="0.2">
      <c r="A4917" s="13" t="s">
        <v>3086</v>
      </c>
    </row>
    <row r="4918" spans="1:1" x14ac:dyDescent="0.2">
      <c r="A4918" s="13" t="s">
        <v>6328</v>
      </c>
    </row>
    <row r="4919" spans="1:1" x14ac:dyDescent="0.2">
      <c r="A4919" s="13" t="s">
        <v>2486</v>
      </c>
    </row>
    <row r="4920" spans="1:1" x14ac:dyDescent="0.2">
      <c r="A4920" s="13" t="s">
        <v>533</v>
      </c>
    </row>
    <row r="4921" spans="1:1" x14ac:dyDescent="0.2">
      <c r="A4921" s="13" t="s">
        <v>6329</v>
      </c>
    </row>
    <row r="4922" spans="1:1" x14ac:dyDescent="0.2">
      <c r="A4922" s="13" t="s">
        <v>6330</v>
      </c>
    </row>
    <row r="4923" spans="1:1" x14ac:dyDescent="0.2">
      <c r="A4923" s="13" t="s">
        <v>6331</v>
      </c>
    </row>
    <row r="4924" spans="1:1" x14ac:dyDescent="0.2">
      <c r="A4924" s="13" t="s">
        <v>3565</v>
      </c>
    </row>
    <row r="4925" spans="1:1" x14ac:dyDescent="0.2">
      <c r="A4925" s="13" t="s">
        <v>2582</v>
      </c>
    </row>
    <row r="4926" spans="1:1" x14ac:dyDescent="0.2">
      <c r="A4926" s="13" t="s">
        <v>2301</v>
      </c>
    </row>
    <row r="4927" spans="1:1" x14ac:dyDescent="0.2">
      <c r="A4927" s="13" t="s">
        <v>6332</v>
      </c>
    </row>
    <row r="4928" spans="1:1" x14ac:dyDescent="0.2">
      <c r="A4928" s="13" t="s">
        <v>3729</v>
      </c>
    </row>
    <row r="4929" spans="1:1" x14ac:dyDescent="0.2">
      <c r="A4929" s="13" t="s">
        <v>6333</v>
      </c>
    </row>
    <row r="4930" spans="1:1" x14ac:dyDescent="0.2">
      <c r="A4930" s="13" t="s">
        <v>1205</v>
      </c>
    </row>
    <row r="4931" spans="1:1" x14ac:dyDescent="0.2">
      <c r="A4931" s="13" t="s">
        <v>1804</v>
      </c>
    </row>
    <row r="4932" spans="1:1" x14ac:dyDescent="0.2">
      <c r="A4932" s="13" t="s">
        <v>2081</v>
      </c>
    </row>
    <row r="4933" spans="1:1" x14ac:dyDescent="0.2">
      <c r="A4933" s="13" t="s">
        <v>3841</v>
      </c>
    </row>
    <row r="4934" spans="1:1" x14ac:dyDescent="0.2">
      <c r="A4934" s="13" t="s">
        <v>2312</v>
      </c>
    </row>
    <row r="4935" spans="1:1" x14ac:dyDescent="0.2">
      <c r="A4935" s="13" t="s">
        <v>2155</v>
      </c>
    </row>
    <row r="4936" spans="1:1" x14ac:dyDescent="0.2">
      <c r="A4936" s="13" t="s">
        <v>3914</v>
      </c>
    </row>
    <row r="4937" spans="1:1" x14ac:dyDescent="0.2">
      <c r="A4937" s="13" t="s">
        <v>3928</v>
      </c>
    </row>
    <row r="4938" spans="1:1" x14ac:dyDescent="0.2">
      <c r="A4938" s="13" t="s">
        <v>6334</v>
      </c>
    </row>
    <row r="4939" spans="1:1" x14ac:dyDescent="0.2">
      <c r="A4939" s="13" t="s">
        <v>6335</v>
      </c>
    </row>
    <row r="4940" spans="1:1" x14ac:dyDescent="0.2">
      <c r="A4940" s="13" t="s">
        <v>3515</v>
      </c>
    </row>
    <row r="4941" spans="1:1" x14ac:dyDescent="0.2">
      <c r="A4941" s="13" t="s">
        <v>6336</v>
      </c>
    </row>
    <row r="4942" spans="1:1" x14ac:dyDescent="0.2">
      <c r="A4942" s="13" t="s">
        <v>1993</v>
      </c>
    </row>
    <row r="4943" spans="1:1" x14ac:dyDescent="0.2">
      <c r="A4943" s="13" t="s">
        <v>3689</v>
      </c>
    </row>
    <row r="4944" spans="1:1" x14ac:dyDescent="0.2">
      <c r="A4944" s="13" t="s">
        <v>3030</v>
      </c>
    </row>
    <row r="4945" spans="1:1" x14ac:dyDescent="0.2">
      <c r="A4945" s="13" t="s">
        <v>861</v>
      </c>
    </row>
    <row r="4946" spans="1:1" x14ac:dyDescent="0.2">
      <c r="A4946" s="13" t="s">
        <v>3774</v>
      </c>
    </row>
    <row r="4947" spans="1:1" x14ac:dyDescent="0.2">
      <c r="A4947" s="13" t="s">
        <v>1823</v>
      </c>
    </row>
    <row r="4948" spans="1:1" x14ac:dyDescent="0.2">
      <c r="A4948" s="13" t="s">
        <v>6337</v>
      </c>
    </row>
    <row r="4949" spans="1:1" x14ac:dyDescent="0.2">
      <c r="A4949" s="13" t="s">
        <v>6338</v>
      </c>
    </row>
    <row r="4950" spans="1:1" x14ac:dyDescent="0.2">
      <c r="A4950" s="13" t="s">
        <v>3742</v>
      </c>
    </row>
    <row r="4951" spans="1:1" x14ac:dyDescent="0.2">
      <c r="A4951" s="13" t="s">
        <v>3821</v>
      </c>
    </row>
    <row r="4952" spans="1:1" x14ac:dyDescent="0.2">
      <c r="A4952" s="13" t="s">
        <v>2854</v>
      </c>
    </row>
    <row r="4953" spans="1:1" x14ac:dyDescent="0.2">
      <c r="A4953" s="13" t="s">
        <v>3538</v>
      </c>
    </row>
    <row r="4954" spans="1:1" x14ac:dyDescent="0.2">
      <c r="A4954" s="13" t="s">
        <v>1888</v>
      </c>
    </row>
    <row r="4955" spans="1:1" x14ac:dyDescent="0.2">
      <c r="A4955" s="13" t="s">
        <v>6339</v>
      </c>
    </row>
    <row r="4956" spans="1:1" x14ac:dyDescent="0.2">
      <c r="A4956" s="13" t="s">
        <v>2548</v>
      </c>
    </row>
    <row r="4957" spans="1:1" x14ac:dyDescent="0.2">
      <c r="A4957" s="13" t="s">
        <v>512</v>
      </c>
    </row>
    <row r="4958" spans="1:1" x14ac:dyDescent="0.2">
      <c r="A4958" s="13" t="s">
        <v>3243</v>
      </c>
    </row>
    <row r="4959" spans="1:1" x14ac:dyDescent="0.2">
      <c r="A4959" s="13" t="s">
        <v>6340</v>
      </c>
    </row>
    <row r="4960" spans="1:1" x14ac:dyDescent="0.2">
      <c r="A4960" s="13" t="s">
        <v>6341</v>
      </c>
    </row>
    <row r="4961" spans="1:1" x14ac:dyDescent="0.2">
      <c r="A4961" s="13" t="s">
        <v>6342</v>
      </c>
    </row>
    <row r="4962" spans="1:1" x14ac:dyDescent="0.2">
      <c r="A4962" s="13" t="s">
        <v>638</v>
      </c>
    </row>
    <row r="4963" spans="1:1" x14ac:dyDescent="0.2">
      <c r="A4963" s="13" t="s">
        <v>1252</v>
      </c>
    </row>
    <row r="4964" spans="1:1" x14ac:dyDescent="0.2">
      <c r="A4964" s="13" t="s">
        <v>3380</v>
      </c>
    </row>
    <row r="4965" spans="1:1" x14ac:dyDescent="0.2">
      <c r="A4965" s="13" t="s">
        <v>3080</v>
      </c>
    </row>
    <row r="4966" spans="1:1" x14ac:dyDescent="0.2">
      <c r="A4966" s="13" t="s">
        <v>1840</v>
      </c>
    </row>
    <row r="4967" spans="1:1" x14ac:dyDescent="0.2">
      <c r="A4967" s="13" t="s">
        <v>3047</v>
      </c>
    </row>
    <row r="4968" spans="1:1" x14ac:dyDescent="0.2">
      <c r="A4968" s="13" t="s">
        <v>6343</v>
      </c>
    </row>
    <row r="4969" spans="1:1" x14ac:dyDescent="0.2">
      <c r="A4969" s="13" t="s">
        <v>3616</v>
      </c>
    </row>
    <row r="4970" spans="1:1" x14ac:dyDescent="0.2">
      <c r="A4970" s="13" t="s">
        <v>6344</v>
      </c>
    </row>
    <row r="4971" spans="1:1" x14ac:dyDescent="0.2">
      <c r="A4971" s="13" t="s">
        <v>919</v>
      </c>
    </row>
    <row r="4972" spans="1:1" x14ac:dyDescent="0.2">
      <c r="A4972" s="13" t="s">
        <v>6345</v>
      </c>
    </row>
    <row r="4973" spans="1:1" x14ac:dyDescent="0.2">
      <c r="A4973" s="13" t="s">
        <v>222</v>
      </c>
    </row>
    <row r="4974" spans="1:1" x14ac:dyDescent="0.2">
      <c r="A4974" s="13" t="s">
        <v>472</v>
      </c>
    </row>
    <row r="4975" spans="1:1" x14ac:dyDescent="0.2">
      <c r="A4975" s="13" t="s">
        <v>2471</v>
      </c>
    </row>
    <row r="4976" spans="1:1" x14ac:dyDescent="0.2">
      <c r="A4976" s="13" t="s">
        <v>2718</v>
      </c>
    </row>
    <row r="4977" spans="1:1" x14ac:dyDescent="0.2">
      <c r="A4977" s="13" t="s">
        <v>437</v>
      </c>
    </row>
    <row r="4978" spans="1:1" x14ac:dyDescent="0.2">
      <c r="A4978" s="13" t="s">
        <v>619</v>
      </c>
    </row>
    <row r="4979" spans="1:1" x14ac:dyDescent="0.2">
      <c r="A4979" s="13" t="s">
        <v>6346</v>
      </c>
    </row>
    <row r="4980" spans="1:1" x14ac:dyDescent="0.2">
      <c r="A4980" s="13" t="s">
        <v>6347</v>
      </c>
    </row>
    <row r="4981" spans="1:1" x14ac:dyDescent="0.2">
      <c r="A4981" s="13" t="s">
        <v>1113</v>
      </c>
    </row>
    <row r="4982" spans="1:1" x14ac:dyDescent="0.2">
      <c r="A4982" s="13" t="s">
        <v>4096</v>
      </c>
    </row>
    <row r="4983" spans="1:1" x14ac:dyDescent="0.2">
      <c r="A4983" s="13" t="s">
        <v>2400</v>
      </c>
    </row>
    <row r="4984" spans="1:1" x14ac:dyDescent="0.2">
      <c r="A4984" s="13" t="s">
        <v>6348</v>
      </c>
    </row>
    <row r="4985" spans="1:1" x14ac:dyDescent="0.2">
      <c r="A4985" s="13" t="s">
        <v>802</v>
      </c>
    </row>
    <row r="4986" spans="1:1" x14ac:dyDescent="0.2">
      <c r="A4986" s="13" t="s">
        <v>744</v>
      </c>
    </row>
    <row r="4987" spans="1:1" x14ac:dyDescent="0.2">
      <c r="A4987" s="13" t="s">
        <v>3285</v>
      </c>
    </row>
    <row r="4988" spans="1:1" x14ac:dyDescent="0.2">
      <c r="A4988" s="13" t="s">
        <v>917</v>
      </c>
    </row>
    <row r="4989" spans="1:1" x14ac:dyDescent="0.2">
      <c r="A4989" s="13" t="s">
        <v>3365</v>
      </c>
    </row>
    <row r="4990" spans="1:1" x14ac:dyDescent="0.2">
      <c r="A4990" s="13" t="s">
        <v>6349</v>
      </c>
    </row>
    <row r="4991" spans="1:1" x14ac:dyDescent="0.2">
      <c r="A4991" s="13" t="s">
        <v>1710</v>
      </c>
    </row>
    <row r="4992" spans="1:1" x14ac:dyDescent="0.2">
      <c r="A4992" s="13" t="s">
        <v>992</v>
      </c>
    </row>
    <row r="4993" spans="1:1" x14ac:dyDescent="0.2">
      <c r="A4993" s="13" t="s">
        <v>1679</v>
      </c>
    </row>
    <row r="4994" spans="1:1" x14ac:dyDescent="0.2">
      <c r="A4994" s="13" t="s">
        <v>4119</v>
      </c>
    </row>
    <row r="4995" spans="1:1" x14ac:dyDescent="0.2">
      <c r="A4995" s="13" t="s">
        <v>1262</v>
      </c>
    </row>
    <row r="4996" spans="1:1" x14ac:dyDescent="0.2">
      <c r="A4996" s="13" t="s">
        <v>1040</v>
      </c>
    </row>
    <row r="4997" spans="1:1" x14ac:dyDescent="0.2">
      <c r="A4997" s="13" t="s">
        <v>653</v>
      </c>
    </row>
    <row r="4998" spans="1:1" x14ac:dyDescent="0.2">
      <c r="A4998" s="13" t="s">
        <v>2223</v>
      </c>
    </row>
    <row r="4999" spans="1:1" x14ac:dyDescent="0.2">
      <c r="A4999" s="13" t="s">
        <v>6350</v>
      </c>
    </row>
    <row r="5000" spans="1:1" x14ac:dyDescent="0.2">
      <c r="A5000" s="13" t="s">
        <v>591</v>
      </c>
    </row>
    <row r="5001" spans="1:1" x14ac:dyDescent="0.2">
      <c r="A5001" s="13" t="s">
        <v>1671</v>
      </c>
    </row>
    <row r="5002" spans="1:1" x14ac:dyDescent="0.2">
      <c r="A5002" s="13" t="s">
        <v>3427</v>
      </c>
    </row>
    <row r="5003" spans="1:1" x14ac:dyDescent="0.2">
      <c r="A5003" s="13" t="s">
        <v>6351</v>
      </c>
    </row>
    <row r="5004" spans="1:1" x14ac:dyDescent="0.2">
      <c r="A5004" s="13" t="s">
        <v>4145</v>
      </c>
    </row>
    <row r="5005" spans="1:1" x14ac:dyDescent="0.2">
      <c r="A5005" s="13" t="s">
        <v>3123</v>
      </c>
    </row>
    <row r="5006" spans="1:1" x14ac:dyDescent="0.2">
      <c r="A5006" s="13" t="s">
        <v>862</v>
      </c>
    </row>
    <row r="5007" spans="1:1" x14ac:dyDescent="0.2">
      <c r="A5007" s="13" t="s">
        <v>1079</v>
      </c>
    </row>
    <row r="5008" spans="1:1" x14ac:dyDescent="0.2">
      <c r="A5008" s="13" t="s">
        <v>3802</v>
      </c>
    </row>
    <row r="5009" spans="1:1" x14ac:dyDescent="0.2">
      <c r="A5009" s="13" t="s">
        <v>2015</v>
      </c>
    </row>
    <row r="5010" spans="1:1" x14ac:dyDescent="0.2">
      <c r="A5010" s="13" t="s">
        <v>6352</v>
      </c>
    </row>
    <row r="5011" spans="1:1" x14ac:dyDescent="0.2">
      <c r="A5011" s="13" t="s">
        <v>1548</v>
      </c>
    </row>
    <row r="5012" spans="1:1" x14ac:dyDescent="0.2">
      <c r="A5012" s="13" t="s">
        <v>2865</v>
      </c>
    </row>
    <row r="5013" spans="1:1" x14ac:dyDescent="0.2">
      <c r="A5013" s="13" t="s">
        <v>651</v>
      </c>
    </row>
    <row r="5014" spans="1:1" x14ac:dyDescent="0.2">
      <c r="A5014" s="13" t="s">
        <v>2581</v>
      </c>
    </row>
    <row r="5015" spans="1:1" x14ac:dyDescent="0.2">
      <c r="A5015" s="13" t="s">
        <v>6353</v>
      </c>
    </row>
    <row r="5016" spans="1:1" x14ac:dyDescent="0.2">
      <c r="A5016" s="13" t="s">
        <v>1291</v>
      </c>
    </row>
    <row r="5017" spans="1:1" x14ac:dyDescent="0.2">
      <c r="A5017" s="13" t="s">
        <v>1807</v>
      </c>
    </row>
    <row r="5018" spans="1:1" x14ac:dyDescent="0.2">
      <c r="A5018" s="13" t="s">
        <v>6354</v>
      </c>
    </row>
    <row r="5019" spans="1:1" x14ac:dyDescent="0.2">
      <c r="A5019" s="13" t="s">
        <v>2468</v>
      </c>
    </row>
    <row r="5020" spans="1:1" x14ac:dyDescent="0.2">
      <c r="A5020" s="13" t="s">
        <v>2300</v>
      </c>
    </row>
    <row r="5021" spans="1:1" x14ac:dyDescent="0.2">
      <c r="A5021" s="13" t="s">
        <v>2309</v>
      </c>
    </row>
    <row r="5022" spans="1:1" x14ac:dyDescent="0.2">
      <c r="A5022" s="13" t="s">
        <v>6355</v>
      </c>
    </row>
    <row r="5023" spans="1:1" x14ac:dyDescent="0.2">
      <c r="A5023" s="13" t="s">
        <v>2254</v>
      </c>
    </row>
    <row r="5024" spans="1:1" x14ac:dyDescent="0.2">
      <c r="A5024" s="13" t="s">
        <v>2141</v>
      </c>
    </row>
    <row r="5025" spans="1:1" x14ac:dyDescent="0.2">
      <c r="A5025" s="13" t="s">
        <v>2852</v>
      </c>
    </row>
    <row r="5026" spans="1:1" x14ac:dyDescent="0.2">
      <c r="A5026" s="13" t="s">
        <v>3412</v>
      </c>
    </row>
    <row r="5027" spans="1:1" x14ac:dyDescent="0.2">
      <c r="A5027" s="13" t="s">
        <v>1055</v>
      </c>
    </row>
    <row r="5028" spans="1:1" x14ac:dyDescent="0.2">
      <c r="A5028" s="13" t="s">
        <v>1853</v>
      </c>
    </row>
    <row r="5029" spans="1:1" x14ac:dyDescent="0.2">
      <c r="A5029" s="13" t="s">
        <v>6356</v>
      </c>
    </row>
    <row r="5030" spans="1:1" x14ac:dyDescent="0.2">
      <c r="A5030" s="13" t="s">
        <v>2615</v>
      </c>
    </row>
    <row r="5031" spans="1:1" x14ac:dyDescent="0.2">
      <c r="A5031" s="13" t="s">
        <v>6357</v>
      </c>
    </row>
    <row r="5032" spans="1:1" x14ac:dyDescent="0.2">
      <c r="A5032" s="13" t="s">
        <v>3445</v>
      </c>
    </row>
    <row r="5033" spans="1:1" x14ac:dyDescent="0.2">
      <c r="A5033" s="13" t="s">
        <v>3594</v>
      </c>
    </row>
    <row r="5034" spans="1:1" x14ac:dyDescent="0.2">
      <c r="A5034" s="13" t="s">
        <v>3548</v>
      </c>
    </row>
    <row r="5035" spans="1:1" x14ac:dyDescent="0.2">
      <c r="A5035" s="13" t="s">
        <v>3604</v>
      </c>
    </row>
    <row r="5036" spans="1:1" x14ac:dyDescent="0.2">
      <c r="A5036" s="13" t="s">
        <v>3529</v>
      </c>
    </row>
    <row r="5037" spans="1:1" x14ac:dyDescent="0.2">
      <c r="A5037" s="13" t="s">
        <v>1979</v>
      </c>
    </row>
    <row r="5038" spans="1:1" x14ac:dyDescent="0.2">
      <c r="A5038" s="13" t="s">
        <v>1173</v>
      </c>
    </row>
    <row r="5039" spans="1:1" x14ac:dyDescent="0.2">
      <c r="A5039" s="13" t="s">
        <v>3235</v>
      </c>
    </row>
    <row r="5040" spans="1:1" x14ac:dyDescent="0.2">
      <c r="A5040" s="13" t="s">
        <v>6358</v>
      </c>
    </row>
    <row r="5041" spans="1:1" x14ac:dyDescent="0.2">
      <c r="A5041" s="13" t="s">
        <v>693</v>
      </c>
    </row>
    <row r="5042" spans="1:1" x14ac:dyDescent="0.2">
      <c r="A5042" s="13" t="s">
        <v>2979</v>
      </c>
    </row>
    <row r="5043" spans="1:1" x14ac:dyDescent="0.2">
      <c r="A5043" s="13" t="s">
        <v>1126</v>
      </c>
    </row>
    <row r="5044" spans="1:1" x14ac:dyDescent="0.2">
      <c r="A5044" s="13" t="s">
        <v>6359</v>
      </c>
    </row>
    <row r="5045" spans="1:1" x14ac:dyDescent="0.2">
      <c r="A5045" s="13" t="s">
        <v>2029</v>
      </c>
    </row>
    <row r="5046" spans="1:1" x14ac:dyDescent="0.2">
      <c r="A5046" s="13" t="s">
        <v>2902</v>
      </c>
    </row>
    <row r="5047" spans="1:1" x14ac:dyDescent="0.2">
      <c r="A5047" s="13" t="s">
        <v>6360</v>
      </c>
    </row>
    <row r="5048" spans="1:1" x14ac:dyDescent="0.2">
      <c r="A5048" s="13" t="s">
        <v>6361</v>
      </c>
    </row>
    <row r="5049" spans="1:1" x14ac:dyDescent="0.2">
      <c r="A5049" s="13" t="s">
        <v>6362</v>
      </c>
    </row>
    <row r="5050" spans="1:1" x14ac:dyDescent="0.2">
      <c r="A5050" s="13" t="s">
        <v>2184</v>
      </c>
    </row>
    <row r="5051" spans="1:1" x14ac:dyDescent="0.2">
      <c r="A5051" s="13" t="s">
        <v>6363</v>
      </c>
    </row>
    <row r="5052" spans="1:1" x14ac:dyDescent="0.2">
      <c r="A5052" s="13" t="s">
        <v>2429</v>
      </c>
    </row>
    <row r="5053" spans="1:1" x14ac:dyDescent="0.2">
      <c r="A5053" s="13" t="s">
        <v>2445</v>
      </c>
    </row>
    <row r="5054" spans="1:1" x14ac:dyDescent="0.2">
      <c r="A5054" s="13" t="s">
        <v>2123</v>
      </c>
    </row>
    <row r="5055" spans="1:1" x14ac:dyDescent="0.2">
      <c r="A5055" s="13" t="s">
        <v>1850</v>
      </c>
    </row>
    <row r="5056" spans="1:1" x14ac:dyDescent="0.2">
      <c r="A5056" s="13" t="s">
        <v>6364</v>
      </c>
    </row>
    <row r="5057" spans="1:1" x14ac:dyDescent="0.2">
      <c r="A5057" s="13" t="s">
        <v>1258</v>
      </c>
    </row>
    <row r="5058" spans="1:1" x14ac:dyDescent="0.2">
      <c r="A5058" s="13" t="s">
        <v>2827</v>
      </c>
    </row>
    <row r="5059" spans="1:1" x14ac:dyDescent="0.2">
      <c r="A5059" s="13" t="s">
        <v>6365</v>
      </c>
    </row>
    <row r="5060" spans="1:1" x14ac:dyDescent="0.2">
      <c r="A5060" s="13" t="s">
        <v>2338</v>
      </c>
    </row>
    <row r="5061" spans="1:1" x14ac:dyDescent="0.2">
      <c r="A5061" s="13" t="s">
        <v>2571</v>
      </c>
    </row>
    <row r="5062" spans="1:1" x14ac:dyDescent="0.2">
      <c r="A5062" s="13" t="s">
        <v>3786</v>
      </c>
    </row>
    <row r="5063" spans="1:1" x14ac:dyDescent="0.2">
      <c r="A5063" s="13" t="s">
        <v>4001</v>
      </c>
    </row>
    <row r="5064" spans="1:1" x14ac:dyDescent="0.2">
      <c r="A5064" s="13" t="s">
        <v>3126</v>
      </c>
    </row>
    <row r="5065" spans="1:1" x14ac:dyDescent="0.2">
      <c r="A5065" s="13" t="s">
        <v>3222</v>
      </c>
    </row>
    <row r="5066" spans="1:1" x14ac:dyDescent="0.2">
      <c r="A5066" s="13" t="s">
        <v>1415</v>
      </c>
    </row>
    <row r="5067" spans="1:1" x14ac:dyDescent="0.2">
      <c r="A5067" s="13" t="s">
        <v>6366</v>
      </c>
    </row>
    <row r="5068" spans="1:1" x14ac:dyDescent="0.2">
      <c r="A5068" s="13" t="s">
        <v>3659</v>
      </c>
    </row>
    <row r="5069" spans="1:1" x14ac:dyDescent="0.2">
      <c r="A5069" s="13" t="s">
        <v>3439</v>
      </c>
    </row>
    <row r="5070" spans="1:1" x14ac:dyDescent="0.2">
      <c r="A5070" s="13" t="s">
        <v>1805</v>
      </c>
    </row>
    <row r="5071" spans="1:1" x14ac:dyDescent="0.2">
      <c r="A5071" s="13" t="s">
        <v>3141</v>
      </c>
    </row>
    <row r="5072" spans="1:1" x14ac:dyDescent="0.2">
      <c r="A5072" s="13" t="s">
        <v>2943</v>
      </c>
    </row>
    <row r="5073" spans="1:1" x14ac:dyDescent="0.2">
      <c r="A5073" s="13" t="s">
        <v>809</v>
      </c>
    </row>
    <row r="5074" spans="1:1" x14ac:dyDescent="0.2">
      <c r="A5074" s="13" t="s">
        <v>2904</v>
      </c>
    </row>
    <row r="5075" spans="1:1" x14ac:dyDescent="0.2">
      <c r="A5075" s="13" t="s">
        <v>3226</v>
      </c>
    </row>
    <row r="5076" spans="1:1" x14ac:dyDescent="0.2">
      <c r="A5076" s="13" t="s">
        <v>2396</v>
      </c>
    </row>
    <row r="5077" spans="1:1" x14ac:dyDescent="0.2">
      <c r="A5077" s="13" t="s">
        <v>3301</v>
      </c>
    </row>
    <row r="5078" spans="1:1" x14ac:dyDescent="0.2">
      <c r="A5078" s="13" t="s">
        <v>628</v>
      </c>
    </row>
    <row r="5079" spans="1:1" x14ac:dyDescent="0.2">
      <c r="A5079" s="13" t="s">
        <v>3902</v>
      </c>
    </row>
    <row r="5080" spans="1:1" x14ac:dyDescent="0.2">
      <c r="A5080" s="13" t="s">
        <v>6367</v>
      </c>
    </row>
    <row r="5081" spans="1:1" x14ac:dyDescent="0.2">
      <c r="A5081" s="13" t="s">
        <v>3713</v>
      </c>
    </row>
    <row r="5082" spans="1:1" x14ac:dyDescent="0.2">
      <c r="A5082" s="13" t="s">
        <v>2559</v>
      </c>
    </row>
    <row r="5083" spans="1:1" x14ac:dyDescent="0.2">
      <c r="A5083" s="13" t="s">
        <v>6368</v>
      </c>
    </row>
    <row r="5084" spans="1:1" x14ac:dyDescent="0.2">
      <c r="A5084" s="13" t="s">
        <v>1257</v>
      </c>
    </row>
    <row r="5085" spans="1:1" x14ac:dyDescent="0.2">
      <c r="A5085" s="13" t="s">
        <v>6369</v>
      </c>
    </row>
    <row r="5086" spans="1:1" x14ac:dyDescent="0.2">
      <c r="A5086" s="13" t="s">
        <v>3075</v>
      </c>
    </row>
    <row r="5087" spans="1:1" x14ac:dyDescent="0.2">
      <c r="A5087" s="13" t="s">
        <v>2676</v>
      </c>
    </row>
    <row r="5088" spans="1:1" x14ac:dyDescent="0.2">
      <c r="A5088" s="13" t="s">
        <v>2110</v>
      </c>
    </row>
    <row r="5089" spans="1:1" x14ac:dyDescent="0.2">
      <c r="A5089" s="13" t="s">
        <v>2989</v>
      </c>
    </row>
    <row r="5090" spans="1:1" x14ac:dyDescent="0.2">
      <c r="A5090" s="13" t="s">
        <v>3873</v>
      </c>
    </row>
    <row r="5091" spans="1:1" x14ac:dyDescent="0.2">
      <c r="A5091" s="13" t="s">
        <v>6370</v>
      </c>
    </row>
    <row r="5092" spans="1:1" x14ac:dyDescent="0.2">
      <c r="A5092" s="13" t="s">
        <v>2710</v>
      </c>
    </row>
    <row r="5093" spans="1:1" x14ac:dyDescent="0.2">
      <c r="A5093" s="13" t="s">
        <v>1174</v>
      </c>
    </row>
    <row r="5094" spans="1:1" x14ac:dyDescent="0.2">
      <c r="A5094" s="13" t="s">
        <v>3352</v>
      </c>
    </row>
    <row r="5095" spans="1:1" x14ac:dyDescent="0.2">
      <c r="A5095" s="13" t="s">
        <v>1270</v>
      </c>
    </row>
    <row r="5096" spans="1:1" x14ac:dyDescent="0.2">
      <c r="A5096" s="13" t="s">
        <v>3127</v>
      </c>
    </row>
    <row r="5097" spans="1:1" x14ac:dyDescent="0.2">
      <c r="A5097" s="13" t="s">
        <v>1651</v>
      </c>
    </row>
    <row r="5098" spans="1:1" x14ac:dyDescent="0.2">
      <c r="A5098" s="13" t="s">
        <v>6371</v>
      </c>
    </row>
    <row r="5099" spans="1:1" x14ac:dyDescent="0.2">
      <c r="A5099" s="13" t="s">
        <v>3587</v>
      </c>
    </row>
    <row r="5100" spans="1:1" x14ac:dyDescent="0.2">
      <c r="A5100" s="13" t="s">
        <v>2798</v>
      </c>
    </row>
    <row r="5101" spans="1:1" x14ac:dyDescent="0.2">
      <c r="A5101" s="13" t="s">
        <v>6372</v>
      </c>
    </row>
    <row r="5102" spans="1:1" x14ac:dyDescent="0.2">
      <c r="A5102" s="13" t="s">
        <v>6373</v>
      </c>
    </row>
    <row r="5103" spans="1:1" x14ac:dyDescent="0.2">
      <c r="A5103" s="13" t="s">
        <v>3716</v>
      </c>
    </row>
    <row r="5104" spans="1:1" x14ac:dyDescent="0.2">
      <c r="A5104" s="13" t="s">
        <v>3333</v>
      </c>
    </row>
    <row r="5105" spans="1:1" x14ac:dyDescent="0.2">
      <c r="A5105" s="13" t="s">
        <v>2978</v>
      </c>
    </row>
    <row r="5106" spans="1:1" x14ac:dyDescent="0.2">
      <c r="A5106" s="13" t="s">
        <v>1182</v>
      </c>
    </row>
    <row r="5107" spans="1:1" x14ac:dyDescent="0.2">
      <c r="A5107" s="13" t="s">
        <v>6374</v>
      </c>
    </row>
    <row r="5108" spans="1:1" x14ac:dyDescent="0.2">
      <c r="A5108" s="13" t="s">
        <v>6375</v>
      </c>
    </row>
    <row r="5109" spans="1:1" x14ac:dyDescent="0.2">
      <c r="A5109" s="13" t="s">
        <v>1978</v>
      </c>
    </row>
    <row r="5110" spans="1:1" x14ac:dyDescent="0.2">
      <c r="A5110" s="13" t="s">
        <v>2836</v>
      </c>
    </row>
    <row r="5111" spans="1:1" x14ac:dyDescent="0.2">
      <c r="A5111" s="13" t="s">
        <v>6376</v>
      </c>
    </row>
    <row r="5112" spans="1:1" x14ac:dyDescent="0.2">
      <c r="A5112" s="13" t="s">
        <v>6377</v>
      </c>
    </row>
    <row r="5113" spans="1:1" x14ac:dyDescent="0.2">
      <c r="A5113" s="13" t="s">
        <v>6378</v>
      </c>
    </row>
    <row r="5114" spans="1:1" x14ac:dyDescent="0.2">
      <c r="A5114" s="13" t="s">
        <v>2394</v>
      </c>
    </row>
    <row r="5115" spans="1:1" x14ac:dyDescent="0.2">
      <c r="A5115" s="13" t="s">
        <v>6379</v>
      </c>
    </row>
    <row r="5116" spans="1:1" x14ac:dyDescent="0.2">
      <c r="A5116" s="13" t="s">
        <v>3189</v>
      </c>
    </row>
    <row r="5117" spans="1:1" x14ac:dyDescent="0.2">
      <c r="A5117" s="13" t="s">
        <v>3130</v>
      </c>
    </row>
    <row r="5118" spans="1:1" x14ac:dyDescent="0.2">
      <c r="A5118" s="13" t="s">
        <v>6380</v>
      </c>
    </row>
    <row r="5119" spans="1:1" x14ac:dyDescent="0.2">
      <c r="A5119" s="13" t="s">
        <v>2344</v>
      </c>
    </row>
    <row r="5120" spans="1:1" x14ac:dyDescent="0.2">
      <c r="A5120" s="13" t="s">
        <v>3595</v>
      </c>
    </row>
    <row r="5121" spans="1:1" x14ac:dyDescent="0.2">
      <c r="A5121" s="13" t="s">
        <v>2714</v>
      </c>
    </row>
    <row r="5122" spans="1:1" x14ac:dyDescent="0.2">
      <c r="A5122" s="13" t="s">
        <v>2555</v>
      </c>
    </row>
    <row r="5123" spans="1:1" x14ac:dyDescent="0.2">
      <c r="A5123" s="13" t="s">
        <v>6381</v>
      </c>
    </row>
    <row r="5124" spans="1:1" x14ac:dyDescent="0.2">
      <c r="A5124" s="13" t="s">
        <v>2285</v>
      </c>
    </row>
    <row r="5125" spans="1:1" x14ac:dyDescent="0.2">
      <c r="A5125" s="13" t="s">
        <v>2140</v>
      </c>
    </row>
    <row r="5126" spans="1:1" x14ac:dyDescent="0.2">
      <c r="A5126" s="13" t="s">
        <v>6382</v>
      </c>
    </row>
    <row r="5127" spans="1:1" x14ac:dyDescent="0.2">
      <c r="A5127" s="13" t="s">
        <v>6383</v>
      </c>
    </row>
    <row r="5128" spans="1:1" x14ac:dyDescent="0.2">
      <c r="A5128" s="13" t="s">
        <v>1971</v>
      </c>
    </row>
    <row r="5129" spans="1:1" x14ac:dyDescent="0.2">
      <c r="A5129" s="13" t="s">
        <v>3232</v>
      </c>
    </row>
    <row r="5130" spans="1:1" x14ac:dyDescent="0.2">
      <c r="A5130" s="13" t="s">
        <v>4047</v>
      </c>
    </row>
    <row r="5131" spans="1:1" x14ac:dyDescent="0.2">
      <c r="A5131" s="13" t="s">
        <v>2968</v>
      </c>
    </row>
    <row r="5132" spans="1:1" x14ac:dyDescent="0.2">
      <c r="A5132" s="13" t="s">
        <v>3465</v>
      </c>
    </row>
    <row r="5133" spans="1:1" x14ac:dyDescent="0.2">
      <c r="A5133" s="13" t="s">
        <v>3963</v>
      </c>
    </row>
    <row r="5134" spans="1:1" x14ac:dyDescent="0.2">
      <c r="A5134" s="13" t="s">
        <v>3896</v>
      </c>
    </row>
    <row r="5135" spans="1:1" x14ac:dyDescent="0.2">
      <c r="A5135" s="13" t="s">
        <v>2569</v>
      </c>
    </row>
    <row r="5136" spans="1:1" x14ac:dyDescent="0.2">
      <c r="A5136" s="13" t="s">
        <v>6384</v>
      </c>
    </row>
    <row r="5137" spans="1:1" x14ac:dyDescent="0.2">
      <c r="A5137" s="13" t="s">
        <v>6385</v>
      </c>
    </row>
    <row r="5138" spans="1:1" x14ac:dyDescent="0.2">
      <c r="A5138" s="13" t="s">
        <v>2121</v>
      </c>
    </row>
    <row r="5139" spans="1:1" x14ac:dyDescent="0.2">
      <c r="A5139" s="13" t="s">
        <v>2594</v>
      </c>
    </row>
    <row r="5140" spans="1:1" x14ac:dyDescent="0.2">
      <c r="A5140" s="13" t="s">
        <v>3408</v>
      </c>
    </row>
    <row r="5141" spans="1:1" x14ac:dyDescent="0.2">
      <c r="A5141" s="13" t="s">
        <v>1219</v>
      </c>
    </row>
    <row r="5142" spans="1:1" x14ac:dyDescent="0.2">
      <c r="A5142" s="13" t="s">
        <v>6386</v>
      </c>
    </row>
    <row r="5143" spans="1:1" x14ac:dyDescent="0.2">
      <c r="A5143" s="13" t="s">
        <v>4012</v>
      </c>
    </row>
    <row r="5144" spans="1:1" x14ac:dyDescent="0.2">
      <c r="A5144" s="13" t="s">
        <v>6387</v>
      </c>
    </row>
    <row r="5145" spans="1:1" x14ac:dyDescent="0.2">
      <c r="A5145" s="13" t="s">
        <v>2872</v>
      </c>
    </row>
    <row r="5146" spans="1:1" x14ac:dyDescent="0.2">
      <c r="A5146" s="13" t="s">
        <v>3933</v>
      </c>
    </row>
    <row r="5147" spans="1:1" x14ac:dyDescent="0.2">
      <c r="A5147" s="13" t="s">
        <v>6388</v>
      </c>
    </row>
    <row r="5148" spans="1:1" x14ac:dyDescent="0.2">
      <c r="A5148" s="13" t="s">
        <v>3415</v>
      </c>
    </row>
    <row r="5149" spans="1:1" x14ac:dyDescent="0.2">
      <c r="A5149" s="13" t="s">
        <v>3424</v>
      </c>
    </row>
    <row r="5150" spans="1:1" x14ac:dyDescent="0.2">
      <c r="A5150" s="13" t="s">
        <v>3264</v>
      </c>
    </row>
    <row r="5151" spans="1:1" x14ac:dyDescent="0.2">
      <c r="A5151" s="13" t="s">
        <v>6389</v>
      </c>
    </row>
    <row r="5152" spans="1:1" x14ac:dyDescent="0.2">
      <c r="A5152" s="13" t="s">
        <v>6390</v>
      </c>
    </row>
    <row r="5153" spans="1:1" x14ac:dyDescent="0.2">
      <c r="A5153" s="13" t="s">
        <v>2283</v>
      </c>
    </row>
    <row r="5154" spans="1:1" x14ac:dyDescent="0.2">
      <c r="A5154" s="13" t="s">
        <v>3361</v>
      </c>
    </row>
    <row r="5155" spans="1:1" x14ac:dyDescent="0.2">
      <c r="A5155" s="13" t="s">
        <v>3905</v>
      </c>
    </row>
    <row r="5156" spans="1:1" x14ac:dyDescent="0.2">
      <c r="A5156" s="13" t="s">
        <v>6391</v>
      </c>
    </row>
    <row r="5157" spans="1:1" x14ac:dyDescent="0.2">
      <c r="A5157" s="13" t="s">
        <v>3471</v>
      </c>
    </row>
    <row r="5158" spans="1:1" x14ac:dyDescent="0.2">
      <c r="A5158" s="13" t="s">
        <v>2524</v>
      </c>
    </row>
    <row r="5159" spans="1:1" x14ac:dyDescent="0.2">
      <c r="A5159" s="13" t="s">
        <v>1366</v>
      </c>
    </row>
    <row r="5160" spans="1:1" x14ac:dyDescent="0.2">
      <c r="A5160" s="13" t="s">
        <v>6392</v>
      </c>
    </row>
    <row r="5161" spans="1:1" x14ac:dyDescent="0.2">
      <c r="A5161" s="13" t="s">
        <v>897</v>
      </c>
    </row>
    <row r="5162" spans="1:1" x14ac:dyDescent="0.2">
      <c r="A5162" s="13" t="s">
        <v>2855</v>
      </c>
    </row>
    <row r="5163" spans="1:1" x14ac:dyDescent="0.2">
      <c r="A5163" s="13" t="s">
        <v>6393</v>
      </c>
    </row>
    <row r="5164" spans="1:1" x14ac:dyDescent="0.2">
      <c r="A5164" s="13" t="s">
        <v>1519</v>
      </c>
    </row>
    <row r="5165" spans="1:1" x14ac:dyDescent="0.2">
      <c r="A5165" s="13" t="s">
        <v>3322</v>
      </c>
    </row>
    <row r="5166" spans="1:1" x14ac:dyDescent="0.2">
      <c r="A5166" s="13" t="s">
        <v>1585</v>
      </c>
    </row>
    <row r="5167" spans="1:1" x14ac:dyDescent="0.2">
      <c r="A5167" s="13" t="s">
        <v>1688</v>
      </c>
    </row>
    <row r="5168" spans="1:1" x14ac:dyDescent="0.2">
      <c r="A5168" s="13" t="s">
        <v>6394</v>
      </c>
    </row>
    <row r="5169" spans="1:1" x14ac:dyDescent="0.2">
      <c r="A5169" s="13" t="s">
        <v>4045</v>
      </c>
    </row>
    <row r="5170" spans="1:1" x14ac:dyDescent="0.2">
      <c r="A5170" s="13" t="s">
        <v>6395</v>
      </c>
    </row>
    <row r="5171" spans="1:1" x14ac:dyDescent="0.2">
      <c r="A5171" s="13" t="s">
        <v>6396</v>
      </c>
    </row>
    <row r="5172" spans="1:1" x14ac:dyDescent="0.2">
      <c r="A5172" s="13" t="s">
        <v>3812</v>
      </c>
    </row>
    <row r="5173" spans="1:1" x14ac:dyDescent="0.2">
      <c r="A5173" s="13" t="s">
        <v>3497</v>
      </c>
    </row>
    <row r="5174" spans="1:1" x14ac:dyDescent="0.2">
      <c r="A5174" s="13" t="s">
        <v>1122</v>
      </c>
    </row>
    <row r="5175" spans="1:1" x14ac:dyDescent="0.2">
      <c r="A5175" s="13" t="s">
        <v>4127</v>
      </c>
    </row>
    <row r="5176" spans="1:1" x14ac:dyDescent="0.2">
      <c r="A5176" s="13" t="s">
        <v>1459</v>
      </c>
    </row>
    <row r="5177" spans="1:1" x14ac:dyDescent="0.2">
      <c r="A5177" s="13" t="s">
        <v>3205</v>
      </c>
    </row>
    <row r="5178" spans="1:1" x14ac:dyDescent="0.2">
      <c r="A5178" s="13" t="s">
        <v>3691</v>
      </c>
    </row>
    <row r="5179" spans="1:1" x14ac:dyDescent="0.2">
      <c r="A5179" s="13" t="s">
        <v>6397</v>
      </c>
    </row>
    <row r="5180" spans="1:1" x14ac:dyDescent="0.2">
      <c r="A5180" s="13" t="s">
        <v>1932</v>
      </c>
    </row>
    <row r="5181" spans="1:1" x14ac:dyDescent="0.2">
      <c r="A5181" s="13" t="s">
        <v>477</v>
      </c>
    </row>
    <row r="5182" spans="1:1" x14ac:dyDescent="0.2">
      <c r="A5182" s="13" t="s">
        <v>1711</v>
      </c>
    </row>
    <row r="5183" spans="1:1" x14ac:dyDescent="0.2">
      <c r="A5183" s="13" t="s">
        <v>6398</v>
      </c>
    </row>
    <row r="5184" spans="1:1" x14ac:dyDescent="0.2">
      <c r="A5184" s="13" t="s">
        <v>2886</v>
      </c>
    </row>
    <row r="5185" spans="1:1" x14ac:dyDescent="0.2">
      <c r="A5185" s="13" t="s">
        <v>6399</v>
      </c>
    </row>
    <row r="5186" spans="1:1" x14ac:dyDescent="0.2">
      <c r="A5186" s="13" t="s">
        <v>1185</v>
      </c>
    </row>
    <row r="5187" spans="1:1" x14ac:dyDescent="0.2">
      <c r="A5187" s="13" t="s">
        <v>3640</v>
      </c>
    </row>
    <row r="5188" spans="1:1" x14ac:dyDescent="0.2">
      <c r="A5188" s="13" t="s">
        <v>2003</v>
      </c>
    </row>
    <row r="5189" spans="1:1" x14ac:dyDescent="0.2">
      <c r="A5189" s="13" t="s">
        <v>3655</v>
      </c>
    </row>
    <row r="5190" spans="1:1" x14ac:dyDescent="0.2">
      <c r="A5190" s="13" t="s">
        <v>6400</v>
      </c>
    </row>
    <row r="5191" spans="1:1" x14ac:dyDescent="0.2">
      <c r="A5191" s="13" t="s">
        <v>2617</v>
      </c>
    </row>
    <row r="5192" spans="1:1" x14ac:dyDescent="0.2">
      <c r="A5192" s="13" t="s">
        <v>6401</v>
      </c>
    </row>
    <row r="5193" spans="1:1" x14ac:dyDescent="0.2">
      <c r="A5193" s="13" t="s">
        <v>6402</v>
      </c>
    </row>
    <row r="5194" spans="1:1" x14ac:dyDescent="0.2">
      <c r="A5194" s="13" t="s">
        <v>6403</v>
      </c>
    </row>
    <row r="5195" spans="1:1" x14ac:dyDescent="0.2">
      <c r="A5195" s="13" t="s">
        <v>6404</v>
      </c>
    </row>
    <row r="5196" spans="1:1" x14ac:dyDescent="0.2">
      <c r="A5196" s="13" t="s">
        <v>6405</v>
      </c>
    </row>
    <row r="5197" spans="1:1" x14ac:dyDescent="0.2">
      <c r="A5197" s="13" t="s">
        <v>1448</v>
      </c>
    </row>
    <row r="5198" spans="1:1" x14ac:dyDescent="0.2">
      <c r="A5198" s="13" t="s">
        <v>2201</v>
      </c>
    </row>
    <row r="5199" spans="1:1" x14ac:dyDescent="0.2">
      <c r="A5199" s="13" t="s">
        <v>2434</v>
      </c>
    </row>
    <row r="5200" spans="1:1" x14ac:dyDescent="0.2">
      <c r="A5200" s="13" t="s">
        <v>658</v>
      </c>
    </row>
    <row r="5201" spans="1:1" x14ac:dyDescent="0.2">
      <c r="A5201" s="13" t="s">
        <v>6406</v>
      </c>
    </row>
    <row r="5202" spans="1:1" x14ac:dyDescent="0.2">
      <c r="A5202" s="13" t="s">
        <v>3894</v>
      </c>
    </row>
    <row r="5203" spans="1:1" x14ac:dyDescent="0.2">
      <c r="A5203" s="13" t="s">
        <v>1213</v>
      </c>
    </row>
    <row r="5204" spans="1:1" x14ac:dyDescent="0.2">
      <c r="A5204" s="13" t="s">
        <v>2023</v>
      </c>
    </row>
    <row r="5205" spans="1:1" x14ac:dyDescent="0.2">
      <c r="A5205" s="13" t="s">
        <v>607</v>
      </c>
    </row>
    <row r="5206" spans="1:1" x14ac:dyDescent="0.2">
      <c r="A5206" s="13" t="s">
        <v>1749</v>
      </c>
    </row>
    <row r="5207" spans="1:1" x14ac:dyDescent="0.2">
      <c r="A5207" s="13" t="s">
        <v>6407</v>
      </c>
    </row>
    <row r="5208" spans="1:1" x14ac:dyDescent="0.2">
      <c r="A5208" s="13" t="s">
        <v>1977</v>
      </c>
    </row>
    <row r="5209" spans="1:1" x14ac:dyDescent="0.2">
      <c r="A5209" s="13" t="s">
        <v>2401</v>
      </c>
    </row>
    <row r="5210" spans="1:1" x14ac:dyDescent="0.2">
      <c r="A5210" s="13" t="s">
        <v>6408</v>
      </c>
    </row>
    <row r="5211" spans="1:1" x14ac:dyDescent="0.2">
      <c r="A5211" s="13" t="s">
        <v>2002</v>
      </c>
    </row>
    <row r="5212" spans="1:1" x14ac:dyDescent="0.2">
      <c r="A5212" s="13" t="s">
        <v>2045</v>
      </c>
    </row>
    <row r="5213" spans="1:1" x14ac:dyDescent="0.2">
      <c r="A5213" s="13" t="s">
        <v>1825</v>
      </c>
    </row>
    <row r="5214" spans="1:1" x14ac:dyDescent="0.2">
      <c r="A5214" s="13" t="s">
        <v>3345</v>
      </c>
    </row>
    <row r="5215" spans="1:1" x14ac:dyDescent="0.2">
      <c r="A5215" s="13" t="s">
        <v>3117</v>
      </c>
    </row>
    <row r="5216" spans="1:1" x14ac:dyDescent="0.2">
      <c r="A5216" s="13" t="s">
        <v>6409</v>
      </c>
    </row>
    <row r="5217" spans="1:1" x14ac:dyDescent="0.2">
      <c r="A5217" s="13" t="s">
        <v>2749</v>
      </c>
    </row>
    <row r="5218" spans="1:1" x14ac:dyDescent="0.2">
      <c r="A5218" s="13" t="s">
        <v>6410</v>
      </c>
    </row>
    <row r="5219" spans="1:1" x14ac:dyDescent="0.2">
      <c r="A5219" s="13" t="s">
        <v>4140</v>
      </c>
    </row>
    <row r="5220" spans="1:1" x14ac:dyDescent="0.2">
      <c r="A5220" s="13" t="s">
        <v>3410</v>
      </c>
    </row>
    <row r="5221" spans="1:1" x14ac:dyDescent="0.2">
      <c r="A5221" s="13" t="s">
        <v>6411</v>
      </c>
    </row>
    <row r="5222" spans="1:1" x14ac:dyDescent="0.2">
      <c r="A5222" s="13" t="s">
        <v>4083</v>
      </c>
    </row>
    <row r="5223" spans="1:1" x14ac:dyDescent="0.2">
      <c r="A5223" s="13" t="s">
        <v>6412</v>
      </c>
    </row>
    <row r="5224" spans="1:1" x14ac:dyDescent="0.2">
      <c r="A5224" s="13" t="s">
        <v>6413</v>
      </c>
    </row>
    <row r="5225" spans="1:1" x14ac:dyDescent="0.2">
      <c r="A5225" s="13" t="s">
        <v>6414</v>
      </c>
    </row>
    <row r="5226" spans="1:1" x14ac:dyDescent="0.2">
      <c r="A5226" s="13" t="s">
        <v>3533</v>
      </c>
    </row>
    <row r="5227" spans="1:1" x14ac:dyDescent="0.2">
      <c r="A5227" s="13" t="s">
        <v>6415</v>
      </c>
    </row>
    <row r="5228" spans="1:1" x14ac:dyDescent="0.2">
      <c r="A5228" s="13" t="s">
        <v>6416</v>
      </c>
    </row>
    <row r="5229" spans="1:1" x14ac:dyDescent="0.2">
      <c r="A5229" s="13" t="s">
        <v>6417</v>
      </c>
    </row>
    <row r="5230" spans="1:1" x14ac:dyDescent="0.2">
      <c r="A5230" s="13" t="s">
        <v>6418</v>
      </c>
    </row>
    <row r="5231" spans="1:1" x14ac:dyDescent="0.2">
      <c r="A5231" s="13" t="s">
        <v>6419</v>
      </c>
    </row>
    <row r="5232" spans="1:1" x14ac:dyDescent="0.2">
      <c r="A5232" s="13" t="s">
        <v>1588</v>
      </c>
    </row>
    <row r="5233" spans="1:1" x14ac:dyDescent="0.2">
      <c r="A5233" s="13" t="s">
        <v>3732</v>
      </c>
    </row>
    <row r="5234" spans="1:1" x14ac:dyDescent="0.2">
      <c r="A5234" s="13" t="s">
        <v>3521</v>
      </c>
    </row>
    <row r="5235" spans="1:1" x14ac:dyDescent="0.2">
      <c r="A5235" s="13" t="s">
        <v>1127</v>
      </c>
    </row>
    <row r="5236" spans="1:1" x14ac:dyDescent="0.2">
      <c r="A5236" s="13" t="s">
        <v>3842</v>
      </c>
    </row>
    <row r="5237" spans="1:1" x14ac:dyDescent="0.2">
      <c r="A5237" s="13" t="s">
        <v>6420</v>
      </c>
    </row>
    <row r="5238" spans="1:1" x14ac:dyDescent="0.2">
      <c r="A5238" s="13" t="s">
        <v>6421</v>
      </c>
    </row>
    <row r="5239" spans="1:1" x14ac:dyDescent="0.2">
      <c r="A5239" s="13" t="s">
        <v>3221</v>
      </c>
    </row>
    <row r="5240" spans="1:1" x14ac:dyDescent="0.2">
      <c r="A5240" s="13" t="s">
        <v>6422</v>
      </c>
    </row>
    <row r="5241" spans="1:1" x14ac:dyDescent="0.2">
      <c r="A5241" s="13" t="s">
        <v>1394</v>
      </c>
    </row>
    <row r="5242" spans="1:1" x14ac:dyDescent="0.2">
      <c r="A5242" s="13" t="s">
        <v>1918</v>
      </c>
    </row>
    <row r="5243" spans="1:1" x14ac:dyDescent="0.2">
      <c r="A5243" s="13" t="s">
        <v>6423</v>
      </c>
    </row>
    <row r="5244" spans="1:1" x14ac:dyDescent="0.2">
      <c r="A5244" s="13" t="s">
        <v>6424</v>
      </c>
    </row>
    <row r="5245" spans="1:1" x14ac:dyDescent="0.2">
      <c r="A5245" s="13" t="s">
        <v>540</v>
      </c>
    </row>
    <row r="5246" spans="1:1" x14ac:dyDescent="0.2">
      <c r="A5246" s="13" t="s">
        <v>6425</v>
      </c>
    </row>
    <row r="5247" spans="1:1" x14ac:dyDescent="0.2">
      <c r="A5247" s="13" t="s">
        <v>6426</v>
      </c>
    </row>
    <row r="5248" spans="1:1" x14ac:dyDescent="0.2">
      <c r="A5248" s="13" t="s">
        <v>3382</v>
      </c>
    </row>
    <row r="5249" spans="1:1" x14ac:dyDescent="0.2">
      <c r="A5249" s="13" t="s">
        <v>6427</v>
      </c>
    </row>
    <row r="5250" spans="1:1" x14ac:dyDescent="0.2">
      <c r="A5250" s="13" t="s">
        <v>1220</v>
      </c>
    </row>
    <row r="5251" spans="1:1" x14ac:dyDescent="0.2">
      <c r="A5251" s="13" t="s">
        <v>261</v>
      </c>
    </row>
    <row r="5252" spans="1:1" x14ac:dyDescent="0.2">
      <c r="A5252" s="13" t="s">
        <v>1830</v>
      </c>
    </row>
    <row r="5253" spans="1:1" x14ac:dyDescent="0.2">
      <c r="A5253" s="13" t="s">
        <v>967</v>
      </c>
    </row>
    <row r="5254" spans="1:1" x14ac:dyDescent="0.2">
      <c r="A5254" s="13" t="s">
        <v>353</v>
      </c>
    </row>
    <row r="5255" spans="1:1" x14ac:dyDescent="0.2">
      <c r="A5255" s="13" t="s">
        <v>6428</v>
      </c>
    </row>
    <row r="5256" spans="1:1" x14ac:dyDescent="0.2">
      <c r="A5256" s="13" t="s">
        <v>6429</v>
      </c>
    </row>
    <row r="5257" spans="1:1" x14ac:dyDescent="0.2">
      <c r="A5257" s="13" t="s">
        <v>3292</v>
      </c>
    </row>
    <row r="5258" spans="1:1" x14ac:dyDescent="0.2">
      <c r="A5258" s="13" t="s">
        <v>3436</v>
      </c>
    </row>
    <row r="5259" spans="1:1" x14ac:dyDescent="0.2">
      <c r="A5259" s="13" t="s">
        <v>789</v>
      </c>
    </row>
    <row r="5260" spans="1:1" x14ac:dyDescent="0.2">
      <c r="A5260" s="13" t="s">
        <v>6430</v>
      </c>
    </row>
    <row r="5261" spans="1:1" x14ac:dyDescent="0.2">
      <c r="A5261" s="13" t="s">
        <v>6431</v>
      </c>
    </row>
    <row r="5262" spans="1:1" x14ac:dyDescent="0.2">
      <c r="A5262" s="13" t="s">
        <v>6432</v>
      </c>
    </row>
    <row r="5263" spans="1:1" x14ac:dyDescent="0.2">
      <c r="A5263" s="13" t="s">
        <v>1472</v>
      </c>
    </row>
    <row r="5264" spans="1:1" x14ac:dyDescent="0.2">
      <c r="A5264" s="13" t="s">
        <v>3781</v>
      </c>
    </row>
    <row r="5265" spans="1:1" x14ac:dyDescent="0.2">
      <c r="A5265" s="13" t="s">
        <v>756</v>
      </c>
    </row>
    <row r="5266" spans="1:1" x14ac:dyDescent="0.2">
      <c r="A5266" s="13" t="s">
        <v>3364</v>
      </c>
    </row>
    <row r="5267" spans="1:1" x14ac:dyDescent="0.2">
      <c r="A5267" s="13" t="s">
        <v>6433</v>
      </c>
    </row>
    <row r="5268" spans="1:1" x14ac:dyDescent="0.2">
      <c r="A5268" s="13" t="s">
        <v>1851</v>
      </c>
    </row>
    <row r="5269" spans="1:1" x14ac:dyDescent="0.2">
      <c r="A5269" s="13" t="s">
        <v>6434</v>
      </c>
    </row>
    <row r="5270" spans="1:1" x14ac:dyDescent="0.2">
      <c r="A5270" s="13" t="s">
        <v>6435</v>
      </c>
    </row>
    <row r="5271" spans="1:1" x14ac:dyDescent="0.2">
      <c r="A5271" s="13" t="s">
        <v>2639</v>
      </c>
    </row>
    <row r="5272" spans="1:1" x14ac:dyDescent="0.2">
      <c r="A5272" s="13" t="s">
        <v>3398</v>
      </c>
    </row>
    <row r="5273" spans="1:1" x14ac:dyDescent="0.2">
      <c r="A5273" s="13" t="s">
        <v>6436</v>
      </c>
    </row>
    <row r="5274" spans="1:1" x14ac:dyDescent="0.2">
      <c r="A5274" s="13" t="s">
        <v>6437</v>
      </c>
    </row>
    <row r="5275" spans="1:1" x14ac:dyDescent="0.2">
      <c r="A5275" s="13" t="s">
        <v>2119</v>
      </c>
    </row>
    <row r="5276" spans="1:1" x14ac:dyDescent="0.2">
      <c r="A5276" s="13" t="s">
        <v>3366</v>
      </c>
    </row>
    <row r="5277" spans="1:1" x14ac:dyDescent="0.2">
      <c r="A5277" s="13" t="s">
        <v>6438</v>
      </c>
    </row>
    <row r="5278" spans="1:1" x14ac:dyDescent="0.2">
      <c r="A5278" s="13" t="s">
        <v>3813</v>
      </c>
    </row>
    <row r="5279" spans="1:1" x14ac:dyDescent="0.2">
      <c r="A5279" s="13" t="s">
        <v>907</v>
      </c>
    </row>
    <row r="5280" spans="1:1" x14ac:dyDescent="0.2">
      <c r="A5280" s="13" t="s">
        <v>3666</v>
      </c>
    </row>
    <row r="5281" spans="1:1" x14ac:dyDescent="0.2">
      <c r="A5281" s="13" t="s">
        <v>6439</v>
      </c>
    </row>
    <row r="5282" spans="1:1" x14ac:dyDescent="0.2">
      <c r="A5282" s="13" t="s">
        <v>6440</v>
      </c>
    </row>
    <row r="5283" spans="1:1" x14ac:dyDescent="0.2">
      <c r="A5283" s="13" t="s">
        <v>6441</v>
      </c>
    </row>
    <row r="5284" spans="1:1" x14ac:dyDescent="0.2">
      <c r="A5284" s="13" t="s">
        <v>6442</v>
      </c>
    </row>
    <row r="5285" spans="1:1" x14ac:dyDescent="0.2">
      <c r="A5285" s="13" t="s">
        <v>6443</v>
      </c>
    </row>
    <row r="5286" spans="1:1" x14ac:dyDescent="0.2">
      <c r="A5286" s="13" t="s">
        <v>3816</v>
      </c>
    </row>
    <row r="5287" spans="1:1" x14ac:dyDescent="0.2">
      <c r="A5287" s="13" t="s">
        <v>3136</v>
      </c>
    </row>
    <row r="5288" spans="1:1" x14ac:dyDescent="0.2">
      <c r="A5288" s="13" t="s">
        <v>3606</v>
      </c>
    </row>
    <row r="5289" spans="1:1" x14ac:dyDescent="0.2">
      <c r="A5289" s="13" t="s">
        <v>3966</v>
      </c>
    </row>
    <row r="5290" spans="1:1" x14ac:dyDescent="0.2">
      <c r="A5290" s="13" t="s">
        <v>3885</v>
      </c>
    </row>
    <row r="5291" spans="1:1" x14ac:dyDescent="0.2">
      <c r="A5291" s="13" t="s">
        <v>2250</v>
      </c>
    </row>
    <row r="5292" spans="1:1" x14ac:dyDescent="0.2">
      <c r="A5292" s="13" t="s">
        <v>1100</v>
      </c>
    </row>
    <row r="5293" spans="1:1" x14ac:dyDescent="0.2">
      <c r="A5293" s="13" t="s">
        <v>6444</v>
      </c>
    </row>
    <row r="5294" spans="1:1" x14ac:dyDescent="0.2">
      <c r="A5294" s="13" t="s">
        <v>2216</v>
      </c>
    </row>
    <row r="5295" spans="1:1" x14ac:dyDescent="0.2">
      <c r="A5295" s="13" t="s">
        <v>2444</v>
      </c>
    </row>
    <row r="5296" spans="1:1" x14ac:dyDescent="0.2">
      <c r="A5296" s="13" t="s">
        <v>3516</v>
      </c>
    </row>
    <row r="5297" spans="1:1" x14ac:dyDescent="0.2">
      <c r="A5297" s="13" t="s">
        <v>6445</v>
      </c>
    </row>
    <row r="5298" spans="1:1" x14ac:dyDescent="0.2">
      <c r="A5298" s="13" t="s">
        <v>6446</v>
      </c>
    </row>
    <row r="5299" spans="1:1" x14ac:dyDescent="0.2">
      <c r="A5299" s="13" t="s">
        <v>6447</v>
      </c>
    </row>
    <row r="5300" spans="1:1" x14ac:dyDescent="0.2">
      <c r="A5300" s="13" t="s">
        <v>1571</v>
      </c>
    </row>
    <row r="5301" spans="1:1" x14ac:dyDescent="0.2">
      <c r="A5301" s="13" t="s">
        <v>957</v>
      </c>
    </row>
    <row r="5302" spans="1:1" x14ac:dyDescent="0.2">
      <c r="A5302" s="13" t="s">
        <v>3954</v>
      </c>
    </row>
    <row r="5303" spans="1:1" x14ac:dyDescent="0.2">
      <c r="A5303" s="13" t="s">
        <v>3769</v>
      </c>
    </row>
    <row r="5304" spans="1:1" x14ac:dyDescent="0.2">
      <c r="A5304" s="13" t="s">
        <v>6448</v>
      </c>
    </row>
    <row r="5305" spans="1:1" x14ac:dyDescent="0.2">
      <c r="A5305" s="13" t="s">
        <v>2643</v>
      </c>
    </row>
    <row r="5306" spans="1:1" x14ac:dyDescent="0.2">
      <c r="A5306" s="13" t="s">
        <v>1611</v>
      </c>
    </row>
    <row r="5307" spans="1:1" x14ac:dyDescent="0.2">
      <c r="A5307" s="13" t="s">
        <v>703</v>
      </c>
    </row>
    <row r="5308" spans="1:1" x14ac:dyDescent="0.2">
      <c r="A5308" s="13" t="s">
        <v>6449</v>
      </c>
    </row>
    <row r="5309" spans="1:1" x14ac:dyDescent="0.2">
      <c r="A5309" s="13" t="s">
        <v>2733</v>
      </c>
    </row>
    <row r="5310" spans="1:1" x14ac:dyDescent="0.2">
      <c r="A5310" s="13" t="s">
        <v>1024</v>
      </c>
    </row>
    <row r="5311" spans="1:1" x14ac:dyDescent="0.2">
      <c r="A5311" s="13" t="s">
        <v>6450</v>
      </c>
    </row>
    <row r="5312" spans="1:1" x14ac:dyDescent="0.2">
      <c r="A5312" s="13" t="s">
        <v>421</v>
      </c>
    </row>
    <row r="5313" spans="1:1" x14ac:dyDescent="0.2">
      <c r="A5313" s="13" t="s">
        <v>6451</v>
      </c>
    </row>
    <row r="5314" spans="1:1" x14ac:dyDescent="0.2">
      <c r="A5314" s="13" t="s">
        <v>6452</v>
      </c>
    </row>
    <row r="5315" spans="1:1" x14ac:dyDescent="0.2">
      <c r="A5315" s="13" t="s">
        <v>1599</v>
      </c>
    </row>
    <row r="5316" spans="1:1" x14ac:dyDescent="0.2">
      <c r="A5316" s="13" t="s">
        <v>2924</v>
      </c>
    </row>
    <row r="5317" spans="1:1" x14ac:dyDescent="0.2">
      <c r="A5317" s="13" t="s">
        <v>6453</v>
      </c>
    </row>
    <row r="5318" spans="1:1" x14ac:dyDescent="0.2">
      <c r="A5318" s="13" t="s">
        <v>1107</v>
      </c>
    </row>
    <row r="5319" spans="1:1" x14ac:dyDescent="0.2">
      <c r="A5319" s="13" t="s">
        <v>4036</v>
      </c>
    </row>
    <row r="5320" spans="1:1" x14ac:dyDescent="0.2">
      <c r="A5320" s="13" t="s">
        <v>6454</v>
      </c>
    </row>
    <row r="5321" spans="1:1" x14ac:dyDescent="0.2">
      <c r="A5321" s="13" t="s">
        <v>1811</v>
      </c>
    </row>
    <row r="5322" spans="1:1" x14ac:dyDescent="0.2">
      <c r="A5322" s="13" t="s">
        <v>3593</v>
      </c>
    </row>
    <row r="5323" spans="1:1" x14ac:dyDescent="0.2">
      <c r="A5323" s="13" t="s">
        <v>6455</v>
      </c>
    </row>
    <row r="5324" spans="1:1" x14ac:dyDescent="0.2">
      <c r="A5324" s="13" t="s">
        <v>814</v>
      </c>
    </row>
    <row r="5325" spans="1:1" x14ac:dyDescent="0.2">
      <c r="A5325" s="13" t="s">
        <v>2222</v>
      </c>
    </row>
    <row r="5326" spans="1:1" x14ac:dyDescent="0.2">
      <c r="A5326" s="13" t="s">
        <v>1089</v>
      </c>
    </row>
    <row r="5327" spans="1:1" x14ac:dyDescent="0.2">
      <c r="A5327" s="13" t="s">
        <v>189</v>
      </c>
    </row>
    <row r="5328" spans="1:1" x14ac:dyDescent="0.2">
      <c r="A5328" s="13" t="s">
        <v>3633</v>
      </c>
    </row>
    <row r="5329" spans="1:1" x14ac:dyDescent="0.2">
      <c r="A5329" s="13" t="s">
        <v>956</v>
      </c>
    </row>
    <row r="5330" spans="1:1" x14ac:dyDescent="0.2">
      <c r="A5330" s="13" t="s">
        <v>3592</v>
      </c>
    </row>
    <row r="5331" spans="1:1" x14ac:dyDescent="0.2">
      <c r="A5331" s="13" t="s">
        <v>2106</v>
      </c>
    </row>
    <row r="5332" spans="1:1" x14ac:dyDescent="0.2">
      <c r="A5332" s="13" t="s">
        <v>6456</v>
      </c>
    </row>
    <row r="5333" spans="1:1" x14ac:dyDescent="0.2">
      <c r="A5333" s="13" t="s">
        <v>767</v>
      </c>
    </row>
    <row r="5334" spans="1:1" x14ac:dyDescent="0.2">
      <c r="A5334" s="13" t="s">
        <v>316</v>
      </c>
    </row>
    <row r="5335" spans="1:1" x14ac:dyDescent="0.2">
      <c r="A5335" s="13" t="s">
        <v>6457</v>
      </c>
    </row>
    <row r="5336" spans="1:1" x14ac:dyDescent="0.2">
      <c r="A5336" s="13" t="s">
        <v>6458</v>
      </c>
    </row>
    <row r="5337" spans="1:1" x14ac:dyDescent="0.2">
      <c r="A5337" s="13" t="s">
        <v>6459</v>
      </c>
    </row>
    <row r="5338" spans="1:1" x14ac:dyDescent="0.2">
      <c r="A5338" s="13" t="s">
        <v>1332</v>
      </c>
    </row>
    <row r="5339" spans="1:1" x14ac:dyDescent="0.2">
      <c r="A5339" s="13" t="s">
        <v>6460</v>
      </c>
    </row>
    <row r="5340" spans="1:1" x14ac:dyDescent="0.2">
      <c r="A5340" s="13" t="s">
        <v>2498</v>
      </c>
    </row>
    <row r="5341" spans="1:1" x14ac:dyDescent="0.2">
      <c r="A5341" s="13" t="s">
        <v>3911</v>
      </c>
    </row>
    <row r="5342" spans="1:1" x14ac:dyDescent="0.2">
      <c r="A5342" s="13" t="s">
        <v>6461</v>
      </c>
    </row>
    <row r="5343" spans="1:1" x14ac:dyDescent="0.2">
      <c r="A5343" s="13" t="s">
        <v>6462</v>
      </c>
    </row>
    <row r="5344" spans="1:1" x14ac:dyDescent="0.2">
      <c r="A5344" s="13" t="s">
        <v>187</v>
      </c>
    </row>
    <row r="5345" spans="1:1" x14ac:dyDescent="0.2">
      <c r="A5345" s="13" t="s">
        <v>2963</v>
      </c>
    </row>
    <row r="5346" spans="1:1" x14ac:dyDescent="0.2">
      <c r="A5346" s="13" t="s">
        <v>281</v>
      </c>
    </row>
    <row r="5347" spans="1:1" x14ac:dyDescent="0.2">
      <c r="A5347" s="13" t="s">
        <v>3083</v>
      </c>
    </row>
    <row r="5348" spans="1:1" x14ac:dyDescent="0.2">
      <c r="A5348" s="13" t="s">
        <v>1846</v>
      </c>
    </row>
    <row r="5349" spans="1:1" x14ac:dyDescent="0.2">
      <c r="A5349" s="13" t="s">
        <v>6463</v>
      </c>
    </row>
    <row r="5350" spans="1:1" x14ac:dyDescent="0.2">
      <c r="A5350" s="13" t="s">
        <v>6464</v>
      </c>
    </row>
    <row r="5351" spans="1:1" x14ac:dyDescent="0.2">
      <c r="A5351" s="13" t="s">
        <v>6465</v>
      </c>
    </row>
    <row r="5352" spans="1:1" x14ac:dyDescent="0.2">
      <c r="A5352" s="13" t="s">
        <v>6466</v>
      </c>
    </row>
    <row r="5353" spans="1:1" x14ac:dyDescent="0.2">
      <c r="A5353" s="13" t="s">
        <v>2536</v>
      </c>
    </row>
    <row r="5354" spans="1:1" x14ac:dyDescent="0.2">
      <c r="A5354" s="13" t="s">
        <v>851</v>
      </c>
    </row>
    <row r="5355" spans="1:1" x14ac:dyDescent="0.2">
      <c r="A5355" s="13" t="s">
        <v>3693</v>
      </c>
    </row>
    <row r="5356" spans="1:1" x14ac:dyDescent="0.2">
      <c r="A5356" s="13" t="s">
        <v>1175</v>
      </c>
    </row>
    <row r="5357" spans="1:1" x14ac:dyDescent="0.2">
      <c r="A5357" s="13" t="s">
        <v>813</v>
      </c>
    </row>
    <row r="5358" spans="1:1" x14ac:dyDescent="0.2">
      <c r="A5358" s="13" t="s">
        <v>3834</v>
      </c>
    </row>
    <row r="5359" spans="1:1" x14ac:dyDescent="0.2">
      <c r="A5359" s="13" t="s">
        <v>6467</v>
      </c>
    </row>
    <row r="5360" spans="1:1" x14ac:dyDescent="0.2">
      <c r="A5360" s="13" t="s">
        <v>6468</v>
      </c>
    </row>
    <row r="5361" spans="1:1" x14ac:dyDescent="0.2">
      <c r="A5361" s="13" t="s">
        <v>6469</v>
      </c>
    </row>
    <row r="5362" spans="1:1" x14ac:dyDescent="0.2">
      <c r="A5362" s="13" t="s">
        <v>306</v>
      </c>
    </row>
    <row r="5363" spans="1:1" x14ac:dyDescent="0.2">
      <c r="A5363" s="13" t="s">
        <v>6470</v>
      </c>
    </row>
    <row r="5364" spans="1:1" x14ac:dyDescent="0.2">
      <c r="A5364" s="13" t="s">
        <v>3389</v>
      </c>
    </row>
    <row r="5365" spans="1:1" x14ac:dyDescent="0.2">
      <c r="A5365" s="13" t="s">
        <v>1946</v>
      </c>
    </row>
    <row r="5366" spans="1:1" x14ac:dyDescent="0.2">
      <c r="A5366" s="13" t="s">
        <v>3377</v>
      </c>
    </row>
    <row r="5367" spans="1:1" x14ac:dyDescent="0.2">
      <c r="A5367" s="13" t="s">
        <v>4053</v>
      </c>
    </row>
    <row r="5368" spans="1:1" x14ac:dyDescent="0.2">
      <c r="A5368" s="13" t="s">
        <v>6471</v>
      </c>
    </row>
    <row r="5369" spans="1:1" x14ac:dyDescent="0.2">
      <c r="A5369" s="13" t="s">
        <v>4058</v>
      </c>
    </row>
    <row r="5370" spans="1:1" x14ac:dyDescent="0.2">
      <c r="A5370" s="13" t="s">
        <v>2558</v>
      </c>
    </row>
    <row r="5371" spans="1:1" x14ac:dyDescent="0.2">
      <c r="A5371" s="13" t="s">
        <v>2295</v>
      </c>
    </row>
    <row r="5372" spans="1:1" x14ac:dyDescent="0.2">
      <c r="A5372" s="13" t="s">
        <v>6472</v>
      </c>
    </row>
    <row r="5373" spans="1:1" x14ac:dyDescent="0.2">
      <c r="A5373" s="13" t="s">
        <v>6473</v>
      </c>
    </row>
    <row r="5374" spans="1:1" x14ac:dyDescent="0.2">
      <c r="A5374" s="13" t="s">
        <v>3378</v>
      </c>
    </row>
    <row r="5375" spans="1:1" x14ac:dyDescent="0.2">
      <c r="A5375" s="13" t="s">
        <v>4037</v>
      </c>
    </row>
    <row r="5376" spans="1:1" x14ac:dyDescent="0.2">
      <c r="A5376" s="13" t="s">
        <v>2956</v>
      </c>
    </row>
    <row r="5377" spans="1:1" x14ac:dyDescent="0.2">
      <c r="A5377" s="13" t="s">
        <v>1094</v>
      </c>
    </row>
    <row r="5378" spans="1:1" x14ac:dyDescent="0.2">
      <c r="A5378" s="13" t="s">
        <v>2072</v>
      </c>
    </row>
    <row r="5379" spans="1:1" x14ac:dyDescent="0.2">
      <c r="A5379" s="13" t="s">
        <v>929</v>
      </c>
    </row>
    <row r="5380" spans="1:1" x14ac:dyDescent="0.2">
      <c r="A5380" s="13" t="s">
        <v>3201</v>
      </c>
    </row>
    <row r="5381" spans="1:1" x14ac:dyDescent="0.2">
      <c r="A5381" s="13" t="s">
        <v>6474</v>
      </c>
    </row>
    <row r="5382" spans="1:1" x14ac:dyDescent="0.2">
      <c r="A5382" s="13" t="s">
        <v>6475</v>
      </c>
    </row>
    <row r="5383" spans="1:1" x14ac:dyDescent="0.2">
      <c r="A5383" s="13" t="s">
        <v>1300</v>
      </c>
    </row>
    <row r="5384" spans="1:1" x14ac:dyDescent="0.2">
      <c r="A5384" s="13" t="s">
        <v>3493</v>
      </c>
    </row>
    <row r="5385" spans="1:1" x14ac:dyDescent="0.2">
      <c r="A5385" s="13" t="s">
        <v>2239</v>
      </c>
    </row>
    <row r="5386" spans="1:1" x14ac:dyDescent="0.2">
      <c r="A5386" s="13" t="s">
        <v>262</v>
      </c>
    </row>
    <row r="5387" spans="1:1" x14ac:dyDescent="0.2">
      <c r="A5387" s="13" t="s">
        <v>2858</v>
      </c>
    </row>
    <row r="5388" spans="1:1" x14ac:dyDescent="0.2">
      <c r="A5388" s="13" t="s">
        <v>6476</v>
      </c>
    </row>
    <row r="5389" spans="1:1" x14ac:dyDescent="0.2">
      <c r="A5389" s="13" t="s">
        <v>1610</v>
      </c>
    </row>
    <row r="5390" spans="1:1" x14ac:dyDescent="0.2">
      <c r="A5390" s="13" t="s">
        <v>3961</v>
      </c>
    </row>
    <row r="5391" spans="1:1" x14ac:dyDescent="0.2">
      <c r="A5391" s="13" t="s">
        <v>996</v>
      </c>
    </row>
    <row r="5392" spans="1:1" x14ac:dyDescent="0.2">
      <c r="A5392" s="13" t="s">
        <v>6477</v>
      </c>
    </row>
    <row r="5393" spans="1:1" x14ac:dyDescent="0.2">
      <c r="A5393" s="13" t="s">
        <v>6478</v>
      </c>
    </row>
    <row r="5394" spans="1:1" x14ac:dyDescent="0.2">
      <c r="A5394" s="13" t="s">
        <v>822</v>
      </c>
    </row>
    <row r="5395" spans="1:1" x14ac:dyDescent="0.2">
      <c r="A5395" s="13" t="s">
        <v>4064</v>
      </c>
    </row>
    <row r="5396" spans="1:1" x14ac:dyDescent="0.2">
      <c r="A5396" s="13" t="s">
        <v>6479</v>
      </c>
    </row>
    <row r="5397" spans="1:1" x14ac:dyDescent="0.2">
      <c r="A5397" s="13" t="s">
        <v>3661</v>
      </c>
    </row>
    <row r="5398" spans="1:1" x14ac:dyDescent="0.2">
      <c r="A5398" s="13" t="s">
        <v>3426</v>
      </c>
    </row>
    <row r="5399" spans="1:1" x14ac:dyDescent="0.2">
      <c r="A5399" s="13" t="s">
        <v>3752</v>
      </c>
    </row>
    <row r="5400" spans="1:1" x14ac:dyDescent="0.2">
      <c r="A5400" s="13" t="s">
        <v>6480</v>
      </c>
    </row>
    <row r="5401" spans="1:1" x14ac:dyDescent="0.2">
      <c r="A5401" s="13" t="s">
        <v>6481</v>
      </c>
    </row>
    <row r="5402" spans="1:1" x14ac:dyDescent="0.2">
      <c r="A5402" s="13" t="s">
        <v>2107</v>
      </c>
    </row>
    <row r="5403" spans="1:1" x14ac:dyDescent="0.2">
      <c r="A5403" s="13" t="s">
        <v>3770</v>
      </c>
    </row>
    <row r="5404" spans="1:1" x14ac:dyDescent="0.2">
      <c r="A5404" s="13" t="s">
        <v>1382</v>
      </c>
    </row>
    <row r="5405" spans="1:1" x14ac:dyDescent="0.2">
      <c r="A5405" s="13" t="s">
        <v>1419</v>
      </c>
    </row>
    <row r="5406" spans="1:1" x14ac:dyDescent="0.2">
      <c r="A5406" s="13" t="s">
        <v>3175</v>
      </c>
    </row>
    <row r="5407" spans="1:1" x14ac:dyDescent="0.2">
      <c r="A5407" s="13" t="s">
        <v>800</v>
      </c>
    </row>
    <row r="5408" spans="1:1" x14ac:dyDescent="0.2">
      <c r="A5408" s="13" t="s">
        <v>768</v>
      </c>
    </row>
    <row r="5409" spans="1:1" x14ac:dyDescent="0.2">
      <c r="A5409" s="13" t="s">
        <v>229</v>
      </c>
    </row>
    <row r="5410" spans="1:1" x14ac:dyDescent="0.2">
      <c r="A5410" s="13" t="s">
        <v>6482</v>
      </c>
    </row>
    <row r="5411" spans="1:1" x14ac:dyDescent="0.2">
      <c r="A5411" s="13" t="s">
        <v>273</v>
      </c>
    </row>
    <row r="5412" spans="1:1" x14ac:dyDescent="0.2">
      <c r="A5412" s="13" t="s">
        <v>3563</v>
      </c>
    </row>
    <row r="5413" spans="1:1" x14ac:dyDescent="0.2">
      <c r="A5413" s="13" t="s">
        <v>6483</v>
      </c>
    </row>
    <row r="5414" spans="1:1" x14ac:dyDescent="0.2">
      <c r="A5414" s="13" t="s">
        <v>763</v>
      </c>
    </row>
    <row r="5415" spans="1:1" x14ac:dyDescent="0.2">
      <c r="A5415" s="13" t="s">
        <v>3596</v>
      </c>
    </row>
    <row r="5416" spans="1:1" x14ac:dyDescent="0.2">
      <c r="A5416" s="13" t="s">
        <v>6484</v>
      </c>
    </row>
    <row r="5417" spans="1:1" x14ac:dyDescent="0.2">
      <c r="A5417" s="13" t="s">
        <v>3856</v>
      </c>
    </row>
    <row r="5418" spans="1:1" x14ac:dyDescent="0.2">
      <c r="A5418" s="13" t="s">
        <v>1580</v>
      </c>
    </row>
    <row r="5419" spans="1:1" x14ac:dyDescent="0.2">
      <c r="A5419" s="13" t="s">
        <v>337</v>
      </c>
    </row>
    <row r="5420" spans="1:1" x14ac:dyDescent="0.2">
      <c r="A5420" s="13" t="s">
        <v>3590</v>
      </c>
    </row>
    <row r="5421" spans="1:1" x14ac:dyDescent="0.2">
      <c r="A5421" s="13" t="s">
        <v>6485</v>
      </c>
    </row>
    <row r="5422" spans="1:1" x14ac:dyDescent="0.2">
      <c r="A5422" s="13" t="s">
        <v>6486</v>
      </c>
    </row>
    <row r="5423" spans="1:1" x14ac:dyDescent="0.2">
      <c r="A5423" s="13" t="s">
        <v>579</v>
      </c>
    </row>
    <row r="5424" spans="1:1" x14ac:dyDescent="0.2">
      <c r="A5424" s="13" t="s">
        <v>6487</v>
      </c>
    </row>
    <row r="5425" spans="1:1" x14ac:dyDescent="0.2">
      <c r="A5425" s="13" t="s">
        <v>6488</v>
      </c>
    </row>
    <row r="5426" spans="1:1" x14ac:dyDescent="0.2">
      <c r="A5426" s="13" t="s">
        <v>4158</v>
      </c>
    </row>
    <row r="5427" spans="1:1" x14ac:dyDescent="0.2">
      <c r="A5427" s="13" t="s">
        <v>1001</v>
      </c>
    </row>
    <row r="5428" spans="1:1" x14ac:dyDescent="0.2">
      <c r="A5428" s="13" t="s">
        <v>3910</v>
      </c>
    </row>
    <row r="5429" spans="1:1" x14ac:dyDescent="0.2">
      <c r="A5429" s="13" t="s">
        <v>6489</v>
      </c>
    </row>
    <row r="5430" spans="1:1" x14ac:dyDescent="0.2">
      <c r="A5430" s="13" t="s">
        <v>278</v>
      </c>
    </row>
    <row r="5431" spans="1:1" x14ac:dyDescent="0.2">
      <c r="A5431" s="13" t="s">
        <v>3374</v>
      </c>
    </row>
    <row r="5432" spans="1:1" x14ac:dyDescent="0.2">
      <c r="A5432" s="13" t="s">
        <v>6490</v>
      </c>
    </row>
    <row r="5433" spans="1:1" x14ac:dyDescent="0.2">
      <c r="A5433" s="13" t="s">
        <v>1005</v>
      </c>
    </row>
    <row r="5434" spans="1:1" x14ac:dyDescent="0.2">
      <c r="A5434" s="13" t="s">
        <v>589</v>
      </c>
    </row>
    <row r="5435" spans="1:1" x14ac:dyDescent="0.2">
      <c r="A5435" s="13" t="s">
        <v>3197</v>
      </c>
    </row>
    <row r="5436" spans="1:1" x14ac:dyDescent="0.2">
      <c r="A5436" s="13" t="s">
        <v>6491</v>
      </c>
    </row>
    <row r="5437" spans="1:1" x14ac:dyDescent="0.2">
      <c r="A5437" s="13" t="s">
        <v>1842</v>
      </c>
    </row>
    <row r="5438" spans="1:1" x14ac:dyDescent="0.2">
      <c r="A5438" s="13" t="s">
        <v>949</v>
      </c>
    </row>
    <row r="5439" spans="1:1" x14ac:dyDescent="0.2">
      <c r="A5439" s="13" t="s">
        <v>1589</v>
      </c>
    </row>
    <row r="5440" spans="1:1" x14ac:dyDescent="0.2">
      <c r="A5440" s="13" t="s">
        <v>1527</v>
      </c>
    </row>
    <row r="5441" spans="1:1" x14ac:dyDescent="0.2">
      <c r="A5441" s="13" t="s">
        <v>1670</v>
      </c>
    </row>
    <row r="5442" spans="1:1" x14ac:dyDescent="0.2">
      <c r="A5442" s="13" t="s">
        <v>6492</v>
      </c>
    </row>
    <row r="5443" spans="1:1" x14ac:dyDescent="0.2">
      <c r="A5443" s="13" t="s">
        <v>3118</v>
      </c>
    </row>
    <row r="5444" spans="1:1" x14ac:dyDescent="0.2">
      <c r="A5444" s="13" t="s">
        <v>1818</v>
      </c>
    </row>
    <row r="5445" spans="1:1" x14ac:dyDescent="0.2">
      <c r="A5445" s="13" t="s">
        <v>6493</v>
      </c>
    </row>
    <row r="5446" spans="1:1" x14ac:dyDescent="0.2">
      <c r="A5446" s="13" t="s">
        <v>6494</v>
      </c>
    </row>
    <row r="5447" spans="1:1" x14ac:dyDescent="0.2">
      <c r="A5447" s="13" t="s">
        <v>6495</v>
      </c>
    </row>
    <row r="5448" spans="1:1" x14ac:dyDescent="0.2">
      <c r="A5448" s="13" t="s">
        <v>3790</v>
      </c>
    </row>
    <row r="5449" spans="1:1" x14ac:dyDescent="0.2">
      <c r="A5449" s="13" t="s">
        <v>6496</v>
      </c>
    </row>
    <row r="5450" spans="1:1" x14ac:dyDescent="0.2">
      <c r="A5450" s="13" t="s">
        <v>2843</v>
      </c>
    </row>
    <row r="5451" spans="1:1" x14ac:dyDescent="0.2">
      <c r="A5451" s="13" t="s">
        <v>6497</v>
      </c>
    </row>
    <row r="5452" spans="1:1" x14ac:dyDescent="0.2">
      <c r="A5452" s="13" t="s">
        <v>3501</v>
      </c>
    </row>
    <row r="5453" spans="1:1" x14ac:dyDescent="0.2">
      <c r="A5453" s="13" t="s">
        <v>790</v>
      </c>
    </row>
    <row r="5454" spans="1:1" x14ac:dyDescent="0.2">
      <c r="A5454" s="13" t="s">
        <v>233</v>
      </c>
    </row>
    <row r="5455" spans="1:1" x14ac:dyDescent="0.2">
      <c r="A5455" s="13" t="s">
        <v>6498</v>
      </c>
    </row>
    <row r="5456" spans="1:1" x14ac:dyDescent="0.2">
      <c r="A5456" s="13" t="s">
        <v>6499</v>
      </c>
    </row>
    <row r="5457" spans="1:1" x14ac:dyDescent="0.2">
      <c r="A5457" s="13" t="s">
        <v>279</v>
      </c>
    </row>
    <row r="5458" spans="1:1" x14ac:dyDescent="0.2">
      <c r="A5458" s="13" t="s">
        <v>3304</v>
      </c>
    </row>
    <row r="5459" spans="1:1" x14ac:dyDescent="0.2">
      <c r="A5459" s="13" t="s">
        <v>336</v>
      </c>
    </row>
    <row r="5460" spans="1:1" x14ac:dyDescent="0.2">
      <c r="A5460" s="13" t="s">
        <v>6500</v>
      </c>
    </row>
    <row r="5461" spans="1:1" x14ac:dyDescent="0.2">
      <c r="A5461" s="13" t="s">
        <v>3730</v>
      </c>
    </row>
    <row r="5462" spans="1:1" x14ac:dyDescent="0.2">
      <c r="A5462" s="13" t="s">
        <v>580</v>
      </c>
    </row>
    <row r="5463" spans="1:1" x14ac:dyDescent="0.2">
      <c r="A5463" s="13" t="s">
        <v>1595</v>
      </c>
    </row>
    <row r="5464" spans="1:1" x14ac:dyDescent="0.2">
      <c r="A5464" s="13" t="s">
        <v>3644</v>
      </c>
    </row>
    <row r="5465" spans="1:1" x14ac:dyDescent="0.2">
      <c r="A5465" s="13" t="s">
        <v>6501</v>
      </c>
    </row>
    <row r="5466" spans="1:1" x14ac:dyDescent="0.2">
      <c r="A5466" s="13" t="s">
        <v>475</v>
      </c>
    </row>
    <row r="5467" spans="1:1" x14ac:dyDescent="0.2">
      <c r="A5467" s="13" t="s">
        <v>3034</v>
      </c>
    </row>
    <row r="5468" spans="1:1" x14ac:dyDescent="0.2">
      <c r="A5468" s="13" t="s">
        <v>6502</v>
      </c>
    </row>
    <row r="5469" spans="1:1" x14ac:dyDescent="0.2">
      <c r="A5469" s="13" t="s">
        <v>6503</v>
      </c>
    </row>
    <row r="5470" spans="1:1" x14ac:dyDescent="0.2">
      <c r="A5470" s="13" t="s">
        <v>1151</v>
      </c>
    </row>
    <row r="5471" spans="1:1" x14ac:dyDescent="0.2">
      <c r="A5471" s="13" t="s">
        <v>2497</v>
      </c>
    </row>
    <row r="5472" spans="1:1" x14ac:dyDescent="0.2">
      <c r="A5472" s="13" t="s">
        <v>6504</v>
      </c>
    </row>
    <row r="5473" spans="1:1" x14ac:dyDescent="0.2">
      <c r="A5473" s="13" t="s">
        <v>1326</v>
      </c>
    </row>
    <row r="5474" spans="1:1" x14ac:dyDescent="0.2">
      <c r="A5474" s="13" t="s">
        <v>6505</v>
      </c>
    </row>
    <row r="5475" spans="1:1" x14ac:dyDescent="0.2">
      <c r="A5475" s="13" t="s">
        <v>3528</v>
      </c>
    </row>
    <row r="5476" spans="1:1" x14ac:dyDescent="0.2">
      <c r="A5476" s="13" t="s">
        <v>3253</v>
      </c>
    </row>
    <row r="5477" spans="1:1" x14ac:dyDescent="0.2">
      <c r="A5477" s="13" t="s">
        <v>2492</v>
      </c>
    </row>
    <row r="5478" spans="1:1" x14ac:dyDescent="0.2">
      <c r="A5478" s="13" t="s">
        <v>3815</v>
      </c>
    </row>
    <row r="5479" spans="1:1" x14ac:dyDescent="0.2">
      <c r="A5479" s="13" t="s">
        <v>1325</v>
      </c>
    </row>
    <row r="5480" spans="1:1" x14ac:dyDescent="0.2">
      <c r="A5480" s="13" t="s">
        <v>1377</v>
      </c>
    </row>
    <row r="5481" spans="1:1" x14ac:dyDescent="0.2">
      <c r="A5481" s="13" t="s">
        <v>2790</v>
      </c>
    </row>
    <row r="5482" spans="1:1" x14ac:dyDescent="0.2">
      <c r="A5482" s="13" t="s">
        <v>1617</v>
      </c>
    </row>
    <row r="5483" spans="1:1" x14ac:dyDescent="0.2">
      <c r="A5483" s="13" t="s">
        <v>3772</v>
      </c>
    </row>
    <row r="5484" spans="1:1" x14ac:dyDescent="0.2">
      <c r="A5484" s="13" t="s">
        <v>6506</v>
      </c>
    </row>
    <row r="5485" spans="1:1" x14ac:dyDescent="0.2">
      <c r="A5485" s="13" t="s">
        <v>6507</v>
      </c>
    </row>
    <row r="5486" spans="1:1" x14ac:dyDescent="0.2">
      <c r="A5486" s="13" t="s">
        <v>1275</v>
      </c>
    </row>
    <row r="5487" spans="1:1" x14ac:dyDescent="0.2">
      <c r="A5487" s="13" t="s">
        <v>6508</v>
      </c>
    </row>
    <row r="5488" spans="1:1" x14ac:dyDescent="0.2">
      <c r="A5488" s="13" t="s">
        <v>3417</v>
      </c>
    </row>
    <row r="5489" spans="1:1" x14ac:dyDescent="0.2">
      <c r="A5489" s="13" t="s">
        <v>1665</v>
      </c>
    </row>
    <row r="5490" spans="1:1" x14ac:dyDescent="0.2">
      <c r="A5490" s="13" t="s">
        <v>6509</v>
      </c>
    </row>
    <row r="5491" spans="1:1" x14ac:dyDescent="0.2">
      <c r="A5491" s="13" t="s">
        <v>6510</v>
      </c>
    </row>
    <row r="5492" spans="1:1" x14ac:dyDescent="0.2">
      <c r="A5492" s="13" t="s">
        <v>6511</v>
      </c>
    </row>
    <row r="5493" spans="1:1" x14ac:dyDescent="0.2">
      <c r="A5493" s="13" t="s">
        <v>1939</v>
      </c>
    </row>
    <row r="5494" spans="1:1" x14ac:dyDescent="0.2">
      <c r="A5494" s="13" t="s">
        <v>6512</v>
      </c>
    </row>
    <row r="5495" spans="1:1" x14ac:dyDescent="0.2">
      <c r="A5495" s="13" t="s">
        <v>2503</v>
      </c>
    </row>
    <row r="5496" spans="1:1" x14ac:dyDescent="0.2">
      <c r="A5496" s="13" t="s">
        <v>775</v>
      </c>
    </row>
    <row r="5497" spans="1:1" x14ac:dyDescent="0.2">
      <c r="A5497" s="13" t="s">
        <v>667</v>
      </c>
    </row>
    <row r="5498" spans="1:1" x14ac:dyDescent="0.2">
      <c r="A5498" s="13" t="s">
        <v>6513</v>
      </c>
    </row>
    <row r="5499" spans="1:1" x14ac:dyDescent="0.2">
      <c r="A5499" s="13" t="s">
        <v>327</v>
      </c>
    </row>
    <row r="5500" spans="1:1" x14ac:dyDescent="0.2">
      <c r="A5500" s="13" t="s">
        <v>1194</v>
      </c>
    </row>
    <row r="5501" spans="1:1" x14ac:dyDescent="0.2">
      <c r="A5501" s="13" t="s">
        <v>6514</v>
      </c>
    </row>
    <row r="5502" spans="1:1" x14ac:dyDescent="0.2">
      <c r="A5502" s="13" t="s">
        <v>6515</v>
      </c>
    </row>
    <row r="5503" spans="1:1" x14ac:dyDescent="0.2">
      <c r="A5503" s="13" t="s">
        <v>6516</v>
      </c>
    </row>
    <row r="5504" spans="1:1" x14ac:dyDescent="0.2">
      <c r="A5504" s="13" t="s">
        <v>539</v>
      </c>
    </row>
    <row r="5505" spans="1:1" x14ac:dyDescent="0.2">
      <c r="A5505" s="13" t="s">
        <v>6517</v>
      </c>
    </row>
    <row r="5506" spans="1:1" x14ac:dyDescent="0.2">
      <c r="A5506" s="13" t="s">
        <v>2549</v>
      </c>
    </row>
    <row r="5507" spans="1:1" x14ac:dyDescent="0.2">
      <c r="A5507" s="13" t="s">
        <v>2326</v>
      </c>
    </row>
    <row r="5508" spans="1:1" x14ac:dyDescent="0.2">
      <c r="A5508" s="13" t="s">
        <v>3263</v>
      </c>
    </row>
    <row r="5509" spans="1:1" x14ac:dyDescent="0.2">
      <c r="A5509" s="13" t="s">
        <v>3673</v>
      </c>
    </row>
    <row r="5510" spans="1:1" x14ac:dyDescent="0.2">
      <c r="A5510" s="13" t="s">
        <v>6518</v>
      </c>
    </row>
    <row r="5511" spans="1:1" x14ac:dyDescent="0.2">
      <c r="A5511" s="13" t="s">
        <v>6519</v>
      </c>
    </row>
    <row r="5512" spans="1:1" x14ac:dyDescent="0.2">
      <c r="A5512" s="13" t="s">
        <v>6520</v>
      </c>
    </row>
    <row r="5513" spans="1:1" x14ac:dyDescent="0.2">
      <c r="A5513" s="13" t="s">
        <v>6521</v>
      </c>
    </row>
    <row r="5514" spans="1:1" x14ac:dyDescent="0.2">
      <c r="A5514" s="13" t="s">
        <v>6522</v>
      </c>
    </row>
    <row r="5515" spans="1:1" x14ac:dyDescent="0.2">
      <c r="A5515" s="13" t="s">
        <v>2535</v>
      </c>
    </row>
    <row r="5516" spans="1:1" x14ac:dyDescent="0.2">
      <c r="A5516" s="13" t="s">
        <v>2758</v>
      </c>
    </row>
    <row r="5517" spans="1:1" x14ac:dyDescent="0.2">
      <c r="A5517" s="13" t="s">
        <v>552</v>
      </c>
    </row>
    <row r="5518" spans="1:1" x14ac:dyDescent="0.2">
      <c r="A5518" s="13" t="s">
        <v>1152</v>
      </c>
    </row>
    <row r="5519" spans="1:1" x14ac:dyDescent="0.2">
      <c r="A5519" s="13" t="s">
        <v>2187</v>
      </c>
    </row>
    <row r="5520" spans="1:1" x14ac:dyDescent="0.2">
      <c r="A5520" s="13" t="s">
        <v>2931</v>
      </c>
    </row>
    <row r="5521" spans="1:1" x14ac:dyDescent="0.2">
      <c r="A5521" s="13" t="s">
        <v>6523</v>
      </c>
    </row>
    <row r="5522" spans="1:1" x14ac:dyDescent="0.2">
      <c r="A5522" s="13" t="s">
        <v>6524</v>
      </c>
    </row>
    <row r="5523" spans="1:1" x14ac:dyDescent="0.2">
      <c r="A5523" s="13" t="s">
        <v>689</v>
      </c>
    </row>
    <row r="5524" spans="1:1" x14ac:dyDescent="0.2">
      <c r="A5524" s="13" t="s">
        <v>6525</v>
      </c>
    </row>
    <row r="5525" spans="1:1" x14ac:dyDescent="0.2">
      <c r="A5525" s="13" t="s">
        <v>6526</v>
      </c>
    </row>
    <row r="5526" spans="1:1" x14ac:dyDescent="0.2">
      <c r="A5526" s="13" t="s">
        <v>6527</v>
      </c>
    </row>
    <row r="5527" spans="1:1" x14ac:dyDescent="0.2">
      <c r="A5527" s="13" t="s">
        <v>2423</v>
      </c>
    </row>
    <row r="5528" spans="1:1" x14ac:dyDescent="0.2">
      <c r="A5528" s="13" t="s">
        <v>4043</v>
      </c>
    </row>
    <row r="5529" spans="1:1" x14ac:dyDescent="0.2">
      <c r="A5529" s="13" t="s">
        <v>6528</v>
      </c>
    </row>
    <row r="5530" spans="1:1" x14ac:dyDescent="0.2">
      <c r="A5530" s="13" t="s">
        <v>2321</v>
      </c>
    </row>
    <row r="5531" spans="1:1" x14ac:dyDescent="0.2">
      <c r="A5531" s="13" t="s">
        <v>6529</v>
      </c>
    </row>
    <row r="5532" spans="1:1" x14ac:dyDescent="0.2">
      <c r="A5532" s="13" t="s">
        <v>1566</v>
      </c>
    </row>
    <row r="5533" spans="1:1" x14ac:dyDescent="0.2">
      <c r="A5533" s="13" t="s">
        <v>6530</v>
      </c>
    </row>
    <row r="5534" spans="1:1" x14ac:dyDescent="0.2">
      <c r="A5534" s="13" t="s">
        <v>2249</v>
      </c>
    </row>
    <row r="5535" spans="1:1" x14ac:dyDescent="0.2">
      <c r="A5535" s="13" t="s">
        <v>6531</v>
      </c>
    </row>
    <row r="5536" spans="1:1" x14ac:dyDescent="0.2">
      <c r="A5536" s="13" t="s">
        <v>776</v>
      </c>
    </row>
    <row r="5537" spans="1:1" x14ac:dyDescent="0.2">
      <c r="A5537" s="13" t="s">
        <v>3607</v>
      </c>
    </row>
    <row r="5538" spans="1:1" x14ac:dyDescent="0.2">
      <c r="A5538" s="13" t="s">
        <v>6532</v>
      </c>
    </row>
    <row r="5539" spans="1:1" x14ac:dyDescent="0.2">
      <c r="A5539" s="13" t="s">
        <v>2719</v>
      </c>
    </row>
    <row r="5540" spans="1:1" x14ac:dyDescent="0.2">
      <c r="A5540" s="13" t="s">
        <v>1868</v>
      </c>
    </row>
    <row r="5541" spans="1:1" x14ac:dyDescent="0.2">
      <c r="A5541" s="13" t="s">
        <v>3694</v>
      </c>
    </row>
    <row r="5542" spans="1:1" x14ac:dyDescent="0.2">
      <c r="A5542" s="13" t="s">
        <v>3055</v>
      </c>
    </row>
    <row r="5543" spans="1:1" x14ac:dyDescent="0.2">
      <c r="A5543" s="13" t="s">
        <v>6533</v>
      </c>
    </row>
    <row r="5544" spans="1:1" x14ac:dyDescent="0.2">
      <c r="A5544" s="13" t="s">
        <v>833</v>
      </c>
    </row>
    <row r="5545" spans="1:1" x14ac:dyDescent="0.2">
      <c r="A5545" s="13" t="s">
        <v>6534</v>
      </c>
    </row>
    <row r="5546" spans="1:1" x14ac:dyDescent="0.2">
      <c r="A5546" s="13" t="s">
        <v>6535</v>
      </c>
    </row>
    <row r="5547" spans="1:1" x14ac:dyDescent="0.2">
      <c r="A5547" s="13" t="s">
        <v>6536</v>
      </c>
    </row>
    <row r="5548" spans="1:1" x14ac:dyDescent="0.2">
      <c r="A5548" s="13" t="s">
        <v>583</v>
      </c>
    </row>
    <row r="5549" spans="1:1" x14ac:dyDescent="0.2">
      <c r="A5549" s="13" t="s">
        <v>1669</v>
      </c>
    </row>
    <row r="5550" spans="1:1" x14ac:dyDescent="0.2">
      <c r="A5550" s="13" t="s">
        <v>1539</v>
      </c>
    </row>
    <row r="5551" spans="1:1" x14ac:dyDescent="0.2">
      <c r="A5551" s="13" t="s">
        <v>4000</v>
      </c>
    </row>
    <row r="5552" spans="1:1" x14ac:dyDescent="0.2">
      <c r="A5552" s="13" t="s">
        <v>2388</v>
      </c>
    </row>
    <row r="5553" spans="1:1" x14ac:dyDescent="0.2">
      <c r="A5553" s="13" t="s">
        <v>2905</v>
      </c>
    </row>
    <row r="5554" spans="1:1" x14ac:dyDescent="0.2">
      <c r="A5554" s="13" t="s">
        <v>1912</v>
      </c>
    </row>
    <row r="5555" spans="1:1" x14ac:dyDescent="0.2">
      <c r="A5555" s="13" t="s">
        <v>1761</v>
      </c>
    </row>
    <row r="5556" spans="1:1" x14ac:dyDescent="0.2">
      <c r="A5556" s="13" t="s">
        <v>1718</v>
      </c>
    </row>
    <row r="5557" spans="1:1" x14ac:dyDescent="0.2">
      <c r="A5557" s="13" t="s">
        <v>3192</v>
      </c>
    </row>
    <row r="5558" spans="1:1" x14ac:dyDescent="0.2">
      <c r="A5558" s="13" t="s">
        <v>6537</v>
      </c>
    </row>
    <row r="5559" spans="1:1" x14ac:dyDescent="0.2">
      <c r="A5559" s="13" t="s">
        <v>2819</v>
      </c>
    </row>
    <row r="5560" spans="1:1" x14ac:dyDescent="0.2">
      <c r="A5560" s="13" t="s">
        <v>664</v>
      </c>
    </row>
    <row r="5561" spans="1:1" x14ac:dyDescent="0.2">
      <c r="A5561" s="13" t="s">
        <v>2188</v>
      </c>
    </row>
    <row r="5562" spans="1:1" x14ac:dyDescent="0.2">
      <c r="A5562" s="13" t="s">
        <v>6538</v>
      </c>
    </row>
    <row r="5563" spans="1:1" x14ac:dyDescent="0.2">
      <c r="A5563" s="13" t="s">
        <v>194</v>
      </c>
    </row>
    <row r="5564" spans="1:1" x14ac:dyDescent="0.2">
      <c r="A5564" s="13" t="s">
        <v>270</v>
      </c>
    </row>
    <row r="5565" spans="1:1" x14ac:dyDescent="0.2">
      <c r="A5565" s="13" t="s">
        <v>3069</v>
      </c>
    </row>
    <row r="5566" spans="1:1" x14ac:dyDescent="0.2">
      <c r="A5566" s="13" t="s">
        <v>1290</v>
      </c>
    </row>
    <row r="5567" spans="1:1" x14ac:dyDescent="0.2">
      <c r="A5567" s="13" t="s">
        <v>2441</v>
      </c>
    </row>
    <row r="5568" spans="1:1" x14ac:dyDescent="0.2">
      <c r="A5568" s="13" t="s">
        <v>3290</v>
      </c>
    </row>
    <row r="5569" spans="1:1" x14ac:dyDescent="0.2">
      <c r="A5569" s="13" t="s">
        <v>6539</v>
      </c>
    </row>
    <row r="5570" spans="1:1" x14ac:dyDescent="0.2">
      <c r="A5570" s="13" t="s">
        <v>541</v>
      </c>
    </row>
    <row r="5571" spans="1:1" x14ac:dyDescent="0.2">
      <c r="A5571" s="13" t="s">
        <v>1422</v>
      </c>
    </row>
    <row r="5572" spans="1:1" x14ac:dyDescent="0.2">
      <c r="A5572" s="13" t="s">
        <v>3007</v>
      </c>
    </row>
    <row r="5573" spans="1:1" x14ac:dyDescent="0.2">
      <c r="A5573" s="13" t="s">
        <v>249</v>
      </c>
    </row>
    <row r="5574" spans="1:1" x14ac:dyDescent="0.2">
      <c r="A5574" s="13" t="s">
        <v>6540</v>
      </c>
    </row>
    <row r="5575" spans="1:1" x14ac:dyDescent="0.2">
      <c r="A5575" s="13" t="s">
        <v>3480</v>
      </c>
    </row>
    <row r="5576" spans="1:1" x14ac:dyDescent="0.2">
      <c r="A5576" s="13" t="s">
        <v>3490</v>
      </c>
    </row>
    <row r="5577" spans="1:1" x14ac:dyDescent="0.2">
      <c r="A5577" s="13" t="s">
        <v>6541</v>
      </c>
    </row>
    <row r="5578" spans="1:1" x14ac:dyDescent="0.2">
      <c r="A5578" s="13" t="s">
        <v>6542</v>
      </c>
    </row>
    <row r="5579" spans="1:1" x14ac:dyDescent="0.2">
      <c r="A5579" s="13" t="s">
        <v>284</v>
      </c>
    </row>
    <row r="5580" spans="1:1" x14ac:dyDescent="0.2">
      <c r="A5580" s="13" t="s">
        <v>1497</v>
      </c>
    </row>
    <row r="5581" spans="1:1" x14ac:dyDescent="0.2">
      <c r="A5581" s="13" t="s">
        <v>296</v>
      </c>
    </row>
    <row r="5582" spans="1:1" x14ac:dyDescent="0.2">
      <c r="A5582" s="13" t="s">
        <v>4021</v>
      </c>
    </row>
    <row r="5583" spans="1:1" x14ac:dyDescent="0.2">
      <c r="A5583" s="13" t="s">
        <v>588</v>
      </c>
    </row>
    <row r="5584" spans="1:1" x14ac:dyDescent="0.2">
      <c r="A5584" s="13" t="s">
        <v>3530</v>
      </c>
    </row>
    <row r="5585" spans="1:1" x14ac:dyDescent="0.2">
      <c r="A5585" s="13" t="s">
        <v>842</v>
      </c>
    </row>
    <row r="5586" spans="1:1" x14ac:dyDescent="0.2">
      <c r="A5586" s="13" t="s">
        <v>6543</v>
      </c>
    </row>
    <row r="5587" spans="1:1" x14ac:dyDescent="0.2">
      <c r="A5587" s="13" t="s">
        <v>271</v>
      </c>
    </row>
    <row r="5588" spans="1:1" x14ac:dyDescent="0.2">
      <c r="A5588" s="13" t="s">
        <v>4078</v>
      </c>
    </row>
    <row r="5589" spans="1:1" x14ac:dyDescent="0.2">
      <c r="A5589" s="13" t="s">
        <v>6544</v>
      </c>
    </row>
    <row r="5590" spans="1:1" x14ac:dyDescent="0.2">
      <c r="A5590" s="13" t="s">
        <v>1400</v>
      </c>
    </row>
    <row r="5591" spans="1:1" x14ac:dyDescent="0.2">
      <c r="A5591" s="13" t="s">
        <v>1504</v>
      </c>
    </row>
    <row r="5592" spans="1:1" x14ac:dyDescent="0.2">
      <c r="A5592" s="13" t="s">
        <v>6545</v>
      </c>
    </row>
    <row r="5593" spans="1:1" x14ac:dyDescent="0.2">
      <c r="A5593" s="13" t="s">
        <v>1064</v>
      </c>
    </row>
    <row r="5594" spans="1:1" x14ac:dyDescent="0.2">
      <c r="A5594" s="13" t="s">
        <v>6546</v>
      </c>
    </row>
    <row r="5595" spans="1:1" x14ac:dyDescent="0.2">
      <c r="A5595" s="13" t="s">
        <v>3686</v>
      </c>
    </row>
    <row r="5596" spans="1:1" x14ac:dyDescent="0.2">
      <c r="A5596" s="13" t="s">
        <v>836</v>
      </c>
    </row>
    <row r="5597" spans="1:1" x14ac:dyDescent="0.2">
      <c r="A5597" s="13" t="s">
        <v>2209</v>
      </c>
    </row>
    <row r="5598" spans="1:1" x14ac:dyDescent="0.2">
      <c r="A5598" s="13" t="s">
        <v>2623</v>
      </c>
    </row>
    <row r="5599" spans="1:1" x14ac:dyDescent="0.2">
      <c r="A5599" s="13" t="s">
        <v>2656</v>
      </c>
    </row>
    <row r="5600" spans="1:1" x14ac:dyDescent="0.2">
      <c r="A5600" s="13" t="s">
        <v>1239</v>
      </c>
    </row>
    <row r="5601" spans="1:1" x14ac:dyDescent="0.2">
      <c r="A5601" s="13" t="s">
        <v>3399</v>
      </c>
    </row>
    <row r="5602" spans="1:1" x14ac:dyDescent="0.2">
      <c r="A5602" s="13" t="s">
        <v>646</v>
      </c>
    </row>
    <row r="5603" spans="1:1" x14ac:dyDescent="0.2">
      <c r="A5603" s="13" t="s">
        <v>2962</v>
      </c>
    </row>
    <row r="5604" spans="1:1" x14ac:dyDescent="0.2">
      <c r="A5604" s="13" t="s">
        <v>1038</v>
      </c>
    </row>
    <row r="5605" spans="1:1" x14ac:dyDescent="0.2">
      <c r="A5605" s="13" t="s">
        <v>6547</v>
      </c>
    </row>
    <row r="5606" spans="1:1" x14ac:dyDescent="0.2">
      <c r="A5606" s="13" t="s">
        <v>774</v>
      </c>
    </row>
    <row r="5607" spans="1:1" x14ac:dyDescent="0.2">
      <c r="A5607" s="13" t="s">
        <v>1313</v>
      </c>
    </row>
    <row r="5608" spans="1:1" x14ac:dyDescent="0.2">
      <c r="A5608" s="13" t="s">
        <v>2583</v>
      </c>
    </row>
    <row r="5609" spans="1:1" x14ac:dyDescent="0.2">
      <c r="A5609" s="13" t="s">
        <v>531</v>
      </c>
    </row>
    <row r="5610" spans="1:1" x14ac:dyDescent="0.2">
      <c r="A5610" s="13" t="s">
        <v>265</v>
      </c>
    </row>
    <row r="5611" spans="1:1" x14ac:dyDescent="0.2">
      <c r="A5611" s="13" t="s">
        <v>3388</v>
      </c>
    </row>
    <row r="5612" spans="1:1" x14ac:dyDescent="0.2">
      <c r="A5612" s="13" t="s">
        <v>1314</v>
      </c>
    </row>
    <row r="5613" spans="1:1" x14ac:dyDescent="0.2">
      <c r="A5613" s="13" t="s">
        <v>1659</v>
      </c>
    </row>
    <row r="5614" spans="1:1" x14ac:dyDescent="0.2">
      <c r="A5614" s="13" t="s">
        <v>1179</v>
      </c>
    </row>
    <row r="5615" spans="1:1" x14ac:dyDescent="0.2">
      <c r="A5615" s="13" t="s">
        <v>3091</v>
      </c>
    </row>
    <row r="5616" spans="1:1" x14ac:dyDescent="0.2">
      <c r="A5616" s="13" t="s">
        <v>6548</v>
      </c>
    </row>
    <row r="5617" spans="1:1" x14ac:dyDescent="0.2">
      <c r="A5617" s="13" t="s">
        <v>2692</v>
      </c>
    </row>
    <row r="5618" spans="1:1" x14ac:dyDescent="0.2">
      <c r="A5618" s="13" t="s">
        <v>6549</v>
      </c>
    </row>
    <row r="5619" spans="1:1" x14ac:dyDescent="0.2">
      <c r="A5619" s="13" t="s">
        <v>2073</v>
      </c>
    </row>
    <row r="5620" spans="1:1" x14ac:dyDescent="0.2">
      <c r="A5620" s="13" t="s">
        <v>6550</v>
      </c>
    </row>
    <row r="5621" spans="1:1" x14ac:dyDescent="0.2">
      <c r="A5621" s="13" t="s">
        <v>1228</v>
      </c>
    </row>
    <row r="5622" spans="1:1" x14ac:dyDescent="0.2">
      <c r="A5622" s="13" t="s">
        <v>2860</v>
      </c>
    </row>
    <row r="5623" spans="1:1" x14ac:dyDescent="0.2">
      <c r="A5623" s="13" t="s">
        <v>1778</v>
      </c>
    </row>
    <row r="5624" spans="1:1" x14ac:dyDescent="0.2">
      <c r="A5624" s="13" t="s">
        <v>6551</v>
      </c>
    </row>
    <row r="5625" spans="1:1" x14ac:dyDescent="0.2">
      <c r="A5625" s="13" t="s">
        <v>1123</v>
      </c>
    </row>
    <row r="5626" spans="1:1" x14ac:dyDescent="0.2">
      <c r="A5626" s="13" t="s">
        <v>6552</v>
      </c>
    </row>
    <row r="5627" spans="1:1" x14ac:dyDescent="0.2">
      <c r="A5627" s="13" t="s">
        <v>1570</v>
      </c>
    </row>
    <row r="5628" spans="1:1" x14ac:dyDescent="0.2">
      <c r="A5628" s="13" t="s">
        <v>662</v>
      </c>
    </row>
    <row r="5629" spans="1:1" x14ac:dyDescent="0.2">
      <c r="A5629" s="13" t="s">
        <v>6553</v>
      </c>
    </row>
    <row r="5630" spans="1:1" x14ac:dyDescent="0.2">
      <c r="A5630" s="13" t="s">
        <v>6554</v>
      </c>
    </row>
    <row r="5631" spans="1:1" x14ac:dyDescent="0.2">
      <c r="A5631" s="13" t="s">
        <v>6555</v>
      </c>
    </row>
    <row r="5632" spans="1:1" x14ac:dyDescent="0.2">
      <c r="A5632" s="13" t="s">
        <v>1709</v>
      </c>
    </row>
    <row r="5633" spans="1:1" x14ac:dyDescent="0.2">
      <c r="A5633" s="13" t="s">
        <v>959</v>
      </c>
    </row>
    <row r="5634" spans="1:1" x14ac:dyDescent="0.2">
      <c r="A5634" s="13" t="s">
        <v>823</v>
      </c>
    </row>
    <row r="5635" spans="1:1" x14ac:dyDescent="0.2">
      <c r="A5635" s="13" t="s">
        <v>1065</v>
      </c>
    </row>
    <row r="5636" spans="1:1" x14ac:dyDescent="0.2">
      <c r="A5636" s="13" t="s">
        <v>264</v>
      </c>
    </row>
    <row r="5637" spans="1:1" x14ac:dyDescent="0.2">
      <c r="A5637" s="13" t="s">
        <v>1998</v>
      </c>
    </row>
    <row r="5638" spans="1:1" x14ac:dyDescent="0.2">
      <c r="A5638" s="13" t="s">
        <v>3116</v>
      </c>
    </row>
    <row r="5639" spans="1:1" x14ac:dyDescent="0.2">
      <c r="A5639" s="13" t="s">
        <v>6556</v>
      </c>
    </row>
    <row r="5640" spans="1:1" x14ac:dyDescent="0.2">
      <c r="A5640" s="13" t="s">
        <v>3089</v>
      </c>
    </row>
    <row r="5641" spans="1:1" x14ac:dyDescent="0.2">
      <c r="A5641" s="13" t="s">
        <v>311</v>
      </c>
    </row>
    <row r="5642" spans="1:1" x14ac:dyDescent="0.2">
      <c r="A5642" s="13" t="s">
        <v>6557</v>
      </c>
    </row>
    <row r="5643" spans="1:1" x14ac:dyDescent="0.2">
      <c r="A5643" s="13" t="s">
        <v>3585</v>
      </c>
    </row>
    <row r="5644" spans="1:1" x14ac:dyDescent="0.2">
      <c r="A5644" s="13" t="s">
        <v>6558</v>
      </c>
    </row>
    <row r="5645" spans="1:1" x14ac:dyDescent="0.2">
      <c r="A5645" s="13" t="s">
        <v>3690</v>
      </c>
    </row>
    <row r="5646" spans="1:1" x14ac:dyDescent="0.2">
      <c r="A5646" s="13" t="s">
        <v>3833</v>
      </c>
    </row>
    <row r="5647" spans="1:1" x14ac:dyDescent="0.2">
      <c r="A5647" s="13" t="s">
        <v>852</v>
      </c>
    </row>
    <row r="5648" spans="1:1" x14ac:dyDescent="0.2">
      <c r="A5648" s="13" t="s">
        <v>1072</v>
      </c>
    </row>
    <row r="5649" spans="1:1" x14ac:dyDescent="0.2">
      <c r="A5649" s="13" t="s">
        <v>6559</v>
      </c>
    </row>
    <row r="5650" spans="1:1" x14ac:dyDescent="0.2">
      <c r="A5650" s="13" t="s">
        <v>1857</v>
      </c>
    </row>
    <row r="5651" spans="1:1" x14ac:dyDescent="0.2">
      <c r="A5651" s="13" t="s">
        <v>2010</v>
      </c>
    </row>
    <row r="5652" spans="1:1" x14ac:dyDescent="0.2">
      <c r="A5652" s="13" t="s">
        <v>6560</v>
      </c>
    </row>
    <row r="5653" spans="1:1" x14ac:dyDescent="0.2">
      <c r="A5653" s="13" t="s">
        <v>6561</v>
      </c>
    </row>
    <row r="5654" spans="1:1" x14ac:dyDescent="0.2">
      <c r="A5654" s="13" t="s">
        <v>6562</v>
      </c>
    </row>
    <row r="5655" spans="1:1" x14ac:dyDescent="0.2">
      <c r="A5655" s="13" t="s">
        <v>999</v>
      </c>
    </row>
    <row r="5656" spans="1:1" x14ac:dyDescent="0.2">
      <c r="A5656" s="13" t="s">
        <v>1862</v>
      </c>
    </row>
    <row r="5657" spans="1:1" x14ac:dyDescent="0.2">
      <c r="A5657" s="13" t="s">
        <v>6563</v>
      </c>
    </row>
    <row r="5658" spans="1:1" x14ac:dyDescent="0.2">
      <c r="A5658" s="13" t="s">
        <v>6564</v>
      </c>
    </row>
    <row r="5659" spans="1:1" x14ac:dyDescent="0.2">
      <c r="A5659" s="13" t="s">
        <v>2850</v>
      </c>
    </row>
    <row r="5660" spans="1:1" x14ac:dyDescent="0.2">
      <c r="A5660" s="13" t="s">
        <v>1238</v>
      </c>
    </row>
    <row r="5661" spans="1:1" x14ac:dyDescent="0.2">
      <c r="A5661" s="13" t="s">
        <v>1000</v>
      </c>
    </row>
    <row r="5662" spans="1:1" x14ac:dyDescent="0.2">
      <c r="A5662" s="13" t="s">
        <v>1518</v>
      </c>
    </row>
    <row r="5663" spans="1:1" x14ac:dyDescent="0.2">
      <c r="A5663" s="13" t="s">
        <v>6565</v>
      </c>
    </row>
    <row r="5664" spans="1:1" x14ac:dyDescent="0.2">
      <c r="A5664" s="13" t="s">
        <v>581</v>
      </c>
    </row>
    <row r="5665" spans="1:1" x14ac:dyDescent="0.2">
      <c r="A5665" s="13" t="s">
        <v>3907</v>
      </c>
    </row>
    <row r="5666" spans="1:1" x14ac:dyDescent="0.2">
      <c r="A5666" s="13" t="s">
        <v>3293</v>
      </c>
    </row>
    <row r="5667" spans="1:1" x14ac:dyDescent="0.2">
      <c r="A5667" s="13" t="s">
        <v>6566</v>
      </c>
    </row>
    <row r="5668" spans="1:1" x14ac:dyDescent="0.2">
      <c r="A5668" s="13" t="s">
        <v>3109</v>
      </c>
    </row>
    <row r="5669" spans="1:1" x14ac:dyDescent="0.2">
      <c r="A5669" s="13" t="s">
        <v>1973</v>
      </c>
    </row>
    <row r="5670" spans="1:1" x14ac:dyDescent="0.2">
      <c r="A5670" s="13" t="s">
        <v>6567</v>
      </c>
    </row>
    <row r="5671" spans="1:1" x14ac:dyDescent="0.2">
      <c r="A5671" s="13" t="s">
        <v>1755</v>
      </c>
    </row>
    <row r="5672" spans="1:1" x14ac:dyDescent="0.2">
      <c r="A5672" s="13" t="s">
        <v>1832</v>
      </c>
    </row>
    <row r="5673" spans="1:1" x14ac:dyDescent="0.2">
      <c r="A5673" s="13" t="s">
        <v>1708</v>
      </c>
    </row>
    <row r="5674" spans="1:1" x14ac:dyDescent="0.2">
      <c r="A5674" s="13" t="s">
        <v>6568</v>
      </c>
    </row>
    <row r="5675" spans="1:1" x14ac:dyDescent="0.2">
      <c r="A5675" s="13" t="s">
        <v>309</v>
      </c>
    </row>
    <row r="5676" spans="1:1" x14ac:dyDescent="0.2">
      <c r="A5676" s="13" t="s">
        <v>530</v>
      </c>
    </row>
    <row r="5677" spans="1:1" x14ac:dyDescent="0.2">
      <c r="A5677" s="13" t="s">
        <v>3280</v>
      </c>
    </row>
    <row r="5678" spans="1:1" x14ac:dyDescent="0.2">
      <c r="A5678" s="13" t="s">
        <v>2288</v>
      </c>
    </row>
    <row r="5679" spans="1:1" x14ac:dyDescent="0.2">
      <c r="A5679" s="13" t="s">
        <v>6569</v>
      </c>
    </row>
    <row r="5680" spans="1:1" x14ac:dyDescent="0.2">
      <c r="A5680" s="13" t="s">
        <v>6570</v>
      </c>
    </row>
    <row r="5681" spans="1:1" x14ac:dyDescent="0.2">
      <c r="A5681" s="13" t="s">
        <v>3628</v>
      </c>
    </row>
    <row r="5682" spans="1:1" x14ac:dyDescent="0.2">
      <c r="A5682" s="13" t="s">
        <v>2083</v>
      </c>
    </row>
    <row r="5683" spans="1:1" x14ac:dyDescent="0.2">
      <c r="A5683" s="13" t="s">
        <v>6571</v>
      </c>
    </row>
    <row r="5684" spans="1:1" x14ac:dyDescent="0.2">
      <c r="A5684" s="13" t="s">
        <v>2205</v>
      </c>
    </row>
    <row r="5685" spans="1:1" x14ac:dyDescent="0.2">
      <c r="A5685" s="13" t="s">
        <v>1115</v>
      </c>
    </row>
    <row r="5686" spans="1:1" x14ac:dyDescent="0.2">
      <c r="A5686" s="13" t="s">
        <v>2367</v>
      </c>
    </row>
    <row r="5687" spans="1:1" x14ac:dyDescent="0.2">
      <c r="A5687" s="13" t="s">
        <v>613</v>
      </c>
    </row>
    <row r="5688" spans="1:1" x14ac:dyDescent="0.2">
      <c r="A5688" s="13" t="s">
        <v>1820</v>
      </c>
    </row>
    <row r="5689" spans="1:1" x14ac:dyDescent="0.2">
      <c r="A5689" s="13" t="s">
        <v>6572</v>
      </c>
    </row>
    <row r="5690" spans="1:1" x14ac:dyDescent="0.2">
      <c r="A5690" s="13" t="s">
        <v>244</v>
      </c>
    </row>
    <row r="5691" spans="1:1" x14ac:dyDescent="0.2">
      <c r="A5691" s="13" t="s">
        <v>6573</v>
      </c>
    </row>
    <row r="5692" spans="1:1" x14ac:dyDescent="0.2">
      <c r="A5692" s="13" t="s">
        <v>1427</v>
      </c>
    </row>
    <row r="5693" spans="1:1" x14ac:dyDescent="0.2">
      <c r="A5693" s="13" t="s">
        <v>3246</v>
      </c>
    </row>
    <row r="5694" spans="1:1" x14ac:dyDescent="0.2">
      <c r="A5694" s="13" t="s">
        <v>1600</v>
      </c>
    </row>
    <row r="5695" spans="1:1" x14ac:dyDescent="0.2">
      <c r="A5695" s="13" t="s">
        <v>3139</v>
      </c>
    </row>
    <row r="5696" spans="1:1" x14ac:dyDescent="0.2">
      <c r="A5696" s="13" t="s">
        <v>4082</v>
      </c>
    </row>
    <row r="5697" spans="1:1" x14ac:dyDescent="0.2">
      <c r="A5697" s="13" t="s">
        <v>504</v>
      </c>
    </row>
    <row r="5698" spans="1:1" x14ac:dyDescent="0.2">
      <c r="A5698" s="13" t="s">
        <v>6574</v>
      </c>
    </row>
    <row r="5699" spans="1:1" x14ac:dyDescent="0.2">
      <c r="A5699" s="13" t="s">
        <v>526</v>
      </c>
    </row>
    <row r="5700" spans="1:1" x14ac:dyDescent="0.2">
      <c r="A5700" s="13" t="s">
        <v>6575</v>
      </c>
    </row>
    <row r="5701" spans="1:1" x14ac:dyDescent="0.2">
      <c r="A5701" s="13" t="s">
        <v>2552</v>
      </c>
    </row>
    <row r="5702" spans="1:1" x14ac:dyDescent="0.2">
      <c r="A5702" s="13" t="s">
        <v>6576</v>
      </c>
    </row>
    <row r="5703" spans="1:1" x14ac:dyDescent="0.2">
      <c r="A5703" s="13" t="s">
        <v>6577</v>
      </c>
    </row>
    <row r="5704" spans="1:1" x14ac:dyDescent="0.2">
      <c r="A5704" s="13" t="s">
        <v>924</v>
      </c>
    </row>
    <row r="5705" spans="1:1" x14ac:dyDescent="0.2">
      <c r="A5705" s="13" t="s">
        <v>6578</v>
      </c>
    </row>
    <row r="5706" spans="1:1" x14ac:dyDescent="0.2">
      <c r="A5706" s="13" t="s">
        <v>6579</v>
      </c>
    </row>
    <row r="5707" spans="1:1" x14ac:dyDescent="0.2">
      <c r="A5707" s="13" t="s">
        <v>2488</v>
      </c>
    </row>
    <row r="5708" spans="1:1" x14ac:dyDescent="0.2">
      <c r="A5708" s="13" t="s">
        <v>6580</v>
      </c>
    </row>
    <row r="5709" spans="1:1" x14ac:dyDescent="0.2">
      <c r="A5709" s="13" t="s">
        <v>6581</v>
      </c>
    </row>
    <row r="5710" spans="1:1" x14ac:dyDescent="0.2">
      <c r="A5710" s="13" t="s">
        <v>6582</v>
      </c>
    </row>
    <row r="5711" spans="1:1" x14ac:dyDescent="0.2">
      <c r="A5711" s="13" t="s">
        <v>6583</v>
      </c>
    </row>
    <row r="5712" spans="1:1" x14ac:dyDescent="0.2">
      <c r="A5712" s="13" t="s">
        <v>1433</v>
      </c>
    </row>
    <row r="5713" spans="1:1" x14ac:dyDescent="0.2">
      <c r="A5713" s="13" t="s">
        <v>2252</v>
      </c>
    </row>
    <row r="5714" spans="1:1" x14ac:dyDescent="0.2">
      <c r="A5714" s="13" t="s">
        <v>6584</v>
      </c>
    </row>
    <row r="5715" spans="1:1" x14ac:dyDescent="0.2">
      <c r="A5715" s="13" t="s">
        <v>2051</v>
      </c>
    </row>
    <row r="5716" spans="1:1" x14ac:dyDescent="0.2">
      <c r="A5716" s="13" t="s">
        <v>4176</v>
      </c>
    </row>
    <row r="5717" spans="1:1" x14ac:dyDescent="0.2">
      <c r="A5717" s="13" t="s">
        <v>6585</v>
      </c>
    </row>
    <row r="5718" spans="1:1" x14ac:dyDescent="0.2">
      <c r="A5718" s="13" t="s">
        <v>3154</v>
      </c>
    </row>
    <row r="5719" spans="1:1" x14ac:dyDescent="0.2">
      <c r="A5719" s="13" t="s">
        <v>2314</v>
      </c>
    </row>
    <row r="5720" spans="1:1" x14ac:dyDescent="0.2">
      <c r="A5720" s="13" t="s">
        <v>1598</v>
      </c>
    </row>
    <row r="5721" spans="1:1" x14ac:dyDescent="0.2">
      <c r="A5721" s="13" t="s">
        <v>6586</v>
      </c>
    </row>
    <row r="5722" spans="1:1" x14ac:dyDescent="0.2">
      <c r="A5722" s="13" t="s">
        <v>6587</v>
      </c>
    </row>
    <row r="5723" spans="1:1" x14ac:dyDescent="0.2">
      <c r="A5723" s="13" t="s">
        <v>1925</v>
      </c>
    </row>
    <row r="5724" spans="1:1" x14ac:dyDescent="0.2">
      <c r="A5724" s="13" t="s">
        <v>246</v>
      </c>
    </row>
    <row r="5725" spans="1:1" x14ac:dyDescent="0.2">
      <c r="A5725" s="13" t="s">
        <v>2095</v>
      </c>
    </row>
    <row r="5726" spans="1:1" x14ac:dyDescent="0.2">
      <c r="A5726" s="13" t="s">
        <v>751</v>
      </c>
    </row>
    <row r="5727" spans="1:1" x14ac:dyDescent="0.2">
      <c r="A5727" s="13" t="s">
        <v>3708</v>
      </c>
    </row>
    <row r="5728" spans="1:1" x14ac:dyDescent="0.2">
      <c r="A5728" s="13" t="s">
        <v>773</v>
      </c>
    </row>
    <row r="5729" spans="1:1" x14ac:dyDescent="0.2">
      <c r="A5729" s="13" t="s">
        <v>723</v>
      </c>
    </row>
    <row r="5730" spans="1:1" x14ac:dyDescent="0.2">
      <c r="A5730" s="13" t="s">
        <v>3795</v>
      </c>
    </row>
    <row r="5731" spans="1:1" x14ac:dyDescent="0.2">
      <c r="A5731" s="13" t="s">
        <v>384</v>
      </c>
    </row>
    <row r="5732" spans="1:1" x14ac:dyDescent="0.2">
      <c r="A5732" s="13" t="s">
        <v>6588</v>
      </c>
    </row>
    <row r="5733" spans="1:1" x14ac:dyDescent="0.2">
      <c r="A5733" s="13" t="s">
        <v>6589</v>
      </c>
    </row>
    <row r="5734" spans="1:1" x14ac:dyDescent="0.2">
      <c r="A5734" s="13" t="s">
        <v>1450</v>
      </c>
    </row>
    <row r="5735" spans="1:1" x14ac:dyDescent="0.2">
      <c r="A5735" s="13" t="s">
        <v>6590</v>
      </c>
    </row>
    <row r="5736" spans="1:1" x14ac:dyDescent="0.2">
      <c r="A5736" s="13" t="s">
        <v>812</v>
      </c>
    </row>
    <row r="5737" spans="1:1" x14ac:dyDescent="0.2">
      <c r="A5737" s="13" t="s">
        <v>6591</v>
      </c>
    </row>
    <row r="5738" spans="1:1" x14ac:dyDescent="0.2">
      <c r="A5738" s="13" t="s">
        <v>2244</v>
      </c>
    </row>
    <row r="5739" spans="1:1" x14ac:dyDescent="0.2">
      <c r="A5739" s="13" t="s">
        <v>6592</v>
      </c>
    </row>
    <row r="5740" spans="1:1" x14ac:dyDescent="0.2">
      <c r="A5740" s="13" t="s">
        <v>6593</v>
      </c>
    </row>
    <row r="5741" spans="1:1" x14ac:dyDescent="0.2">
      <c r="A5741" s="13" t="s">
        <v>6594</v>
      </c>
    </row>
    <row r="5742" spans="1:1" x14ac:dyDescent="0.2">
      <c r="A5742" s="13" t="s">
        <v>3115</v>
      </c>
    </row>
    <row r="5743" spans="1:1" x14ac:dyDescent="0.2">
      <c r="A5743" s="13" t="s">
        <v>186</v>
      </c>
    </row>
    <row r="5744" spans="1:1" x14ac:dyDescent="0.2">
      <c r="A5744" s="13" t="s">
        <v>6595</v>
      </c>
    </row>
    <row r="5745" spans="1:1" x14ac:dyDescent="0.2">
      <c r="A5745" s="13" t="s">
        <v>258</v>
      </c>
    </row>
    <row r="5746" spans="1:1" x14ac:dyDescent="0.2">
      <c r="A5746" s="13" t="s">
        <v>2728</v>
      </c>
    </row>
    <row r="5747" spans="1:1" x14ac:dyDescent="0.2">
      <c r="A5747" s="13" t="s">
        <v>294</v>
      </c>
    </row>
    <row r="5748" spans="1:1" x14ac:dyDescent="0.2">
      <c r="A5748" s="13" t="s">
        <v>2750</v>
      </c>
    </row>
    <row r="5749" spans="1:1" x14ac:dyDescent="0.2">
      <c r="A5749" s="13" t="s">
        <v>3567</v>
      </c>
    </row>
    <row r="5750" spans="1:1" x14ac:dyDescent="0.2">
      <c r="A5750" s="13" t="s">
        <v>6596</v>
      </c>
    </row>
    <row r="5751" spans="1:1" x14ac:dyDescent="0.2">
      <c r="A5751" s="13" t="s">
        <v>3507</v>
      </c>
    </row>
    <row r="5752" spans="1:1" x14ac:dyDescent="0.2">
      <c r="A5752" s="13" t="s">
        <v>1841</v>
      </c>
    </row>
    <row r="5753" spans="1:1" x14ac:dyDescent="0.2">
      <c r="A5753" s="13" t="s">
        <v>2844</v>
      </c>
    </row>
    <row r="5754" spans="1:1" x14ac:dyDescent="0.2">
      <c r="A5754" s="13" t="s">
        <v>6597</v>
      </c>
    </row>
    <row r="5755" spans="1:1" x14ac:dyDescent="0.2">
      <c r="A5755" s="13" t="s">
        <v>2584</v>
      </c>
    </row>
    <row r="5756" spans="1:1" x14ac:dyDescent="0.2">
      <c r="A5756" s="13" t="s">
        <v>2280</v>
      </c>
    </row>
    <row r="5757" spans="1:1" x14ac:dyDescent="0.2">
      <c r="A5757" s="13" t="s">
        <v>2352</v>
      </c>
    </row>
    <row r="5758" spans="1:1" x14ac:dyDescent="0.2">
      <c r="A5758" s="13" t="s">
        <v>1523</v>
      </c>
    </row>
    <row r="5759" spans="1:1" x14ac:dyDescent="0.2">
      <c r="A5759" s="13" t="s">
        <v>2160</v>
      </c>
    </row>
    <row r="5760" spans="1:1" x14ac:dyDescent="0.2">
      <c r="A5760" s="13" t="s">
        <v>2092</v>
      </c>
    </row>
    <row r="5761" spans="1:1" x14ac:dyDescent="0.2">
      <c r="A5761" s="13" t="s">
        <v>881</v>
      </c>
    </row>
    <row r="5762" spans="1:1" x14ac:dyDescent="0.2">
      <c r="A5762" s="13" t="s">
        <v>4074</v>
      </c>
    </row>
    <row r="5763" spans="1:1" x14ac:dyDescent="0.2">
      <c r="A5763" s="13" t="s">
        <v>1735</v>
      </c>
    </row>
    <row r="5764" spans="1:1" x14ac:dyDescent="0.2">
      <c r="A5764" s="13" t="s">
        <v>6598</v>
      </c>
    </row>
    <row r="5765" spans="1:1" x14ac:dyDescent="0.2">
      <c r="A5765" s="13" t="s">
        <v>2876</v>
      </c>
    </row>
    <row r="5766" spans="1:1" x14ac:dyDescent="0.2">
      <c r="A5766" s="13" t="s">
        <v>225</v>
      </c>
    </row>
    <row r="5767" spans="1:1" x14ac:dyDescent="0.2">
      <c r="A5767" s="13" t="s">
        <v>2446</v>
      </c>
    </row>
    <row r="5768" spans="1:1" x14ac:dyDescent="0.2">
      <c r="A5768" s="13" t="s">
        <v>847</v>
      </c>
    </row>
    <row r="5769" spans="1:1" x14ac:dyDescent="0.2">
      <c r="A5769" s="13" t="s">
        <v>1698</v>
      </c>
    </row>
    <row r="5770" spans="1:1" x14ac:dyDescent="0.2">
      <c r="A5770" s="13" t="s">
        <v>6599</v>
      </c>
    </row>
    <row r="5771" spans="1:1" x14ac:dyDescent="0.2">
      <c r="A5771" s="13" t="s">
        <v>3276</v>
      </c>
    </row>
    <row r="5772" spans="1:1" x14ac:dyDescent="0.2">
      <c r="A5772" s="13" t="s">
        <v>722</v>
      </c>
    </row>
    <row r="5773" spans="1:1" x14ac:dyDescent="0.2">
      <c r="A5773" s="13" t="s">
        <v>282</v>
      </c>
    </row>
    <row r="5774" spans="1:1" x14ac:dyDescent="0.2">
      <c r="A5774" s="13" t="s">
        <v>2228</v>
      </c>
    </row>
    <row r="5775" spans="1:1" x14ac:dyDescent="0.2">
      <c r="A5775" s="13" t="s">
        <v>252</v>
      </c>
    </row>
    <row r="5776" spans="1:1" x14ac:dyDescent="0.2">
      <c r="A5776" s="13" t="s">
        <v>2066</v>
      </c>
    </row>
    <row r="5777" spans="1:1" x14ac:dyDescent="0.2">
      <c r="A5777" s="13" t="s">
        <v>1625</v>
      </c>
    </row>
    <row r="5778" spans="1:1" x14ac:dyDescent="0.2">
      <c r="A5778" s="13" t="s">
        <v>2562</v>
      </c>
    </row>
    <row r="5779" spans="1:1" x14ac:dyDescent="0.2">
      <c r="A5779" s="13" t="s">
        <v>2411</v>
      </c>
    </row>
    <row r="5780" spans="1:1" x14ac:dyDescent="0.2">
      <c r="A5780" s="13" t="s">
        <v>6600</v>
      </c>
    </row>
    <row r="5781" spans="1:1" x14ac:dyDescent="0.2">
      <c r="A5781" s="13" t="s">
        <v>3162</v>
      </c>
    </row>
    <row r="5782" spans="1:1" x14ac:dyDescent="0.2">
      <c r="A5782" s="13" t="s">
        <v>6601</v>
      </c>
    </row>
    <row r="5783" spans="1:1" x14ac:dyDescent="0.2">
      <c r="A5783" s="13" t="s">
        <v>1059</v>
      </c>
    </row>
    <row r="5784" spans="1:1" x14ac:dyDescent="0.2">
      <c r="A5784" s="13" t="s">
        <v>641</v>
      </c>
    </row>
    <row r="5785" spans="1:1" x14ac:dyDescent="0.2">
      <c r="A5785" s="13" t="s">
        <v>6602</v>
      </c>
    </row>
    <row r="5786" spans="1:1" x14ac:dyDescent="0.2">
      <c r="A5786" s="13" t="s">
        <v>2186</v>
      </c>
    </row>
    <row r="5787" spans="1:1" x14ac:dyDescent="0.2">
      <c r="A5787" s="13" t="s">
        <v>174</v>
      </c>
    </row>
    <row r="5788" spans="1:1" x14ac:dyDescent="0.2">
      <c r="A5788" s="13" t="s">
        <v>6603</v>
      </c>
    </row>
    <row r="5789" spans="1:1" x14ac:dyDescent="0.2">
      <c r="A5789" s="13" t="s">
        <v>2342</v>
      </c>
    </row>
    <row r="5790" spans="1:1" x14ac:dyDescent="0.2">
      <c r="A5790" s="13" t="s">
        <v>3442</v>
      </c>
    </row>
    <row r="5791" spans="1:1" x14ac:dyDescent="0.2">
      <c r="A5791" s="13" t="s">
        <v>6604</v>
      </c>
    </row>
    <row r="5792" spans="1:1" x14ac:dyDescent="0.2">
      <c r="A5792" s="13" t="s">
        <v>6605</v>
      </c>
    </row>
    <row r="5793" spans="1:1" x14ac:dyDescent="0.2">
      <c r="A5793" s="13" t="s">
        <v>1451</v>
      </c>
    </row>
    <row r="5794" spans="1:1" x14ac:dyDescent="0.2">
      <c r="A5794" s="13" t="s">
        <v>1261</v>
      </c>
    </row>
    <row r="5795" spans="1:1" x14ac:dyDescent="0.2">
      <c r="A5795" s="13" t="s">
        <v>1540</v>
      </c>
    </row>
    <row r="5796" spans="1:1" x14ac:dyDescent="0.2">
      <c r="A5796" s="13" t="s">
        <v>6606</v>
      </c>
    </row>
    <row r="5797" spans="1:1" x14ac:dyDescent="0.2">
      <c r="A5797" s="13" t="s">
        <v>6607</v>
      </c>
    </row>
    <row r="5798" spans="1:1" x14ac:dyDescent="0.2">
      <c r="A5798" s="13" t="s">
        <v>6608</v>
      </c>
    </row>
    <row r="5799" spans="1:1" x14ac:dyDescent="0.2">
      <c r="A5799" s="13" t="s">
        <v>6609</v>
      </c>
    </row>
    <row r="5800" spans="1:1" x14ac:dyDescent="0.2">
      <c r="A5800" s="13" t="s">
        <v>3754</v>
      </c>
    </row>
    <row r="5801" spans="1:1" x14ac:dyDescent="0.2">
      <c r="A5801" s="13" t="s">
        <v>2601</v>
      </c>
    </row>
    <row r="5802" spans="1:1" x14ac:dyDescent="0.2">
      <c r="A5802" s="13" t="s">
        <v>4144</v>
      </c>
    </row>
    <row r="5803" spans="1:1" x14ac:dyDescent="0.2">
      <c r="A5803" s="13" t="s">
        <v>172</v>
      </c>
    </row>
    <row r="5804" spans="1:1" x14ac:dyDescent="0.2">
      <c r="A5804" s="13" t="s">
        <v>6610</v>
      </c>
    </row>
    <row r="5805" spans="1:1" x14ac:dyDescent="0.2">
      <c r="A5805" s="13" t="s">
        <v>4068</v>
      </c>
    </row>
    <row r="5806" spans="1:1" x14ac:dyDescent="0.2">
      <c r="A5806" s="13" t="s">
        <v>1855</v>
      </c>
    </row>
    <row r="5807" spans="1:1" x14ac:dyDescent="0.2">
      <c r="A5807" s="13" t="s">
        <v>1813</v>
      </c>
    </row>
    <row r="5808" spans="1:1" x14ac:dyDescent="0.2">
      <c r="A5808" s="13" t="s">
        <v>6611</v>
      </c>
    </row>
    <row r="5809" spans="1:1" x14ac:dyDescent="0.2">
      <c r="A5809" s="13" t="s">
        <v>4042</v>
      </c>
    </row>
    <row r="5810" spans="1:1" x14ac:dyDescent="0.2">
      <c r="A5810" s="13" t="s">
        <v>2892</v>
      </c>
    </row>
    <row r="5811" spans="1:1" x14ac:dyDescent="0.2">
      <c r="A5811" s="13" t="s">
        <v>1212</v>
      </c>
    </row>
    <row r="5812" spans="1:1" x14ac:dyDescent="0.2">
      <c r="A5812" s="13" t="s">
        <v>6612</v>
      </c>
    </row>
    <row r="5813" spans="1:1" x14ac:dyDescent="0.2">
      <c r="A5813" s="13" t="s">
        <v>6613</v>
      </c>
    </row>
    <row r="5814" spans="1:1" x14ac:dyDescent="0.2">
      <c r="A5814" s="13" t="s">
        <v>2020</v>
      </c>
    </row>
    <row r="5815" spans="1:1" x14ac:dyDescent="0.2">
      <c r="A5815" s="13" t="s">
        <v>1713</v>
      </c>
    </row>
    <row r="5816" spans="1:1" x14ac:dyDescent="0.2">
      <c r="A5816" s="13" t="s">
        <v>6614</v>
      </c>
    </row>
    <row r="5817" spans="1:1" x14ac:dyDescent="0.2">
      <c r="A5817" s="13" t="s">
        <v>425</v>
      </c>
    </row>
    <row r="5818" spans="1:1" x14ac:dyDescent="0.2">
      <c r="A5818" s="13" t="s">
        <v>1792</v>
      </c>
    </row>
    <row r="5819" spans="1:1" x14ac:dyDescent="0.2">
      <c r="A5819" s="13" t="s">
        <v>1221</v>
      </c>
    </row>
    <row r="5820" spans="1:1" x14ac:dyDescent="0.2">
      <c r="A5820" s="13" t="s">
        <v>6615</v>
      </c>
    </row>
    <row r="5821" spans="1:1" x14ac:dyDescent="0.2">
      <c r="A5821" s="13" t="s">
        <v>1870</v>
      </c>
    </row>
    <row r="5822" spans="1:1" x14ac:dyDescent="0.2">
      <c r="A5822" s="13" t="s">
        <v>442</v>
      </c>
    </row>
    <row r="5823" spans="1:1" x14ac:dyDescent="0.2">
      <c r="A5823" s="13" t="s">
        <v>903</v>
      </c>
    </row>
    <row r="5824" spans="1:1" x14ac:dyDescent="0.2">
      <c r="A5824" s="13" t="s">
        <v>6616</v>
      </c>
    </row>
    <row r="5825" spans="1:1" x14ac:dyDescent="0.2">
      <c r="A5825" s="13" t="s">
        <v>3685</v>
      </c>
    </row>
    <row r="5826" spans="1:1" x14ac:dyDescent="0.2">
      <c r="A5826" s="13" t="s">
        <v>392</v>
      </c>
    </row>
    <row r="5827" spans="1:1" x14ac:dyDescent="0.2">
      <c r="A5827" s="13" t="s">
        <v>6617</v>
      </c>
    </row>
    <row r="5828" spans="1:1" x14ac:dyDescent="0.2">
      <c r="A5828" s="13" t="s">
        <v>3979</v>
      </c>
    </row>
    <row r="5829" spans="1:1" x14ac:dyDescent="0.2">
      <c r="A5829" s="13" t="s">
        <v>3010</v>
      </c>
    </row>
    <row r="5830" spans="1:1" x14ac:dyDescent="0.2">
      <c r="A5830" s="13" t="s">
        <v>2214</v>
      </c>
    </row>
    <row r="5831" spans="1:1" x14ac:dyDescent="0.2">
      <c r="A5831" s="13" t="s">
        <v>1814</v>
      </c>
    </row>
    <row r="5832" spans="1:1" x14ac:dyDescent="0.2">
      <c r="A5832" s="13" t="s">
        <v>6618</v>
      </c>
    </row>
    <row r="5833" spans="1:1" x14ac:dyDescent="0.2">
      <c r="A5833" s="13" t="s">
        <v>695</v>
      </c>
    </row>
    <row r="5834" spans="1:1" x14ac:dyDescent="0.2">
      <c r="A5834" s="13" t="s">
        <v>3391</v>
      </c>
    </row>
    <row r="5835" spans="1:1" x14ac:dyDescent="0.2">
      <c r="A5835" s="13" t="s">
        <v>1284</v>
      </c>
    </row>
    <row r="5836" spans="1:1" x14ac:dyDescent="0.2">
      <c r="A5836" s="13" t="s">
        <v>2506</v>
      </c>
    </row>
    <row r="5837" spans="1:1" x14ac:dyDescent="0.2">
      <c r="A5837" s="13" t="s">
        <v>1305</v>
      </c>
    </row>
    <row r="5838" spans="1:1" x14ac:dyDescent="0.2">
      <c r="A5838" s="13" t="s">
        <v>6619</v>
      </c>
    </row>
    <row r="5839" spans="1:1" x14ac:dyDescent="0.2">
      <c r="A5839" s="13" t="s">
        <v>2545</v>
      </c>
    </row>
    <row r="5840" spans="1:1" x14ac:dyDescent="0.2">
      <c r="A5840" s="13" t="s">
        <v>3853</v>
      </c>
    </row>
    <row r="5841" spans="1:1" x14ac:dyDescent="0.2">
      <c r="A5841" s="13" t="s">
        <v>2346</v>
      </c>
    </row>
    <row r="5842" spans="1:1" x14ac:dyDescent="0.2">
      <c r="A5842" s="13" t="s">
        <v>6620</v>
      </c>
    </row>
    <row r="5843" spans="1:1" x14ac:dyDescent="0.2">
      <c r="A5843" s="13" t="s">
        <v>2647</v>
      </c>
    </row>
    <row r="5844" spans="1:1" x14ac:dyDescent="0.2">
      <c r="A5844" s="13" t="s">
        <v>3419</v>
      </c>
    </row>
    <row r="5845" spans="1:1" x14ac:dyDescent="0.2">
      <c r="A5845" s="13" t="s">
        <v>1353</v>
      </c>
    </row>
    <row r="5846" spans="1:1" x14ac:dyDescent="0.2">
      <c r="A5846" s="13" t="s">
        <v>6621</v>
      </c>
    </row>
    <row r="5847" spans="1:1" x14ac:dyDescent="0.2">
      <c r="A5847" s="13" t="s">
        <v>6622</v>
      </c>
    </row>
    <row r="5848" spans="1:1" x14ac:dyDescent="0.2">
      <c r="A5848" s="13" t="s">
        <v>6623</v>
      </c>
    </row>
    <row r="5849" spans="1:1" x14ac:dyDescent="0.2">
      <c r="A5849" s="13" t="s">
        <v>519</v>
      </c>
    </row>
    <row r="5850" spans="1:1" x14ac:dyDescent="0.2">
      <c r="A5850" s="13" t="s">
        <v>6624</v>
      </c>
    </row>
    <row r="5851" spans="1:1" x14ac:dyDescent="0.2">
      <c r="A5851" s="13" t="s">
        <v>3937</v>
      </c>
    </row>
    <row r="5852" spans="1:1" x14ac:dyDescent="0.2">
      <c r="A5852" s="13" t="s">
        <v>6625</v>
      </c>
    </row>
    <row r="5853" spans="1:1" x14ac:dyDescent="0.2">
      <c r="A5853" s="13" t="s">
        <v>725</v>
      </c>
    </row>
    <row r="5854" spans="1:1" x14ac:dyDescent="0.2">
      <c r="A5854" s="13" t="s">
        <v>6626</v>
      </c>
    </row>
    <row r="5855" spans="1:1" x14ac:dyDescent="0.2">
      <c r="A5855" s="13" t="s">
        <v>6627</v>
      </c>
    </row>
    <row r="5856" spans="1:1" x14ac:dyDescent="0.2">
      <c r="A5856" s="13" t="s">
        <v>2212</v>
      </c>
    </row>
    <row r="5857" spans="1:1" x14ac:dyDescent="0.2">
      <c r="A5857" s="13" t="s">
        <v>3982</v>
      </c>
    </row>
    <row r="5858" spans="1:1" x14ac:dyDescent="0.2">
      <c r="A5858" s="13" t="s">
        <v>6628</v>
      </c>
    </row>
    <row r="5859" spans="1:1" x14ac:dyDescent="0.2">
      <c r="A5859" s="13" t="s">
        <v>1579</v>
      </c>
    </row>
    <row r="5860" spans="1:1" x14ac:dyDescent="0.2">
      <c r="A5860" s="13" t="s">
        <v>6629</v>
      </c>
    </row>
    <row r="5861" spans="1:1" x14ac:dyDescent="0.2">
      <c r="A5861" s="13" t="s">
        <v>2834</v>
      </c>
    </row>
    <row r="5862" spans="1:1" x14ac:dyDescent="0.2">
      <c r="A5862" s="13" t="s">
        <v>2206</v>
      </c>
    </row>
    <row r="5863" spans="1:1" x14ac:dyDescent="0.2">
      <c r="A5863" s="13" t="s">
        <v>6630</v>
      </c>
    </row>
    <row r="5864" spans="1:1" x14ac:dyDescent="0.2">
      <c r="A5864" s="13" t="s">
        <v>6631</v>
      </c>
    </row>
    <row r="5865" spans="1:1" x14ac:dyDescent="0.2">
      <c r="A5865" s="13" t="s">
        <v>1286</v>
      </c>
    </row>
    <row r="5866" spans="1:1" x14ac:dyDescent="0.2">
      <c r="A5866" s="13" t="s">
        <v>1911</v>
      </c>
    </row>
    <row r="5867" spans="1:1" x14ac:dyDescent="0.2">
      <c r="A5867" s="13" t="s">
        <v>2109</v>
      </c>
    </row>
    <row r="5868" spans="1:1" x14ac:dyDescent="0.2">
      <c r="A5868" s="13" t="s">
        <v>2539</v>
      </c>
    </row>
    <row r="5869" spans="1:1" x14ac:dyDescent="0.2">
      <c r="A5869" s="13" t="s">
        <v>1705</v>
      </c>
    </row>
    <row r="5870" spans="1:1" x14ac:dyDescent="0.2">
      <c r="A5870" s="13" t="s">
        <v>1412</v>
      </c>
    </row>
    <row r="5871" spans="1:1" x14ac:dyDescent="0.2">
      <c r="A5871" s="13" t="s">
        <v>525</v>
      </c>
    </row>
    <row r="5872" spans="1:1" x14ac:dyDescent="0.2">
      <c r="A5872" s="13" t="s">
        <v>2208</v>
      </c>
    </row>
    <row r="5873" spans="1:1" x14ac:dyDescent="0.2">
      <c r="A5873" s="13" t="s">
        <v>3617</v>
      </c>
    </row>
    <row r="5874" spans="1:1" x14ac:dyDescent="0.2">
      <c r="A5874" s="13" t="s">
        <v>6632</v>
      </c>
    </row>
    <row r="5875" spans="1:1" x14ac:dyDescent="0.2">
      <c r="A5875" s="13" t="s">
        <v>2828</v>
      </c>
    </row>
    <row r="5876" spans="1:1" x14ac:dyDescent="0.2">
      <c r="A5876" s="13" t="s">
        <v>6633</v>
      </c>
    </row>
    <row r="5877" spans="1:1" x14ac:dyDescent="0.2">
      <c r="A5877" s="13" t="s">
        <v>1561</v>
      </c>
    </row>
    <row r="5878" spans="1:1" x14ac:dyDescent="0.2">
      <c r="A5878" s="13" t="s">
        <v>166</v>
      </c>
    </row>
    <row r="5879" spans="1:1" x14ac:dyDescent="0.2">
      <c r="A5879" s="13" t="s">
        <v>1111</v>
      </c>
    </row>
    <row r="5880" spans="1:1" x14ac:dyDescent="0.2">
      <c r="A5880" s="13" t="s">
        <v>6634</v>
      </c>
    </row>
    <row r="5881" spans="1:1" x14ac:dyDescent="0.2">
      <c r="A5881" s="13" t="s">
        <v>6635</v>
      </c>
    </row>
    <row r="5882" spans="1:1" x14ac:dyDescent="0.2">
      <c r="A5882" s="13" t="s">
        <v>2094</v>
      </c>
    </row>
    <row r="5883" spans="1:1" x14ac:dyDescent="0.2">
      <c r="A5883" s="13" t="s">
        <v>6636</v>
      </c>
    </row>
    <row r="5884" spans="1:1" x14ac:dyDescent="0.2">
      <c r="A5884" s="13" t="s">
        <v>3338</v>
      </c>
    </row>
    <row r="5885" spans="1:1" x14ac:dyDescent="0.2">
      <c r="A5885" s="13" t="s">
        <v>305</v>
      </c>
    </row>
    <row r="5886" spans="1:1" x14ac:dyDescent="0.2">
      <c r="A5886" s="13" t="s">
        <v>6637</v>
      </c>
    </row>
    <row r="5887" spans="1:1" x14ac:dyDescent="0.2">
      <c r="A5887" s="13" t="s">
        <v>1003</v>
      </c>
    </row>
    <row r="5888" spans="1:1" x14ac:dyDescent="0.2">
      <c r="A5888" s="13" t="s">
        <v>6638</v>
      </c>
    </row>
    <row r="5889" spans="1:1" x14ac:dyDescent="0.2">
      <c r="A5889" s="13" t="s">
        <v>6639</v>
      </c>
    </row>
    <row r="5890" spans="1:1" x14ac:dyDescent="0.2">
      <c r="A5890" s="13" t="s">
        <v>6640</v>
      </c>
    </row>
    <row r="5891" spans="1:1" x14ac:dyDescent="0.2">
      <c r="A5891" s="13" t="s">
        <v>6641</v>
      </c>
    </row>
    <row r="5892" spans="1:1" x14ac:dyDescent="0.2">
      <c r="A5892" s="13" t="s">
        <v>3187</v>
      </c>
    </row>
    <row r="5893" spans="1:1" x14ac:dyDescent="0.2">
      <c r="A5893" s="13" t="s">
        <v>3875</v>
      </c>
    </row>
    <row r="5894" spans="1:1" x14ac:dyDescent="0.2">
      <c r="A5894" s="13" t="s">
        <v>6642</v>
      </c>
    </row>
    <row r="5895" spans="1:1" x14ac:dyDescent="0.2">
      <c r="A5895" s="13" t="s">
        <v>2945</v>
      </c>
    </row>
    <row r="5896" spans="1:1" x14ac:dyDescent="0.2">
      <c r="A5896" s="13" t="s">
        <v>6643</v>
      </c>
    </row>
    <row r="5897" spans="1:1" x14ac:dyDescent="0.2">
      <c r="A5897" s="13" t="s">
        <v>6644</v>
      </c>
    </row>
    <row r="5898" spans="1:1" x14ac:dyDescent="0.2">
      <c r="A5898" s="13" t="s">
        <v>6645</v>
      </c>
    </row>
    <row r="5899" spans="1:1" x14ac:dyDescent="0.2">
      <c r="A5899" s="13" t="s">
        <v>6646</v>
      </c>
    </row>
    <row r="5900" spans="1:1" x14ac:dyDescent="0.2">
      <c r="A5900" s="13" t="s">
        <v>6647</v>
      </c>
    </row>
    <row r="5901" spans="1:1" x14ac:dyDescent="0.2">
      <c r="A5901" s="13" t="s">
        <v>2538</v>
      </c>
    </row>
    <row r="5902" spans="1:1" x14ac:dyDescent="0.2">
      <c r="A5902" s="13" t="s">
        <v>6648</v>
      </c>
    </row>
    <row r="5903" spans="1:1" x14ac:dyDescent="0.2">
      <c r="A5903" s="13" t="s">
        <v>2766</v>
      </c>
    </row>
    <row r="5904" spans="1:1" x14ac:dyDescent="0.2">
      <c r="A5904" s="13" t="s">
        <v>3934</v>
      </c>
    </row>
    <row r="5905" spans="1:1" x14ac:dyDescent="0.2">
      <c r="A5905" s="13" t="s">
        <v>848</v>
      </c>
    </row>
    <row r="5906" spans="1:1" x14ac:dyDescent="0.2">
      <c r="A5906" s="13" t="s">
        <v>1477</v>
      </c>
    </row>
    <row r="5907" spans="1:1" x14ac:dyDescent="0.2">
      <c r="A5907" s="13" t="s">
        <v>6649</v>
      </c>
    </row>
    <row r="5908" spans="1:1" x14ac:dyDescent="0.2">
      <c r="A5908" s="13" t="s">
        <v>2789</v>
      </c>
    </row>
    <row r="5909" spans="1:1" x14ac:dyDescent="0.2">
      <c r="A5909" s="13" t="s">
        <v>3733</v>
      </c>
    </row>
    <row r="5910" spans="1:1" x14ac:dyDescent="0.2">
      <c r="A5910" s="13" t="s">
        <v>6650</v>
      </c>
    </row>
    <row r="5911" spans="1:1" x14ac:dyDescent="0.2">
      <c r="A5911" s="13" t="s">
        <v>1482</v>
      </c>
    </row>
    <row r="5912" spans="1:1" x14ac:dyDescent="0.2">
      <c r="A5912" s="13" t="s">
        <v>3509</v>
      </c>
    </row>
    <row r="5913" spans="1:1" x14ac:dyDescent="0.2">
      <c r="A5913" s="13" t="s">
        <v>2857</v>
      </c>
    </row>
    <row r="5914" spans="1:1" x14ac:dyDescent="0.2">
      <c r="A5914" s="13" t="s">
        <v>2373</v>
      </c>
    </row>
    <row r="5915" spans="1:1" x14ac:dyDescent="0.2">
      <c r="A5915" s="13" t="s">
        <v>6651</v>
      </c>
    </row>
    <row r="5916" spans="1:1" x14ac:dyDescent="0.2">
      <c r="A5916" s="13" t="s">
        <v>1693</v>
      </c>
    </row>
    <row r="5917" spans="1:1" x14ac:dyDescent="0.2">
      <c r="A5917" s="13" t="s">
        <v>1910</v>
      </c>
    </row>
    <row r="5918" spans="1:1" x14ac:dyDescent="0.2">
      <c r="A5918" s="13" t="s">
        <v>2810</v>
      </c>
    </row>
    <row r="5919" spans="1:1" x14ac:dyDescent="0.2">
      <c r="A5919" s="13" t="s">
        <v>6652</v>
      </c>
    </row>
    <row r="5920" spans="1:1" x14ac:dyDescent="0.2">
      <c r="A5920" s="13" t="s">
        <v>6653</v>
      </c>
    </row>
    <row r="5921" spans="1:1" x14ac:dyDescent="0.2">
      <c r="A5921" s="13" t="s">
        <v>2231</v>
      </c>
    </row>
    <row r="5922" spans="1:1" x14ac:dyDescent="0.2">
      <c r="A5922" s="13" t="s">
        <v>698</v>
      </c>
    </row>
    <row r="5923" spans="1:1" x14ac:dyDescent="0.2">
      <c r="A5923" s="13" t="s">
        <v>6654</v>
      </c>
    </row>
    <row r="5924" spans="1:1" x14ac:dyDescent="0.2">
      <c r="A5924" s="13" t="s">
        <v>6655</v>
      </c>
    </row>
    <row r="5925" spans="1:1" x14ac:dyDescent="0.2">
      <c r="A5925" s="13" t="s">
        <v>6656</v>
      </c>
    </row>
    <row r="5926" spans="1:1" x14ac:dyDescent="0.2">
      <c r="A5926" s="13" t="s">
        <v>6657</v>
      </c>
    </row>
    <row r="5927" spans="1:1" x14ac:dyDescent="0.2">
      <c r="A5927" s="13" t="s">
        <v>198</v>
      </c>
    </row>
    <row r="5928" spans="1:1" x14ac:dyDescent="0.2">
      <c r="A5928" s="13" t="s">
        <v>6658</v>
      </c>
    </row>
    <row r="5929" spans="1:1" x14ac:dyDescent="0.2">
      <c r="A5929" s="13" t="s">
        <v>168</v>
      </c>
    </row>
    <row r="5930" spans="1:1" x14ac:dyDescent="0.2">
      <c r="A5930" s="13" t="s">
        <v>1922</v>
      </c>
    </row>
    <row r="5931" spans="1:1" x14ac:dyDescent="0.2">
      <c r="A5931" s="13" t="s">
        <v>2838</v>
      </c>
    </row>
    <row r="5932" spans="1:1" x14ac:dyDescent="0.2">
      <c r="A5932" s="13" t="s">
        <v>241</v>
      </c>
    </row>
    <row r="5933" spans="1:1" x14ac:dyDescent="0.2">
      <c r="A5933" s="13" t="s">
        <v>6659</v>
      </c>
    </row>
    <row r="5934" spans="1:1" x14ac:dyDescent="0.2">
      <c r="A5934" s="13" t="s">
        <v>6660</v>
      </c>
    </row>
    <row r="5935" spans="1:1" x14ac:dyDescent="0.2">
      <c r="A5935" s="13" t="s">
        <v>6661</v>
      </c>
    </row>
    <row r="5936" spans="1:1" x14ac:dyDescent="0.2">
      <c r="A5936" s="13" t="s">
        <v>6662</v>
      </c>
    </row>
    <row r="5937" spans="1:1" x14ac:dyDescent="0.2">
      <c r="A5937" s="13" t="s">
        <v>1375</v>
      </c>
    </row>
    <row r="5938" spans="1:1" x14ac:dyDescent="0.2">
      <c r="A5938" s="13" t="s">
        <v>230</v>
      </c>
    </row>
    <row r="5939" spans="1:1" x14ac:dyDescent="0.2">
      <c r="A5939" s="13" t="s">
        <v>2499</v>
      </c>
    </row>
    <row r="5940" spans="1:1" x14ac:dyDescent="0.2">
      <c r="A5940" s="13" t="s">
        <v>6663</v>
      </c>
    </row>
    <row r="5941" spans="1:1" x14ac:dyDescent="0.2">
      <c r="A5941" s="13" t="s">
        <v>928</v>
      </c>
    </row>
    <row r="5942" spans="1:1" x14ac:dyDescent="0.2">
      <c r="A5942" s="13" t="s">
        <v>6664</v>
      </c>
    </row>
    <row r="5943" spans="1:1" x14ac:dyDescent="0.2">
      <c r="A5943" s="13" t="s">
        <v>479</v>
      </c>
    </row>
    <row r="5944" spans="1:1" x14ac:dyDescent="0.2">
      <c r="A5944" s="13" t="s">
        <v>3369</v>
      </c>
    </row>
    <row r="5945" spans="1:1" x14ac:dyDescent="0.2">
      <c r="A5945" s="13" t="s">
        <v>598</v>
      </c>
    </row>
    <row r="5946" spans="1:1" x14ac:dyDescent="0.2">
      <c r="A5946" s="13" t="s">
        <v>1776</v>
      </c>
    </row>
    <row r="5947" spans="1:1" x14ac:dyDescent="0.2">
      <c r="A5947" s="13" t="s">
        <v>1923</v>
      </c>
    </row>
    <row r="5948" spans="1:1" x14ac:dyDescent="0.2">
      <c r="A5948" s="13" t="s">
        <v>6665</v>
      </c>
    </row>
    <row r="5949" spans="1:1" x14ac:dyDescent="0.2">
      <c r="A5949" s="13" t="s">
        <v>2783</v>
      </c>
    </row>
    <row r="5950" spans="1:1" x14ac:dyDescent="0.2">
      <c r="A5950" s="13" t="s">
        <v>398</v>
      </c>
    </row>
    <row r="5951" spans="1:1" x14ac:dyDescent="0.2">
      <c r="A5951" s="13" t="s">
        <v>3036</v>
      </c>
    </row>
    <row r="5952" spans="1:1" x14ac:dyDescent="0.2">
      <c r="A5952" s="13" t="s">
        <v>2124</v>
      </c>
    </row>
    <row r="5953" spans="1:1" x14ac:dyDescent="0.2">
      <c r="A5953" s="13" t="s">
        <v>6666</v>
      </c>
    </row>
    <row r="5954" spans="1:1" x14ac:dyDescent="0.2">
      <c r="A5954" s="13" t="s">
        <v>6667</v>
      </c>
    </row>
    <row r="5955" spans="1:1" x14ac:dyDescent="0.2">
      <c r="A5955" s="13" t="s">
        <v>6668</v>
      </c>
    </row>
    <row r="5956" spans="1:1" x14ac:dyDescent="0.2">
      <c r="A5956" s="13" t="s">
        <v>6669</v>
      </c>
    </row>
    <row r="5957" spans="1:1" x14ac:dyDescent="0.2">
      <c r="A5957" s="13" t="s">
        <v>6670</v>
      </c>
    </row>
    <row r="5958" spans="1:1" x14ac:dyDescent="0.2">
      <c r="A5958" s="13" t="s">
        <v>6671</v>
      </c>
    </row>
    <row r="5959" spans="1:1" x14ac:dyDescent="0.2">
      <c r="A5959" s="13" t="s">
        <v>3329</v>
      </c>
    </row>
    <row r="5960" spans="1:1" x14ac:dyDescent="0.2">
      <c r="A5960" s="13" t="s">
        <v>6672</v>
      </c>
    </row>
    <row r="5961" spans="1:1" x14ac:dyDescent="0.2">
      <c r="A5961" s="13" t="s">
        <v>6673</v>
      </c>
    </row>
    <row r="5962" spans="1:1" x14ac:dyDescent="0.2">
      <c r="A5962" s="13" t="s">
        <v>6674</v>
      </c>
    </row>
    <row r="5963" spans="1:1" x14ac:dyDescent="0.2">
      <c r="A5963" s="13" t="s">
        <v>6675</v>
      </c>
    </row>
    <row r="5964" spans="1:1" x14ac:dyDescent="0.2">
      <c r="A5964" s="13" t="s">
        <v>6676</v>
      </c>
    </row>
    <row r="5965" spans="1:1" x14ac:dyDescent="0.2">
      <c r="A5965" s="13" t="s">
        <v>1096</v>
      </c>
    </row>
    <row r="5966" spans="1:1" x14ac:dyDescent="0.2">
      <c r="A5966" s="13" t="s">
        <v>3266</v>
      </c>
    </row>
    <row r="5967" spans="1:1" x14ac:dyDescent="0.2">
      <c r="A5967" s="13" t="s">
        <v>1023</v>
      </c>
    </row>
    <row r="5968" spans="1:1" x14ac:dyDescent="0.2">
      <c r="A5968" s="13" t="s">
        <v>299</v>
      </c>
    </row>
    <row r="5969" spans="1:1" x14ac:dyDescent="0.2">
      <c r="A5969" s="13" t="s">
        <v>468</v>
      </c>
    </row>
    <row r="5970" spans="1:1" x14ac:dyDescent="0.2">
      <c r="A5970" s="13" t="s">
        <v>6677</v>
      </c>
    </row>
    <row r="5971" spans="1:1" x14ac:dyDescent="0.2">
      <c r="A5971" s="13" t="s">
        <v>6678</v>
      </c>
    </row>
    <row r="5972" spans="1:1" x14ac:dyDescent="0.2">
      <c r="A5972" s="13" t="s">
        <v>3420</v>
      </c>
    </row>
    <row r="5973" spans="1:1" x14ac:dyDescent="0.2">
      <c r="A5973" s="13" t="s">
        <v>832</v>
      </c>
    </row>
    <row r="5974" spans="1:1" x14ac:dyDescent="0.2">
      <c r="A5974" s="13" t="s">
        <v>3041</v>
      </c>
    </row>
    <row r="5975" spans="1:1" x14ac:dyDescent="0.2">
      <c r="A5975" s="13" t="s">
        <v>6679</v>
      </c>
    </row>
    <row r="5976" spans="1:1" x14ac:dyDescent="0.2">
      <c r="A5976" s="13" t="s">
        <v>6680</v>
      </c>
    </row>
    <row r="5977" spans="1:1" x14ac:dyDescent="0.2">
      <c r="A5977" s="13" t="s">
        <v>167</v>
      </c>
    </row>
    <row r="5978" spans="1:1" x14ac:dyDescent="0.2">
      <c r="A5978" s="13" t="s">
        <v>6681</v>
      </c>
    </row>
    <row r="5979" spans="1:1" x14ac:dyDescent="0.2">
      <c r="A5979" s="13" t="s">
        <v>2614</v>
      </c>
    </row>
    <row r="5980" spans="1:1" x14ac:dyDescent="0.2">
      <c r="A5980" s="13" t="s">
        <v>1456</v>
      </c>
    </row>
    <row r="5981" spans="1:1" x14ac:dyDescent="0.2">
      <c r="A5981" s="13" t="s">
        <v>3313</v>
      </c>
    </row>
    <row r="5982" spans="1:1" x14ac:dyDescent="0.2">
      <c r="A5982" s="13" t="s">
        <v>1860</v>
      </c>
    </row>
    <row r="5983" spans="1:1" x14ac:dyDescent="0.2">
      <c r="A5983" s="13" t="s">
        <v>1031</v>
      </c>
    </row>
    <row r="5984" spans="1:1" x14ac:dyDescent="0.2">
      <c r="A5984" s="13" t="s">
        <v>6682</v>
      </c>
    </row>
    <row r="5985" spans="1:1" x14ac:dyDescent="0.2">
      <c r="A5985" s="13" t="s">
        <v>3792</v>
      </c>
    </row>
    <row r="5986" spans="1:1" x14ac:dyDescent="0.2">
      <c r="A5986" s="13" t="s">
        <v>6683</v>
      </c>
    </row>
    <row r="5987" spans="1:1" x14ac:dyDescent="0.2">
      <c r="A5987" s="13" t="s">
        <v>2679</v>
      </c>
    </row>
    <row r="5988" spans="1:1" x14ac:dyDescent="0.2">
      <c r="A5988" s="13" t="s">
        <v>1207</v>
      </c>
    </row>
    <row r="5989" spans="1:1" x14ac:dyDescent="0.2">
      <c r="A5989" s="13" t="s">
        <v>6684</v>
      </c>
    </row>
    <row r="5990" spans="1:1" x14ac:dyDescent="0.2">
      <c r="A5990" s="13" t="s">
        <v>6685</v>
      </c>
    </row>
    <row r="5991" spans="1:1" x14ac:dyDescent="0.2">
      <c r="A5991" s="13" t="s">
        <v>3035</v>
      </c>
    </row>
    <row r="5992" spans="1:1" x14ac:dyDescent="0.2">
      <c r="A5992" s="13" t="s">
        <v>3764</v>
      </c>
    </row>
    <row r="5993" spans="1:1" x14ac:dyDescent="0.2">
      <c r="A5993" s="13" t="s">
        <v>6686</v>
      </c>
    </row>
    <row r="5994" spans="1:1" x14ac:dyDescent="0.2">
      <c r="A5994" s="13" t="s">
        <v>3676</v>
      </c>
    </row>
    <row r="5995" spans="1:1" x14ac:dyDescent="0.2">
      <c r="A5995" s="13" t="s">
        <v>2698</v>
      </c>
    </row>
    <row r="5996" spans="1:1" x14ac:dyDescent="0.2">
      <c r="A5996" s="13" t="s">
        <v>6687</v>
      </c>
    </row>
    <row r="5997" spans="1:1" x14ac:dyDescent="0.2">
      <c r="A5997" s="13" t="s">
        <v>3645</v>
      </c>
    </row>
    <row r="5998" spans="1:1" x14ac:dyDescent="0.2">
      <c r="A5998" s="13" t="s">
        <v>1272</v>
      </c>
    </row>
    <row r="5999" spans="1:1" x14ac:dyDescent="0.2">
      <c r="A5999" s="13" t="s">
        <v>1438</v>
      </c>
    </row>
    <row r="6000" spans="1:1" x14ac:dyDescent="0.2">
      <c r="A6000" s="13" t="s">
        <v>6688</v>
      </c>
    </row>
    <row r="6001" spans="1:1" x14ac:dyDescent="0.2">
      <c r="A6001" s="13" t="s">
        <v>3092</v>
      </c>
    </row>
    <row r="6002" spans="1:1" x14ac:dyDescent="0.2">
      <c r="A6002" s="13" t="s">
        <v>4168</v>
      </c>
    </row>
    <row r="6003" spans="1:1" x14ac:dyDescent="0.2">
      <c r="A6003" s="13" t="s">
        <v>1215</v>
      </c>
    </row>
    <row r="6004" spans="1:1" x14ac:dyDescent="0.2">
      <c r="A6004" s="13" t="s">
        <v>2142</v>
      </c>
    </row>
    <row r="6005" spans="1:1" x14ac:dyDescent="0.2">
      <c r="A6005" s="13" t="s">
        <v>3212</v>
      </c>
    </row>
    <row r="6006" spans="1:1" x14ac:dyDescent="0.2">
      <c r="A6006" s="13" t="s">
        <v>3422</v>
      </c>
    </row>
    <row r="6007" spans="1:1" x14ac:dyDescent="0.2">
      <c r="A6007" s="13" t="s">
        <v>4121</v>
      </c>
    </row>
    <row r="6008" spans="1:1" x14ac:dyDescent="0.2">
      <c r="A6008" s="13" t="s">
        <v>1706</v>
      </c>
    </row>
    <row r="6009" spans="1:1" x14ac:dyDescent="0.2">
      <c r="A6009" s="13" t="s">
        <v>2756</v>
      </c>
    </row>
    <row r="6010" spans="1:1" x14ac:dyDescent="0.2">
      <c r="A6010" s="13" t="s">
        <v>6689</v>
      </c>
    </row>
    <row r="6011" spans="1:1" x14ac:dyDescent="0.2">
      <c r="A6011" s="13" t="s">
        <v>1550</v>
      </c>
    </row>
    <row r="6012" spans="1:1" x14ac:dyDescent="0.2">
      <c r="A6012" s="13" t="s">
        <v>6690</v>
      </c>
    </row>
    <row r="6013" spans="1:1" x14ac:dyDescent="0.2">
      <c r="A6013" s="13" t="s">
        <v>6691</v>
      </c>
    </row>
    <row r="6014" spans="1:1" x14ac:dyDescent="0.2">
      <c r="A6014" s="13" t="s">
        <v>6692</v>
      </c>
    </row>
    <row r="6015" spans="1:1" x14ac:dyDescent="0.2">
      <c r="A6015" s="13" t="s">
        <v>469</v>
      </c>
    </row>
    <row r="6016" spans="1:1" x14ac:dyDescent="0.2">
      <c r="A6016" s="13" t="s">
        <v>6693</v>
      </c>
    </row>
    <row r="6017" spans="1:1" x14ac:dyDescent="0.2">
      <c r="A6017" s="13" t="s">
        <v>6694</v>
      </c>
    </row>
    <row r="6018" spans="1:1" x14ac:dyDescent="0.2">
      <c r="A6018" s="13" t="s">
        <v>290</v>
      </c>
    </row>
    <row r="6019" spans="1:1" x14ac:dyDescent="0.2">
      <c r="A6019" s="13" t="s">
        <v>1447</v>
      </c>
    </row>
    <row r="6020" spans="1:1" x14ac:dyDescent="0.2">
      <c r="A6020" s="13" t="s">
        <v>2976</v>
      </c>
    </row>
    <row r="6021" spans="1:1" x14ac:dyDescent="0.2">
      <c r="A6021" s="13" t="s">
        <v>3688</v>
      </c>
    </row>
    <row r="6022" spans="1:1" x14ac:dyDescent="0.2">
      <c r="A6022" s="13" t="s">
        <v>6695</v>
      </c>
    </row>
    <row r="6023" spans="1:1" x14ac:dyDescent="0.2">
      <c r="A6023" s="13" t="s">
        <v>1866</v>
      </c>
    </row>
    <row r="6024" spans="1:1" x14ac:dyDescent="0.2">
      <c r="A6024" s="13" t="s">
        <v>6696</v>
      </c>
    </row>
    <row r="6025" spans="1:1" x14ac:dyDescent="0.2">
      <c r="A6025" s="13" t="s">
        <v>6697</v>
      </c>
    </row>
    <row r="6026" spans="1:1" x14ac:dyDescent="0.2">
      <c r="A6026" s="13" t="s">
        <v>6698</v>
      </c>
    </row>
    <row r="6027" spans="1:1" x14ac:dyDescent="0.2">
      <c r="A6027" s="13" t="s">
        <v>6699</v>
      </c>
    </row>
    <row r="6028" spans="1:1" x14ac:dyDescent="0.2">
      <c r="A6028" s="13" t="s">
        <v>4105</v>
      </c>
    </row>
    <row r="6029" spans="1:1" x14ac:dyDescent="0.2">
      <c r="A6029" s="13" t="s">
        <v>6700</v>
      </c>
    </row>
    <row r="6030" spans="1:1" x14ac:dyDescent="0.2">
      <c r="A6030" s="13" t="s">
        <v>170</v>
      </c>
    </row>
    <row r="6031" spans="1:1" x14ac:dyDescent="0.2">
      <c r="A6031" s="13" t="s">
        <v>3207</v>
      </c>
    </row>
    <row r="6032" spans="1:1" x14ac:dyDescent="0.2">
      <c r="A6032" s="13" t="s">
        <v>6701</v>
      </c>
    </row>
    <row r="6033" spans="1:1" x14ac:dyDescent="0.2">
      <c r="A6033" s="13" t="s">
        <v>6702</v>
      </c>
    </row>
    <row r="6034" spans="1:1" x14ac:dyDescent="0.2">
      <c r="A6034" s="13" t="s">
        <v>6703</v>
      </c>
    </row>
    <row r="6035" spans="1:1" x14ac:dyDescent="0.2">
      <c r="A6035" s="13" t="s">
        <v>6704</v>
      </c>
    </row>
    <row r="6036" spans="1:1" x14ac:dyDescent="0.2">
      <c r="A6036" s="13" t="s">
        <v>231</v>
      </c>
    </row>
    <row r="6037" spans="1:1" x14ac:dyDescent="0.2">
      <c r="A6037" s="13" t="s">
        <v>3794</v>
      </c>
    </row>
    <row r="6038" spans="1:1" x14ac:dyDescent="0.2">
      <c r="A6038" s="13" t="s">
        <v>1536</v>
      </c>
    </row>
    <row r="6039" spans="1:1" x14ac:dyDescent="0.2">
      <c r="A6039" s="13" t="s">
        <v>6705</v>
      </c>
    </row>
    <row r="6040" spans="1:1" x14ac:dyDescent="0.2">
      <c r="A6040" s="13" t="s">
        <v>6706</v>
      </c>
    </row>
    <row r="6041" spans="1:1" x14ac:dyDescent="0.2">
      <c r="A6041" s="13" t="s">
        <v>1568</v>
      </c>
    </row>
    <row r="6042" spans="1:1" x14ac:dyDescent="0.2">
      <c r="A6042" s="13" t="s">
        <v>1037</v>
      </c>
    </row>
    <row r="6043" spans="1:1" x14ac:dyDescent="0.2">
      <c r="A6043" s="13" t="s">
        <v>1538</v>
      </c>
    </row>
    <row r="6044" spans="1:1" x14ac:dyDescent="0.2">
      <c r="A6044" s="13" t="s">
        <v>640</v>
      </c>
    </row>
    <row r="6045" spans="1:1" x14ac:dyDescent="0.2">
      <c r="A6045" s="13" t="s">
        <v>1629</v>
      </c>
    </row>
    <row r="6046" spans="1:1" x14ac:dyDescent="0.2">
      <c r="A6046" s="13" t="s">
        <v>6707</v>
      </c>
    </row>
    <row r="6047" spans="1:1" x14ac:dyDescent="0.2">
      <c r="A6047" s="13" t="s">
        <v>3613</v>
      </c>
    </row>
    <row r="6048" spans="1:1" x14ac:dyDescent="0.2">
      <c r="A6048" s="13" t="s">
        <v>1817</v>
      </c>
    </row>
    <row r="6049" spans="1:1" x14ac:dyDescent="0.2">
      <c r="A6049" s="13" t="s">
        <v>6708</v>
      </c>
    </row>
    <row r="6050" spans="1:1" x14ac:dyDescent="0.2">
      <c r="A6050" s="13" t="s">
        <v>6709</v>
      </c>
    </row>
    <row r="6051" spans="1:1" x14ac:dyDescent="0.2">
      <c r="A6051" s="13" t="s">
        <v>1773</v>
      </c>
    </row>
    <row r="6052" spans="1:1" x14ac:dyDescent="0.2">
      <c r="A6052" s="13" t="s">
        <v>4128</v>
      </c>
    </row>
    <row r="6053" spans="1:1" x14ac:dyDescent="0.2">
      <c r="A6053" s="13" t="s">
        <v>1154</v>
      </c>
    </row>
    <row r="6054" spans="1:1" x14ac:dyDescent="0.2">
      <c r="A6054" s="13" t="s">
        <v>1345</v>
      </c>
    </row>
    <row r="6055" spans="1:1" x14ac:dyDescent="0.2">
      <c r="A6055" s="13" t="s">
        <v>759</v>
      </c>
    </row>
    <row r="6056" spans="1:1" x14ac:dyDescent="0.2">
      <c r="A6056" s="13" t="s">
        <v>2967</v>
      </c>
    </row>
    <row r="6057" spans="1:1" x14ac:dyDescent="0.2">
      <c r="A6057" s="13" t="s">
        <v>3793</v>
      </c>
    </row>
    <row r="6058" spans="1:1" x14ac:dyDescent="0.2">
      <c r="A6058" s="13" t="s">
        <v>297</v>
      </c>
    </row>
    <row r="6059" spans="1:1" x14ac:dyDescent="0.2">
      <c r="A6059" s="13" t="s">
        <v>6710</v>
      </c>
    </row>
    <row r="6060" spans="1:1" x14ac:dyDescent="0.2">
      <c r="A6060" s="13" t="s">
        <v>6711</v>
      </c>
    </row>
    <row r="6061" spans="1:1" x14ac:dyDescent="0.2">
      <c r="A6061" s="13" t="s">
        <v>379</v>
      </c>
    </row>
    <row r="6062" spans="1:1" x14ac:dyDescent="0.2">
      <c r="A6062" s="13" t="s">
        <v>2148</v>
      </c>
    </row>
    <row r="6063" spans="1:1" x14ac:dyDescent="0.2">
      <c r="A6063" s="13" t="s">
        <v>2724</v>
      </c>
    </row>
    <row r="6064" spans="1:1" x14ac:dyDescent="0.2">
      <c r="A6064" s="13" t="s">
        <v>6712</v>
      </c>
    </row>
    <row r="6065" spans="1:1" x14ac:dyDescent="0.2">
      <c r="A6065" s="13" t="s">
        <v>6713</v>
      </c>
    </row>
    <row r="6066" spans="1:1" x14ac:dyDescent="0.2">
      <c r="A6066" s="13" t="s">
        <v>169</v>
      </c>
    </row>
    <row r="6067" spans="1:1" x14ac:dyDescent="0.2">
      <c r="A6067" s="13" t="s">
        <v>6714</v>
      </c>
    </row>
    <row r="6068" spans="1:1" x14ac:dyDescent="0.2">
      <c r="A6068" s="13" t="s">
        <v>3466</v>
      </c>
    </row>
    <row r="6069" spans="1:1" x14ac:dyDescent="0.2">
      <c r="A6069" s="13" t="s">
        <v>6715</v>
      </c>
    </row>
    <row r="6070" spans="1:1" x14ac:dyDescent="0.2">
      <c r="A6070" s="13" t="s">
        <v>2296</v>
      </c>
    </row>
    <row r="6071" spans="1:1" x14ac:dyDescent="0.2">
      <c r="A6071" s="13" t="s">
        <v>527</v>
      </c>
    </row>
    <row r="6072" spans="1:1" x14ac:dyDescent="0.2">
      <c r="A6072" s="13" t="s">
        <v>876</v>
      </c>
    </row>
    <row r="6073" spans="1:1" x14ac:dyDescent="0.2">
      <c r="A6073" s="13" t="s">
        <v>6716</v>
      </c>
    </row>
    <row r="6074" spans="1:1" x14ac:dyDescent="0.2">
      <c r="A6074" s="13" t="s">
        <v>6717</v>
      </c>
    </row>
    <row r="6075" spans="1:1" x14ac:dyDescent="0.2">
      <c r="A6075" s="13" t="s">
        <v>6718</v>
      </c>
    </row>
    <row r="6076" spans="1:1" x14ac:dyDescent="0.2">
      <c r="A6076" s="13" t="s">
        <v>6719</v>
      </c>
    </row>
    <row r="6077" spans="1:1" x14ac:dyDescent="0.2">
      <c r="A6077" s="13" t="s">
        <v>1963</v>
      </c>
    </row>
    <row r="6078" spans="1:1" x14ac:dyDescent="0.2">
      <c r="A6078" s="13" t="s">
        <v>1620</v>
      </c>
    </row>
    <row r="6079" spans="1:1" x14ac:dyDescent="0.2">
      <c r="A6079" s="13" t="s">
        <v>2181</v>
      </c>
    </row>
    <row r="6080" spans="1:1" x14ac:dyDescent="0.2">
      <c r="A6080" s="13" t="s">
        <v>6720</v>
      </c>
    </row>
    <row r="6081" spans="1:1" x14ac:dyDescent="0.2">
      <c r="A6081" s="13" t="s">
        <v>431</v>
      </c>
    </row>
    <row r="6082" spans="1:1" x14ac:dyDescent="0.2">
      <c r="A6082" s="13" t="s">
        <v>6721</v>
      </c>
    </row>
    <row r="6083" spans="1:1" x14ac:dyDescent="0.2">
      <c r="A6083" s="13" t="s">
        <v>1552</v>
      </c>
    </row>
    <row r="6084" spans="1:1" x14ac:dyDescent="0.2">
      <c r="A6084" s="13" t="s">
        <v>1236</v>
      </c>
    </row>
    <row r="6085" spans="1:1" x14ac:dyDescent="0.2">
      <c r="A6085" s="13" t="s">
        <v>3025</v>
      </c>
    </row>
    <row r="6086" spans="1:1" x14ac:dyDescent="0.2">
      <c r="A6086" s="13" t="s">
        <v>3311</v>
      </c>
    </row>
    <row r="6087" spans="1:1" x14ac:dyDescent="0.2">
      <c r="A6087" s="13" t="s">
        <v>1051</v>
      </c>
    </row>
    <row r="6088" spans="1:1" x14ac:dyDescent="0.2">
      <c r="A6088" s="13" t="s">
        <v>177</v>
      </c>
    </row>
    <row r="6089" spans="1:1" x14ac:dyDescent="0.2">
      <c r="A6089" s="13" t="s">
        <v>6722</v>
      </c>
    </row>
    <row r="6090" spans="1:1" x14ac:dyDescent="0.2">
      <c r="A6090" s="13" t="s">
        <v>951</v>
      </c>
    </row>
    <row r="6091" spans="1:1" x14ac:dyDescent="0.2">
      <c r="A6091" s="13" t="s">
        <v>6723</v>
      </c>
    </row>
    <row r="6092" spans="1:1" x14ac:dyDescent="0.2">
      <c r="A6092" s="13" t="s">
        <v>1015</v>
      </c>
    </row>
    <row r="6093" spans="1:1" x14ac:dyDescent="0.2">
      <c r="A6093" s="13" t="s">
        <v>6724</v>
      </c>
    </row>
    <row r="6094" spans="1:1" x14ac:dyDescent="0.2">
      <c r="A6094" s="13" t="s">
        <v>3943</v>
      </c>
    </row>
    <row r="6095" spans="1:1" x14ac:dyDescent="0.2">
      <c r="A6095" s="13" t="s">
        <v>3883</v>
      </c>
    </row>
    <row r="6096" spans="1:1" x14ac:dyDescent="0.2">
      <c r="A6096" s="13" t="s">
        <v>6725</v>
      </c>
    </row>
    <row r="6097" spans="1:1" x14ac:dyDescent="0.2">
      <c r="A6097" s="13" t="s">
        <v>6726</v>
      </c>
    </row>
    <row r="6098" spans="1:1" x14ac:dyDescent="0.2">
      <c r="A6098" s="13" t="s">
        <v>6727</v>
      </c>
    </row>
    <row r="6099" spans="1:1" x14ac:dyDescent="0.2">
      <c r="A6099" s="13" t="s">
        <v>6728</v>
      </c>
    </row>
    <row r="6100" spans="1:1" x14ac:dyDescent="0.2">
      <c r="A6100" s="13" t="s">
        <v>1535</v>
      </c>
    </row>
    <row r="6101" spans="1:1" x14ac:dyDescent="0.2">
      <c r="A6101" s="13" t="s">
        <v>3300</v>
      </c>
    </row>
    <row r="6102" spans="1:1" x14ac:dyDescent="0.2">
      <c r="A6102" s="13" t="s">
        <v>2487</v>
      </c>
    </row>
    <row r="6103" spans="1:1" x14ac:dyDescent="0.2">
      <c r="A6103" s="13" t="s">
        <v>6729</v>
      </c>
    </row>
    <row r="6104" spans="1:1" x14ac:dyDescent="0.2">
      <c r="A6104" s="13" t="s">
        <v>6730</v>
      </c>
    </row>
    <row r="6105" spans="1:1" x14ac:dyDescent="0.2">
      <c r="A6105" s="13" t="s">
        <v>730</v>
      </c>
    </row>
    <row r="6106" spans="1:1" x14ac:dyDescent="0.2">
      <c r="A6106" s="13" t="s">
        <v>787</v>
      </c>
    </row>
    <row r="6107" spans="1:1" x14ac:dyDescent="0.2">
      <c r="A6107" s="13" t="s">
        <v>179</v>
      </c>
    </row>
    <row r="6108" spans="1:1" x14ac:dyDescent="0.2">
      <c r="A6108" s="13" t="s">
        <v>565</v>
      </c>
    </row>
    <row r="6109" spans="1:1" x14ac:dyDescent="0.2">
      <c r="A6109" s="13" t="s">
        <v>1975</v>
      </c>
    </row>
    <row r="6110" spans="1:1" x14ac:dyDescent="0.2">
      <c r="A6110" s="13" t="s">
        <v>3449</v>
      </c>
    </row>
    <row r="6111" spans="1:1" x14ac:dyDescent="0.2">
      <c r="A6111" s="13" t="s">
        <v>3870</v>
      </c>
    </row>
    <row r="6112" spans="1:1" x14ac:dyDescent="0.2">
      <c r="A6112" s="13" t="s">
        <v>995</v>
      </c>
    </row>
    <row r="6113" spans="1:1" x14ac:dyDescent="0.2">
      <c r="A6113" s="13" t="s">
        <v>1271</v>
      </c>
    </row>
    <row r="6114" spans="1:1" x14ac:dyDescent="0.2">
      <c r="A6114" s="13" t="s">
        <v>2658</v>
      </c>
    </row>
    <row r="6115" spans="1:1" x14ac:dyDescent="0.2">
      <c r="A6115" s="13" t="s">
        <v>403</v>
      </c>
    </row>
    <row r="6116" spans="1:1" x14ac:dyDescent="0.2">
      <c r="A6116" s="13" t="s">
        <v>1602</v>
      </c>
    </row>
    <row r="6117" spans="1:1" x14ac:dyDescent="0.2">
      <c r="A6117" s="13" t="s">
        <v>6731</v>
      </c>
    </row>
    <row r="6118" spans="1:1" x14ac:dyDescent="0.2">
      <c r="A6118" s="13" t="s">
        <v>6732</v>
      </c>
    </row>
    <row r="6119" spans="1:1" x14ac:dyDescent="0.2">
      <c r="A6119" s="13" t="s">
        <v>2725</v>
      </c>
    </row>
    <row r="6120" spans="1:1" x14ac:dyDescent="0.2">
      <c r="A6120" s="13" t="s">
        <v>1074</v>
      </c>
    </row>
    <row r="6121" spans="1:1" x14ac:dyDescent="0.2">
      <c r="A6121" s="13" t="s">
        <v>3032</v>
      </c>
    </row>
    <row r="6122" spans="1:1" x14ac:dyDescent="0.2">
      <c r="A6122" s="13" t="s">
        <v>6733</v>
      </c>
    </row>
    <row r="6123" spans="1:1" x14ac:dyDescent="0.2">
      <c r="A6123" s="13" t="s">
        <v>3463</v>
      </c>
    </row>
    <row r="6124" spans="1:1" x14ac:dyDescent="0.2">
      <c r="A6124" s="13" t="s">
        <v>415</v>
      </c>
    </row>
    <row r="6125" spans="1:1" x14ac:dyDescent="0.2">
      <c r="A6125" s="13" t="s">
        <v>4159</v>
      </c>
    </row>
    <row r="6126" spans="1:1" x14ac:dyDescent="0.2">
      <c r="A6126" s="13" t="s">
        <v>191</v>
      </c>
    </row>
    <row r="6127" spans="1:1" x14ac:dyDescent="0.2">
      <c r="A6127" s="13" t="s">
        <v>6734</v>
      </c>
    </row>
    <row r="6128" spans="1:1" x14ac:dyDescent="0.2">
      <c r="A6128" s="13" t="s">
        <v>6735</v>
      </c>
    </row>
    <row r="6129" spans="1:1" x14ac:dyDescent="0.2">
      <c r="A6129" s="13" t="s">
        <v>6736</v>
      </c>
    </row>
    <row r="6130" spans="1:1" x14ac:dyDescent="0.2">
      <c r="A6130" s="13" t="s">
        <v>2024</v>
      </c>
    </row>
    <row r="6131" spans="1:1" x14ac:dyDescent="0.2">
      <c r="A6131" s="13" t="s">
        <v>6737</v>
      </c>
    </row>
    <row r="6132" spans="1:1" x14ac:dyDescent="0.2">
      <c r="A6132" s="13" t="s">
        <v>1141</v>
      </c>
    </row>
    <row r="6133" spans="1:1" x14ac:dyDescent="0.2">
      <c r="A6133" s="13" t="s">
        <v>6738</v>
      </c>
    </row>
    <row r="6134" spans="1:1" x14ac:dyDescent="0.2">
      <c r="A6134" s="13" t="s">
        <v>977</v>
      </c>
    </row>
    <row r="6135" spans="1:1" x14ac:dyDescent="0.2">
      <c r="A6135" s="13" t="s">
        <v>868</v>
      </c>
    </row>
    <row r="6136" spans="1:1" x14ac:dyDescent="0.2">
      <c r="A6136" s="13" t="s">
        <v>2325</v>
      </c>
    </row>
    <row r="6137" spans="1:1" x14ac:dyDescent="0.2">
      <c r="A6137" s="13" t="s">
        <v>487</v>
      </c>
    </row>
    <row r="6138" spans="1:1" x14ac:dyDescent="0.2">
      <c r="A6138" s="13" t="s">
        <v>6739</v>
      </c>
    </row>
    <row r="6139" spans="1:1" x14ac:dyDescent="0.2">
      <c r="A6139" s="13" t="s">
        <v>6740</v>
      </c>
    </row>
    <row r="6140" spans="1:1" x14ac:dyDescent="0.2">
      <c r="A6140" s="13" t="s">
        <v>314</v>
      </c>
    </row>
    <row r="6141" spans="1:1" x14ac:dyDescent="0.2">
      <c r="A6141" s="13" t="s">
        <v>982</v>
      </c>
    </row>
    <row r="6142" spans="1:1" x14ac:dyDescent="0.2">
      <c r="A6142" s="13" t="s">
        <v>1095</v>
      </c>
    </row>
    <row r="6143" spans="1:1" x14ac:dyDescent="0.2">
      <c r="A6143" s="13" t="s">
        <v>3629</v>
      </c>
    </row>
    <row r="6144" spans="1:1" x14ac:dyDescent="0.2">
      <c r="A6144" s="13" t="s">
        <v>1413</v>
      </c>
    </row>
    <row r="6145" spans="1:1" x14ac:dyDescent="0.2">
      <c r="A6145" s="13" t="s">
        <v>6741</v>
      </c>
    </row>
    <row r="6146" spans="1:1" x14ac:dyDescent="0.2">
      <c r="A6146" s="13" t="s">
        <v>1666</v>
      </c>
    </row>
    <row r="6147" spans="1:1" x14ac:dyDescent="0.2">
      <c r="A6147" s="13" t="s">
        <v>3869</v>
      </c>
    </row>
    <row r="6148" spans="1:1" x14ac:dyDescent="0.2">
      <c r="A6148" s="13" t="s">
        <v>1488</v>
      </c>
    </row>
    <row r="6149" spans="1:1" x14ac:dyDescent="0.2">
      <c r="A6149" s="13" t="s">
        <v>3514</v>
      </c>
    </row>
    <row r="6150" spans="1:1" x14ac:dyDescent="0.2">
      <c r="A6150" s="13" t="s">
        <v>1563</v>
      </c>
    </row>
    <row r="6151" spans="1:1" x14ac:dyDescent="0.2">
      <c r="A6151" s="13" t="s">
        <v>570</v>
      </c>
    </row>
    <row r="6152" spans="1:1" x14ac:dyDescent="0.2">
      <c r="A6152" s="13" t="s">
        <v>6742</v>
      </c>
    </row>
    <row r="6153" spans="1:1" x14ac:dyDescent="0.2">
      <c r="A6153" s="13" t="s">
        <v>2862</v>
      </c>
    </row>
    <row r="6154" spans="1:1" x14ac:dyDescent="0.2">
      <c r="A6154" s="13" t="s">
        <v>6743</v>
      </c>
    </row>
    <row r="6155" spans="1:1" x14ac:dyDescent="0.2">
      <c r="A6155" s="13" t="s">
        <v>1101</v>
      </c>
    </row>
    <row r="6156" spans="1:1" x14ac:dyDescent="0.2">
      <c r="A6156" s="13" t="s">
        <v>2955</v>
      </c>
    </row>
    <row r="6157" spans="1:1" x14ac:dyDescent="0.2">
      <c r="A6157" s="13" t="s">
        <v>1528</v>
      </c>
    </row>
    <row r="6158" spans="1:1" x14ac:dyDescent="0.2">
      <c r="A6158" s="13" t="s">
        <v>3327</v>
      </c>
    </row>
    <row r="6159" spans="1:1" x14ac:dyDescent="0.2">
      <c r="A6159" s="13" t="s">
        <v>886</v>
      </c>
    </row>
    <row r="6160" spans="1:1" x14ac:dyDescent="0.2">
      <c r="A6160" s="13" t="s">
        <v>1988</v>
      </c>
    </row>
    <row r="6161" spans="1:1" x14ac:dyDescent="0.2">
      <c r="A6161" s="13" t="s">
        <v>616</v>
      </c>
    </row>
    <row r="6162" spans="1:1" x14ac:dyDescent="0.2">
      <c r="A6162" s="13" t="s">
        <v>3951</v>
      </c>
    </row>
    <row r="6163" spans="1:1" x14ac:dyDescent="0.2">
      <c r="A6163" s="13" t="s">
        <v>2449</v>
      </c>
    </row>
    <row r="6164" spans="1:1" x14ac:dyDescent="0.2">
      <c r="A6164" s="13" t="s">
        <v>6744</v>
      </c>
    </row>
    <row r="6165" spans="1:1" x14ac:dyDescent="0.2">
      <c r="A6165" s="13" t="s">
        <v>1972</v>
      </c>
    </row>
    <row r="6166" spans="1:1" x14ac:dyDescent="0.2">
      <c r="A6166" s="13" t="s">
        <v>711</v>
      </c>
    </row>
    <row r="6167" spans="1:1" x14ac:dyDescent="0.2">
      <c r="A6167" s="13" t="s">
        <v>6745</v>
      </c>
    </row>
    <row r="6168" spans="1:1" x14ac:dyDescent="0.2">
      <c r="A6168" s="13" t="s">
        <v>464</v>
      </c>
    </row>
    <row r="6169" spans="1:1" x14ac:dyDescent="0.2">
      <c r="A6169" s="13" t="s">
        <v>2061</v>
      </c>
    </row>
    <row r="6170" spans="1:1" x14ac:dyDescent="0.2">
      <c r="A6170" s="13" t="s">
        <v>6746</v>
      </c>
    </row>
    <row r="6171" spans="1:1" x14ac:dyDescent="0.2">
      <c r="A6171" s="13" t="s">
        <v>418</v>
      </c>
    </row>
    <row r="6172" spans="1:1" x14ac:dyDescent="0.2">
      <c r="A6172" s="13" t="s">
        <v>1155</v>
      </c>
    </row>
    <row r="6173" spans="1:1" x14ac:dyDescent="0.2">
      <c r="A6173" s="13" t="s">
        <v>1986</v>
      </c>
    </row>
    <row r="6174" spans="1:1" x14ac:dyDescent="0.2">
      <c r="A6174" s="13" t="s">
        <v>6747</v>
      </c>
    </row>
    <row r="6175" spans="1:1" x14ac:dyDescent="0.2">
      <c r="A6175" s="13" t="s">
        <v>3804</v>
      </c>
    </row>
    <row r="6176" spans="1:1" x14ac:dyDescent="0.2">
      <c r="A6176" s="13" t="s">
        <v>6748</v>
      </c>
    </row>
    <row r="6177" spans="1:1" x14ac:dyDescent="0.2">
      <c r="A6177" s="13" t="s">
        <v>6749</v>
      </c>
    </row>
    <row r="6178" spans="1:1" x14ac:dyDescent="0.2">
      <c r="A6178" s="13" t="s">
        <v>660</v>
      </c>
    </row>
    <row r="6179" spans="1:1" x14ac:dyDescent="0.2">
      <c r="A6179" s="13" t="s">
        <v>6750</v>
      </c>
    </row>
    <row r="6180" spans="1:1" x14ac:dyDescent="0.2">
      <c r="A6180" s="13" t="s">
        <v>3324</v>
      </c>
    </row>
    <row r="6181" spans="1:1" x14ac:dyDescent="0.2">
      <c r="A6181" s="13" t="s">
        <v>3867</v>
      </c>
    </row>
    <row r="6182" spans="1:1" x14ac:dyDescent="0.2">
      <c r="A6182" s="13" t="s">
        <v>590</v>
      </c>
    </row>
    <row r="6183" spans="1:1" x14ac:dyDescent="0.2">
      <c r="A6183" s="13" t="s">
        <v>3707</v>
      </c>
    </row>
    <row r="6184" spans="1:1" x14ac:dyDescent="0.2">
      <c r="A6184" s="13" t="s">
        <v>6751</v>
      </c>
    </row>
    <row r="6185" spans="1:1" x14ac:dyDescent="0.2">
      <c r="A6185" s="13" t="s">
        <v>3503</v>
      </c>
    </row>
    <row r="6186" spans="1:1" x14ac:dyDescent="0.2">
      <c r="A6186" s="13" t="s">
        <v>6752</v>
      </c>
    </row>
    <row r="6187" spans="1:1" x14ac:dyDescent="0.2">
      <c r="A6187" s="13" t="s">
        <v>1521</v>
      </c>
    </row>
    <row r="6188" spans="1:1" x14ac:dyDescent="0.2">
      <c r="A6188" s="13" t="s">
        <v>6753</v>
      </c>
    </row>
    <row r="6189" spans="1:1" x14ac:dyDescent="0.2">
      <c r="A6189" s="13" t="s">
        <v>1442</v>
      </c>
    </row>
    <row r="6190" spans="1:1" x14ac:dyDescent="0.2">
      <c r="A6190" s="13" t="s">
        <v>3621</v>
      </c>
    </row>
    <row r="6191" spans="1:1" x14ac:dyDescent="0.2">
      <c r="A6191" s="13" t="s">
        <v>3939</v>
      </c>
    </row>
    <row r="6192" spans="1:1" x14ac:dyDescent="0.2">
      <c r="A6192" s="13" t="s">
        <v>6754</v>
      </c>
    </row>
    <row r="6193" spans="1:1" x14ac:dyDescent="0.2">
      <c r="A6193" s="13" t="s">
        <v>1420</v>
      </c>
    </row>
    <row r="6194" spans="1:1" x14ac:dyDescent="0.2">
      <c r="A6194" s="13" t="s">
        <v>6755</v>
      </c>
    </row>
    <row r="6195" spans="1:1" x14ac:dyDescent="0.2">
      <c r="A6195" s="13" t="s">
        <v>1411</v>
      </c>
    </row>
    <row r="6196" spans="1:1" x14ac:dyDescent="0.2">
      <c r="A6196" s="13" t="s">
        <v>2784</v>
      </c>
    </row>
    <row r="6197" spans="1:1" x14ac:dyDescent="0.2">
      <c r="A6197" s="13" t="s">
        <v>4116</v>
      </c>
    </row>
    <row r="6198" spans="1:1" x14ac:dyDescent="0.2">
      <c r="A6198" s="13" t="s">
        <v>6756</v>
      </c>
    </row>
    <row r="6199" spans="1:1" x14ac:dyDescent="0.2">
      <c r="A6199" s="13" t="s">
        <v>6757</v>
      </c>
    </row>
    <row r="6200" spans="1:1" x14ac:dyDescent="0.2">
      <c r="A6200" s="13" t="s">
        <v>1622</v>
      </c>
    </row>
    <row r="6201" spans="1:1" x14ac:dyDescent="0.2">
      <c r="A6201" s="13" t="s">
        <v>6758</v>
      </c>
    </row>
    <row r="6202" spans="1:1" x14ac:dyDescent="0.2">
      <c r="A6202" s="13" t="s">
        <v>6759</v>
      </c>
    </row>
    <row r="6203" spans="1:1" x14ac:dyDescent="0.2">
      <c r="A6203" s="13" t="s">
        <v>6760</v>
      </c>
    </row>
    <row r="6204" spans="1:1" x14ac:dyDescent="0.2">
      <c r="A6204" s="13" t="s">
        <v>741</v>
      </c>
    </row>
    <row r="6205" spans="1:1" x14ac:dyDescent="0.2">
      <c r="A6205" s="13" t="s">
        <v>6761</v>
      </c>
    </row>
    <row r="6206" spans="1:1" x14ac:dyDescent="0.2">
      <c r="A6206" s="13" t="s">
        <v>894</v>
      </c>
    </row>
    <row r="6207" spans="1:1" x14ac:dyDescent="0.2">
      <c r="A6207" s="13" t="s">
        <v>6762</v>
      </c>
    </row>
    <row r="6208" spans="1:1" x14ac:dyDescent="0.2">
      <c r="A6208" s="13" t="s">
        <v>6763</v>
      </c>
    </row>
    <row r="6209" spans="1:1" x14ac:dyDescent="0.2">
      <c r="A6209" s="13" t="s">
        <v>2275</v>
      </c>
    </row>
    <row r="6210" spans="1:1" x14ac:dyDescent="0.2">
      <c r="A6210" s="13" t="s">
        <v>6764</v>
      </c>
    </row>
    <row r="6211" spans="1:1" x14ac:dyDescent="0.2">
      <c r="A6211" s="13" t="s">
        <v>6765</v>
      </c>
    </row>
    <row r="6212" spans="1:1" x14ac:dyDescent="0.2">
      <c r="A6212" s="13" t="s">
        <v>710</v>
      </c>
    </row>
    <row r="6213" spans="1:1" x14ac:dyDescent="0.2">
      <c r="A6213" s="13" t="s">
        <v>6766</v>
      </c>
    </row>
    <row r="6214" spans="1:1" x14ac:dyDescent="0.2">
      <c r="A6214" s="13" t="s">
        <v>6767</v>
      </c>
    </row>
    <row r="6215" spans="1:1" x14ac:dyDescent="0.2">
      <c r="A6215" s="13" t="s">
        <v>6768</v>
      </c>
    </row>
    <row r="6216" spans="1:1" x14ac:dyDescent="0.2">
      <c r="A6216" s="13" t="s">
        <v>6769</v>
      </c>
    </row>
    <row r="6217" spans="1:1" x14ac:dyDescent="0.2">
      <c r="A6217" s="13" t="s">
        <v>4075</v>
      </c>
    </row>
    <row r="6218" spans="1:1" x14ac:dyDescent="0.2">
      <c r="A6218" s="13" t="s">
        <v>499</v>
      </c>
    </row>
    <row r="6219" spans="1:1" x14ac:dyDescent="0.2">
      <c r="A6219" s="13" t="s">
        <v>1990</v>
      </c>
    </row>
    <row r="6220" spans="1:1" x14ac:dyDescent="0.2">
      <c r="A6220" s="13" t="s">
        <v>6770</v>
      </c>
    </row>
    <row r="6221" spans="1:1" x14ac:dyDescent="0.2">
      <c r="A6221" s="13" t="s">
        <v>1204</v>
      </c>
    </row>
    <row r="6222" spans="1:1" x14ac:dyDescent="0.2">
      <c r="A6222" s="13" t="s">
        <v>3447</v>
      </c>
    </row>
    <row r="6223" spans="1:1" x14ac:dyDescent="0.2">
      <c r="A6223" s="13" t="s">
        <v>1430</v>
      </c>
    </row>
    <row r="6224" spans="1:1" x14ac:dyDescent="0.2">
      <c r="A6224" s="13" t="s">
        <v>2179</v>
      </c>
    </row>
    <row r="6225" spans="1:1" x14ac:dyDescent="0.2">
      <c r="A6225" s="13" t="s">
        <v>2334</v>
      </c>
    </row>
    <row r="6226" spans="1:1" x14ac:dyDescent="0.2">
      <c r="A6226" s="13" t="s">
        <v>3444</v>
      </c>
    </row>
    <row r="6227" spans="1:1" x14ac:dyDescent="0.2">
      <c r="A6227" s="13" t="s">
        <v>6771</v>
      </c>
    </row>
    <row r="6228" spans="1:1" x14ac:dyDescent="0.2">
      <c r="A6228" s="13" t="s">
        <v>1965</v>
      </c>
    </row>
    <row r="6229" spans="1:1" x14ac:dyDescent="0.2">
      <c r="A6229" s="13" t="s">
        <v>1899</v>
      </c>
    </row>
    <row r="6230" spans="1:1" x14ac:dyDescent="0.2">
      <c r="A6230" s="13" t="s">
        <v>2874</v>
      </c>
    </row>
    <row r="6231" spans="1:1" x14ac:dyDescent="0.2">
      <c r="A6231" s="13" t="s">
        <v>3879</v>
      </c>
    </row>
    <row r="6232" spans="1:1" x14ac:dyDescent="0.2">
      <c r="A6232" s="13" t="s">
        <v>1208</v>
      </c>
    </row>
    <row r="6233" spans="1:1" x14ac:dyDescent="0.2">
      <c r="A6233" s="13" t="s">
        <v>6772</v>
      </c>
    </row>
    <row r="6234" spans="1:1" x14ac:dyDescent="0.2">
      <c r="A6234" s="13" t="s">
        <v>6773</v>
      </c>
    </row>
    <row r="6235" spans="1:1" x14ac:dyDescent="0.2">
      <c r="A6235" s="13" t="s">
        <v>6774</v>
      </c>
    </row>
    <row r="6236" spans="1:1" x14ac:dyDescent="0.2">
      <c r="A6236" s="13" t="s">
        <v>6775</v>
      </c>
    </row>
    <row r="6237" spans="1:1" x14ac:dyDescent="0.2">
      <c r="A6237" s="13" t="s">
        <v>1921</v>
      </c>
    </row>
    <row r="6238" spans="1:1" x14ac:dyDescent="0.2">
      <c r="A6238" s="13" t="s">
        <v>6776</v>
      </c>
    </row>
    <row r="6239" spans="1:1" x14ac:dyDescent="0.2">
      <c r="A6239" s="13" t="s">
        <v>966</v>
      </c>
    </row>
    <row r="6240" spans="1:1" x14ac:dyDescent="0.2">
      <c r="A6240" s="13" t="s">
        <v>3450</v>
      </c>
    </row>
    <row r="6241" spans="1:1" x14ac:dyDescent="0.2">
      <c r="A6241" s="13" t="s">
        <v>6777</v>
      </c>
    </row>
    <row r="6242" spans="1:1" x14ac:dyDescent="0.2">
      <c r="A6242" s="13" t="s">
        <v>6778</v>
      </c>
    </row>
    <row r="6243" spans="1:1" x14ac:dyDescent="0.2">
      <c r="A6243" s="13" t="s">
        <v>3675</v>
      </c>
    </row>
    <row r="6244" spans="1:1" x14ac:dyDescent="0.2">
      <c r="A6244" s="13" t="s">
        <v>3453</v>
      </c>
    </row>
    <row r="6245" spans="1:1" x14ac:dyDescent="0.2">
      <c r="A6245" s="13" t="s">
        <v>6779</v>
      </c>
    </row>
    <row r="6246" spans="1:1" x14ac:dyDescent="0.2">
      <c r="A6246" s="13" t="s">
        <v>481</v>
      </c>
    </row>
    <row r="6247" spans="1:1" x14ac:dyDescent="0.2">
      <c r="A6247" s="13" t="s">
        <v>3840</v>
      </c>
    </row>
    <row r="6248" spans="1:1" x14ac:dyDescent="0.2">
      <c r="A6248" s="13" t="s">
        <v>2470</v>
      </c>
    </row>
    <row r="6249" spans="1:1" x14ac:dyDescent="0.2">
      <c r="A6249" s="13" t="s">
        <v>6780</v>
      </c>
    </row>
    <row r="6250" spans="1:1" x14ac:dyDescent="0.2">
      <c r="A6250" s="13" t="s">
        <v>6781</v>
      </c>
    </row>
    <row r="6251" spans="1:1" x14ac:dyDescent="0.2">
      <c r="A6251" s="13" t="s">
        <v>1517</v>
      </c>
    </row>
    <row r="6252" spans="1:1" x14ac:dyDescent="0.2">
      <c r="A6252" s="13" t="s">
        <v>6782</v>
      </c>
    </row>
    <row r="6253" spans="1:1" x14ac:dyDescent="0.2">
      <c r="A6253" s="13" t="s">
        <v>473</v>
      </c>
    </row>
    <row r="6254" spans="1:1" x14ac:dyDescent="0.2">
      <c r="A6254" s="13" t="s">
        <v>6783</v>
      </c>
    </row>
    <row r="6255" spans="1:1" x14ac:dyDescent="0.2">
      <c r="A6255" s="13" t="s">
        <v>3486</v>
      </c>
    </row>
    <row r="6256" spans="1:1" x14ac:dyDescent="0.2">
      <c r="A6256" s="13" t="s">
        <v>6784</v>
      </c>
    </row>
    <row r="6257" spans="1:1" x14ac:dyDescent="0.2">
      <c r="A6257" s="13" t="s">
        <v>320</v>
      </c>
    </row>
    <row r="6258" spans="1:1" x14ac:dyDescent="0.2">
      <c r="A6258" s="13" t="s">
        <v>497</v>
      </c>
    </row>
    <row r="6259" spans="1:1" x14ac:dyDescent="0.2">
      <c r="A6259" s="13" t="s">
        <v>6785</v>
      </c>
    </row>
    <row r="6260" spans="1:1" x14ac:dyDescent="0.2">
      <c r="A6260" s="13" t="s">
        <v>3214</v>
      </c>
    </row>
    <row r="6261" spans="1:1" x14ac:dyDescent="0.2">
      <c r="A6261" s="13" t="s">
        <v>1984</v>
      </c>
    </row>
    <row r="6262" spans="1:1" x14ac:dyDescent="0.2">
      <c r="A6262" s="13" t="s">
        <v>2099</v>
      </c>
    </row>
    <row r="6263" spans="1:1" x14ac:dyDescent="0.2">
      <c r="A6263" s="13" t="s">
        <v>1690</v>
      </c>
    </row>
    <row r="6264" spans="1:1" x14ac:dyDescent="0.2">
      <c r="A6264" s="13" t="s">
        <v>6786</v>
      </c>
    </row>
    <row r="6265" spans="1:1" x14ac:dyDescent="0.2">
      <c r="A6265" s="13" t="s">
        <v>6787</v>
      </c>
    </row>
    <row r="6266" spans="1:1" x14ac:dyDescent="0.2">
      <c r="A6266" s="13" t="s">
        <v>4165</v>
      </c>
    </row>
    <row r="6267" spans="1:1" x14ac:dyDescent="0.2">
      <c r="A6267" s="13" t="s">
        <v>3877</v>
      </c>
    </row>
    <row r="6268" spans="1:1" x14ac:dyDescent="0.2">
      <c r="A6268" s="13" t="s">
        <v>2105</v>
      </c>
    </row>
    <row r="6269" spans="1:1" x14ac:dyDescent="0.2">
      <c r="A6269" s="13" t="s">
        <v>488</v>
      </c>
    </row>
    <row r="6270" spans="1:1" x14ac:dyDescent="0.2">
      <c r="A6270" s="13" t="s">
        <v>1133</v>
      </c>
    </row>
    <row r="6271" spans="1:1" x14ac:dyDescent="0.2">
      <c r="A6271" s="13" t="s">
        <v>2046</v>
      </c>
    </row>
    <row r="6272" spans="1:1" x14ac:dyDescent="0.2">
      <c r="A6272" s="13" t="s">
        <v>480</v>
      </c>
    </row>
    <row r="6273" spans="1:1" x14ac:dyDescent="0.2">
      <c r="A6273" s="13" t="s">
        <v>6788</v>
      </c>
    </row>
    <row r="6274" spans="1:1" x14ac:dyDescent="0.2">
      <c r="A6274" s="13" t="s">
        <v>6789</v>
      </c>
    </row>
    <row r="6275" spans="1:1" x14ac:dyDescent="0.2">
      <c r="A6275" s="13" t="s">
        <v>1360</v>
      </c>
    </row>
    <row r="6276" spans="1:1" x14ac:dyDescent="0.2">
      <c r="A6276" s="13" t="s">
        <v>1904</v>
      </c>
    </row>
    <row r="6277" spans="1:1" x14ac:dyDescent="0.2">
      <c r="A6277" s="13" t="s">
        <v>6790</v>
      </c>
    </row>
    <row r="6278" spans="1:1" x14ac:dyDescent="0.2">
      <c r="A6278" s="13" t="s">
        <v>6791</v>
      </c>
    </row>
    <row r="6279" spans="1:1" x14ac:dyDescent="0.2">
      <c r="A6279" s="13" t="s">
        <v>2653</v>
      </c>
    </row>
    <row r="6280" spans="1:1" x14ac:dyDescent="0.2">
      <c r="A6280" s="13" t="s">
        <v>1742</v>
      </c>
    </row>
    <row r="6281" spans="1:1" x14ac:dyDescent="0.2">
      <c r="A6281" s="13" t="s">
        <v>6792</v>
      </c>
    </row>
    <row r="6282" spans="1:1" x14ac:dyDescent="0.2">
      <c r="A6282" s="13" t="s">
        <v>6793</v>
      </c>
    </row>
    <row r="6283" spans="1:1" x14ac:dyDescent="0.2">
      <c r="A6283" s="13" t="s">
        <v>6794</v>
      </c>
    </row>
    <row r="6284" spans="1:1" x14ac:dyDescent="0.2">
      <c r="A6284" s="13" t="s">
        <v>6795</v>
      </c>
    </row>
    <row r="6285" spans="1:1" x14ac:dyDescent="0.2">
      <c r="A6285" s="13" t="s">
        <v>2560</v>
      </c>
    </row>
    <row r="6286" spans="1:1" x14ac:dyDescent="0.2">
      <c r="A6286" s="13" t="s">
        <v>3822</v>
      </c>
    </row>
    <row r="6287" spans="1:1" x14ac:dyDescent="0.2">
      <c r="A6287" s="13" t="s">
        <v>4129</v>
      </c>
    </row>
    <row r="6288" spans="1:1" x14ac:dyDescent="0.2">
      <c r="A6288" s="13" t="s">
        <v>3647</v>
      </c>
    </row>
    <row r="6289" spans="1:1" x14ac:dyDescent="0.2">
      <c r="A6289" s="13" t="s">
        <v>181</v>
      </c>
    </row>
    <row r="6290" spans="1:1" x14ac:dyDescent="0.2">
      <c r="A6290" s="13" t="s">
        <v>4120</v>
      </c>
    </row>
    <row r="6291" spans="1:1" x14ac:dyDescent="0.2">
      <c r="A6291" s="13" t="s">
        <v>2661</v>
      </c>
    </row>
    <row r="6292" spans="1:1" x14ac:dyDescent="0.2">
      <c r="A6292" s="13" t="s">
        <v>1104</v>
      </c>
    </row>
    <row r="6293" spans="1:1" x14ac:dyDescent="0.2">
      <c r="A6293" s="13" t="s">
        <v>3250</v>
      </c>
    </row>
    <row r="6294" spans="1:1" x14ac:dyDescent="0.2">
      <c r="A6294" s="13" t="s">
        <v>6796</v>
      </c>
    </row>
    <row r="6295" spans="1:1" x14ac:dyDescent="0.2">
      <c r="A6295" s="13" t="s">
        <v>2147</v>
      </c>
    </row>
    <row r="6296" spans="1:1" x14ac:dyDescent="0.2">
      <c r="A6296" s="13" t="s">
        <v>1369</v>
      </c>
    </row>
    <row r="6297" spans="1:1" x14ac:dyDescent="0.2">
      <c r="A6297" s="13" t="s">
        <v>6797</v>
      </c>
    </row>
    <row r="6298" spans="1:1" x14ac:dyDescent="0.2">
      <c r="A6298" s="13" t="s">
        <v>6798</v>
      </c>
    </row>
    <row r="6299" spans="1:1" x14ac:dyDescent="0.2">
      <c r="A6299" s="13" t="s">
        <v>6799</v>
      </c>
    </row>
    <row r="6300" spans="1:1" x14ac:dyDescent="0.2">
      <c r="A6300" s="13" t="s">
        <v>1088</v>
      </c>
    </row>
    <row r="6301" spans="1:1" x14ac:dyDescent="0.2">
      <c r="A6301" s="13" t="s">
        <v>2839</v>
      </c>
    </row>
    <row r="6302" spans="1:1" x14ac:dyDescent="0.2">
      <c r="A6302" s="13" t="s">
        <v>6800</v>
      </c>
    </row>
    <row r="6303" spans="1:1" x14ac:dyDescent="0.2">
      <c r="A6303" s="13" t="s">
        <v>6801</v>
      </c>
    </row>
    <row r="6304" spans="1:1" x14ac:dyDescent="0.2">
      <c r="A6304" s="13" t="s">
        <v>2069</v>
      </c>
    </row>
    <row r="6305" spans="1:1" x14ac:dyDescent="0.2">
      <c r="A6305" s="13" t="s">
        <v>6802</v>
      </c>
    </row>
    <row r="6306" spans="1:1" x14ac:dyDescent="0.2">
      <c r="A6306" s="13" t="s">
        <v>2730</v>
      </c>
    </row>
    <row r="6307" spans="1:1" x14ac:dyDescent="0.2">
      <c r="A6307" s="13" t="s">
        <v>6803</v>
      </c>
    </row>
    <row r="6308" spans="1:1" x14ac:dyDescent="0.2">
      <c r="A6308" s="13" t="s">
        <v>976</v>
      </c>
    </row>
    <row r="6309" spans="1:1" x14ac:dyDescent="0.2">
      <c r="A6309" s="13" t="s">
        <v>6804</v>
      </c>
    </row>
    <row r="6310" spans="1:1" x14ac:dyDescent="0.2">
      <c r="A6310" s="13" t="s">
        <v>1277</v>
      </c>
    </row>
    <row r="6311" spans="1:1" x14ac:dyDescent="0.2">
      <c r="A6311" s="13" t="s">
        <v>360</v>
      </c>
    </row>
    <row r="6312" spans="1:1" x14ac:dyDescent="0.2">
      <c r="A6312" s="13" t="s">
        <v>3147</v>
      </c>
    </row>
    <row r="6313" spans="1:1" x14ac:dyDescent="0.2">
      <c r="A6313" s="13" t="s">
        <v>1905</v>
      </c>
    </row>
    <row r="6314" spans="1:1" x14ac:dyDescent="0.2">
      <c r="A6314" s="13" t="s">
        <v>3990</v>
      </c>
    </row>
    <row r="6315" spans="1:1" x14ac:dyDescent="0.2">
      <c r="A6315" s="13" t="s">
        <v>6805</v>
      </c>
    </row>
    <row r="6316" spans="1:1" x14ac:dyDescent="0.2">
      <c r="A6316" s="13" t="s">
        <v>3227</v>
      </c>
    </row>
    <row r="6317" spans="1:1" x14ac:dyDescent="0.2">
      <c r="A6317" s="13" t="s">
        <v>6806</v>
      </c>
    </row>
    <row r="6318" spans="1:1" x14ac:dyDescent="0.2">
      <c r="A6318" s="13" t="s">
        <v>2949</v>
      </c>
    </row>
    <row r="6319" spans="1:1" x14ac:dyDescent="0.2">
      <c r="A6319" s="13" t="s">
        <v>471</v>
      </c>
    </row>
    <row r="6320" spans="1:1" x14ac:dyDescent="0.2">
      <c r="A6320" s="13" t="s">
        <v>2863</v>
      </c>
    </row>
    <row r="6321" spans="1:1" x14ac:dyDescent="0.2">
      <c r="A6321" s="13" t="s">
        <v>6807</v>
      </c>
    </row>
    <row r="6322" spans="1:1" x14ac:dyDescent="0.2">
      <c r="A6322" s="13" t="s">
        <v>807</v>
      </c>
    </row>
    <row r="6323" spans="1:1" x14ac:dyDescent="0.2">
      <c r="A6323" s="13" t="s">
        <v>2961</v>
      </c>
    </row>
    <row r="6324" spans="1:1" x14ac:dyDescent="0.2">
      <c r="A6324" s="13" t="s">
        <v>6808</v>
      </c>
    </row>
    <row r="6325" spans="1:1" x14ac:dyDescent="0.2">
      <c r="A6325" s="13" t="s">
        <v>6809</v>
      </c>
    </row>
    <row r="6326" spans="1:1" x14ac:dyDescent="0.2">
      <c r="A6326" s="13" t="s">
        <v>6810</v>
      </c>
    </row>
    <row r="6327" spans="1:1" x14ac:dyDescent="0.2">
      <c r="A6327" s="13" t="s">
        <v>2264</v>
      </c>
    </row>
    <row r="6328" spans="1:1" x14ac:dyDescent="0.2">
      <c r="A6328" s="13" t="s">
        <v>700</v>
      </c>
    </row>
    <row r="6329" spans="1:1" x14ac:dyDescent="0.2">
      <c r="A6329" s="13" t="s">
        <v>3248</v>
      </c>
    </row>
    <row r="6330" spans="1:1" x14ac:dyDescent="0.2">
      <c r="A6330" s="13" t="s">
        <v>869</v>
      </c>
    </row>
    <row r="6331" spans="1:1" x14ac:dyDescent="0.2">
      <c r="A6331" s="13" t="s">
        <v>407</v>
      </c>
    </row>
    <row r="6332" spans="1:1" x14ac:dyDescent="0.2">
      <c r="A6332" s="13" t="s">
        <v>3059</v>
      </c>
    </row>
    <row r="6333" spans="1:1" x14ac:dyDescent="0.2">
      <c r="A6333" s="13" t="s">
        <v>6811</v>
      </c>
    </row>
    <row r="6334" spans="1:1" x14ac:dyDescent="0.2">
      <c r="A6334" s="13" t="s">
        <v>1462</v>
      </c>
    </row>
    <row r="6335" spans="1:1" x14ac:dyDescent="0.2">
      <c r="A6335" s="13" t="s">
        <v>3886</v>
      </c>
    </row>
    <row r="6336" spans="1:1" x14ac:dyDescent="0.2">
      <c r="A6336" s="13" t="s">
        <v>2695</v>
      </c>
    </row>
    <row r="6337" spans="1:1" x14ac:dyDescent="0.2">
      <c r="A6337" s="13" t="s">
        <v>3602</v>
      </c>
    </row>
    <row r="6338" spans="1:1" x14ac:dyDescent="0.2">
      <c r="A6338" s="13" t="s">
        <v>1675</v>
      </c>
    </row>
    <row r="6339" spans="1:1" x14ac:dyDescent="0.2">
      <c r="A6339" s="13" t="s">
        <v>412</v>
      </c>
    </row>
    <row r="6340" spans="1:1" x14ac:dyDescent="0.2">
      <c r="A6340" s="13" t="s">
        <v>2596</v>
      </c>
    </row>
    <row r="6341" spans="1:1" x14ac:dyDescent="0.2">
      <c r="A6341" s="13" t="s">
        <v>6812</v>
      </c>
    </row>
    <row r="6342" spans="1:1" x14ac:dyDescent="0.2">
      <c r="A6342" s="13" t="s">
        <v>1118</v>
      </c>
    </row>
    <row r="6343" spans="1:1" x14ac:dyDescent="0.2">
      <c r="A6343" s="13" t="s">
        <v>1485</v>
      </c>
    </row>
    <row r="6344" spans="1:1" x14ac:dyDescent="0.2">
      <c r="A6344" s="13" t="s">
        <v>4097</v>
      </c>
    </row>
    <row r="6345" spans="1:1" x14ac:dyDescent="0.2">
      <c r="A6345" s="13" t="s">
        <v>6813</v>
      </c>
    </row>
    <row r="6346" spans="1:1" x14ac:dyDescent="0.2">
      <c r="A6346" s="13" t="s">
        <v>4109</v>
      </c>
    </row>
    <row r="6347" spans="1:1" x14ac:dyDescent="0.2">
      <c r="A6347" s="13" t="s">
        <v>6814</v>
      </c>
    </row>
    <row r="6348" spans="1:1" x14ac:dyDescent="0.2">
      <c r="A6348" s="13" t="s">
        <v>4063</v>
      </c>
    </row>
    <row r="6349" spans="1:1" x14ac:dyDescent="0.2">
      <c r="A6349" s="13" t="s">
        <v>2090</v>
      </c>
    </row>
    <row r="6350" spans="1:1" x14ac:dyDescent="0.2">
      <c r="A6350" s="13" t="s">
        <v>3076</v>
      </c>
    </row>
    <row r="6351" spans="1:1" x14ac:dyDescent="0.2">
      <c r="A6351" s="13" t="s">
        <v>2391</v>
      </c>
    </row>
    <row r="6352" spans="1:1" x14ac:dyDescent="0.2">
      <c r="A6352" s="13" t="s">
        <v>193</v>
      </c>
    </row>
    <row r="6353" spans="1:1" x14ac:dyDescent="0.2">
      <c r="A6353" s="13" t="s">
        <v>970</v>
      </c>
    </row>
    <row r="6354" spans="1:1" x14ac:dyDescent="0.2">
      <c r="A6354" s="13" t="s">
        <v>6815</v>
      </c>
    </row>
    <row r="6355" spans="1:1" x14ac:dyDescent="0.2">
      <c r="A6355" s="13" t="s">
        <v>2402</v>
      </c>
    </row>
    <row r="6356" spans="1:1" x14ac:dyDescent="0.2">
      <c r="A6356" s="13" t="s">
        <v>1311</v>
      </c>
    </row>
    <row r="6357" spans="1:1" x14ac:dyDescent="0.2">
      <c r="A6357" s="13" t="s">
        <v>1390</v>
      </c>
    </row>
    <row r="6358" spans="1:1" x14ac:dyDescent="0.2">
      <c r="A6358" s="13" t="s">
        <v>6816</v>
      </c>
    </row>
    <row r="6359" spans="1:1" x14ac:dyDescent="0.2">
      <c r="A6359" s="13" t="s">
        <v>2435</v>
      </c>
    </row>
    <row r="6360" spans="1:1" x14ac:dyDescent="0.2">
      <c r="A6360" s="13" t="s">
        <v>3744</v>
      </c>
    </row>
    <row r="6361" spans="1:1" x14ac:dyDescent="0.2">
      <c r="A6361" s="13" t="s">
        <v>853</v>
      </c>
    </row>
    <row r="6362" spans="1:1" x14ac:dyDescent="0.2">
      <c r="A6362" s="13" t="s">
        <v>6817</v>
      </c>
    </row>
    <row r="6363" spans="1:1" x14ac:dyDescent="0.2">
      <c r="A6363" s="13" t="s">
        <v>6818</v>
      </c>
    </row>
    <row r="6364" spans="1:1" x14ac:dyDescent="0.2">
      <c r="A6364" s="13" t="s">
        <v>6819</v>
      </c>
    </row>
    <row r="6365" spans="1:1" x14ac:dyDescent="0.2">
      <c r="A6365" s="13" t="s">
        <v>3395</v>
      </c>
    </row>
    <row r="6366" spans="1:1" x14ac:dyDescent="0.2">
      <c r="A6366" s="13" t="s">
        <v>2476</v>
      </c>
    </row>
    <row r="6367" spans="1:1" x14ac:dyDescent="0.2">
      <c r="A6367" s="13" t="s">
        <v>6820</v>
      </c>
    </row>
    <row r="6368" spans="1:1" x14ac:dyDescent="0.2">
      <c r="A6368" s="13" t="s">
        <v>6821</v>
      </c>
    </row>
    <row r="6369" spans="1:1" x14ac:dyDescent="0.2">
      <c r="A6369" s="13" t="s">
        <v>3245</v>
      </c>
    </row>
    <row r="6370" spans="1:1" x14ac:dyDescent="0.2">
      <c r="A6370" s="13" t="s">
        <v>6822</v>
      </c>
    </row>
    <row r="6371" spans="1:1" x14ac:dyDescent="0.2">
      <c r="A6371" s="13" t="s">
        <v>2669</v>
      </c>
    </row>
    <row r="6372" spans="1:1" x14ac:dyDescent="0.2">
      <c r="A6372" s="13" t="s">
        <v>1501</v>
      </c>
    </row>
    <row r="6373" spans="1:1" x14ac:dyDescent="0.2">
      <c r="A6373" s="13" t="s">
        <v>564</v>
      </c>
    </row>
    <row r="6374" spans="1:1" x14ac:dyDescent="0.2">
      <c r="A6374" s="13" t="s">
        <v>3760</v>
      </c>
    </row>
    <row r="6375" spans="1:1" x14ac:dyDescent="0.2">
      <c r="A6375" s="13" t="s">
        <v>2293</v>
      </c>
    </row>
    <row r="6376" spans="1:1" x14ac:dyDescent="0.2">
      <c r="A6376" s="13" t="s">
        <v>6823</v>
      </c>
    </row>
    <row r="6377" spans="1:1" x14ac:dyDescent="0.2">
      <c r="A6377" s="13" t="s">
        <v>2047</v>
      </c>
    </row>
    <row r="6378" spans="1:1" x14ac:dyDescent="0.2">
      <c r="A6378" s="13" t="s">
        <v>3603</v>
      </c>
    </row>
    <row r="6379" spans="1:1" x14ac:dyDescent="0.2">
      <c r="A6379" s="13" t="s">
        <v>4006</v>
      </c>
    </row>
    <row r="6380" spans="1:1" x14ac:dyDescent="0.2">
      <c r="A6380" s="13" t="s">
        <v>6824</v>
      </c>
    </row>
    <row r="6381" spans="1:1" x14ac:dyDescent="0.2">
      <c r="A6381" s="13" t="s">
        <v>6825</v>
      </c>
    </row>
    <row r="6382" spans="1:1" x14ac:dyDescent="0.2">
      <c r="A6382" s="13" t="s">
        <v>1172</v>
      </c>
    </row>
    <row r="6383" spans="1:1" x14ac:dyDescent="0.2">
      <c r="A6383" s="13" t="s">
        <v>6826</v>
      </c>
    </row>
    <row r="6384" spans="1:1" x14ac:dyDescent="0.2">
      <c r="A6384" s="13" t="s">
        <v>1241</v>
      </c>
    </row>
    <row r="6385" spans="1:1" x14ac:dyDescent="0.2">
      <c r="A6385" s="13" t="s">
        <v>521</v>
      </c>
    </row>
    <row r="6386" spans="1:1" x14ac:dyDescent="0.2">
      <c r="A6386" s="13" t="s">
        <v>6827</v>
      </c>
    </row>
    <row r="6387" spans="1:1" x14ac:dyDescent="0.2">
      <c r="A6387" s="13" t="s">
        <v>2875</v>
      </c>
    </row>
    <row r="6388" spans="1:1" x14ac:dyDescent="0.2">
      <c r="A6388" s="13" t="s">
        <v>668</v>
      </c>
    </row>
    <row r="6389" spans="1:1" x14ac:dyDescent="0.2">
      <c r="A6389" s="13" t="s">
        <v>993</v>
      </c>
    </row>
    <row r="6390" spans="1:1" x14ac:dyDescent="0.2">
      <c r="A6390" s="13" t="s">
        <v>2992</v>
      </c>
    </row>
    <row r="6391" spans="1:1" x14ac:dyDescent="0.2">
      <c r="A6391" s="13" t="s">
        <v>1513</v>
      </c>
    </row>
    <row r="6392" spans="1:1" x14ac:dyDescent="0.2">
      <c r="A6392" s="13" t="s">
        <v>3468</v>
      </c>
    </row>
    <row r="6393" spans="1:1" x14ac:dyDescent="0.2">
      <c r="A6393" s="13" t="s">
        <v>6828</v>
      </c>
    </row>
    <row r="6394" spans="1:1" x14ac:dyDescent="0.2">
      <c r="A6394" s="13" t="s">
        <v>6829</v>
      </c>
    </row>
    <row r="6395" spans="1:1" x14ac:dyDescent="0.2">
      <c r="A6395" s="13" t="s">
        <v>1260</v>
      </c>
    </row>
    <row r="6396" spans="1:1" x14ac:dyDescent="0.2">
      <c r="A6396" s="13" t="s">
        <v>3526</v>
      </c>
    </row>
    <row r="6397" spans="1:1" x14ac:dyDescent="0.2">
      <c r="A6397" s="13" t="s">
        <v>2348</v>
      </c>
    </row>
    <row r="6398" spans="1:1" x14ac:dyDescent="0.2">
      <c r="A6398" s="13" t="s">
        <v>740</v>
      </c>
    </row>
    <row r="6399" spans="1:1" x14ac:dyDescent="0.2">
      <c r="A6399" s="13" t="s">
        <v>6830</v>
      </c>
    </row>
    <row r="6400" spans="1:1" x14ac:dyDescent="0.2">
      <c r="A6400" s="13" t="s">
        <v>3437</v>
      </c>
    </row>
    <row r="6401" spans="1:1" x14ac:dyDescent="0.2">
      <c r="A6401" s="13" t="s">
        <v>1758</v>
      </c>
    </row>
    <row r="6402" spans="1:1" x14ac:dyDescent="0.2">
      <c r="A6402" s="13" t="s">
        <v>542</v>
      </c>
    </row>
    <row r="6403" spans="1:1" x14ac:dyDescent="0.2">
      <c r="A6403" s="13" t="s">
        <v>578</v>
      </c>
    </row>
    <row r="6404" spans="1:1" x14ac:dyDescent="0.2">
      <c r="A6404" s="13" t="s">
        <v>558</v>
      </c>
    </row>
    <row r="6405" spans="1:1" x14ac:dyDescent="0.2">
      <c r="A6405" s="13" t="s">
        <v>781</v>
      </c>
    </row>
    <row r="6406" spans="1:1" x14ac:dyDescent="0.2">
      <c r="A6406" s="13" t="s">
        <v>2694</v>
      </c>
    </row>
    <row r="6407" spans="1:1" x14ac:dyDescent="0.2">
      <c r="A6407" s="13" t="s">
        <v>6831</v>
      </c>
    </row>
    <row r="6408" spans="1:1" x14ac:dyDescent="0.2">
      <c r="A6408" s="13" t="s">
        <v>6832</v>
      </c>
    </row>
    <row r="6409" spans="1:1" x14ac:dyDescent="0.2">
      <c r="A6409" s="13" t="s">
        <v>2722</v>
      </c>
    </row>
    <row r="6410" spans="1:1" x14ac:dyDescent="0.2">
      <c r="A6410" s="13" t="s">
        <v>6833</v>
      </c>
    </row>
    <row r="6411" spans="1:1" x14ac:dyDescent="0.2">
      <c r="A6411" s="13" t="s">
        <v>1516</v>
      </c>
    </row>
    <row r="6412" spans="1:1" x14ac:dyDescent="0.2">
      <c r="A6412" s="13" t="s">
        <v>6834</v>
      </c>
    </row>
    <row r="6413" spans="1:1" x14ac:dyDescent="0.2">
      <c r="A6413" s="13" t="s">
        <v>3654</v>
      </c>
    </row>
    <row r="6414" spans="1:1" x14ac:dyDescent="0.2">
      <c r="A6414" s="13" t="s">
        <v>6835</v>
      </c>
    </row>
    <row r="6415" spans="1:1" x14ac:dyDescent="0.2">
      <c r="A6415" s="13" t="s">
        <v>3414</v>
      </c>
    </row>
    <row r="6416" spans="1:1" x14ac:dyDescent="0.2">
      <c r="A6416" s="13" t="s">
        <v>1964</v>
      </c>
    </row>
    <row r="6417" spans="1:1" x14ac:dyDescent="0.2">
      <c r="A6417" s="13" t="s">
        <v>3078</v>
      </c>
    </row>
    <row r="6418" spans="1:1" x14ac:dyDescent="0.2">
      <c r="A6418" s="13" t="s">
        <v>6836</v>
      </c>
    </row>
    <row r="6419" spans="1:1" x14ac:dyDescent="0.2">
      <c r="A6419" s="13" t="s">
        <v>702</v>
      </c>
    </row>
    <row r="6420" spans="1:1" x14ac:dyDescent="0.2">
      <c r="A6420" s="13" t="s">
        <v>6837</v>
      </c>
    </row>
    <row r="6421" spans="1:1" x14ac:dyDescent="0.2">
      <c r="A6421" s="13" t="s">
        <v>6838</v>
      </c>
    </row>
    <row r="6422" spans="1:1" x14ac:dyDescent="0.2">
      <c r="A6422" s="13" t="s">
        <v>793</v>
      </c>
    </row>
    <row r="6423" spans="1:1" x14ac:dyDescent="0.2">
      <c r="A6423" s="13" t="s">
        <v>6839</v>
      </c>
    </row>
    <row r="6424" spans="1:1" x14ac:dyDescent="0.2">
      <c r="A6424" s="13" t="s">
        <v>6840</v>
      </c>
    </row>
    <row r="6425" spans="1:1" x14ac:dyDescent="0.2">
      <c r="A6425" s="13" t="s">
        <v>3671</v>
      </c>
    </row>
    <row r="6426" spans="1:1" x14ac:dyDescent="0.2">
      <c r="A6426" s="13" t="s">
        <v>6841</v>
      </c>
    </row>
    <row r="6427" spans="1:1" x14ac:dyDescent="0.2">
      <c r="A6427" s="13" t="s">
        <v>2175</v>
      </c>
    </row>
    <row r="6428" spans="1:1" x14ac:dyDescent="0.2">
      <c r="A6428" s="13" t="s">
        <v>6842</v>
      </c>
    </row>
    <row r="6429" spans="1:1" x14ac:dyDescent="0.2">
      <c r="A6429" s="13" t="s">
        <v>2270</v>
      </c>
    </row>
    <row r="6430" spans="1:1" x14ac:dyDescent="0.2">
      <c r="A6430" s="13" t="s">
        <v>6843</v>
      </c>
    </row>
    <row r="6431" spans="1:1" x14ac:dyDescent="0.2">
      <c r="A6431" s="13" t="s">
        <v>4060</v>
      </c>
    </row>
    <row r="6432" spans="1:1" x14ac:dyDescent="0.2">
      <c r="A6432" s="13" t="s">
        <v>3434</v>
      </c>
    </row>
    <row r="6433" spans="1:1" x14ac:dyDescent="0.2">
      <c r="A6433" s="13" t="s">
        <v>6844</v>
      </c>
    </row>
    <row r="6434" spans="1:1" x14ac:dyDescent="0.2">
      <c r="A6434" s="13" t="s">
        <v>2339</v>
      </c>
    </row>
    <row r="6435" spans="1:1" x14ac:dyDescent="0.2">
      <c r="A6435" s="13" t="s">
        <v>2465</v>
      </c>
    </row>
    <row r="6436" spans="1:1" x14ac:dyDescent="0.2">
      <c r="A6436" s="13" t="s">
        <v>6845</v>
      </c>
    </row>
    <row r="6437" spans="1:1" x14ac:dyDescent="0.2">
      <c r="A6437" s="13" t="s">
        <v>878</v>
      </c>
    </row>
    <row r="6438" spans="1:1" x14ac:dyDescent="0.2">
      <c r="A6438" s="13" t="s">
        <v>6846</v>
      </c>
    </row>
    <row r="6439" spans="1:1" x14ac:dyDescent="0.2">
      <c r="A6439" s="13" t="s">
        <v>6847</v>
      </c>
    </row>
    <row r="6440" spans="1:1" x14ac:dyDescent="0.2">
      <c r="A6440" s="13" t="s">
        <v>6848</v>
      </c>
    </row>
    <row r="6441" spans="1:1" x14ac:dyDescent="0.2">
      <c r="A6441" s="13" t="s">
        <v>615</v>
      </c>
    </row>
    <row r="6442" spans="1:1" x14ac:dyDescent="0.2">
      <c r="A6442" s="13" t="s">
        <v>6849</v>
      </c>
    </row>
    <row r="6443" spans="1:1" x14ac:dyDescent="0.2">
      <c r="A6443" s="13" t="s">
        <v>6850</v>
      </c>
    </row>
    <row r="6444" spans="1:1" x14ac:dyDescent="0.2">
      <c r="A6444" s="13" t="s">
        <v>6851</v>
      </c>
    </row>
    <row r="6445" spans="1:1" x14ac:dyDescent="0.2">
      <c r="A6445" s="13" t="s">
        <v>6852</v>
      </c>
    </row>
    <row r="6446" spans="1:1" x14ac:dyDescent="0.2">
      <c r="A6446" s="13" t="s">
        <v>6853</v>
      </c>
    </row>
    <row r="6447" spans="1:1" x14ac:dyDescent="0.2">
      <c r="A6447" s="13" t="s">
        <v>6854</v>
      </c>
    </row>
    <row r="6448" spans="1:1" x14ac:dyDescent="0.2">
      <c r="A6448" s="13" t="s">
        <v>6855</v>
      </c>
    </row>
    <row r="6449" spans="1:1" x14ac:dyDescent="0.2">
      <c r="A6449" s="13" t="s">
        <v>340</v>
      </c>
    </row>
    <row r="6450" spans="1:1" x14ac:dyDescent="0.2">
      <c r="A6450" s="13" t="s">
        <v>6856</v>
      </c>
    </row>
    <row r="6451" spans="1:1" x14ac:dyDescent="0.2">
      <c r="A6451" s="13" t="s">
        <v>6857</v>
      </c>
    </row>
    <row r="6452" spans="1:1" x14ac:dyDescent="0.2">
      <c r="A6452" s="13" t="s">
        <v>6858</v>
      </c>
    </row>
    <row r="6453" spans="1:1" x14ac:dyDescent="0.2">
      <c r="A6453" s="13" t="s">
        <v>6859</v>
      </c>
    </row>
    <row r="6454" spans="1:1" x14ac:dyDescent="0.2">
      <c r="A6454" s="13" t="s">
        <v>6860</v>
      </c>
    </row>
    <row r="6455" spans="1:1" x14ac:dyDescent="0.2">
      <c r="A6455" s="13" t="s">
        <v>6861</v>
      </c>
    </row>
    <row r="6456" spans="1:1" x14ac:dyDescent="0.2">
      <c r="A6456" s="13" t="s">
        <v>1537</v>
      </c>
    </row>
    <row r="6457" spans="1:1" x14ac:dyDescent="0.2">
      <c r="A6457" s="13" t="s">
        <v>6862</v>
      </c>
    </row>
    <row r="6458" spans="1:1" x14ac:dyDescent="0.2">
      <c r="A6458" s="13" t="s">
        <v>6863</v>
      </c>
    </row>
    <row r="6459" spans="1:1" x14ac:dyDescent="0.2">
      <c r="A6459" s="13" t="s">
        <v>3379</v>
      </c>
    </row>
    <row r="6460" spans="1:1" x14ac:dyDescent="0.2">
      <c r="A6460" s="13" t="s">
        <v>6864</v>
      </c>
    </row>
    <row r="6461" spans="1:1" x14ac:dyDescent="0.2">
      <c r="A6461" s="13" t="s">
        <v>6865</v>
      </c>
    </row>
    <row r="6462" spans="1:1" x14ac:dyDescent="0.2">
      <c r="A6462" s="13" t="s">
        <v>6866</v>
      </c>
    </row>
    <row r="6463" spans="1:1" x14ac:dyDescent="0.2">
      <c r="A6463" s="13" t="s">
        <v>6867</v>
      </c>
    </row>
    <row r="6464" spans="1:1" x14ac:dyDescent="0.2">
      <c r="A6464" s="13" t="s">
        <v>6868</v>
      </c>
    </row>
    <row r="6465" spans="1:1" x14ac:dyDescent="0.2">
      <c r="A6465" s="13" t="s">
        <v>934</v>
      </c>
    </row>
    <row r="6466" spans="1:1" x14ac:dyDescent="0.2">
      <c r="A6466" s="13" t="s">
        <v>6869</v>
      </c>
    </row>
    <row r="6467" spans="1:1" x14ac:dyDescent="0.2">
      <c r="A6467" s="13" t="s">
        <v>6870</v>
      </c>
    </row>
    <row r="6468" spans="1:1" x14ac:dyDescent="0.2">
      <c r="A6468" s="13" t="s">
        <v>6871</v>
      </c>
    </row>
    <row r="6469" spans="1:1" x14ac:dyDescent="0.2">
      <c r="A6469" s="13" t="s">
        <v>4059</v>
      </c>
    </row>
    <row r="6470" spans="1:1" x14ac:dyDescent="0.2">
      <c r="A6470" s="13" t="s">
        <v>6872</v>
      </c>
    </row>
    <row r="6471" spans="1:1" x14ac:dyDescent="0.2">
      <c r="A6471" s="13" t="s">
        <v>6873</v>
      </c>
    </row>
    <row r="6472" spans="1:1" x14ac:dyDescent="0.2">
      <c r="A6472" s="13" t="s">
        <v>1178</v>
      </c>
    </row>
    <row r="6473" spans="1:1" x14ac:dyDescent="0.2">
      <c r="A6473" s="13" t="s">
        <v>6874</v>
      </c>
    </row>
    <row r="6474" spans="1:1" x14ac:dyDescent="0.2">
      <c r="A6474" s="13" t="s">
        <v>6875</v>
      </c>
    </row>
    <row r="6475" spans="1:1" x14ac:dyDescent="0.2">
      <c r="A6475" s="13" t="s">
        <v>6876</v>
      </c>
    </row>
    <row r="6476" spans="1:1" x14ac:dyDescent="0.2">
      <c r="A6476" s="13" t="s">
        <v>2512</v>
      </c>
    </row>
    <row r="6477" spans="1:1" x14ac:dyDescent="0.2">
      <c r="A6477" s="13" t="s">
        <v>6877</v>
      </c>
    </row>
    <row r="6478" spans="1:1" x14ac:dyDescent="0.2">
      <c r="A6478" s="13" t="s">
        <v>6878</v>
      </c>
    </row>
    <row r="6479" spans="1:1" x14ac:dyDescent="0.2">
      <c r="A6479" s="13" t="s">
        <v>6879</v>
      </c>
    </row>
    <row r="6480" spans="1:1" x14ac:dyDescent="0.2">
      <c r="A6480" s="13" t="s">
        <v>6880</v>
      </c>
    </row>
    <row r="6481" spans="1:1" x14ac:dyDescent="0.2">
      <c r="A6481" s="13" t="s">
        <v>6881</v>
      </c>
    </row>
    <row r="6482" spans="1:1" x14ac:dyDescent="0.2">
      <c r="A6482" s="13" t="s">
        <v>6882</v>
      </c>
    </row>
    <row r="6483" spans="1:1" x14ac:dyDescent="0.2">
      <c r="A6483" s="13" t="s">
        <v>3965</v>
      </c>
    </row>
    <row r="6484" spans="1:1" x14ac:dyDescent="0.2">
      <c r="A6484" s="13" t="s">
        <v>6883</v>
      </c>
    </row>
    <row r="6485" spans="1:1" x14ac:dyDescent="0.2">
      <c r="A6485" s="13" t="s">
        <v>6884</v>
      </c>
    </row>
    <row r="6486" spans="1:1" x14ac:dyDescent="0.2">
      <c r="A6486" s="13" t="s">
        <v>3946</v>
      </c>
    </row>
    <row r="6487" spans="1:1" x14ac:dyDescent="0.2">
      <c r="A6487" s="13" t="s">
        <v>6885</v>
      </c>
    </row>
    <row r="6488" spans="1:1" x14ac:dyDescent="0.2">
      <c r="A6488" s="13" t="s">
        <v>6886</v>
      </c>
    </row>
    <row r="6489" spans="1:1" x14ac:dyDescent="0.2">
      <c r="A6489" s="13" t="s">
        <v>6887</v>
      </c>
    </row>
    <row r="6490" spans="1:1" x14ac:dyDescent="0.2">
      <c r="A6490" s="13" t="s">
        <v>6888</v>
      </c>
    </row>
    <row r="6491" spans="1:1" x14ac:dyDescent="0.2">
      <c r="A6491" s="13" t="s">
        <v>6889</v>
      </c>
    </row>
    <row r="6492" spans="1:1" x14ac:dyDescent="0.2">
      <c r="A6492" s="13" t="s">
        <v>6890</v>
      </c>
    </row>
    <row r="6493" spans="1:1" x14ac:dyDescent="0.2">
      <c r="A6493" s="13" t="s">
        <v>6891</v>
      </c>
    </row>
    <row r="6494" spans="1:1" x14ac:dyDescent="0.2">
      <c r="A6494" s="13" t="s">
        <v>6892</v>
      </c>
    </row>
    <row r="6495" spans="1:1" x14ac:dyDescent="0.2">
      <c r="A6495" s="13" t="s">
        <v>6893</v>
      </c>
    </row>
    <row r="6496" spans="1:1" x14ac:dyDescent="0.2">
      <c r="A6496" s="13" t="s">
        <v>6894</v>
      </c>
    </row>
    <row r="6497" spans="1:1" x14ac:dyDescent="0.2">
      <c r="A6497" s="13" t="s">
        <v>6895</v>
      </c>
    </row>
    <row r="6498" spans="1:1" x14ac:dyDescent="0.2">
      <c r="A6498" s="13" t="s">
        <v>6896</v>
      </c>
    </row>
    <row r="6499" spans="1:1" x14ac:dyDescent="0.2">
      <c r="A6499" s="13" t="s">
        <v>6897</v>
      </c>
    </row>
    <row r="6500" spans="1:1" x14ac:dyDescent="0.2">
      <c r="A6500" s="13" t="s">
        <v>6898</v>
      </c>
    </row>
    <row r="6501" spans="1:1" x14ac:dyDescent="0.2">
      <c r="A6501" s="13" t="s">
        <v>6899</v>
      </c>
    </row>
    <row r="6502" spans="1:1" x14ac:dyDescent="0.2">
      <c r="A6502" s="13" t="s">
        <v>6900</v>
      </c>
    </row>
    <row r="6503" spans="1:1" x14ac:dyDescent="0.2">
      <c r="A6503" s="13" t="s">
        <v>6901</v>
      </c>
    </row>
    <row r="6504" spans="1:1" x14ac:dyDescent="0.2">
      <c r="A6504" s="13" t="s">
        <v>6902</v>
      </c>
    </row>
    <row r="6505" spans="1:1" x14ac:dyDescent="0.2">
      <c r="A6505" s="13" t="s">
        <v>6903</v>
      </c>
    </row>
    <row r="6506" spans="1:1" x14ac:dyDescent="0.2">
      <c r="A6506" s="13" t="s">
        <v>6904</v>
      </c>
    </row>
    <row r="6507" spans="1:1" x14ac:dyDescent="0.2">
      <c r="A6507" s="13" t="s">
        <v>6905</v>
      </c>
    </row>
    <row r="6508" spans="1:1" x14ac:dyDescent="0.2">
      <c r="A6508" s="13" t="s">
        <v>6906</v>
      </c>
    </row>
    <row r="6509" spans="1:1" x14ac:dyDescent="0.2">
      <c r="A6509" s="13" t="s">
        <v>6907</v>
      </c>
    </row>
    <row r="6510" spans="1:1" x14ac:dyDescent="0.2">
      <c r="A6510" s="13" t="s">
        <v>6908</v>
      </c>
    </row>
    <row r="6511" spans="1:1" x14ac:dyDescent="0.2">
      <c r="A6511" s="13" t="s">
        <v>6909</v>
      </c>
    </row>
    <row r="6512" spans="1:1" x14ac:dyDescent="0.2">
      <c r="A6512" s="13" t="s">
        <v>6910</v>
      </c>
    </row>
    <row r="6513" spans="1:1" x14ac:dyDescent="0.2">
      <c r="A6513" s="13" t="s">
        <v>6911</v>
      </c>
    </row>
    <row r="6514" spans="1:1" x14ac:dyDescent="0.2">
      <c r="A6514" s="13" t="s">
        <v>6912</v>
      </c>
    </row>
    <row r="6515" spans="1:1" x14ac:dyDescent="0.2">
      <c r="A6515" s="13" t="s">
        <v>6913</v>
      </c>
    </row>
    <row r="6516" spans="1:1" x14ac:dyDescent="0.2">
      <c r="A6516" s="13" t="s">
        <v>6914</v>
      </c>
    </row>
    <row r="6517" spans="1:1" x14ac:dyDescent="0.2">
      <c r="A6517" s="13" t="s">
        <v>6915</v>
      </c>
    </row>
    <row r="6518" spans="1:1" x14ac:dyDescent="0.2">
      <c r="A6518" s="13" t="s">
        <v>6916</v>
      </c>
    </row>
    <row r="6519" spans="1:1" x14ac:dyDescent="0.2">
      <c r="A6519" s="13" t="s">
        <v>6917</v>
      </c>
    </row>
    <row r="6520" spans="1:1" x14ac:dyDescent="0.2">
      <c r="A6520" s="13" t="s">
        <v>6918</v>
      </c>
    </row>
    <row r="6521" spans="1:1" x14ac:dyDescent="0.2">
      <c r="A6521" s="13" t="s">
        <v>6919</v>
      </c>
    </row>
    <row r="6522" spans="1:1" x14ac:dyDescent="0.2">
      <c r="A6522" s="13" t="s">
        <v>6920</v>
      </c>
    </row>
    <row r="6523" spans="1:1" x14ac:dyDescent="0.2">
      <c r="A6523" s="13" t="s">
        <v>6921</v>
      </c>
    </row>
    <row r="6524" spans="1:1" x14ac:dyDescent="0.2">
      <c r="A6524" s="13" t="s">
        <v>6922</v>
      </c>
    </row>
    <row r="6525" spans="1:1" x14ac:dyDescent="0.2">
      <c r="A6525" s="13" t="s">
        <v>6923</v>
      </c>
    </row>
    <row r="6526" spans="1:1" x14ac:dyDescent="0.2">
      <c r="A6526" s="13" t="s">
        <v>6924</v>
      </c>
    </row>
    <row r="6527" spans="1:1" x14ac:dyDescent="0.2">
      <c r="A6527" s="13" t="s">
        <v>6925</v>
      </c>
    </row>
    <row r="6528" spans="1:1" x14ac:dyDescent="0.2">
      <c r="A6528" s="13" t="s">
        <v>6926</v>
      </c>
    </row>
    <row r="6529" spans="1:1" x14ac:dyDescent="0.2">
      <c r="A6529" s="13" t="s">
        <v>6927</v>
      </c>
    </row>
    <row r="6530" spans="1:1" x14ac:dyDescent="0.2">
      <c r="A6530" s="13" t="s">
        <v>6928</v>
      </c>
    </row>
    <row r="6531" spans="1:1" x14ac:dyDescent="0.2">
      <c r="A6531" s="13" t="s">
        <v>6929</v>
      </c>
    </row>
    <row r="6532" spans="1:1" x14ac:dyDescent="0.2">
      <c r="A6532" s="13" t="s">
        <v>6930</v>
      </c>
    </row>
    <row r="6533" spans="1:1" x14ac:dyDescent="0.2">
      <c r="A6533" s="13" t="s">
        <v>6931</v>
      </c>
    </row>
    <row r="6534" spans="1:1" x14ac:dyDescent="0.2">
      <c r="A6534" s="13" t="s">
        <v>6932</v>
      </c>
    </row>
    <row r="6535" spans="1:1" x14ac:dyDescent="0.2">
      <c r="A6535" s="13" t="s">
        <v>6933</v>
      </c>
    </row>
    <row r="6536" spans="1:1" x14ac:dyDescent="0.2">
      <c r="A6536" s="13" t="s">
        <v>6934</v>
      </c>
    </row>
    <row r="6537" spans="1:1" x14ac:dyDescent="0.2">
      <c r="A6537" s="13" t="s">
        <v>6935</v>
      </c>
    </row>
    <row r="6538" spans="1:1" x14ac:dyDescent="0.2">
      <c r="A6538" s="13" t="s">
        <v>6936</v>
      </c>
    </row>
    <row r="6539" spans="1:1" x14ac:dyDescent="0.2">
      <c r="A6539" s="13" t="s">
        <v>6937</v>
      </c>
    </row>
    <row r="6540" spans="1:1" x14ac:dyDescent="0.2">
      <c r="A6540" s="13" t="s">
        <v>6938</v>
      </c>
    </row>
    <row r="6541" spans="1:1" x14ac:dyDescent="0.2">
      <c r="A6541" s="13" t="s">
        <v>6939</v>
      </c>
    </row>
    <row r="6542" spans="1:1" x14ac:dyDescent="0.2">
      <c r="A6542" s="13" t="s">
        <v>6940</v>
      </c>
    </row>
    <row r="6543" spans="1:1" x14ac:dyDescent="0.2">
      <c r="A6543" s="13" t="s">
        <v>6941</v>
      </c>
    </row>
    <row r="6544" spans="1:1" x14ac:dyDescent="0.2">
      <c r="A6544" s="13" t="s">
        <v>6942</v>
      </c>
    </row>
    <row r="6545" spans="1:1" x14ac:dyDescent="0.2">
      <c r="A6545" s="13" t="s">
        <v>6943</v>
      </c>
    </row>
    <row r="6546" spans="1:1" x14ac:dyDescent="0.2">
      <c r="A6546" s="13" t="s">
        <v>6944</v>
      </c>
    </row>
    <row r="6547" spans="1:1" x14ac:dyDescent="0.2">
      <c r="A6547" s="13" t="s">
        <v>6945</v>
      </c>
    </row>
    <row r="6548" spans="1:1" x14ac:dyDescent="0.2">
      <c r="A6548" s="13" t="s">
        <v>6946</v>
      </c>
    </row>
    <row r="6549" spans="1:1" x14ac:dyDescent="0.2">
      <c r="A6549" s="13" t="s">
        <v>6947</v>
      </c>
    </row>
    <row r="6550" spans="1:1" x14ac:dyDescent="0.2">
      <c r="A6550" s="13" t="s">
        <v>6948</v>
      </c>
    </row>
    <row r="6551" spans="1:1" x14ac:dyDescent="0.2">
      <c r="A6551" s="13" t="s">
        <v>6949</v>
      </c>
    </row>
    <row r="6552" spans="1:1" x14ac:dyDescent="0.2">
      <c r="A6552" s="13" t="s">
        <v>6950</v>
      </c>
    </row>
    <row r="6553" spans="1:1" x14ac:dyDescent="0.2">
      <c r="A6553" s="13" t="s">
        <v>6951</v>
      </c>
    </row>
    <row r="6554" spans="1:1" x14ac:dyDescent="0.2">
      <c r="A6554" s="13" t="s">
        <v>6952</v>
      </c>
    </row>
    <row r="6555" spans="1:1" x14ac:dyDescent="0.2">
      <c r="A6555" s="13" t="s">
        <v>6953</v>
      </c>
    </row>
    <row r="6556" spans="1:1" x14ac:dyDescent="0.2">
      <c r="A6556" s="13" t="s">
        <v>6954</v>
      </c>
    </row>
    <row r="6557" spans="1:1" x14ac:dyDescent="0.2">
      <c r="A6557" s="13" t="s">
        <v>6955</v>
      </c>
    </row>
    <row r="6558" spans="1:1" x14ac:dyDescent="0.2">
      <c r="A6558" s="13" t="s">
        <v>6956</v>
      </c>
    </row>
    <row r="6559" spans="1:1" x14ac:dyDescent="0.2">
      <c r="A6559" s="13" t="s">
        <v>6957</v>
      </c>
    </row>
    <row r="6560" spans="1:1" x14ac:dyDescent="0.2">
      <c r="A6560" s="13" t="s">
        <v>6958</v>
      </c>
    </row>
    <row r="6561" spans="1:1" x14ac:dyDescent="0.2">
      <c r="A6561" s="13" t="s">
        <v>6959</v>
      </c>
    </row>
    <row r="6562" spans="1:1" x14ac:dyDescent="0.2">
      <c r="A6562" s="13" t="s">
        <v>6960</v>
      </c>
    </row>
    <row r="6563" spans="1:1" x14ac:dyDescent="0.2">
      <c r="A6563" s="13" t="s">
        <v>6961</v>
      </c>
    </row>
    <row r="6564" spans="1:1" x14ac:dyDescent="0.2">
      <c r="A6564" s="13" t="s">
        <v>6962</v>
      </c>
    </row>
    <row r="6565" spans="1:1" x14ac:dyDescent="0.2">
      <c r="A6565" s="13" t="s">
        <v>6963</v>
      </c>
    </row>
    <row r="6566" spans="1:1" x14ac:dyDescent="0.2">
      <c r="A6566" s="13" t="s">
        <v>6964</v>
      </c>
    </row>
    <row r="6567" spans="1:1" x14ac:dyDescent="0.2">
      <c r="A6567" s="13" t="s">
        <v>6965</v>
      </c>
    </row>
    <row r="6568" spans="1:1" x14ac:dyDescent="0.2">
      <c r="A6568" s="13" t="s">
        <v>6966</v>
      </c>
    </row>
    <row r="6569" spans="1:1" x14ac:dyDescent="0.2">
      <c r="A6569" s="13" t="s">
        <v>6967</v>
      </c>
    </row>
    <row r="6570" spans="1:1" x14ac:dyDescent="0.2">
      <c r="A6570" s="13" t="s">
        <v>6968</v>
      </c>
    </row>
    <row r="6571" spans="1:1" x14ac:dyDescent="0.2">
      <c r="A6571" s="13" t="s">
        <v>6969</v>
      </c>
    </row>
    <row r="6572" spans="1:1" x14ac:dyDescent="0.2">
      <c r="A6572" s="13" t="s">
        <v>6970</v>
      </c>
    </row>
    <row r="6573" spans="1:1" x14ac:dyDescent="0.2">
      <c r="A6573" s="13" t="s">
        <v>6971</v>
      </c>
    </row>
    <row r="6574" spans="1:1" x14ac:dyDescent="0.2">
      <c r="A6574" s="13" t="s">
        <v>6972</v>
      </c>
    </row>
    <row r="6575" spans="1:1" x14ac:dyDescent="0.2">
      <c r="A6575" s="13" t="s">
        <v>6973</v>
      </c>
    </row>
    <row r="6576" spans="1:1" x14ac:dyDescent="0.2">
      <c r="A6576" s="13" t="s">
        <v>6974</v>
      </c>
    </row>
    <row r="6577" spans="1:1" x14ac:dyDescent="0.2">
      <c r="A6577" s="13" t="s">
        <v>6975</v>
      </c>
    </row>
    <row r="6578" spans="1:1" x14ac:dyDescent="0.2">
      <c r="A6578" s="13" t="s">
        <v>6976</v>
      </c>
    </row>
    <row r="6579" spans="1:1" x14ac:dyDescent="0.2">
      <c r="A6579" s="13" t="s">
        <v>6977</v>
      </c>
    </row>
    <row r="6580" spans="1:1" x14ac:dyDescent="0.2">
      <c r="A6580" s="13" t="s">
        <v>6978</v>
      </c>
    </row>
    <row r="6581" spans="1:1" x14ac:dyDescent="0.2">
      <c r="A6581" s="13" t="s">
        <v>6979</v>
      </c>
    </row>
    <row r="6582" spans="1:1" x14ac:dyDescent="0.2">
      <c r="A6582" s="13" t="s">
        <v>6980</v>
      </c>
    </row>
    <row r="6583" spans="1:1" x14ac:dyDescent="0.2">
      <c r="A6583" s="13" t="s">
        <v>6981</v>
      </c>
    </row>
    <row r="6584" spans="1:1" x14ac:dyDescent="0.2">
      <c r="A6584" s="13" t="s">
        <v>6982</v>
      </c>
    </row>
    <row r="6585" spans="1:1" x14ac:dyDescent="0.2">
      <c r="A6585" s="13" t="s">
        <v>6983</v>
      </c>
    </row>
    <row r="6586" spans="1:1" x14ac:dyDescent="0.2">
      <c r="A6586" s="13" t="s">
        <v>6984</v>
      </c>
    </row>
    <row r="6587" spans="1:1" x14ac:dyDescent="0.2">
      <c r="A6587" s="13" t="s">
        <v>6985</v>
      </c>
    </row>
    <row r="6588" spans="1:1" x14ac:dyDescent="0.2">
      <c r="A6588" s="13" t="s">
        <v>6986</v>
      </c>
    </row>
    <row r="6589" spans="1:1" x14ac:dyDescent="0.2">
      <c r="A6589" s="13" t="s">
        <v>6987</v>
      </c>
    </row>
    <row r="6590" spans="1:1" x14ac:dyDescent="0.2">
      <c r="A6590" s="13" t="s">
        <v>6988</v>
      </c>
    </row>
    <row r="6591" spans="1:1" x14ac:dyDescent="0.2">
      <c r="A6591" s="13" t="s">
        <v>6989</v>
      </c>
    </row>
    <row r="6592" spans="1:1" x14ac:dyDescent="0.2">
      <c r="A6592" s="13" t="s">
        <v>6990</v>
      </c>
    </row>
    <row r="6593" spans="1:1" x14ac:dyDescent="0.2">
      <c r="A6593" s="13" t="s">
        <v>6991</v>
      </c>
    </row>
    <row r="6594" spans="1:1" x14ac:dyDescent="0.2">
      <c r="A6594" s="13" t="s">
        <v>6992</v>
      </c>
    </row>
    <row r="6595" spans="1:1" x14ac:dyDescent="0.2">
      <c r="A6595" s="13" t="s">
        <v>6993</v>
      </c>
    </row>
    <row r="6596" spans="1:1" x14ac:dyDescent="0.2">
      <c r="A6596" s="13" t="s">
        <v>6994</v>
      </c>
    </row>
    <row r="6597" spans="1:1" x14ac:dyDescent="0.2">
      <c r="A6597" s="13" t="s">
        <v>6995</v>
      </c>
    </row>
    <row r="6598" spans="1:1" x14ac:dyDescent="0.2">
      <c r="A6598" s="13" t="s">
        <v>6996</v>
      </c>
    </row>
    <row r="6599" spans="1:1" x14ac:dyDescent="0.2">
      <c r="A6599" s="13" t="s">
        <v>6997</v>
      </c>
    </row>
    <row r="6600" spans="1:1" x14ac:dyDescent="0.2">
      <c r="A6600" s="13" t="s">
        <v>6998</v>
      </c>
    </row>
    <row r="6601" spans="1:1" x14ac:dyDescent="0.2">
      <c r="A6601" s="13" t="s">
        <v>6999</v>
      </c>
    </row>
    <row r="6602" spans="1:1" x14ac:dyDescent="0.2">
      <c r="A6602" s="13" t="s">
        <v>7000</v>
      </c>
    </row>
    <row r="6603" spans="1:1" x14ac:dyDescent="0.2">
      <c r="A6603" s="13" t="s">
        <v>7001</v>
      </c>
    </row>
    <row r="6604" spans="1:1" x14ac:dyDescent="0.2">
      <c r="A6604" s="13" t="s">
        <v>7002</v>
      </c>
    </row>
    <row r="6605" spans="1:1" x14ac:dyDescent="0.2">
      <c r="A6605" s="13" t="s">
        <v>7003</v>
      </c>
    </row>
    <row r="6606" spans="1:1" x14ac:dyDescent="0.2">
      <c r="A6606" s="13" t="s">
        <v>7004</v>
      </c>
    </row>
    <row r="6607" spans="1:1" x14ac:dyDescent="0.2">
      <c r="A6607" s="13" t="s">
        <v>7005</v>
      </c>
    </row>
    <row r="6608" spans="1:1" x14ac:dyDescent="0.2">
      <c r="A6608" s="13" t="s">
        <v>7006</v>
      </c>
    </row>
    <row r="6609" spans="1:1" x14ac:dyDescent="0.2">
      <c r="A6609" s="13" t="s">
        <v>7007</v>
      </c>
    </row>
    <row r="6610" spans="1:1" x14ac:dyDescent="0.2">
      <c r="A6610" s="13" t="s">
        <v>7008</v>
      </c>
    </row>
    <row r="6611" spans="1:1" x14ac:dyDescent="0.2">
      <c r="A6611" s="13" t="s">
        <v>7009</v>
      </c>
    </row>
    <row r="6612" spans="1:1" x14ac:dyDescent="0.2">
      <c r="A6612" s="13" t="s">
        <v>7010</v>
      </c>
    </row>
    <row r="6613" spans="1:1" x14ac:dyDescent="0.2">
      <c r="A6613" s="13" t="s">
        <v>7011</v>
      </c>
    </row>
    <row r="6614" spans="1:1" x14ac:dyDescent="0.2">
      <c r="A6614" s="13" t="s">
        <v>7012</v>
      </c>
    </row>
    <row r="6615" spans="1:1" x14ac:dyDescent="0.2">
      <c r="A6615" s="13" t="s">
        <v>7013</v>
      </c>
    </row>
    <row r="6616" spans="1:1" x14ac:dyDescent="0.2">
      <c r="A6616" s="13" t="s">
        <v>7014</v>
      </c>
    </row>
    <row r="6617" spans="1:1" x14ac:dyDescent="0.2">
      <c r="A6617" s="13" t="s">
        <v>7015</v>
      </c>
    </row>
    <row r="6618" spans="1:1" x14ac:dyDescent="0.2">
      <c r="A6618" s="13" t="s">
        <v>7016</v>
      </c>
    </row>
    <row r="6619" spans="1:1" x14ac:dyDescent="0.2">
      <c r="A6619" s="13" t="s">
        <v>7017</v>
      </c>
    </row>
    <row r="6620" spans="1:1" x14ac:dyDescent="0.2">
      <c r="A6620" s="13" t="s">
        <v>7018</v>
      </c>
    </row>
    <row r="6621" spans="1:1" x14ac:dyDescent="0.2">
      <c r="A6621" s="13" t="s">
        <v>7019</v>
      </c>
    </row>
    <row r="6622" spans="1:1" x14ac:dyDescent="0.2">
      <c r="A6622" s="13" t="s">
        <v>7020</v>
      </c>
    </row>
    <row r="6623" spans="1:1" x14ac:dyDescent="0.2">
      <c r="A6623" s="13" t="s">
        <v>7021</v>
      </c>
    </row>
    <row r="6624" spans="1:1" x14ac:dyDescent="0.2">
      <c r="A6624" s="13" t="s">
        <v>7022</v>
      </c>
    </row>
    <row r="6625" spans="1:1" x14ac:dyDescent="0.2">
      <c r="A6625" s="13" t="s">
        <v>7023</v>
      </c>
    </row>
    <row r="6626" spans="1:1" x14ac:dyDescent="0.2">
      <c r="A6626" s="13" t="s">
        <v>7024</v>
      </c>
    </row>
    <row r="6627" spans="1:1" x14ac:dyDescent="0.2">
      <c r="A6627" s="13" t="s">
        <v>7025</v>
      </c>
    </row>
    <row r="6628" spans="1:1" x14ac:dyDescent="0.2">
      <c r="A6628" s="13" t="s">
        <v>7026</v>
      </c>
    </row>
    <row r="6629" spans="1:1" x14ac:dyDescent="0.2">
      <c r="A6629" s="13" t="s">
        <v>7027</v>
      </c>
    </row>
    <row r="6630" spans="1:1" x14ac:dyDescent="0.2">
      <c r="A6630" s="13" t="s">
        <v>7028</v>
      </c>
    </row>
    <row r="6631" spans="1:1" x14ac:dyDescent="0.2">
      <c r="A6631" s="13" t="s">
        <v>7029</v>
      </c>
    </row>
    <row r="6632" spans="1:1" x14ac:dyDescent="0.2">
      <c r="A6632" s="13" t="s">
        <v>7030</v>
      </c>
    </row>
    <row r="6633" spans="1:1" x14ac:dyDescent="0.2">
      <c r="A6633" s="13" t="s">
        <v>7031</v>
      </c>
    </row>
    <row r="6634" spans="1:1" x14ac:dyDescent="0.2">
      <c r="A6634" s="13" t="s">
        <v>7032</v>
      </c>
    </row>
    <row r="6635" spans="1:1" x14ac:dyDescent="0.2">
      <c r="A6635" s="13" t="s">
        <v>7033</v>
      </c>
    </row>
    <row r="6636" spans="1:1" x14ac:dyDescent="0.2">
      <c r="A6636" s="13" t="s">
        <v>7034</v>
      </c>
    </row>
    <row r="6637" spans="1:1" x14ac:dyDescent="0.2">
      <c r="A6637" s="13" t="s">
        <v>7035</v>
      </c>
    </row>
    <row r="6638" spans="1:1" x14ac:dyDescent="0.2">
      <c r="A6638" s="13" t="s">
        <v>7036</v>
      </c>
    </row>
    <row r="6639" spans="1:1" x14ac:dyDescent="0.2">
      <c r="A6639" s="13" t="s">
        <v>7037</v>
      </c>
    </row>
    <row r="6640" spans="1:1" x14ac:dyDescent="0.2">
      <c r="A6640" s="13" t="s">
        <v>1608</v>
      </c>
    </row>
    <row r="6641" spans="1:1" x14ac:dyDescent="0.2">
      <c r="A6641" s="13" t="s">
        <v>7038</v>
      </c>
    </row>
    <row r="6642" spans="1:1" x14ac:dyDescent="0.2">
      <c r="A6642" s="13" t="s">
        <v>7039</v>
      </c>
    </row>
    <row r="6643" spans="1:1" x14ac:dyDescent="0.2">
      <c r="A6643" s="13" t="s">
        <v>7040</v>
      </c>
    </row>
    <row r="6644" spans="1:1" x14ac:dyDescent="0.2">
      <c r="A6644" s="13" t="s">
        <v>7041</v>
      </c>
    </row>
    <row r="6645" spans="1:1" x14ac:dyDescent="0.2">
      <c r="A6645" s="13" t="s">
        <v>2631</v>
      </c>
    </row>
    <row r="6646" spans="1:1" x14ac:dyDescent="0.2">
      <c r="A6646" s="13" t="s">
        <v>7042</v>
      </c>
    </row>
    <row r="6647" spans="1:1" x14ac:dyDescent="0.2">
      <c r="A6647" s="13" t="s">
        <v>7043</v>
      </c>
    </row>
    <row r="6648" spans="1:1" x14ac:dyDescent="0.2">
      <c r="A6648" s="13" t="s">
        <v>3102</v>
      </c>
    </row>
    <row r="6649" spans="1:1" x14ac:dyDescent="0.2">
      <c r="A6649" s="13" t="s">
        <v>7044</v>
      </c>
    </row>
    <row r="6650" spans="1:1" x14ac:dyDescent="0.2">
      <c r="A6650" s="13" t="s">
        <v>7045</v>
      </c>
    </row>
    <row r="6651" spans="1:1" x14ac:dyDescent="0.2">
      <c r="A6651" s="13" t="s">
        <v>7046</v>
      </c>
    </row>
    <row r="6652" spans="1:1" x14ac:dyDescent="0.2">
      <c r="A6652" s="13" t="s">
        <v>7047</v>
      </c>
    </row>
    <row r="6653" spans="1:1" x14ac:dyDescent="0.2">
      <c r="A6653" s="13" t="s">
        <v>7048</v>
      </c>
    </row>
    <row r="6654" spans="1:1" x14ac:dyDescent="0.2">
      <c r="A6654" s="13" t="s">
        <v>7049</v>
      </c>
    </row>
    <row r="6655" spans="1:1" x14ac:dyDescent="0.2">
      <c r="A6655" s="13" t="s">
        <v>7050</v>
      </c>
    </row>
    <row r="6656" spans="1:1" x14ac:dyDescent="0.2">
      <c r="A6656" s="13" t="s">
        <v>7051</v>
      </c>
    </row>
    <row r="6657" spans="1:1" x14ac:dyDescent="0.2">
      <c r="A6657" s="13" t="s">
        <v>7052</v>
      </c>
    </row>
    <row r="6658" spans="1:1" x14ac:dyDescent="0.2">
      <c r="A6658" s="13" t="s">
        <v>7053</v>
      </c>
    </row>
    <row r="6659" spans="1:1" x14ac:dyDescent="0.2">
      <c r="A6659" s="13" t="s">
        <v>7054</v>
      </c>
    </row>
    <row r="6660" spans="1:1" x14ac:dyDescent="0.2">
      <c r="A6660" s="13" t="s">
        <v>7055</v>
      </c>
    </row>
    <row r="6661" spans="1:1" x14ac:dyDescent="0.2">
      <c r="A6661" s="13" t="s">
        <v>7056</v>
      </c>
    </row>
    <row r="6662" spans="1:1" x14ac:dyDescent="0.2">
      <c r="A6662" s="13" t="s">
        <v>7057</v>
      </c>
    </row>
    <row r="6663" spans="1:1" x14ac:dyDescent="0.2">
      <c r="A6663" s="13" t="s">
        <v>7058</v>
      </c>
    </row>
    <row r="6664" spans="1:1" x14ac:dyDescent="0.2">
      <c r="A6664" s="13" t="s">
        <v>7059</v>
      </c>
    </row>
    <row r="6665" spans="1:1" x14ac:dyDescent="0.2">
      <c r="A6665" s="13" t="s">
        <v>7060</v>
      </c>
    </row>
    <row r="6666" spans="1:1" x14ac:dyDescent="0.2">
      <c r="A6666" s="13" t="s">
        <v>7061</v>
      </c>
    </row>
    <row r="6667" spans="1:1" x14ac:dyDescent="0.2">
      <c r="A6667" s="13" t="s">
        <v>7062</v>
      </c>
    </row>
    <row r="6668" spans="1:1" x14ac:dyDescent="0.2">
      <c r="A6668" s="13" t="s">
        <v>7063</v>
      </c>
    </row>
    <row r="6669" spans="1:1" x14ac:dyDescent="0.2">
      <c r="A6669" s="13" t="s">
        <v>7064</v>
      </c>
    </row>
    <row r="6670" spans="1:1" x14ac:dyDescent="0.2">
      <c r="A6670" s="13" t="s">
        <v>7065</v>
      </c>
    </row>
    <row r="6671" spans="1:1" x14ac:dyDescent="0.2">
      <c r="A6671" s="13" t="s">
        <v>7066</v>
      </c>
    </row>
    <row r="6672" spans="1:1" x14ac:dyDescent="0.2">
      <c r="A6672" s="13" t="s">
        <v>7067</v>
      </c>
    </row>
    <row r="6673" spans="1:1" x14ac:dyDescent="0.2">
      <c r="A6673" s="13" t="s">
        <v>7068</v>
      </c>
    </row>
    <row r="6674" spans="1:1" x14ac:dyDescent="0.2">
      <c r="A6674" s="13" t="s">
        <v>7069</v>
      </c>
    </row>
    <row r="6675" spans="1:1" x14ac:dyDescent="0.2">
      <c r="A6675" s="13" t="s">
        <v>7070</v>
      </c>
    </row>
    <row r="6676" spans="1:1" x14ac:dyDescent="0.2">
      <c r="A6676" s="13" t="s">
        <v>7071</v>
      </c>
    </row>
    <row r="6677" spans="1:1" x14ac:dyDescent="0.2">
      <c r="A6677" s="13" t="s">
        <v>7072</v>
      </c>
    </row>
    <row r="6678" spans="1:1" x14ac:dyDescent="0.2">
      <c r="A6678" s="13" t="s">
        <v>7073</v>
      </c>
    </row>
    <row r="6679" spans="1:1" x14ac:dyDescent="0.2">
      <c r="A6679" s="13" t="s">
        <v>7074</v>
      </c>
    </row>
    <row r="6680" spans="1:1" x14ac:dyDescent="0.2">
      <c r="A6680" s="13" t="s">
        <v>7075</v>
      </c>
    </row>
    <row r="6681" spans="1:1" x14ac:dyDescent="0.2">
      <c r="A6681" s="13" t="s">
        <v>7076</v>
      </c>
    </row>
    <row r="6682" spans="1:1" x14ac:dyDescent="0.2">
      <c r="A6682" s="13" t="s">
        <v>7077</v>
      </c>
    </row>
    <row r="6683" spans="1:1" x14ac:dyDescent="0.2">
      <c r="A6683" s="13" t="s">
        <v>7078</v>
      </c>
    </row>
    <row r="6684" spans="1:1" x14ac:dyDescent="0.2">
      <c r="A6684" s="13" t="s">
        <v>7079</v>
      </c>
    </row>
    <row r="6685" spans="1:1" x14ac:dyDescent="0.2">
      <c r="A6685" s="13" t="s">
        <v>7080</v>
      </c>
    </row>
    <row r="6686" spans="1:1" x14ac:dyDescent="0.2">
      <c r="A6686" s="13" t="s">
        <v>7081</v>
      </c>
    </row>
    <row r="6687" spans="1:1" x14ac:dyDescent="0.2">
      <c r="A6687" s="13" t="s">
        <v>7082</v>
      </c>
    </row>
    <row r="6688" spans="1:1" x14ac:dyDescent="0.2">
      <c r="A6688" s="13" t="s">
        <v>7083</v>
      </c>
    </row>
    <row r="6689" spans="1:1" x14ac:dyDescent="0.2">
      <c r="A6689" s="13" t="s">
        <v>7084</v>
      </c>
    </row>
    <row r="6690" spans="1:1" x14ac:dyDescent="0.2">
      <c r="A6690" s="13" t="s">
        <v>7085</v>
      </c>
    </row>
    <row r="6691" spans="1:1" x14ac:dyDescent="0.2">
      <c r="A6691" s="13" t="s">
        <v>7086</v>
      </c>
    </row>
    <row r="6692" spans="1:1" x14ac:dyDescent="0.2">
      <c r="A6692" s="13" t="s">
        <v>7087</v>
      </c>
    </row>
    <row r="6693" spans="1:1" x14ac:dyDescent="0.2">
      <c r="A6693" s="13" t="s">
        <v>7088</v>
      </c>
    </row>
    <row r="6694" spans="1:1" x14ac:dyDescent="0.2">
      <c r="A6694" s="13" t="s">
        <v>7089</v>
      </c>
    </row>
    <row r="6695" spans="1:1" x14ac:dyDescent="0.2">
      <c r="A6695" s="13" t="s">
        <v>7090</v>
      </c>
    </row>
    <row r="6696" spans="1:1" x14ac:dyDescent="0.2">
      <c r="A6696" s="13" t="s">
        <v>7091</v>
      </c>
    </row>
    <row r="6697" spans="1:1" x14ac:dyDescent="0.2">
      <c r="A6697" s="13" t="s">
        <v>7092</v>
      </c>
    </row>
    <row r="6698" spans="1:1" x14ac:dyDescent="0.2">
      <c r="A6698" s="13" t="s">
        <v>7093</v>
      </c>
    </row>
    <row r="6699" spans="1:1" x14ac:dyDescent="0.2">
      <c r="A6699" s="13" t="s">
        <v>7094</v>
      </c>
    </row>
    <row r="6700" spans="1:1" x14ac:dyDescent="0.2">
      <c r="A6700" s="13" t="s">
        <v>7095</v>
      </c>
    </row>
    <row r="6701" spans="1:1" x14ac:dyDescent="0.2">
      <c r="A6701" s="13" t="s">
        <v>7096</v>
      </c>
    </row>
    <row r="6702" spans="1:1" x14ac:dyDescent="0.2">
      <c r="A6702" s="13" t="s">
        <v>7097</v>
      </c>
    </row>
    <row r="6703" spans="1:1" x14ac:dyDescent="0.2">
      <c r="A6703" s="13" t="s">
        <v>7098</v>
      </c>
    </row>
    <row r="6704" spans="1:1" x14ac:dyDescent="0.2">
      <c r="A6704" s="13" t="s">
        <v>7099</v>
      </c>
    </row>
    <row r="6705" spans="1:1" x14ac:dyDescent="0.2">
      <c r="A6705" s="13" t="s">
        <v>7100</v>
      </c>
    </row>
    <row r="6706" spans="1:1" x14ac:dyDescent="0.2">
      <c r="A6706" s="13" t="s">
        <v>7101</v>
      </c>
    </row>
    <row r="6707" spans="1:1" x14ac:dyDescent="0.2">
      <c r="A6707" s="13" t="s">
        <v>7102</v>
      </c>
    </row>
    <row r="6708" spans="1:1" x14ac:dyDescent="0.2">
      <c r="A6708" s="13" t="s">
        <v>7103</v>
      </c>
    </row>
    <row r="6709" spans="1:1" x14ac:dyDescent="0.2">
      <c r="A6709" s="13" t="s">
        <v>7104</v>
      </c>
    </row>
    <row r="6710" spans="1:1" x14ac:dyDescent="0.2">
      <c r="A6710" s="13" t="s">
        <v>7105</v>
      </c>
    </row>
    <row r="6711" spans="1:1" x14ac:dyDescent="0.2">
      <c r="A6711" s="13" t="s">
        <v>7106</v>
      </c>
    </row>
    <row r="6712" spans="1:1" x14ac:dyDescent="0.2">
      <c r="A6712" s="13" t="s">
        <v>7107</v>
      </c>
    </row>
    <row r="6713" spans="1:1" x14ac:dyDescent="0.2">
      <c r="A6713" s="13" t="s">
        <v>7108</v>
      </c>
    </row>
    <row r="6714" spans="1:1" x14ac:dyDescent="0.2">
      <c r="A6714" s="13" t="s">
        <v>7109</v>
      </c>
    </row>
    <row r="6715" spans="1:1" x14ac:dyDescent="0.2">
      <c r="A6715" s="13" t="s">
        <v>7110</v>
      </c>
    </row>
    <row r="6716" spans="1:1" x14ac:dyDescent="0.2">
      <c r="A6716" s="13" t="s">
        <v>7111</v>
      </c>
    </row>
    <row r="6717" spans="1:1" x14ac:dyDescent="0.2">
      <c r="A6717" s="13" t="s">
        <v>7112</v>
      </c>
    </row>
    <row r="6718" spans="1:1" x14ac:dyDescent="0.2">
      <c r="A6718" s="13" t="s">
        <v>7113</v>
      </c>
    </row>
    <row r="6719" spans="1:1" x14ac:dyDescent="0.2">
      <c r="A6719" s="13" t="s">
        <v>7114</v>
      </c>
    </row>
    <row r="6720" spans="1:1" x14ac:dyDescent="0.2">
      <c r="A6720" s="13" t="s">
        <v>7115</v>
      </c>
    </row>
    <row r="6721" spans="1:1" x14ac:dyDescent="0.2">
      <c r="A6721" s="13" t="s">
        <v>7116</v>
      </c>
    </row>
    <row r="6722" spans="1:1" x14ac:dyDescent="0.2">
      <c r="A6722" s="13" t="s">
        <v>7117</v>
      </c>
    </row>
    <row r="6723" spans="1:1" x14ac:dyDescent="0.2">
      <c r="A6723" s="13" t="s">
        <v>7118</v>
      </c>
    </row>
    <row r="6724" spans="1:1" x14ac:dyDescent="0.2">
      <c r="A6724" s="13" t="s">
        <v>7119</v>
      </c>
    </row>
    <row r="6725" spans="1:1" x14ac:dyDescent="0.2">
      <c r="A6725" s="13" t="s">
        <v>7120</v>
      </c>
    </row>
    <row r="6726" spans="1:1" x14ac:dyDescent="0.2">
      <c r="A6726" s="13" t="s">
        <v>7121</v>
      </c>
    </row>
    <row r="6727" spans="1:1" x14ac:dyDescent="0.2">
      <c r="A6727" s="13" t="s">
        <v>7122</v>
      </c>
    </row>
    <row r="6728" spans="1:1" x14ac:dyDescent="0.2">
      <c r="A6728" s="13" t="s">
        <v>7123</v>
      </c>
    </row>
    <row r="6729" spans="1:1" x14ac:dyDescent="0.2">
      <c r="A6729" s="13" t="s">
        <v>7124</v>
      </c>
    </row>
    <row r="6730" spans="1:1" x14ac:dyDescent="0.2">
      <c r="A6730" s="13" t="s">
        <v>7125</v>
      </c>
    </row>
    <row r="6731" spans="1:1" x14ac:dyDescent="0.2">
      <c r="A6731" s="13" t="s">
        <v>7126</v>
      </c>
    </row>
    <row r="6732" spans="1:1" x14ac:dyDescent="0.2">
      <c r="A6732" s="13" t="s">
        <v>7127</v>
      </c>
    </row>
    <row r="6733" spans="1:1" x14ac:dyDescent="0.2">
      <c r="A6733" s="13" t="s">
        <v>7128</v>
      </c>
    </row>
    <row r="6734" spans="1:1" x14ac:dyDescent="0.2">
      <c r="A6734" s="13" t="s">
        <v>7129</v>
      </c>
    </row>
    <row r="6735" spans="1:1" x14ac:dyDescent="0.2">
      <c r="A6735" s="13" t="s">
        <v>7130</v>
      </c>
    </row>
    <row r="6736" spans="1:1" x14ac:dyDescent="0.2">
      <c r="A6736" s="13" t="s">
        <v>7131</v>
      </c>
    </row>
    <row r="6737" spans="1:1" x14ac:dyDescent="0.2">
      <c r="A6737" s="13" t="s">
        <v>7132</v>
      </c>
    </row>
    <row r="6738" spans="1:1" x14ac:dyDescent="0.2">
      <c r="A6738" s="13" t="s">
        <v>7133</v>
      </c>
    </row>
    <row r="6739" spans="1:1" x14ac:dyDescent="0.2">
      <c r="A6739" s="13" t="s">
        <v>7134</v>
      </c>
    </row>
    <row r="6740" spans="1:1" x14ac:dyDescent="0.2">
      <c r="A6740" s="13" t="s">
        <v>7135</v>
      </c>
    </row>
    <row r="6741" spans="1:1" x14ac:dyDescent="0.2">
      <c r="A6741" s="13" t="s">
        <v>7136</v>
      </c>
    </row>
    <row r="6742" spans="1:1" x14ac:dyDescent="0.2">
      <c r="A6742" s="13" t="s">
        <v>7137</v>
      </c>
    </row>
    <row r="6743" spans="1:1" x14ac:dyDescent="0.2">
      <c r="A6743" s="13" t="s">
        <v>7138</v>
      </c>
    </row>
    <row r="6744" spans="1:1" x14ac:dyDescent="0.2">
      <c r="A6744" s="13" t="s">
        <v>7139</v>
      </c>
    </row>
    <row r="6745" spans="1:1" x14ac:dyDescent="0.2">
      <c r="A6745" s="13" t="s">
        <v>7140</v>
      </c>
    </row>
    <row r="6746" spans="1:1" x14ac:dyDescent="0.2">
      <c r="A6746" s="13" t="s">
        <v>7141</v>
      </c>
    </row>
    <row r="6747" spans="1:1" x14ac:dyDescent="0.2">
      <c r="A6747" s="13" t="s">
        <v>7142</v>
      </c>
    </row>
    <row r="6748" spans="1:1" x14ac:dyDescent="0.2">
      <c r="A6748" s="13" t="s">
        <v>7143</v>
      </c>
    </row>
    <row r="6749" spans="1:1" x14ac:dyDescent="0.2">
      <c r="A6749" s="13" t="s">
        <v>7144</v>
      </c>
    </row>
    <row r="6750" spans="1:1" x14ac:dyDescent="0.2">
      <c r="A6750" s="13" t="s">
        <v>7145</v>
      </c>
    </row>
    <row r="6751" spans="1:1" x14ac:dyDescent="0.2">
      <c r="A6751" s="13" t="s">
        <v>7146</v>
      </c>
    </row>
    <row r="6752" spans="1:1" x14ac:dyDescent="0.2">
      <c r="A6752" s="13" t="s">
        <v>7147</v>
      </c>
    </row>
    <row r="6753" spans="1:1" x14ac:dyDescent="0.2">
      <c r="A6753" s="13" t="s">
        <v>7148</v>
      </c>
    </row>
    <row r="6754" spans="1:1" x14ac:dyDescent="0.2">
      <c r="A6754" s="13" t="s">
        <v>7149</v>
      </c>
    </row>
    <row r="6755" spans="1:1" x14ac:dyDescent="0.2">
      <c r="A6755" s="13" t="s">
        <v>7150</v>
      </c>
    </row>
    <row r="6756" spans="1:1" x14ac:dyDescent="0.2">
      <c r="A6756" s="13" t="s">
        <v>7151</v>
      </c>
    </row>
    <row r="6757" spans="1:1" x14ac:dyDescent="0.2">
      <c r="A6757" s="13" t="s">
        <v>7152</v>
      </c>
    </row>
    <row r="6758" spans="1:1" x14ac:dyDescent="0.2">
      <c r="A6758" s="13" t="s">
        <v>7153</v>
      </c>
    </row>
    <row r="6759" spans="1:1" x14ac:dyDescent="0.2">
      <c r="A6759" s="13" t="s">
        <v>7154</v>
      </c>
    </row>
    <row r="6760" spans="1:1" x14ac:dyDescent="0.2">
      <c r="A6760" s="13" t="s">
        <v>7155</v>
      </c>
    </row>
    <row r="6761" spans="1:1" x14ac:dyDescent="0.2">
      <c r="A6761" s="13" t="s">
        <v>7156</v>
      </c>
    </row>
    <row r="6762" spans="1:1" x14ac:dyDescent="0.2">
      <c r="A6762" s="13" t="s">
        <v>7157</v>
      </c>
    </row>
    <row r="6763" spans="1:1" x14ac:dyDescent="0.2">
      <c r="A6763" s="13" t="s">
        <v>7158</v>
      </c>
    </row>
    <row r="6764" spans="1:1" x14ac:dyDescent="0.2">
      <c r="A6764" s="13" t="s">
        <v>7159</v>
      </c>
    </row>
    <row r="6765" spans="1:1" x14ac:dyDescent="0.2">
      <c r="A6765" s="13" t="s">
        <v>7160</v>
      </c>
    </row>
    <row r="6766" spans="1:1" x14ac:dyDescent="0.2">
      <c r="A6766" s="13" t="s">
        <v>7161</v>
      </c>
    </row>
    <row r="6767" spans="1:1" x14ac:dyDescent="0.2">
      <c r="A6767" s="13" t="s">
        <v>7162</v>
      </c>
    </row>
    <row r="6768" spans="1:1" x14ac:dyDescent="0.2">
      <c r="A6768" s="13" t="s">
        <v>7163</v>
      </c>
    </row>
    <row r="6769" spans="1:1" x14ac:dyDescent="0.2">
      <c r="A6769" s="13" t="s">
        <v>7164</v>
      </c>
    </row>
    <row r="6770" spans="1:1" x14ac:dyDescent="0.2">
      <c r="A6770" s="13" t="s">
        <v>7165</v>
      </c>
    </row>
    <row r="6771" spans="1:1" x14ac:dyDescent="0.2">
      <c r="A6771" s="13" t="s">
        <v>2957</v>
      </c>
    </row>
    <row r="6772" spans="1:1" x14ac:dyDescent="0.2">
      <c r="A6772" s="13" t="s">
        <v>3240</v>
      </c>
    </row>
    <row r="6773" spans="1:1" x14ac:dyDescent="0.2">
      <c r="A6773" s="13" t="s">
        <v>2971</v>
      </c>
    </row>
    <row r="6774" spans="1:1" x14ac:dyDescent="0.2">
      <c r="A6774" s="13" t="s">
        <v>7166</v>
      </c>
    </row>
    <row r="6775" spans="1:1" x14ac:dyDescent="0.2">
      <c r="A6775" s="13" t="s">
        <v>7167</v>
      </c>
    </row>
    <row r="6776" spans="1:1" x14ac:dyDescent="0.2">
      <c r="A6776" s="13" t="s">
        <v>4180</v>
      </c>
    </row>
    <row r="6777" spans="1:1" x14ac:dyDescent="0.2">
      <c r="A6777" s="13" t="s">
        <v>7168</v>
      </c>
    </row>
    <row r="6778" spans="1:1" x14ac:dyDescent="0.2">
      <c r="A6778" s="13" t="s">
        <v>3719</v>
      </c>
    </row>
    <row r="6779" spans="1:1" x14ac:dyDescent="0.2">
      <c r="A6779" s="13" t="s">
        <v>1338</v>
      </c>
    </row>
    <row r="6780" spans="1:1" x14ac:dyDescent="0.2">
      <c r="A6780" s="13" t="s">
        <v>276</v>
      </c>
    </row>
    <row r="6781" spans="1:1" x14ac:dyDescent="0.2">
      <c r="A6781" s="13" t="s">
        <v>3924</v>
      </c>
    </row>
    <row r="6782" spans="1:1" x14ac:dyDescent="0.2">
      <c r="A6782" s="13" t="s">
        <v>7169</v>
      </c>
    </row>
    <row r="6783" spans="1:1" x14ac:dyDescent="0.2">
      <c r="A6783" s="13" t="s">
        <v>7170</v>
      </c>
    </row>
    <row r="6784" spans="1:1" x14ac:dyDescent="0.2">
      <c r="A6784" s="13" t="s">
        <v>7171</v>
      </c>
    </row>
    <row r="6785" spans="1:1" x14ac:dyDescent="0.2">
      <c r="A6785" s="13" t="s">
        <v>7172</v>
      </c>
    </row>
    <row r="6786" spans="1:1" x14ac:dyDescent="0.2">
      <c r="A6786" s="13" t="s">
        <v>1269</v>
      </c>
    </row>
    <row r="6787" spans="1:1" x14ac:dyDescent="0.2">
      <c r="A6787" s="13" t="s">
        <v>801</v>
      </c>
    </row>
    <row r="6788" spans="1:1" x14ac:dyDescent="0.2">
      <c r="A6788" s="13" t="s">
        <v>2237</v>
      </c>
    </row>
    <row r="6789" spans="1:1" x14ac:dyDescent="0.2">
      <c r="A6789" s="13" t="s">
        <v>3791</v>
      </c>
    </row>
    <row r="6790" spans="1:1" x14ac:dyDescent="0.2">
      <c r="A6790" s="13" t="s">
        <v>3505</v>
      </c>
    </row>
    <row r="6791" spans="1:1" x14ac:dyDescent="0.2">
      <c r="A6791" s="13" t="s">
        <v>7173</v>
      </c>
    </row>
    <row r="6792" spans="1:1" x14ac:dyDescent="0.2">
      <c r="A6792" s="13" t="s">
        <v>2329</v>
      </c>
    </row>
    <row r="6793" spans="1:1" x14ac:dyDescent="0.2">
      <c r="A6793" s="13" t="s">
        <v>1217</v>
      </c>
    </row>
    <row r="6794" spans="1:1" x14ac:dyDescent="0.2">
      <c r="A6794" s="13" t="s">
        <v>3328</v>
      </c>
    </row>
    <row r="6795" spans="1:1" x14ac:dyDescent="0.2">
      <c r="A6795" s="13" t="s">
        <v>7174</v>
      </c>
    </row>
    <row r="6796" spans="1:1" x14ac:dyDescent="0.2">
      <c r="A6796" s="13" t="s">
        <v>7175</v>
      </c>
    </row>
    <row r="6797" spans="1:1" x14ac:dyDescent="0.2">
      <c r="A6797" s="13" t="s">
        <v>4170</v>
      </c>
    </row>
    <row r="6798" spans="1:1" x14ac:dyDescent="0.2">
      <c r="A6798" s="13" t="s">
        <v>7176</v>
      </c>
    </row>
    <row r="6799" spans="1:1" x14ac:dyDescent="0.2">
      <c r="A6799" s="13" t="s">
        <v>3418</v>
      </c>
    </row>
    <row r="6800" spans="1:1" x14ac:dyDescent="0.2">
      <c r="A6800" s="13" t="s">
        <v>405</v>
      </c>
    </row>
    <row r="6801" spans="1:1" x14ac:dyDescent="0.2">
      <c r="A6801" s="13" t="s">
        <v>7177</v>
      </c>
    </row>
    <row r="6802" spans="1:1" x14ac:dyDescent="0.2">
      <c r="A6802" s="13" t="s">
        <v>2374</v>
      </c>
    </row>
    <row r="6803" spans="1:1" x14ac:dyDescent="0.2">
      <c r="A6803" s="13" t="s">
        <v>2489</v>
      </c>
    </row>
    <row r="6804" spans="1:1" x14ac:dyDescent="0.2">
      <c r="A6804" s="13" t="s">
        <v>1615</v>
      </c>
    </row>
    <row r="6805" spans="1:1" x14ac:dyDescent="0.2">
      <c r="A6805" s="13" t="s">
        <v>1280</v>
      </c>
    </row>
    <row r="6806" spans="1:1" x14ac:dyDescent="0.2">
      <c r="A6806" s="13" t="s">
        <v>7178</v>
      </c>
    </row>
    <row r="6807" spans="1:1" x14ac:dyDescent="0.2">
      <c r="A6807" s="13" t="s">
        <v>7179</v>
      </c>
    </row>
    <row r="6808" spans="1:1" x14ac:dyDescent="0.2">
      <c r="A6808" s="13" t="s">
        <v>7180</v>
      </c>
    </row>
    <row r="6809" spans="1:1" x14ac:dyDescent="0.2">
      <c r="A6809" s="13" t="s">
        <v>3019</v>
      </c>
    </row>
    <row r="6810" spans="1:1" x14ac:dyDescent="0.2">
      <c r="A6810" s="13" t="s">
        <v>7181</v>
      </c>
    </row>
    <row r="6811" spans="1:1" x14ac:dyDescent="0.2">
      <c r="A6811" s="13" t="s">
        <v>817</v>
      </c>
    </row>
    <row r="6812" spans="1:1" x14ac:dyDescent="0.2">
      <c r="A6812" s="13" t="s">
        <v>3397</v>
      </c>
    </row>
    <row r="6813" spans="1:1" x14ac:dyDescent="0.2">
      <c r="A6813" s="13" t="s">
        <v>7182</v>
      </c>
    </row>
    <row r="6814" spans="1:1" x14ac:dyDescent="0.2">
      <c r="A6814" s="13" t="s">
        <v>1129</v>
      </c>
    </row>
    <row r="6815" spans="1:1" x14ac:dyDescent="0.2">
      <c r="A6815" s="13" t="s">
        <v>7183</v>
      </c>
    </row>
    <row r="6816" spans="1:1" x14ac:dyDescent="0.2">
      <c r="A6816" s="13" t="s">
        <v>7184</v>
      </c>
    </row>
    <row r="6817" spans="1:1" x14ac:dyDescent="0.2">
      <c r="A6817" s="13" t="s">
        <v>286</v>
      </c>
    </row>
    <row r="6818" spans="1:1" x14ac:dyDescent="0.2">
      <c r="A6818" s="13" t="s">
        <v>743</v>
      </c>
    </row>
    <row r="6819" spans="1:1" x14ac:dyDescent="0.2">
      <c r="A6819" s="13" t="s">
        <v>7185</v>
      </c>
    </row>
    <row r="6820" spans="1:1" x14ac:dyDescent="0.2">
      <c r="A6820" s="13" t="s">
        <v>7186</v>
      </c>
    </row>
    <row r="6821" spans="1:1" x14ac:dyDescent="0.2">
      <c r="A6821" s="13" t="s">
        <v>726</v>
      </c>
    </row>
    <row r="6822" spans="1:1" x14ac:dyDescent="0.2">
      <c r="A6822" s="13" t="s">
        <v>7187</v>
      </c>
    </row>
    <row r="6823" spans="1:1" x14ac:dyDescent="0.2">
      <c r="A6823" s="13" t="s">
        <v>1167</v>
      </c>
    </row>
    <row r="6824" spans="1:1" x14ac:dyDescent="0.2">
      <c r="A6824" s="13" t="s">
        <v>7188</v>
      </c>
    </row>
    <row r="6825" spans="1:1" x14ac:dyDescent="0.2">
      <c r="A6825" s="13" t="s">
        <v>7189</v>
      </c>
    </row>
    <row r="6826" spans="1:1" x14ac:dyDescent="0.2">
      <c r="A6826" s="13" t="s">
        <v>7190</v>
      </c>
    </row>
    <row r="6827" spans="1:1" x14ac:dyDescent="0.2">
      <c r="A6827" s="13" t="s">
        <v>7191</v>
      </c>
    </row>
    <row r="6828" spans="1:1" x14ac:dyDescent="0.2">
      <c r="A6828" s="13" t="s">
        <v>1490</v>
      </c>
    </row>
    <row r="6829" spans="1:1" x14ac:dyDescent="0.2">
      <c r="A6829" s="13" t="s">
        <v>3336</v>
      </c>
    </row>
    <row r="6830" spans="1:1" x14ac:dyDescent="0.2">
      <c r="A6830" s="13" t="s">
        <v>7192</v>
      </c>
    </row>
    <row r="6831" spans="1:1" x14ac:dyDescent="0.2">
      <c r="A6831" s="13" t="s">
        <v>3173</v>
      </c>
    </row>
    <row r="6832" spans="1:1" x14ac:dyDescent="0.2">
      <c r="A6832" s="13" t="s">
        <v>7193</v>
      </c>
    </row>
    <row r="6833" spans="1:1" x14ac:dyDescent="0.2">
      <c r="A6833" s="13" t="s">
        <v>2579</v>
      </c>
    </row>
    <row r="6834" spans="1:1" x14ac:dyDescent="0.2">
      <c r="A6834" s="13" t="s">
        <v>7194</v>
      </c>
    </row>
    <row r="6835" spans="1:1" x14ac:dyDescent="0.2">
      <c r="A6835" s="13" t="s">
        <v>7195</v>
      </c>
    </row>
    <row r="6836" spans="1:1" x14ac:dyDescent="0.2">
      <c r="A6836" s="13" t="s">
        <v>1493</v>
      </c>
    </row>
    <row r="6837" spans="1:1" x14ac:dyDescent="0.2">
      <c r="A6837" s="13" t="s">
        <v>7196</v>
      </c>
    </row>
    <row r="6838" spans="1:1" x14ac:dyDescent="0.2">
      <c r="A6838" s="13" t="s">
        <v>3648</v>
      </c>
    </row>
    <row r="6839" spans="1:1" x14ac:dyDescent="0.2">
      <c r="A6839" s="13" t="s">
        <v>7197</v>
      </c>
    </row>
    <row r="6840" spans="1:1" x14ac:dyDescent="0.2">
      <c r="A6840" s="13" t="s">
        <v>2371</v>
      </c>
    </row>
    <row r="6841" spans="1:1" x14ac:dyDescent="0.2">
      <c r="A6841" s="13" t="s">
        <v>3652</v>
      </c>
    </row>
    <row r="6842" spans="1:1" x14ac:dyDescent="0.2">
      <c r="A6842" s="13" t="s">
        <v>7198</v>
      </c>
    </row>
    <row r="6843" spans="1:1" x14ac:dyDescent="0.2">
      <c r="A6843" s="13" t="s">
        <v>7199</v>
      </c>
    </row>
    <row r="6844" spans="1:1" x14ac:dyDescent="0.2">
      <c r="A6844" s="13" t="s">
        <v>7200</v>
      </c>
    </row>
    <row r="6845" spans="1:1" x14ac:dyDescent="0.2">
      <c r="A6845" s="13" t="s">
        <v>7201</v>
      </c>
    </row>
    <row r="6846" spans="1:1" x14ac:dyDescent="0.2">
      <c r="A6846" s="13" t="s">
        <v>7202</v>
      </c>
    </row>
    <row r="6847" spans="1:1" x14ac:dyDescent="0.2">
      <c r="A6847" s="13" t="s">
        <v>3549</v>
      </c>
    </row>
    <row r="6848" spans="1:1" x14ac:dyDescent="0.2">
      <c r="A6848" s="13" t="s">
        <v>7203</v>
      </c>
    </row>
    <row r="6849" spans="1:1" x14ac:dyDescent="0.2">
      <c r="A6849" s="13" t="s">
        <v>2135</v>
      </c>
    </row>
    <row r="6850" spans="1:1" x14ac:dyDescent="0.2">
      <c r="A6850" s="13" t="s">
        <v>7204</v>
      </c>
    </row>
    <row r="6851" spans="1:1" x14ac:dyDescent="0.2">
      <c r="A6851" s="13" t="s">
        <v>447</v>
      </c>
    </row>
    <row r="6852" spans="1:1" x14ac:dyDescent="0.2">
      <c r="A6852" s="13" t="s">
        <v>2809</v>
      </c>
    </row>
    <row r="6853" spans="1:1" x14ac:dyDescent="0.2">
      <c r="A6853" s="13" t="s">
        <v>1165</v>
      </c>
    </row>
    <row r="6854" spans="1:1" x14ac:dyDescent="0.2">
      <c r="A6854" s="13" t="s">
        <v>1125</v>
      </c>
    </row>
    <row r="6855" spans="1:1" x14ac:dyDescent="0.2">
      <c r="A6855" s="13" t="s">
        <v>7205</v>
      </c>
    </row>
    <row r="6856" spans="1:1" x14ac:dyDescent="0.2">
      <c r="A6856" s="13" t="s">
        <v>7206</v>
      </c>
    </row>
    <row r="6857" spans="1:1" x14ac:dyDescent="0.2">
      <c r="A6857" s="13" t="s">
        <v>7207</v>
      </c>
    </row>
    <row r="6858" spans="1:1" x14ac:dyDescent="0.2">
      <c r="A6858" s="13" t="s">
        <v>7208</v>
      </c>
    </row>
    <row r="6859" spans="1:1" x14ac:dyDescent="0.2">
      <c r="A6859" s="13" t="s">
        <v>7209</v>
      </c>
    </row>
    <row r="6860" spans="1:1" x14ac:dyDescent="0.2">
      <c r="A6860" s="13" t="s">
        <v>7210</v>
      </c>
    </row>
    <row r="6861" spans="1:1" x14ac:dyDescent="0.2">
      <c r="A6861" s="13" t="s">
        <v>2315</v>
      </c>
    </row>
    <row r="6862" spans="1:1" x14ac:dyDescent="0.2">
      <c r="A6862" s="13" t="s">
        <v>2716</v>
      </c>
    </row>
    <row r="6863" spans="1:1" x14ac:dyDescent="0.2">
      <c r="A6863" s="13" t="s">
        <v>2246</v>
      </c>
    </row>
    <row r="6864" spans="1:1" x14ac:dyDescent="0.2">
      <c r="A6864" s="13" t="s">
        <v>1880</v>
      </c>
    </row>
    <row r="6865" spans="1:1" x14ac:dyDescent="0.2">
      <c r="A6865" s="13" t="s">
        <v>7211</v>
      </c>
    </row>
    <row r="6866" spans="1:1" x14ac:dyDescent="0.2">
      <c r="A6866" s="13" t="s">
        <v>7212</v>
      </c>
    </row>
    <row r="6867" spans="1:1" x14ac:dyDescent="0.2">
      <c r="A6867" s="13" t="s">
        <v>943</v>
      </c>
    </row>
    <row r="6868" spans="1:1" x14ac:dyDescent="0.2">
      <c r="A6868" s="13" t="s">
        <v>7213</v>
      </c>
    </row>
    <row r="6869" spans="1:1" x14ac:dyDescent="0.2">
      <c r="A6869" s="13" t="s">
        <v>7214</v>
      </c>
    </row>
    <row r="6870" spans="1:1" x14ac:dyDescent="0.2">
      <c r="A6870" s="13" t="s">
        <v>7215</v>
      </c>
    </row>
    <row r="6871" spans="1:1" x14ac:dyDescent="0.2">
      <c r="A6871" s="13" t="s">
        <v>7216</v>
      </c>
    </row>
    <row r="6872" spans="1:1" x14ac:dyDescent="0.2">
      <c r="A6872" s="13" t="s">
        <v>7217</v>
      </c>
    </row>
    <row r="6873" spans="1:1" x14ac:dyDescent="0.2">
      <c r="A6873" s="13" t="s">
        <v>7218</v>
      </c>
    </row>
    <row r="6874" spans="1:1" x14ac:dyDescent="0.2">
      <c r="A6874" s="13" t="s">
        <v>7219</v>
      </c>
    </row>
    <row r="6875" spans="1:1" x14ac:dyDescent="0.2">
      <c r="A6875" s="13" t="s">
        <v>7220</v>
      </c>
    </row>
    <row r="6876" spans="1:1" x14ac:dyDescent="0.2">
      <c r="A6876" s="13" t="s">
        <v>7221</v>
      </c>
    </row>
    <row r="6877" spans="1:1" x14ac:dyDescent="0.2">
      <c r="A6877" s="13" t="s">
        <v>535</v>
      </c>
    </row>
    <row r="6878" spans="1:1" x14ac:dyDescent="0.2">
      <c r="A6878" s="13" t="s">
        <v>2152</v>
      </c>
    </row>
    <row r="6879" spans="1:1" x14ac:dyDescent="0.2">
      <c r="A6879" s="13" t="s">
        <v>1560</v>
      </c>
    </row>
    <row r="6880" spans="1:1" x14ac:dyDescent="0.2">
      <c r="A6880" s="13" t="s">
        <v>2013</v>
      </c>
    </row>
    <row r="6881" spans="1:1" x14ac:dyDescent="0.2">
      <c r="A6881" s="13" t="s">
        <v>3476</v>
      </c>
    </row>
    <row r="6882" spans="1:1" x14ac:dyDescent="0.2">
      <c r="A6882" s="13" t="s">
        <v>260</v>
      </c>
    </row>
    <row r="6883" spans="1:1" x14ac:dyDescent="0.2">
      <c r="A6883" s="13" t="s">
        <v>7222</v>
      </c>
    </row>
    <row r="6884" spans="1:1" x14ac:dyDescent="0.2">
      <c r="A6884" s="13" t="s">
        <v>7223</v>
      </c>
    </row>
    <row r="6885" spans="1:1" x14ac:dyDescent="0.2">
      <c r="A6885" s="13" t="s">
        <v>7224</v>
      </c>
    </row>
    <row r="6886" spans="1:1" x14ac:dyDescent="0.2">
      <c r="A6886" s="13" t="s">
        <v>3852</v>
      </c>
    </row>
    <row r="6887" spans="1:1" x14ac:dyDescent="0.2">
      <c r="A6887" s="13" t="s">
        <v>7225</v>
      </c>
    </row>
    <row r="6888" spans="1:1" x14ac:dyDescent="0.2">
      <c r="A6888" s="13" t="s">
        <v>7226</v>
      </c>
    </row>
    <row r="6889" spans="1:1" x14ac:dyDescent="0.2">
      <c r="A6889" s="13" t="s">
        <v>4086</v>
      </c>
    </row>
    <row r="6890" spans="1:1" x14ac:dyDescent="0.2">
      <c r="A6890" s="13" t="s">
        <v>7227</v>
      </c>
    </row>
    <row r="6891" spans="1:1" x14ac:dyDescent="0.2">
      <c r="A6891" s="13" t="s">
        <v>4150</v>
      </c>
    </row>
    <row r="6892" spans="1:1" x14ac:dyDescent="0.2">
      <c r="A6892" s="13" t="s">
        <v>7228</v>
      </c>
    </row>
    <row r="6893" spans="1:1" x14ac:dyDescent="0.2">
      <c r="A6893" s="13" t="s">
        <v>7229</v>
      </c>
    </row>
    <row r="6894" spans="1:1" x14ac:dyDescent="0.2">
      <c r="A6894" s="13" t="s">
        <v>3569</v>
      </c>
    </row>
    <row r="6895" spans="1:1" x14ac:dyDescent="0.2">
      <c r="A6895" s="13" t="s">
        <v>4077</v>
      </c>
    </row>
    <row r="6896" spans="1:1" x14ac:dyDescent="0.2">
      <c r="A6896" s="13" t="s">
        <v>1664</v>
      </c>
    </row>
    <row r="6897" spans="1:1" x14ac:dyDescent="0.2">
      <c r="A6897" s="13" t="s">
        <v>2525</v>
      </c>
    </row>
    <row r="6898" spans="1:1" x14ac:dyDescent="0.2">
      <c r="A6898" s="13" t="s">
        <v>7230</v>
      </c>
    </row>
    <row r="6899" spans="1:1" x14ac:dyDescent="0.2">
      <c r="A6899" s="13" t="s">
        <v>7231</v>
      </c>
    </row>
    <row r="6900" spans="1:1" x14ac:dyDescent="0.2">
      <c r="A6900" s="13" t="s">
        <v>3944</v>
      </c>
    </row>
    <row r="6901" spans="1:1" x14ac:dyDescent="0.2">
      <c r="A6901" s="13" t="s">
        <v>7232</v>
      </c>
    </row>
    <row r="6902" spans="1:1" x14ac:dyDescent="0.2">
      <c r="A6902" s="13" t="s">
        <v>7233</v>
      </c>
    </row>
    <row r="6903" spans="1:1" x14ac:dyDescent="0.2">
      <c r="A6903" s="13" t="s">
        <v>7234</v>
      </c>
    </row>
    <row r="6904" spans="1:1" x14ac:dyDescent="0.2">
      <c r="A6904" s="13" t="s">
        <v>7235</v>
      </c>
    </row>
    <row r="6905" spans="1:1" x14ac:dyDescent="0.2">
      <c r="A6905" s="13" t="s">
        <v>1815</v>
      </c>
    </row>
    <row r="6906" spans="1:1" x14ac:dyDescent="0.2">
      <c r="A6906" s="13" t="s">
        <v>7236</v>
      </c>
    </row>
    <row r="6907" spans="1:1" x14ac:dyDescent="0.2">
      <c r="A6907" s="13" t="s">
        <v>7237</v>
      </c>
    </row>
    <row r="6908" spans="1:1" x14ac:dyDescent="0.2">
      <c r="A6908" s="13" t="s">
        <v>7238</v>
      </c>
    </row>
    <row r="6909" spans="1:1" x14ac:dyDescent="0.2">
      <c r="A6909" s="13" t="s">
        <v>7239</v>
      </c>
    </row>
    <row r="6910" spans="1:1" x14ac:dyDescent="0.2">
      <c r="A6910" s="13" t="s">
        <v>7240</v>
      </c>
    </row>
    <row r="6911" spans="1:1" x14ac:dyDescent="0.2">
      <c r="A6911" s="13" t="s">
        <v>3820</v>
      </c>
    </row>
    <row r="6912" spans="1:1" x14ac:dyDescent="0.2">
      <c r="A6912" s="13" t="s">
        <v>7241</v>
      </c>
    </row>
    <row r="6913" spans="1:1" x14ac:dyDescent="0.2">
      <c r="A6913" s="13" t="s">
        <v>7242</v>
      </c>
    </row>
    <row r="6914" spans="1:1" x14ac:dyDescent="0.2">
      <c r="A6914" s="13" t="s">
        <v>1641</v>
      </c>
    </row>
    <row r="6915" spans="1:1" x14ac:dyDescent="0.2">
      <c r="A6915" s="13" t="s">
        <v>4174</v>
      </c>
    </row>
    <row r="6916" spans="1:1" x14ac:dyDescent="0.2">
      <c r="A6916" s="13" t="s">
        <v>7243</v>
      </c>
    </row>
    <row r="6917" spans="1:1" x14ac:dyDescent="0.2">
      <c r="A6917" s="13" t="s">
        <v>7244</v>
      </c>
    </row>
    <row r="6918" spans="1:1" x14ac:dyDescent="0.2">
      <c r="A6918" s="13" t="s">
        <v>7245</v>
      </c>
    </row>
    <row r="6919" spans="1:1" x14ac:dyDescent="0.2">
      <c r="A6919" s="13" t="s">
        <v>7246</v>
      </c>
    </row>
    <row r="6920" spans="1:1" x14ac:dyDescent="0.2">
      <c r="A6920" s="13" t="s">
        <v>2826</v>
      </c>
    </row>
    <row r="6921" spans="1:1" x14ac:dyDescent="0.2">
      <c r="A6921" s="13" t="s">
        <v>7247</v>
      </c>
    </row>
    <row r="6922" spans="1:1" x14ac:dyDescent="0.2">
      <c r="A6922" s="13" t="s">
        <v>2199</v>
      </c>
    </row>
    <row r="6923" spans="1:1" x14ac:dyDescent="0.2">
      <c r="A6923" s="13" t="s">
        <v>7248</v>
      </c>
    </row>
    <row r="6924" spans="1:1" x14ac:dyDescent="0.2">
      <c r="A6924" s="13" t="s">
        <v>7249</v>
      </c>
    </row>
    <row r="6925" spans="1:1" x14ac:dyDescent="0.2">
      <c r="A6925" s="13" t="s">
        <v>7250</v>
      </c>
    </row>
    <row r="6926" spans="1:1" x14ac:dyDescent="0.2">
      <c r="A6926" s="13" t="s">
        <v>3947</v>
      </c>
    </row>
    <row r="6927" spans="1:1" x14ac:dyDescent="0.2">
      <c r="A6927" s="13" t="s">
        <v>3698</v>
      </c>
    </row>
    <row r="6928" spans="1:1" x14ac:dyDescent="0.2">
      <c r="A6928" s="13" t="s">
        <v>2183</v>
      </c>
    </row>
    <row r="6929" spans="1:1" x14ac:dyDescent="0.2">
      <c r="A6929" s="13" t="s">
        <v>7251</v>
      </c>
    </row>
    <row r="6930" spans="1:1" x14ac:dyDescent="0.2">
      <c r="A6930" s="13" t="s">
        <v>1699</v>
      </c>
    </row>
    <row r="6931" spans="1:1" x14ac:dyDescent="0.2">
      <c r="A6931" s="13" t="s">
        <v>3696</v>
      </c>
    </row>
    <row r="6932" spans="1:1" x14ac:dyDescent="0.2">
      <c r="A6932" s="13" t="s">
        <v>7252</v>
      </c>
    </row>
    <row r="6933" spans="1:1" x14ac:dyDescent="0.2">
      <c r="A6933" s="13" t="s">
        <v>7253</v>
      </c>
    </row>
    <row r="6934" spans="1:1" x14ac:dyDescent="0.2">
      <c r="A6934" s="13" t="s">
        <v>1520</v>
      </c>
    </row>
    <row r="6935" spans="1:1" x14ac:dyDescent="0.2">
      <c r="A6935" s="13" t="s">
        <v>195</v>
      </c>
    </row>
    <row r="6936" spans="1:1" x14ac:dyDescent="0.2">
      <c r="A6936" s="13" t="s">
        <v>2261</v>
      </c>
    </row>
    <row r="6937" spans="1:1" x14ac:dyDescent="0.2">
      <c r="A6937" s="13" t="s">
        <v>7254</v>
      </c>
    </row>
    <row r="6938" spans="1:1" x14ac:dyDescent="0.2">
      <c r="A6938" s="13" t="s">
        <v>7255</v>
      </c>
    </row>
    <row r="6939" spans="1:1" x14ac:dyDescent="0.2">
      <c r="A6939" s="13" t="s">
        <v>7256</v>
      </c>
    </row>
    <row r="6940" spans="1:1" x14ac:dyDescent="0.2">
      <c r="A6940" s="13" t="s">
        <v>7257</v>
      </c>
    </row>
    <row r="6941" spans="1:1" x14ac:dyDescent="0.2">
      <c r="A6941" s="13" t="s">
        <v>914</v>
      </c>
    </row>
    <row r="6942" spans="1:1" x14ac:dyDescent="0.2">
      <c r="A6942" s="13" t="s">
        <v>7258</v>
      </c>
    </row>
    <row r="6943" spans="1:1" x14ac:dyDescent="0.2">
      <c r="A6943" s="13" t="s">
        <v>7259</v>
      </c>
    </row>
    <row r="6944" spans="1:1" x14ac:dyDescent="0.2">
      <c r="A6944" s="13" t="s">
        <v>7260</v>
      </c>
    </row>
    <row r="6945" spans="1:1" x14ac:dyDescent="0.2">
      <c r="A6945" s="13" t="s">
        <v>7261</v>
      </c>
    </row>
    <row r="6946" spans="1:1" x14ac:dyDescent="0.2">
      <c r="A6946" s="13" t="s">
        <v>2981</v>
      </c>
    </row>
    <row r="6947" spans="1:1" x14ac:dyDescent="0.2">
      <c r="A6947" s="13" t="s">
        <v>7262</v>
      </c>
    </row>
    <row r="6948" spans="1:1" x14ac:dyDescent="0.2">
      <c r="A6948" s="13" t="s">
        <v>7263</v>
      </c>
    </row>
    <row r="6949" spans="1:1" x14ac:dyDescent="0.2">
      <c r="A6949" s="13" t="s">
        <v>7264</v>
      </c>
    </row>
    <row r="6950" spans="1:1" x14ac:dyDescent="0.2">
      <c r="A6950" s="13" t="s">
        <v>490</v>
      </c>
    </row>
    <row r="6951" spans="1:1" x14ac:dyDescent="0.2">
      <c r="A6951" s="13" t="s">
        <v>7265</v>
      </c>
    </row>
    <row r="6952" spans="1:1" x14ac:dyDescent="0.2">
      <c r="A6952" s="13" t="s">
        <v>7266</v>
      </c>
    </row>
    <row r="6953" spans="1:1" x14ac:dyDescent="0.2">
      <c r="A6953" s="13" t="s">
        <v>7267</v>
      </c>
    </row>
    <row r="6954" spans="1:1" x14ac:dyDescent="0.2">
      <c r="A6954" s="13" t="s">
        <v>1084</v>
      </c>
    </row>
    <row r="6955" spans="1:1" x14ac:dyDescent="0.2">
      <c r="A6955" s="13" t="s">
        <v>7268</v>
      </c>
    </row>
    <row r="6956" spans="1:1" x14ac:dyDescent="0.2">
      <c r="A6956" s="13" t="s">
        <v>1026</v>
      </c>
    </row>
    <row r="6957" spans="1:1" x14ac:dyDescent="0.2">
      <c r="A6957" s="13" t="s">
        <v>7269</v>
      </c>
    </row>
    <row r="6958" spans="1:1" x14ac:dyDescent="0.2">
      <c r="A6958" s="13" t="s">
        <v>4079</v>
      </c>
    </row>
    <row r="6959" spans="1:1" x14ac:dyDescent="0.2">
      <c r="A6959" s="13" t="s">
        <v>7270</v>
      </c>
    </row>
    <row r="6960" spans="1:1" x14ac:dyDescent="0.2">
      <c r="A6960" s="13" t="s">
        <v>7271</v>
      </c>
    </row>
    <row r="6961" spans="1:1" x14ac:dyDescent="0.2">
      <c r="A6961" s="13" t="s">
        <v>2529</v>
      </c>
    </row>
    <row r="6962" spans="1:1" x14ac:dyDescent="0.2">
      <c r="A6962" s="13" t="s">
        <v>7272</v>
      </c>
    </row>
    <row r="6963" spans="1:1" x14ac:dyDescent="0.2">
      <c r="A6963" s="13" t="s">
        <v>7273</v>
      </c>
    </row>
    <row r="6964" spans="1:1" x14ac:dyDescent="0.2">
      <c r="A6964" s="13" t="s">
        <v>7274</v>
      </c>
    </row>
    <row r="6965" spans="1:1" x14ac:dyDescent="0.2">
      <c r="A6965" s="13" t="s">
        <v>4055</v>
      </c>
    </row>
    <row r="6966" spans="1:1" x14ac:dyDescent="0.2">
      <c r="A6966" s="13" t="s">
        <v>952</v>
      </c>
    </row>
    <row r="6967" spans="1:1" x14ac:dyDescent="0.2">
      <c r="A6967" s="13" t="s">
        <v>7275</v>
      </c>
    </row>
    <row r="6968" spans="1:1" x14ac:dyDescent="0.2">
      <c r="A6968" s="13" t="s">
        <v>1446</v>
      </c>
    </row>
    <row r="6969" spans="1:1" x14ac:dyDescent="0.2">
      <c r="A6969" s="13" t="s">
        <v>2825</v>
      </c>
    </row>
    <row r="6970" spans="1:1" x14ac:dyDescent="0.2">
      <c r="A6970" s="13" t="s">
        <v>2477</v>
      </c>
    </row>
    <row r="6971" spans="1:1" x14ac:dyDescent="0.2">
      <c r="A6971" s="13" t="s">
        <v>7276</v>
      </c>
    </row>
    <row r="6972" spans="1:1" x14ac:dyDescent="0.2">
      <c r="A6972" s="13" t="s">
        <v>1997</v>
      </c>
    </row>
    <row r="6973" spans="1:1" x14ac:dyDescent="0.2">
      <c r="A6973" s="13" t="s">
        <v>3701</v>
      </c>
    </row>
    <row r="6974" spans="1:1" x14ac:dyDescent="0.2">
      <c r="A6974" s="13" t="s">
        <v>7277</v>
      </c>
    </row>
    <row r="6975" spans="1:1" x14ac:dyDescent="0.2">
      <c r="A6975" s="13" t="s">
        <v>7278</v>
      </c>
    </row>
    <row r="6976" spans="1:1" x14ac:dyDescent="0.2">
      <c r="A6976" s="13" t="s">
        <v>663</v>
      </c>
    </row>
    <row r="6977" spans="1:1" x14ac:dyDescent="0.2">
      <c r="A6977" s="13" t="s">
        <v>7279</v>
      </c>
    </row>
    <row r="6978" spans="1:1" x14ac:dyDescent="0.2">
      <c r="A6978" s="13" t="s">
        <v>7280</v>
      </c>
    </row>
    <row r="6979" spans="1:1" x14ac:dyDescent="0.2">
      <c r="A6979" s="13" t="s">
        <v>2521</v>
      </c>
    </row>
    <row r="6980" spans="1:1" x14ac:dyDescent="0.2">
      <c r="A6980" s="13" t="s">
        <v>433</v>
      </c>
    </row>
    <row r="6981" spans="1:1" x14ac:dyDescent="0.2">
      <c r="A6981" s="13" t="s">
        <v>910</v>
      </c>
    </row>
    <row r="6982" spans="1:1" x14ac:dyDescent="0.2">
      <c r="A6982" s="13" t="s">
        <v>7281</v>
      </c>
    </row>
    <row r="6983" spans="1:1" x14ac:dyDescent="0.2">
      <c r="A6983" s="13" t="s">
        <v>7282</v>
      </c>
    </row>
    <row r="6984" spans="1:1" x14ac:dyDescent="0.2">
      <c r="A6984" s="13" t="s">
        <v>420</v>
      </c>
    </row>
    <row r="6985" spans="1:1" x14ac:dyDescent="0.2">
      <c r="A6985" s="13" t="s">
        <v>911</v>
      </c>
    </row>
    <row r="6986" spans="1:1" x14ac:dyDescent="0.2">
      <c r="A6986" s="13" t="s">
        <v>227</v>
      </c>
    </row>
    <row r="6987" spans="1:1" x14ac:dyDescent="0.2">
      <c r="A6987" s="13" t="s">
        <v>3457</v>
      </c>
    </row>
    <row r="6988" spans="1:1" x14ac:dyDescent="0.2">
      <c r="A6988" s="13" t="s">
        <v>2541</v>
      </c>
    </row>
    <row r="6989" spans="1:1" x14ac:dyDescent="0.2">
      <c r="A6989" s="13" t="s">
        <v>7283</v>
      </c>
    </row>
    <row r="6990" spans="1:1" x14ac:dyDescent="0.2">
      <c r="A6990" s="13" t="s">
        <v>2452</v>
      </c>
    </row>
    <row r="6991" spans="1:1" x14ac:dyDescent="0.2">
      <c r="A6991" s="13" t="s">
        <v>3749</v>
      </c>
    </row>
    <row r="6992" spans="1:1" x14ac:dyDescent="0.2">
      <c r="A6992" s="13" t="s">
        <v>7284</v>
      </c>
    </row>
    <row r="6993" spans="1:1" x14ac:dyDescent="0.2">
      <c r="A6993" s="13" t="s">
        <v>2709</v>
      </c>
    </row>
    <row r="6994" spans="1:1" x14ac:dyDescent="0.2">
      <c r="A6994" s="13" t="s">
        <v>2551</v>
      </c>
    </row>
    <row r="6995" spans="1:1" x14ac:dyDescent="0.2">
      <c r="A6995" s="13" t="s">
        <v>1723</v>
      </c>
    </row>
    <row r="6996" spans="1:1" x14ac:dyDescent="0.2">
      <c r="A6996" s="13" t="s">
        <v>874</v>
      </c>
    </row>
    <row r="6997" spans="1:1" x14ac:dyDescent="0.2">
      <c r="A6997" s="13" t="s">
        <v>2667</v>
      </c>
    </row>
    <row r="6998" spans="1:1" x14ac:dyDescent="0.2">
      <c r="A6998" s="13" t="s">
        <v>7285</v>
      </c>
    </row>
    <row r="6999" spans="1:1" x14ac:dyDescent="0.2">
      <c r="A6999" s="13" t="s">
        <v>1018</v>
      </c>
    </row>
    <row r="7000" spans="1:1" x14ac:dyDescent="0.2">
      <c r="A7000" s="13" t="s">
        <v>1267</v>
      </c>
    </row>
    <row r="7001" spans="1:1" x14ac:dyDescent="0.2">
      <c r="A7001" s="13" t="s">
        <v>7286</v>
      </c>
    </row>
    <row r="7002" spans="1:1" x14ac:dyDescent="0.2">
      <c r="A7002" s="13" t="s">
        <v>2804</v>
      </c>
    </row>
    <row r="7003" spans="1:1" x14ac:dyDescent="0.2">
      <c r="A7003" s="13" t="s">
        <v>4141</v>
      </c>
    </row>
    <row r="7004" spans="1:1" x14ac:dyDescent="0.2">
      <c r="A7004" s="13" t="s">
        <v>3692</v>
      </c>
    </row>
    <row r="7005" spans="1:1" x14ac:dyDescent="0.2">
      <c r="A7005" s="13" t="s">
        <v>2894</v>
      </c>
    </row>
    <row r="7006" spans="1:1" x14ac:dyDescent="0.2">
      <c r="A7006" s="13" t="s">
        <v>7287</v>
      </c>
    </row>
    <row r="7007" spans="1:1" x14ac:dyDescent="0.2">
      <c r="A7007" s="13" t="s">
        <v>2117</v>
      </c>
    </row>
    <row r="7008" spans="1:1" x14ac:dyDescent="0.2">
      <c r="A7008" s="13" t="s">
        <v>3717</v>
      </c>
    </row>
    <row r="7009" spans="1:1" x14ac:dyDescent="0.2">
      <c r="A7009" s="13" t="s">
        <v>7288</v>
      </c>
    </row>
    <row r="7010" spans="1:1" x14ac:dyDescent="0.2">
      <c r="A7010" s="13" t="s">
        <v>7289</v>
      </c>
    </row>
    <row r="7011" spans="1:1" x14ac:dyDescent="0.2">
      <c r="A7011" s="13" t="s">
        <v>7290</v>
      </c>
    </row>
    <row r="7012" spans="1:1" x14ac:dyDescent="0.2">
      <c r="A7012" s="13" t="s">
        <v>2291</v>
      </c>
    </row>
    <row r="7013" spans="1:1" x14ac:dyDescent="0.2">
      <c r="A7013" s="13" t="s">
        <v>3031</v>
      </c>
    </row>
    <row r="7014" spans="1:1" x14ac:dyDescent="0.2">
      <c r="A7014" s="13" t="s">
        <v>7291</v>
      </c>
    </row>
    <row r="7015" spans="1:1" x14ac:dyDescent="0.2">
      <c r="A7015" s="13" t="s">
        <v>2456</v>
      </c>
    </row>
    <row r="7016" spans="1:1" x14ac:dyDescent="0.2">
      <c r="A7016" s="13" t="s">
        <v>7292</v>
      </c>
    </row>
    <row r="7017" spans="1:1" x14ac:dyDescent="0.2">
      <c r="A7017" s="13" t="s">
        <v>7293</v>
      </c>
    </row>
    <row r="7018" spans="1:1" x14ac:dyDescent="0.2">
      <c r="A7018" s="13" t="s">
        <v>2050</v>
      </c>
    </row>
    <row r="7019" spans="1:1" x14ac:dyDescent="0.2">
      <c r="A7019" s="13" t="s">
        <v>7294</v>
      </c>
    </row>
    <row r="7020" spans="1:1" x14ac:dyDescent="0.2">
      <c r="A7020" s="13" t="s">
        <v>1777</v>
      </c>
    </row>
    <row r="7021" spans="1:1" x14ac:dyDescent="0.2">
      <c r="A7021" s="13" t="s">
        <v>2350</v>
      </c>
    </row>
    <row r="7022" spans="1:1" x14ac:dyDescent="0.2">
      <c r="A7022" s="13" t="s">
        <v>2928</v>
      </c>
    </row>
    <row r="7023" spans="1:1" x14ac:dyDescent="0.2">
      <c r="A7023" s="13" t="s">
        <v>3953</v>
      </c>
    </row>
    <row r="7024" spans="1:1" x14ac:dyDescent="0.2">
      <c r="A7024" s="13" t="s">
        <v>1027</v>
      </c>
    </row>
    <row r="7025" spans="1:1" x14ac:dyDescent="0.2">
      <c r="A7025" s="13" t="s">
        <v>7295</v>
      </c>
    </row>
    <row r="7026" spans="1:1" x14ac:dyDescent="0.2">
      <c r="A7026" s="13" t="s">
        <v>748</v>
      </c>
    </row>
    <row r="7027" spans="1:1" x14ac:dyDescent="0.2">
      <c r="A7027" s="13" t="s">
        <v>7296</v>
      </c>
    </row>
    <row r="7028" spans="1:1" x14ac:dyDescent="0.2">
      <c r="A7028" s="13" t="s">
        <v>3601</v>
      </c>
    </row>
    <row r="7029" spans="1:1" x14ac:dyDescent="0.2">
      <c r="A7029" s="13" t="s">
        <v>1829</v>
      </c>
    </row>
    <row r="7030" spans="1:1" x14ac:dyDescent="0.2">
      <c r="A7030" s="13" t="s">
        <v>7297</v>
      </c>
    </row>
    <row r="7031" spans="1:1" x14ac:dyDescent="0.2">
      <c r="A7031" s="13" t="s">
        <v>7298</v>
      </c>
    </row>
    <row r="7032" spans="1:1" x14ac:dyDescent="0.2">
      <c r="A7032" s="13" t="s">
        <v>2743</v>
      </c>
    </row>
    <row r="7033" spans="1:1" x14ac:dyDescent="0.2">
      <c r="A7033" s="13" t="s">
        <v>7299</v>
      </c>
    </row>
    <row r="7034" spans="1:1" x14ac:dyDescent="0.2">
      <c r="A7034" s="13" t="s">
        <v>7300</v>
      </c>
    </row>
    <row r="7035" spans="1:1" x14ac:dyDescent="0.2">
      <c r="A7035" s="13" t="s">
        <v>2830</v>
      </c>
    </row>
    <row r="7036" spans="1:1" x14ac:dyDescent="0.2">
      <c r="A7036" s="13" t="s">
        <v>3472</v>
      </c>
    </row>
    <row r="7037" spans="1:1" x14ac:dyDescent="0.2">
      <c r="A7037" s="13" t="s">
        <v>3968</v>
      </c>
    </row>
    <row r="7038" spans="1:1" x14ac:dyDescent="0.2">
      <c r="A7038" s="13" t="s">
        <v>7301</v>
      </c>
    </row>
    <row r="7039" spans="1:1" x14ac:dyDescent="0.2">
      <c r="A7039" s="13" t="s">
        <v>1958</v>
      </c>
    </row>
    <row r="7040" spans="1:1" x14ac:dyDescent="0.2">
      <c r="A7040" s="13" t="s">
        <v>3882</v>
      </c>
    </row>
    <row r="7041" spans="1:1" x14ac:dyDescent="0.2">
      <c r="A7041" s="13" t="s">
        <v>7302</v>
      </c>
    </row>
    <row r="7042" spans="1:1" x14ac:dyDescent="0.2">
      <c r="A7042" s="13" t="s">
        <v>1881</v>
      </c>
    </row>
    <row r="7043" spans="1:1" x14ac:dyDescent="0.2">
      <c r="A7043" s="13" t="s">
        <v>7303</v>
      </c>
    </row>
    <row r="7044" spans="1:1" x14ac:dyDescent="0.2">
      <c r="A7044" s="13" t="s">
        <v>3700</v>
      </c>
    </row>
    <row r="7045" spans="1:1" x14ac:dyDescent="0.2">
      <c r="A7045" s="13" t="s">
        <v>7304</v>
      </c>
    </row>
    <row r="7046" spans="1:1" x14ac:dyDescent="0.2">
      <c r="A7046" s="13" t="s">
        <v>7305</v>
      </c>
    </row>
    <row r="7047" spans="1:1" x14ac:dyDescent="0.2">
      <c r="A7047" s="13" t="s">
        <v>3663</v>
      </c>
    </row>
    <row r="7048" spans="1:1" x14ac:dyDescent="0.2">
      <c r="A7048" s="13" t="s">
        <v>7306</v>
      </c>
    </row>
    <row r="7049" spans="1:1" x14ac:dyDescent="0.2">
      <c r="A7049" s="13" t="s">
        <v>2570</v>
      </c>
    </row>
    <row r="7050" spans="1:1" x14ac:dyDescent="0.2">
      <c r="A7050" s="13" t="s">
        <v>7307</v>
      </c>
    </row>
    <row r="7051" spans="1:1" x14ac:dyDescent="0.2">
      <c r="A7051" s="13" t="s">
        <v>7308</v>
      </c>
    </row>
    <row r="7052" spans="1:1" x14ac:dyDescent="0.2">
      <c r="A7052" s="13" t="s">
        <v>7309</v>
      </c>
    </row>
    <row r="7053" spans="1:1" x14ac:dyDescent="0.2">
      <c r="A7053" s="13" t="s">
        <v>380</v>
      </c>
    </row>
    <row r="7054" spans="1:1" x14ac:dyDescent="0.2">
      <c r="A7054" s="13" t="s">
        <v>7310</v>
      </c>
    </row>
    <row r="7055" spans="1:1" x14ac:dyDescent="0.2">
      <c r="A7055" s="13" t="s">
        <v>3057</v>
      </c>
    </row>
    <row r="7056" spans="1:1" x14ac:dyDescent="0.2">
      <c r="A7056" s="13" t="s">
        <v>7311</v>
      </c>
    </row>
    <row r="7057" spans="1:1" x14ac:dyDescent="0.2">
      <c r="A7057" s="13" t="s">
        <v>7312</v>
      </c>
    </row>
    <row r="7058" spans="1:1" x14ac:dyDescent="0.2">
      <c r="A7058" s="13" t="s">
        <v>2149</v>
      </c>
    </row>
    <row r="7059" spans="1:1" x14ac:dyDescent="0.2">
      <c r="A7059" s="13" t="s">
        <v>7313</v>
      </c>
    </row>
    <row r="7060" spans="1:1" x14ac:dyDescent="0.2">
      <c r="A7060" s="13" t="s">
        <v>3423</v>
      </c>
    </row>
    <row r="7061" spans="1:1" x14ac:dyDescent="0.2">
      <c r="A7061" s="13" t="s">
        <v>3113</v>
      </c>
    </row>
    <row r="7062" spans="1:1" x14ac:dyDescent="0.2">
      <c r="A7062" s="13" t="s">
        <v>2484</v>
      </c>
    </row>
    <row r="7063" spans="1:1" x14ac:dyDescent="0.2">
      <c r="A7063" s="13" t="s">
        <v>7314</v>
      </c>
    </row>
    <row r="7064" spans="1:1" x14ac:dyDescent="0.2">
      <c r="A7064" s="13" t="s">
        <v>1835</v>
      </c>
    </row>
    <row r="7065" spans="1:1" x14ac:dyDescent="0.2">
      <c r="A7065" s="13" t="s">
        <v>7315</v>
      </c>
    </row>
    <row r="7066" spans="1:1" x14ac:dyDescent="0.2">
      <c r="A7066" s="13" t="s">
        <v>7316</v>
      </c>
    </row>
    <row r="7067" spans="1:1" x14ac:dyDescent="0.2">
      <c r="A7067" s="13" t="s">
        <v>7317</v>
      </c>
    </row>
    <row r="7068" spans="1:1" x14ac:dyDescent="0.2">
      <c r="A7068" s="13" t="s">
        <v>4041</v>
      </c>
    </row>
    <row r="7069" spans="1:1" x14ac:dyDescent="0.2">
      <c r="A7069" s="13" t="s">
        <v>7318</v>
      </c>
    </row>
    <row r="7070" spans="1:1" x14ac:dyDescent="0.2">
      <c r="A7070" s="13" t="s">
        <v>369</v>
      </c>
    </row>
    <row r="7071" spans="1:1" x14ac:dyDescent="0.2">
      <c r="A7071" s="13" t="s">
        <v>226</v>
      </c>
    </row>
    <row r="7072" spans="1:1" x14ac:dyDescent="0.2">
      <c r="A7072" s="13" t="s">
        <v>7319</v>
      </c>
    </row>
    <row r="7073" spans="1:1" x14ac:dyDescent="0.2">
      <c r="A7073" s="13" t="s">
        <v>1558</v>
      </c>
    </row>
    <row r="7074" spans="1:1" x14ac:dyDescent="0.2">
      <c r="A7074" s="13" t="s">
        <v>3945</v>
      </c>
    </row>
    <row r="7075" spans="1:1" x14ac:dyDescent="0.2">
      <c r="A7075" s="13" t="s">
        <v>368</v>
      </c>
    </row>
    <row r="7076" spans="1:1" x14ac:dyDescent="0.2">
      <c r="A7076" s="13" t="s">
        <v>1007</v>
      </c>
    </row>
    <row r="7077" spans="1:1" x14ac:dyDescent="0.2">
      <c r="A7077" s="13" t="s">
        <v>7320</v>
      </c>
    </row>
    <row r="7078" spans="1:1" x14ac:dyDescent="0.2">
      <c r="A7078" s="13" t="s">
        <v>7321</v>
      </c>
    </row>
    <row r="7079" spans="1:1" x14ac:dyDescent="0.2">
      <c r="A7079" s="13" t="s">
        <v>2556</v>
      </c>
    </row>
    <row r="7080" spans="1:1" x14ac:dyDescent="0.2">
      <c r="A7080" s="13" t="s">
        <v>7322</v>
      </c>
    </row>
    <row r="7081" spans="1:1" x14ac:dyDescent="0.2">
      <c r="A7081" s="13" t="s">
        <v>2353</v>
      </c>
    </row>
    <row r="7082" spans="1:1" x14ac:dyDescent="0.2">
      <c r="A7082" s="13" t="s">
        <v>7323</v>
      </c>
    </row>
    <row r="7083" spans="1:1" x14ac:dyDescent="0.2">
      <c r="A7083" s="13" t="s">
        <v>3171</v>
      </c>
    </row>
    <row r="7084" spans="1:1" x14ac:dyDescent="0.2">
      <c r="A7084" s="13" t="s">
        <v>7324</v>
      </c>
    </row>
    <row r="7085" spans="1:1" x14ac:dyDescent="0.2">
      <c r="A7085" s="13" t="s">
        <v>7325</v>
      </c>
    </row>
    <row r="7086" spans="1:1" x14ac:dyDescent="0.2">
      <c r="A7086" s="13" t="s">
        <v>678</v>
      </c>
    </row>
    <row r="7087" spans="1:1" x14ac:dyDescent="0.2">
      <c r="A7087" s="13" t="s">
        <v>3046</v>
      </c>
    </row>
    <row r="7088" spans="1:1" x14ac:dyDescent="0.2">
      <c r="A7088" s="13" t="s">
        <v>1235</v>
      </c>
    </row>
    <row r="7089" spans="1:1" x14ac:dyDescent="0.2">
      <c r="A7089" s="13" t="s">
        <v>7326</v>
      </c>
    </row>
    <row r="7090" spans="1:1" x14ac:dyDescent="0.2">
      <c r="A7090" s="13" t="s">
        <v>3818</v>
      </c>
    </row>
    <row r="7091" spans="1:1" x14ac:dyDescent="0.2">
      <c r="A7091" s="13" t="s">
        <v>4014</v>
      </c>
    </row>
    <row r="7092" spans="1:1" x14ac:dyDescent="0.2">
      <c r="A7092" s="13" t="s">
        <v>7327</v>
      </c>
    </row>
    <row r="7093" spans="1:1" x14ac:dyDescent="0.2">
      <c r="A7093" s="13" t="s">
        <v>1774</v>
      </c>
    </row>
    <row r="7094" spans="1:1" x14ac:dyDescent="0.2">
      <c r="A7094" s="13" t="s">
        <v>1251</v>
      </c>
    </row>
    <row r="7095" spans="1:1" x14ac:dyDescent="0.2">
      <c r="A7095" s="13" t="s">
        <v>3215</v>
      </c>
    </row>
    <row r="7096" spans="1:1" x14ac:dyDescent="0.2">
      <c r="A7096" s="13" t="s">
        <v>7328</v>
      </c>
    </row>
    <row r="7097" spans="1:1" x14ac:dyDescent="0.2">
      <c r="A7097" s="13" t="s">
        <v>7329</v>
      </c>
    </row>
    <row r="7098" spans="1:1" x14ac:dyDescent="0.2">
      <c r="A7098" s="13" t="s">
        <v>7330</v>
      </c>
    </row>
    <row r="7099" spans="1:1" x14ac:dyDescent="0.2">
      <c r="A7099" s="13" t="s">
        <v>2447</v>
      </c>
    </row>
    <row r="7100" spans="1:1" x14ac:dyDescent="0.2">
      <c r="A7100" s="13" t="s">
        <v>7331</v>
      </c>
    </row>
    <row r="7101" spans="1:1" x14ac:dyDescent="0.2">
      <c r="A7101" s="13" t="s">
        <v>3172</v>
      </c>
    </row>
    <row r="7102" spans="1:1" x14ac:dyDescent="0.2">
      <c r="A7102" s="13" t="s">
        <v>7332</v>
      </c>
    </row>
    <row r="7103" spans="1:1" x14ac:dyDescent="0.2">
      <c r="A7103" s="13" t="s">
        <v>7333</v>
      </c>
    </row>
    <row r="7104" spans="1:1" x14ac:dyDescent="0.2">
      <c r="A7104" s="13" t="s">
        <v>7334</v>
      </c>
    </row>
    <row r="7105" spans="1:1" x14ac:dyDescent="0.2">
      <c r="A7105" s="13" t="s">
        <v>7335</v>
      </c>
    </row>
    <row r="7106" spans="1:1" x14ac:dyDescent="0.2">
      <c r="A7106" s="13" t="s">
        <v>3723</v>
      </c>
    </row>
    <row r="7107" spans="1:1" x14ac:dyDescent="0.2">
      <c r="A7107" s="13" t="s">
        <v>2542</v>
      </c>
    </row>
    <row r="7108" spans="1:1" x14ac:dyDescent="0.2">
      <c r="A7108" s="13" t="s">
        <v>7336</v>
      </c>
    </row>
    <row r="7109" spans="1:1" x14ac:dyDescent="0.2">
      <c r="A7109" s="13" t="s">
        <v>3438</v>
      </c>
    </row>
    <row r="7110" spans="1:1" x14ac:dyDescent="0.2">
      <c r="A7110" s="13" t="s">
        <v>383</v>
      </c>
    </row>
    <row r="7111" spans="1:1" x14ac:dyDescent="0.2">
      <c r="A7111" s="13" t="s">
        <v>7337</v>
      </c>
    </row>
    <row r="7112" spans="1:1" x14ac:dyDescent="0.2">
      <c r="A7112" s="13" t="s">
        <v>7338</v>
      </c>
    </row>
    <row r="7113" spans="1:1" x14ac:dyDescent="0.2">
      <c r="A7113" s="13" t="s">
        <v>2333</v>
      </c>
    </row>
    <row r="7114" spans="1:1" x14ac:dyDescent="0.2">
      <c r="A7114" s="13" t="s">
        <v>7339</v>
      </c>
    </row>
    <row r="7115" spans="1:1" x14ac:dyDescent="0.2">
      <c r="A7115" s="13" t="s">
        <v>1142</v>
      </c>
    </row>
    <row r="7116" spans="1:1" x14ac:dyDescent="0.2">
      <c r="A7116" s="13" t="s">
        <v>2509</v>
      </c>
    </row>
    <row r="7117" spans="1:1" x14ac:dyDescent="0.2">
      <c r="A7117" s="13" t="s">
        <v>180</v>
      </c>
    </row>
    <row r="7118" spans="1:1" x14ac:dyDescent="0.2">
      <c r="A7118" s="13" t="s">
        <v>7340</v>
      </c>
    </row>
    <row r="7119" spans="1:1" x14ac:dyDescent="0.2">
      <c r="A7119" s="13" t="s">
        <v>7341</v>
      </c>
    </row>
    <row r="7120" spans="1:1" x14ac:dyDescent="0.2">
      <c r="A7120" s="13" t="s">
        <v>7342</v>
      </c>
    </row>
    <row r="7121" spans="1:1" x14ac:dyDescent="0.2">
      <c r="A7121" s="13" t="s">
        <v>1158</v>
      </c>
    </row>
    <row r="7122" spans="1:1" x14ac:dyDescent="0.2">
      <c r="A7122" s="13" t="s">
        <v>2958</v>
      </c>
    </row>
    <row r="7123" spans="1:1" x14ac:dyDescent="0.2">
      <c r="A7123" s="13" t="s">
        <v>7343</v>
      </c>
    </row>
    <row r="7124" spans="1:1" x14ac:dyDescent="0.2">
      <c r="A7124" s="13" t="s">
        <v>7344</v>
      </c>
    </row>
    <row r="7125" spans="1:1" x14ac:dyDescent="0.2">
      <c r="A7125" s="13" t="s">
        <v>2999</v>
      </c>
    </row>
    <row r="7126" spans="1:1" x14ac:dyDescent="0.2">
      <c r="A7126" s="13" t="s">
        <v>1136</v>
      </c>
    </row>
    <row r="7127" spans="1:1" x14ac:dyDescent="0.2">
      <c r="A7127" s="13" t="s">
        <v>538</v>
      </c>
    </row>
    <row r="7128" spans="1:1" x14ac:dyDescent="0.2">
      <c r="A7128" s="13" t="s">
        <v>1431</v>
      </c>
    </row>
    <row r="7129" spans="1:1" x14ac:dyDescent="0.2">
      <c r="A7129" s="13" t="s">
        <v>7345</v>
      </c>
    </row>
    <row r="7130" spans="1:1" x14ac:dyDescent="0.2">
      <c r="A7130" s="13" t="s">
        <v>2701</v>
      </c>
    </row>
    <row r="7131" spans="1:1" x14ac:dyDescent="0.2">
      <c r="A7131" s="13" t="s">
        <v>3679</v>
      </c>
    </row>
    <row r="7132" spans="1:1" x14ac:dyDescent="0.2">
      <c r="A7132" s="13" t="s">
        <v>7346</v>
      </c>
    </row>
    <row r="7133" spans="1:1" x14ac:dyDescent="0.2">
      <c r="A7133" s="13" t="s">
        <v>7347</v>
      </c>
    </row>
    <row r="7134" spans="1:1" x14ac:dyDescent="0.2">
      <c r="A7134" s="13" t="s">
        <v>7348</v>
      </c>
    </row>
    <row r="7135" spans="1:1" x14ac:dyDescent="0.2">
      <c r="A7135" s="13" t="s">
        <v>3916</v>
      </c>
    </row>
    <row r="7136" spans="1:1" x14ac:dyDescent="0.2">
      <c r="A7136" s="13" t="s">
        <v>1348</v>
      </c>
    </row>
    <row r="7137" spans="1:1" x14ac:dyDescent="0.2">
      <c r="A7137" s="13" t="s">
        <v>2042</v>
      </c>
    </row>
    <row r="7138" spans="1:1" x14ac:dyDescent="0.2">
      <c r="A7138" s="13" t="s">
        <v>7349</v>
      </c>
    </row>
    <row r="7139" spans="1:1" x14ac:dyDescent="0.2">
      <c r="A7139" s="13" t="s">
        <v>1940</v>
      </c>
    </row>
    <row r="7140" spans="1:1" x14ac:dyDescent="0.2">
      <c r="A7140" s="13" t="s">
        <v>7350</v>
      </c>
    </row>
    <row r="7141" spans="1:1" x14ac:dyDescent="0.2">
      <c r="A7141" s="13" t="s">
        <v>7351</v>
      </c>
    </row>
    <row r="7142" spans="1:1" x14ac:dyDescent="0.2">
      <c r="A7142" s="13" t="s">
        <v>7352</v>
      </c>
    </row>
    <row r="7143" spans="1:1" x14ac:dyDescent="0.2">
      <c r="A7143" s="13" t="s">
        <v>7353</v>
      </c>
    </row>
    <row r="7144" spans="1:1" x14ac:dyDescent="0.2">
      <c r="A7144" s="13" t="s">
        <v>7354</v>
      </c>
    </row>
    <row r="7145" spans="1:1" x14ac:dyDescent="0.2">
      <c r="A7145" s="13" t="s">
        <v>7355</v>
      </c>
    </row>
    <row r="7146" spans="1:1" x14ac:dyDescent="0.2">
      <c r="A7146" s="13" t="s">
        <v>2847</v>
      </c>
    </row>
    <row r="7147" spans="1:1" x14ac:dyDescent="0.2">
      <c r="A7147" s="13" t="s">
        <v>2735</v>
      </c>
    </row>
    <row r="7148" spans="1:1" x14ac:dyDescent="0.2">
      <c r="A7148" s="13" t="s">
        <v>7356</v>
      </c>
    </row>
    <row r="7149" spans="1:1" x14ac:dyDescent="0.2">
      <c r="A7149" s="13" t="s">
        <v>551</v>
      </c>
    </row>
    <row r="7150" spans="1:1" x14ac:dyDescent="0.2">
      <c r="A7150" s="13" t="s">
        <v>1259</v>
      </c>
    </row>
    <row r="7151" spans="1:1" x14ac:dyDescent="0.2">
      <c r="A7151" s="13" t="s">
        <v>1716</v>
      </c>
    </row>
    <row r="7152" spans="1:1" x14ac:dyDescent="0.2">
      <c r="A7152" s="13" t="s">
        <v>7357</v>
      </c>
    </row>
    <row r="7153" spans="1:1" x14ac:dyDescent="0.2">
      <c r="A7153" s="13" t="s">
        <v>3684</v>
      </c>
    </row>
    <row r="7154" spans="1:1" x14ac:dyDescent="0.2">
      <c r="A7154" s="13" t="s">
        <v>7358</v>
      </c>
    </row>
    <row r="7155" spans="1:1" x14ac:dyDescent="0.2">
      <c r="A7155" s="13" t="s">
        <v>7359</v>
      </c>
    </row>
    <row r="7156" spans="1:1" x14ac:dyDescent="0.2">
      <c r="A7156" s="13" t="s">
        <v>2648</v>
      </c>
    </row>
    <row r="7157" spans="1:1" x14ac:dyDescent="0.2">
      <c r="A7157" s="13" t="s">
        <v>7360</v>
      </c>
    </row>
    <row r="7158" spans="1:1" x14ac:dyDescent="0.2">
      <c r="A7158" s="13" t="s">
        <v>7361</v>
      </c>
    </row>
    <row r="7159" spans="1:1" x14ac:dyDescent="0.2">
      <c r="A7159" s="13" t="s">
        <v>2076</v>
      </c>
    </row>
    <row r="7160" spans="1:1" x14ac:dyDescent="0.2">
      <c r="A7160" s="13" t="s">
        <v>877</v>
      </c>
    </row>
    <row r="7161" spans="1:1" x14ac:dyDescent="0.2">
      <c r="A7161" s="13" t="s">
        <v>7362</v>
      </c>
    </row>
    <row r="7162" spans="1:1" x14ac:dyDescent="0.2">
      <c r="A7162" s="13" t="s">
        <v>7363</v>
      </c>
    </row>
    <row r="7163" spans="1:1" x14ac:dyDescent="0.2">
      <c r="A7163" s="13" t="s">
        <v>7364</v>
      </c>
    </row>
    <row r="7164" spans="1:1" x14ac:dyDescent="0.2">
      <c r="A7164" s="13" t="s">
        <v>2363</v>
      </c>
    </row>
    <row r="7165" spans="1:1" x14ac:dyDescent="0.2">
      <c r="A7165" s="13" t="s">
        <v>495</v>
      </c>
    </row>
    <row r="7166" spans="1:1" x14ac:dyDescent="0.2">
      <c r="A7166" s="13" t="s">
        <v>3064</v>
      </c>
    </row>
    <row r="7167" spans="1:1" x14ac:dyDescent="0.2">
      <c r="A7167" s="13" t="s">
        <v>3346</v>
      </c>
    </row>
    <row r="7168" spans="1:1" x14ac:dyDescent="0.2">
      <c r="A7168" s="13" t="s">
        <v>7365</v>
      </c>
    </row>
    <row r="7169" spans="1:1" x14ac:dyDescent="0.2">
      <c r="A7169" s="13" t="s">
        <v>303</v>
      </c>
    </row>
    <row r="7170" spans="1:1" x14ac:dyDescent="0.2">
      <c r="A7170" s="13" t="s">
        <v>7366</v>
      </c>
    </row>
    <row r="7171" spans="1:1" x14ac:dyDescent="0.2">
      <c r="A7171" s="13" t="s">
        <v>3430</v>
      </c>
    </row>
    <row r="7172" spans="1:1" x14ac:dyDescent="0.2">
      <c r="A7172" s="13" t="s">
        <v>1816</v>
      </c>
    </row>
    <row r="7173" spans="1:1" x14ac:dyDescent="0.2">
      <c r="A7173" s="13" t="s">
        <v>7367</v>
      </c>
    </row>
    <row r="7174" spans="1:1" x14ac:dyDescent="0.2">
      <c r="A7174" s="13" t="s">
        <v>7368</v>
      </c>
    </row>
    <row r="7175" spans="1:1" x14ac:dyDescent="0.2">
      <c r="A7175" s="13" t="s">
        <v>7369</v>
      </c>
    </row>
    <row r="7176" spans="1:1" x14ac:dyDescent="0.2">
      <c r="A7176" s="13" t="s">
        <v>7370</v>
      </c>
    </row>
    <row r="7177" spans="1:1" x14ac:dyDescent="0.2">
      <c r="A7177" s="13" t="s">
        <v>7371</v>
      </c>
    </row>
    <row r="7178" spans="1:1" x14ac:dyDescent="0.2">
      <c r="A7178" s="13" t="s">
        <v>7372</v>
      </c>
    </row>
    <row r="7179" spans="1:1" x14ac:dyDescent="0.2">
      <c r="A7179" s="13" t="s">
        <v>7373</v>
      </c>
    </row>
    <row r="7180" spans="1:1" x14ac:dyDescent="0.2">
      <c r="A7180" s="13" t="s">
        <v>2677</v>
      </c>
    </row>
    <row r="7181" spans="1:1" x14ac:dyDescent="0.2">
      <c r="A7181" s="13" t="s">
        <v>182</v>
      </c>
    </row>
    <row r="7182" spans="1:1" x14ac:dyDescent="0.2">
      <c r="A7182" s="13" t="s">
        <v>7374</v>
      </c>
    </row>
    <row r="7183" spans="1:1" x14ac:dyDescent="0.2">
      <c r="A7183" s="13" t="s">
        <v>7375</v>
      </c>
    </row>
    <row r="7184" spans="1:1" x14ac:dyDescent="0.2">
      <c r="A7184" s="13" t="s">
        <v>7376</v>
      </c>
    </row>
    <row r="7185" spans="1:1" x14ac:dyDescent="0.2">
      <c r="A7185" s="13" t="s">
        <v>7377</v>
      </c>
    </row>
    <row r="7186" spans="1:1" x14ac:dyDescent="0.2">
      <c r="A7186" s="13" t="s">
        <v>7378</v>
      </c>
    </row>
    <row r="7187" spans="1:1" x14ac:dyDescent="0.2">
      <c r="A7187" s="13" t="s">
        <v>7379</v>
      </c>
    </row>
    <row r="7188" spans="1:1" x14ac:dyDescent="0.2">
      <c r="A7188" s="13" t="s">
        <v>7380</v>
      </c>
    </row>
    <row r="7189" spans="1:1" x14ac:dyDescent="0.2">
      <c r="A7189" s="13" t="s">
        <v>1515</v>
      </c>
    </row>
    <row r="7190" spans="1:1" x14ac:dyDescent="0.2">
      <c r="A7190" s="13" t="s">
        <v>7381</v>
      </c>
    </row>
    <row r="7191" spans="1:1" x14ac:dyDescent="0.2">
      <c r="A7191" s="13" t="s">
        <v>7382</v>
      </c>
    </row>
    <row r="7192" spans="1:1" x14ac:dyDescent="0.2">
      <c r="A7192" s="13" t="s">
        <v>7383</v>
      </c>
    </row>
    <row r="7193" spans="1:1" x14ac:dyDescent="0.2">
      <c r="A7193" s="13" t="s">
        <v>7384</v>
      </c>
    </row>
    <row r="7194" spans="1:1" x14ac:dyDescent="0.2">
      <c r="A7194" s="13" t="s">
        <v>7385</v>
      </c>
    </row>
    <row r="7195" spans="1:1" x14ac:dyDescent="0.2">
      <c r="A7195" s="13" t="s">
        <v>7386</v>
      </c>
    </row>
    <row r="7196" spans="1:1" x14ac:dyDescent="0.2">
      <c r="A7196" s="13" t="s">
        <v>7387</v>
      </c>
    </row>
    <row r="7197" spans="1:1" x14ac:dyDescent="0.2">
      <c r="A7197" s="13" t="s">
        <v>7388</v>
      </c>
    </row>
    <row r="7198" spans="1:1" x14ac:dyDescent="0.2">
      <c r="A7198" s="13" t="s">
        <v>7389</v>
      </c>
    </row>
    <row r="7199" spans="1:1" x14ac:dyDescent="0.2">
      <c r="A7199" s="13" t="s">
        <v>7390</v>
      </c>
    </row>
    <row r="7200" spans="1:1" x14ac:dyDescent="0.2">
      <c r="A7200" s="13" t="s">
        <v>7391</v>
      </c>
    </row>
    <row r="7201" spans="1:1" x14ac:dyDescent="0.2">
      <c r="A7201" s="13" t="s">
        <v>7392</v>
      </c>
    </row>
    <row r="7202" spans="1:1" x14ac:dyDescent="0.2">
      <c r="A7202" s="13" t="s">
        <v>3065</v>
      </c>
    </row>
    <row r="7203" spans="1:1" x14ac:dyDescent="0.2">
      <c r="A7203" s="13" t="s">
        <v>7393</v>
      </c>
    </row>
    <row r="7204" spans="1:1" x14ac:dyDescent="0.2">
      <c r="A7204" s="13" t="s">
        <v>7394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Data"/>
  <dimension ref="B1:BA1881"/>
  <sheetViews>
    <sheetView zoomScale="85" zoomScaleNormal="85" workbookViewId="0">
      <selection activeCell="M25" sqref="M25"/>
    </sheetView>
  </sheetViews>
  <sheetFormatPr baseColWidth="10" defaultColWidth="9.1640625" defaultRowHeight="14" x14ac:dyDescent="0.2"/>
  <cols>
    <col min="1" max="1" width="1.6640625" style="1" customWidth="1"/>
    <col min="2" max="5" width="13.33203125" style="1" customWidth="1"/>
    <col min="6" max="6" width="8.1640625" style="1" bestFit="1" customWidth="1"/>
    <col min="7" max="20" width="13.33203125" style="1" customWidth="1"/>
    <col min="21" max="21" width="1.6640625" style="1" customWidth="1"/>
    <col min="22" max="23" width="13.33203125" style="1" customWidth="1"/>
    <col min="24" max="24" width="1.6640625" style="1" customWidth="1"/>
    <col min="25" max="29" width="10.6640625" style="1" customWidth="1"/>
    <col min="30" max="30" width="1.6640625" style="1" customWidth="1"/>
    <col min="31" max="35" width="9.1640625" style="1"/>
    <col min="36" max="36" width="1.6640625" style="1" customWidth="1"/>
    <col min="37" max="41" width="9.1640625" style="1"/>
    <col min="42" max="42" width="1.6640625" style="1" customWidth="1"/>
    <col min="43" max="47" width="9.1640625" style="1"/>
    <col min="48" max="48" width="1.6640625" style="1" customWidth="1"/>
    <col min="49" max="16384" width="9.1640625" style="1"/>
  </cols>
  <sheetData>
    <row r="1" spans="2:53" ht="8.25" customHeight="1" x14ac:dyDescent="0.2"/>
    <row r="2" spans="2:53" x14ac:dyDescent="0.2">
      <c r="B2" s="6" t="s">
        <v>44</v>
      </c>
    </row>
    <row r="3" spans="2:53" ht="30" x14ac:dyDescent="0.2">
      <c r="B3" s="11" t="s">
        <v>45</v>
      </c>
      <c r="C3" s="5">
        <v>364</v>
      </c>
      <c r="D3" s="12"/>
      <c r="E3" s="5"/>
    </row>
    <row r="4" spans="2:53" ht="30" x14ac:dyDescent="0.2">
      <c r="B4" s="11" t="s">
        <v>46</v>
      </c>
      <c r="C4" s="5">
        <v>364</v>
      </c>
      <c r="D4" s="11" t="s">
        <v>48</v>
      </c>
      <c r="E4" s="5">
        <f>Original-ExMoneyFund</f>
        <v>0</v>
      </c>
    </row>
    <row r="5" spans="2:53" ht="45" x14ac:dyDescent="0.2">
      <c r="B5" s="11" t="s">
        <v>47</v>
      </c>
      <c r="C5" s="5">
        <v>359</v>
      </c>
      <c r="D5" s="11" t="s">
        <v>49</v>
      </c>
      <c r="E5" s="5">
        <f>ExMoneyFund-ExDataFund</f>
        <v>5</v>
      </c>
      <c r="W5" s="1">
        <v>2</v>
      </c>
      <c r="AE5" s="1" t="s">
        <v>7461</v>
      </c>
      <c r="AK5" s="1" t="s">
        <v>7452</v>
      </c>
      <c r="AQ5" s="1" t="s">
        <v>7400</v>
      </c>
      <c r="AW5" s="1" t="s">
        <v>7454</v>
      </c>
    </row>
    <row r="6" spans="2:53" x14ac:dyDescent="0.2">
      <c r="W6" s="1" t="s">
        <v>7453</v>
      </c>
      <c r="Y6" s="1">
        <f>$G$35</f>
        <v>500</v>
      </c>
    </row>
    <row r="7" spans="2:53" x14ac:dyDescent="0.2">
      <c r="G7" s="4" t="s">
        <v>56</v>
      </c>
      <c r="V7" s="4"/>
      <c r="W7" s="1" t="s">
        <v>7462</v>
      </c>
      <c r="X7" s="4"/>
      <c r="Y7" s="1" t="s">
        <v>122</v>
      </c>
      <c r="Z7" s="1">
        <f>COUNTA($AK$10:$AO$10)</f>
        <v>0</v>
      </c>
    </row>
    <row r="8" spans="2:53" x14ac:dyDescent="0.2">
      <c r="G8" s="6" t="s">
        <v>53</v>
      </c>
      <c r="H8" s="5"/>
      <c r="I8" s="6" t="s">
        <v>54</v>
      </c>
      <c r="J8" s="5"/>
      <c r="K8" s="10" t="s">
        <v>7430</v>
      </c>
      <c r="V8" s="4"/>
      <c r="W8" s="1" t="s">
        <v>7463</v>
      </c>
      <c r="X8" s="4"/>
      <c r="Y8" s="1">
        <v>1</v>
      </c>
      <c r="Z8" s="1">
        <v>2</v>
      </c>
      <c r="AA8" s="1">
        <v>3</v>
      </c>
      <c r="AB8" s="1">
        <v>4</v>
      </c>
      <c r="AC8" s="1">
        <v>5</v>
      </c>
      <c r="AE8" s="1">
        <v>1</v>
      </c>
      <c r="AF8" s="1">
        <v>2</v>
      </c>
      <c r="AG8" s="1">
        <v>3</v>
      </c>
      <c r="AH8" s="1">
        <v>4</v>
      </c>
      <c r="AI8" s="1">
        <v>5</v>
      </c>
      <c r="AK8" s="1">
        <v>1</v>
      </c>
      <c r="AL8" s="1">
        <v>2</v>
      </c>
      <c r="AM8" s="1">
        <v>3</v>
      </c>
      <c r="AN8" s="1">
        <v>4</v>
      </c>
      <c r="AO8" s="1">
        <v>5</v>
      </c>
      <c r="AQ8" s="1">
        <v>1</v>
      </c>
      <c r="AR8" s="1">
        <v>2</v>
      </c>
      <c r="AS8" s="1">
        <v>3</v>
      </c>
      <c r="AT8" s="1">
        <v>4</v>
      </c>
      <c r="AU8" s="1">
        <v>5</v>
      </c>
      <c r="AW8" s="1">
        <v>1</v>
      </c>
      <c r="AX8" s="1">
        <v>2</v>
      </c>
      <c r="AY8" s="1">
        <v>3</v>
      </c>
      <c r="AZ8" s="1">
        <v>4</v>
      </c>
      <c r="BA8" s="1">
        <v>5</v>
      </c>
    </row>
    <row r="9" spans="2:53" x14ac:dyDescent="0.2">
      <c r="K9" s="10" t="s">
        <v>7431</v>
      </c>
      <c r="Y9" s="6" t="s">
        <v>121</v>
      </c>
      <c r="Z9" s="6" t="s">
        <v>121</v>
      </c>
      <c r="AA9" s="6" t="s">
        <v>121</v>
      </c>
      <c r="AB9" s="6" t="s">
        <v>121</v>
      </c>
      <c r="AC9" s="6" t="s">
        <v>121</v>
      </c>
      <c r="AE9" s="6" t="s">
        <v>121</v>
      </c>
      <c r="AF9" s="6" t="s">
        <v>121</v>
      </c>
      <c r="AG9" s="6" t="s">
        <v>121</v>
      </c>
      <c r="AH9" s="6" t="s">
        <v>121</v>
      </c>
      <c r="AI9" s="6" t="s">
        <v>121</v>
      </c>
      <c r="AK9" s="6" t="s">
        <v>121</v>
      </c>
      <c r="AL9" s="6" t="s">
        <v>121</v>
      </c>
      <c r="AM9" s="6" t="s">
        <v>121</v>
      </c>
      <c r="AN9" s="6" t="s">
        <v>121</v>
      </c>
      <c r="AO9" s="6" t="s">
        <v>121</v>
      </c>
      <c r="AQ9" s="6" t="s">
        <v>121</v>
      </c>
      <c r="AR9" s="6" t="s">
        <v>121</v>
      </c>
      <c r="AS9" s="6" t="s">
        <v>121</v>
      </c>
      <c r="AT9" s="6" t="s">
        <v>121</v>
      </c>
      <c r="AU9" s="6" t="s">
        <v>121</v>
      </c>
      <c r="AW9" s="6" t="s">
        <v>121</v>
      </c>
      <c r="AX9" s="6" t="s">
        <v>121</v>
      </c>
      <c r="AY9" s="6" t="s">
        <v>121</v>
      </c>
      <c r="AZ9" s="6" t="s">
        <v>121</v>
      </c>
      <c r="BA9" s="6" t="s">
        <v>121</v>
      </c>
    </row>
    <row r="10" spans="2:53" x14ac:dyDescent="0.2">
      <c r="G10" s="7" t="s">
        <v>88</v>
      </c>
      <c r="H10" s="8">
        <f>MAX(COUNTA($H$12:$H$21),1)</f>
        <v>10</v>
      </c>
      <c r="I10" s="8"/>
      <c r="J10" s="9"/>
      <c r="K10" s="10">
        <v>2</v>
      </c>
      <c r="Y10" s="45" t="str">
        <f>IF(AK$10="","",AK$10)</f>
        <v/>
      </c>
      <c r="Z10" s="45" t="str">
        <f t="shared" ref="Z10:AC10" si="0">IF(AL$10="","",AL$10)</f>
        <v/>
      </c>
      <c r="AA10" s="45" t="str">
        <f t="shared" si="0"/>
        <v/>
      </c>
      <c r="AB10" s="45" t="str">
        <f t="shared" si="0"/>
        <v/>
      </c>
      <c r="AC10" s="45" t="str">
        <f t="shared" si="0"/>
        <v/>
      </c>
      <c r="AE10" s="45" t="str">
        <f>IF(AK$10="","",AK$10)</f>
        <v/>
      </c>
      <c r="AF10" s="45" t="str">
        <f t="shared" ref="AF10:AI10" si="1">IF(AL$10="","",AL$10)</f>
        <v/>
      </c>
      <c r="AG10" s="45" t="str">
        <f t="shared" si="1"/>
        <v/>
      </c>
      <c r="AH10" s="45" t="str">
        <f t="shared" si="1"/>
        <v/>
      </c>
      <c r="AI10" s="45" t="str">
        <f t="shared" si="1"/>
        <v/>
      </c>
      <c r="AK10" s="45"/>
      <c r="AL10" s="45"/>
      <c r="AM10" s="45"/>
      <c r="AN10" s="45"/>
      <c r="AO10" s="45"/>
      <c r="AQ10" s="45"/>
      <c r="AR10" s="45"/>
      <c r="AS10" s="45"/>
      <c r="AT10" s="45"/>
      <c r="AU10" s="45"/>
      <c r="AW10" s="45" t="s">
        <v>43</v>
      </c>
      <c r="AX10" s="45" t="s">
        <v>7460</v>
      </c>
      <c r="AY10" s="45"/>
      <c r="AZ10" s="45"/>
      <c r="BA10" s="45"/>
    </row>
    <row r="11" spans="2:53" x14ac:dyDescent="0.2">
      <c r="G11" s="10"/>
      <c r="H11" s="6" t="s">
        <v>50</v>
      </c>
      <c r="I11" s="6" t="s">
        <v>52</v>
      </c>
      <c r="J11" s="6" t="s">
        <v>51</v>
      </c>
      <c r="L11" s="4" t="str">
        <f>Unit</f>
        <v>BLN</v>
      </c>
      <c r="M11" s="1" t="str">
        <f>"Top Ten Inflow ("&amp;$L11&amp;")"</f>
        <v>Top Ten Inflow (BLN)</v>
      </c>
      <c r="Y11" s="10" t="e">
        <f>IF($W$5=1,IF(AK11="",NA(),AK11),IF($W$5=2,IF(AE11="",NA(),AE11),IF($W$5=3,IF(AW11="",NA(),AW11),IF($W$5=4,IF(AQ11="",NA(),AQ11)))))</f>
        <v>#N/A</v>
      </c>
      <c r="Z11" s="10" t="e">
        <f t="shared" ref="Z11:Z74" si="2">IF($W$5=1,IF(AL11="",NA(),AL11),IF($W$5=2,IF(AF11="",NA(),AF11),IF($W$5=3,IF(AX11="",NA(),AX11),IF($W$5=4,IF(AR11="",NA(),AR11)))))</f>
        <v>#N/A</v>
      </c>
      <c r="AA11" s="10" t="e">
        <f t="shared" ref="AA11:AA74" si="3">IF($W$5=1,IF(AM11="",NA(),AM11),IF($W$5=2,IF(AG11="",NA(),AG11),IF($W$5=3,IF(AY11="",NA(),AY11),IF($W$5=4,IF(AS11="",NA(),AS11)))))</f>
        <v>#N/A</v>
      </c>
      <c r="AB11" s="10" t="e">
        <f t="shared" ref="AB11:AB74" si="4">IF($W$5=1,IF(AN11="",NA(),AN11),IF($W$5=2,IF(AH11="",NA(),AH11),IF($W$5=3,IF(AZ11="",NA(),AZ11),IF($W$5=4,IF(AT11="",NA(),AT11)))))</f>
        <v>#N/A</v>
      </c>
      <c r="AC11" s="10" t="e">
        <f t="shared" ref="AC11:AC74" si="5">IF($W$5=1,IF(AO11="",NA(),AO11),IF($W$5=2,IF(AI11="",NA(),AI11),IF($W$5=3,IF(BA11="",NA(),BA11),IF($W$5=4,IF(AU11="",NA(),AU11)))))</f>
        <v>#N/A</v>
      </c>
      <c r="AE11" s="10" t="str">
        <f>IF(AK11="","",AK11/AQ11*100)</f>
        <v/>
      </c>
      <c r="AF11" s="10" t="str">
        <f t="shared" ref="AF11:AF74" si="6">IF(AL11="","",AL11/AR11*100)</f>
        <v/>
      </c>
      <c r="AG11" s="10" t="str">
        <f t="shared" ref="AG11:AG74" si="7">IF(AM11="","",AM11/AS11*100)</f>
        <v/>
      </c>
      <c r="AH11" s="10" t="str">
        <f t="shared" ref="AH11:AH74" si="8">IF(AN11="","",AN11/AT11*100)</f>
        <v/>
      </c>
      <c r="AI11" s="10" t="str">
        <f t="shared" ref="AI11:AI74" si="9">IF(AO11="","",AO11/AU11*100)</f>
        <v/>
      </c>
      <c r="AK11" s="10"/>
      <c r="AL11" s="10"/>
      <c r="AM11" s="10"/>
      <c r="AN11" s="10"/>
      <c r="AO11" s="10"/>
      <c r="AQ11" s="10"/>
      <c r="AR11" s="10"/>
      <c r="AS11" s="10"/>
      <c r="AT11" s="10"/>
      <c r="AU11" s="10"/>
      <c r="AW11" s="10" t="str">
        <f>IF(AK$11="","",100+AE11)</f>
        <v/>
      </c>
      <c r="AX11" s="10" t="str">
        <f t="shared" ref="AX11:AX74" si="10">IF(AL$11="","",100+AF11)</f>
        <v/>
      </c>
      <c r="AY11" s="10" t="str">
        <f t="shared" ref="AY11:AY74" si="11">IF(AM$11="","",100+AG11)</f>
        <v/>
      </c>
      <c r="AZ11" s="10" t="str">
        <f t="shared" ref="AZ11:AZ74" si="12">IF(AN$11="","",100+AH11)</f>
        <v/>
      </c>
      <c r="BA11" s="10" t="str">
        <f t="shared" ref="BA11:BA74" si="13">IF(AO$11="","",100+AI11)</f>
        <v/>
      </c>
    </row>
    <row r="12" spans="2:53" x14ac:dyDescent="0.2">
      <c r="G12" s="10">
        <v>1</v>
      </c>
      <c r="H12" s="10" t="s">
        <v>7502</v>
      </c>
      <c r="I12" s="10">
        <v>200.88867749999989</v>
      </c>
      <c r="J12" s="10" t="e">
        <f ca="1">IF(H12="","",_xll.BDP(H12,"SECURITY_NAME"))</f>
        <v>#NAME?</v>
      </c>
      <c r="K12" s="10" t="e">
        <f ca="1">IF($K$10=1,$H12,$J12)</f>
        <v>#NAME?</v>
      </c>
      <c r="L12" s="1">
        <f>IF($L$11="MLN",$I12*1000,$I12)</f>
        <v>200.88867749999989</v>
      </c>
      <c r="Y12" s="10" t="e">
        <f t="shared" ref="Y12:Y75" si="14">IF($W$5=1,IF(AK12="",NA(),AK12),IF($W$5=2,IF(AE12="",NA(),AE12),IF($W$5=3,IF(AW12="",NA(),AW12),IF($W$5=4,IF(AQ12="",NA(),AQ12)))))</f>
        <v>#N/A</v>
      </c>
      <c r="Z12" s="10" t="e">
        <f t="shared" si="2"/>
        <v>#N/A</v>
      </c>
      <c r="AA12" s="10" t="e">
        <f t="shared" si="3"/>
        <v>#N/A</v>
      </c>
      <c r="AB12" s="10" t="e">
        <f t="shared" si="4"/>
        <v>#N/A</v>
      </c>
      <c r="AC12" s="10" t="e">
        <f t="shared" si="5"/>
        <v>#N/A</v>
      </c>
      <c r="AE12" s="10" t="str">
        <f t="shared" ref="AE12:AE75" si="15">IF(AK12="","",AK12/AQ12*100)</f>
        <v/>
      </c>
      <c r="AF12" s="10" t="str">
        <f t="shared" si="6"/>
        <v/>
      </c>
      <c r="AG12" s="10" t="str">
        <f t="shared" si="7"/>
        <v/>
      </c>
      <c r="AH12" s="10" t="str">
        <f t="shared" si="8"/>
        <v/>
      </c>
      <c r="AI12" s="10" t="str">
        <f t="shared" si="9"/>
        <v/>
      </c>
      <c r="AK12" s="10"/>
      <c r="AL12" s="10"/>
      <c r="AM12" s="10"/>
      <c r="AN12" s="10"/>
      <c r="AO12" s="10"/>
      <c r="AQ12" s="10"/>
      <c r="AR12" s="10"/>
      <c r="AS12" s="10"/>
      <c r="AT12" s="10"/>
      <c r="AU12" s="10"/>
      <c r="AW12" s="10" t="str">
        <f t="shared" ref="AW12:AW75" si="16">IF(AK$11="","",100+AE12)</f>
        <v/>
      </c>
      <c r="AX12" s="10" t="str">
        <f t="shared" si="10"/>
        <v/>
      </c>
      <c r="AY12" s="10" t="str">
        <f t="shared" si="11"/>
        <v/>
      </c>
      <c r="AZ12" s="10" t="str">
        <f t="shared" si="12"/>
        <v/>
      </c>
      <c r="BA12" s="10" t="str">
        <f t="shared" si="13"/>
        <v/>
      </c>
    </row>
    <row r="13" spans="2:53" x14ac:dyDescent="0.2">
      <c r="G13" s="10">
        <v>2</v>
      </c>
      <c r="H13" s="10" t="s">
        <v>7851</v>
      </c>
      <c r="I13" s="10">
        <v>160.95807030000006</v>
      </c>
      <c r="J13" s="10" t="e">
        <f ca="1">IF(H13="","",_xll.BDP(H13,"SECURITY_NAME"))</f>
        <v>#NAME?</v>
      </c>
      <c r="K13" s="10" t="e">
        <f t="shared" ref="K13:K21" ca="1" si="17">IF($K$10=1,$H13,$J13)</f>
        <v>#NAME?</v>
      </c>
      <c r="L13" s="1">
        <f t="shared" ref="L13:L21" si="18">IF($L$11="MLN",$I13*1000,$I13)</f>
        <v>160.95807030000006</v>
      </c>
      <c r="Y13" s="10" t="e">
        <f t="shared" si="14"/>
        <v>#N/A</v>
      </c>
      <c r="Z13" s="10" t="e">
        <f t="shared" si="2"/>
        <v>#N/A</v>
      </c>
      <c r="AA13" s="10" t="e">
        <f t="shared" si="3"/>
        <v>#N/A</v>
      </c>
      <c r="AB13" s="10" t="e">
        <f t="shared" si="4"/>
        <v>#N/A</v>
      </c>
      <c r="AC13" s="10" t="e">
        <f t="shared" si="5"/>
        <v>#N/A</v>
      </c>
      <c r="AE13" s="10" t="str">
        <f t="shared" si="15"/>
        <v/>
      </c>
      <c r="AF13" s="10" t="str">
        <f t="shared" si="6"/>
        <v/>
      </c>
      <c r="AG13" s="10" t="str">
        <f t="shared" si="7"/>
        <v/>
      </c>
      <c r="AH13" s="10" t="str">
        <f t="shared" si="8"/>
        <v/>
      </c>
      <c r="AI13" s="10" t="str">
        <f t="shared" si="9"/>
        <v/>
      </c>
      <c r="AK13" s="10"/>
      <c r="AL13" s="10"/>
      <c r="AM13" s="10"/>
      <c r="AN13" s="10"/>
      <c r="AO13" s="10"/>
      <c r="AQ13" s="10"/>
      <c r="AR13" s="10"/>
      <c r="AS13" s="10"/>
      <c r="AT13" s="10"/>
      <c r="AU13" s="10"/>
      <c r="AW13" s="10" t="str">
        <f t="shared" si="16"/>
        <v/>
      </c>
      <c r="AX13" s="10" t="str">
        <f t="shared" si="10"/>
        <v/>
      </c>
      <c r="AY13" s="10" t="str">
        <f t="shared" si="11"/>
        <v/>
      </c>
      <c r="AZ13" s="10" t="str">
        <f t="shared" si="12"/>
        <v/>
      </c>
      <c r="BA13" s="10" t="str">
        <f t="shared" si="13"/>
        <v/>
      </c>
    </row>
    <row r="14" spans="2:53" x14ac:dyDescent="0.2">
      <c r="G14" s="10">
        <v>3</v>
      </c>
      <c r="H14" s="10" t="s">
        <v>7852</v>
      </c>
      <c r="I14" s="10">
        <v>160.88375400000021</v>
      </c>
      <c r="J14" s="10" t="e">
        <f ca="1">IF(H14="","",_xll.BDP(H14,"SECURITY_NAME"))</f>
        <v>#NAME?</v>
      </c>
      <c r="K14" s="10" t="e">
        <f t="shared" ca="1" si="17"/>
        <v>#NAME?</v>
      </c>
      <c r="L14" s="1">
        <f t="shared" si="18"/>
        <v>160.88375400000021</v>
      </c>
      <c r="Y14" s="10" t="e">
        <f t="shared" si="14"/>
        <v>#N/A</v>
      </c>
      <c r="Z14" s="10" t="e">
        <f t="shared" si="2"/>
        <v>#N/A</v>
      </c>
      <c r="AA14" s="10" t="e">
        <f t="shared" si="3"/>
        <v>#N/A</v>
      </c>
      <c r="AB14" s="10" t="e">
        <f t="shared" si="4"/>
        <v>#N/A</v>
      </c>
      <c r="AC14" s="10" t="e">
        <f t="shared" si="5"/>
        <v>#N/A</v>
      </c>
      <c r="AE14" s="10" t="str">
        <f t="shared" si="15"/>
        <v/>
      </c>
      <c r="AF14" s="10" t="str">
        <f t="shared" si="6"/>
        <v/>
      </c>
      <c r="AG14" s="10" t="str">
        <f t="shared" si="7"/>
        <v/>
      </c>
      <c r="AH14" s="10" t="str">
        <f t="shared" si="8"/>
        <v/>
      </c>
      <c r="AI14" s="10" t="str">
        <f t="shared" si="9"/>
        <v/>
      </c>
      <c r="AK14" s="10"/>
      <c r="AL14" s="10"/>
      <c r="AM14" s="10"/>
      <c r="AN14" s="10"/>
      <c r="AO14" s="10"/>
      <c r="AQ14" s="10"/>
      <c r="AR14" s="10"/>
      <c r="AS14" s="10"/>
      <c r="AT14" s="10"/>
      <c r="AU14" s="10"/>
      <c r="AW14" s="10" t="str">
        <f t="shared" si="16"/>
        <v/>
      </c>
      <c r="AX14" s="10" t="str">
        <f t="shared" si="10"/>
        <v/>
      </c>
      <c r="AY14" s="10" t="str">
        <f t="shared" si="11"/>
        <v/>
      </c>
      <c r="AZ14" s="10" t="str">
        <f t="shared" si="12"/>
        <v/>
      </c>
      <c r="BA14" s="10" t="str">
        <f t="shared" si="13"/>
        <v/>
      </c>
    </row>
    <row r="15" spans="2:53" x14ac:dyDescent="0.2">
      <c r="G15" s="10">
        <v>4</v>
      </c>
      <c r="H15" s="10" t="s">
        <v>7853</v>
      </c>
      <c r="I15" s="10">
        <v>84.940990599999793</v>
      </c>
      <c r="J15" s="10" t="e">
        <f ca="1">IF(H15="","",_xll.BDP(H15,"SECURITY_NAME"))</f>
        <v>#NAME?</v>
      </c>
      <c r="K15" s="10" t="e">
        <f t="shared" ca="1" si="17"/>
        <v>#NAME?</v>
      </c>
      <c r="L15" s="1">
        <f t="shared" si="18"/>
        <v>84.940990599999793</v>
      </c>
      <c r="Y15" s="10" t="e">
        <f t="shared" si="14"/>
        <v>#N/A</v>
      </c>
      <c r="Z15" s="10" t="e">
        <f t="shared" si="2"/>
        <v>#N/A</v>
      </c>
      <c r="AA15" s="10" t="e">
        <f t="shared" si="3"/>
        <v>#N/A</v>
      </c>
      <c r="AB15" s="10" t="e">
        <f t="shared" si="4"/>
        <v>#N/A</v>
      </c>
      <c r="AC15" s="10" t="e">
        <f t="shared" si="5"/>
        <v>#N/A</v>
      </c>
      <c r="AE15" s="10" t="str">
        <f t="shared" si="15"/>
        <v/>
      </c>
      <c r="AF15" s="10" t="str">
        <f t="shared" si="6"/>
        <v/>
      </c>
      <c r="AG15" s="10" t="str">
        <f t="shared" si="7"/>
        <v/>
      </c>
      <c r="AH15" s="10" t="str">
        <f t="shared" si="8"/>
        <v/>
      </c>
      <c r="AI15" s="10" t="str">
        <f t="shared" si="9"/>
        <v/>
      </c>
      <c r="AK15" s="10"/>
      <c r="AL15" s="10"/>
      <c r="AM15" s="10"/>
      <c r="AN15" s="10"/>
      <c r="AO15" s="10"/>
      <c r="AQ15" s="10"/>
      <c r="AR15" s="10"/>
      <c r="AS15" s="10"/>
      <c r="AT15" s="10"/>
      <c r="AU15" s="10"/>
      <c r="AW15" s="10" t="str">
        <f t="shared" si="16"/>
        <v/>
      </c>
      <c r="AX15" s="10" t="str">
        <f t="shared" si="10"/>
        <v/>
      </c>
      <c r="AY15" s="10" t="str">
        <f t="shared" si="11"/>
        <v/>
      </c>
      <c r="AZ15" s="10" t="str">
        <f t="shared" si="12"/>
        <v/>
      </c>
      <c r="BA15" s="10" t="str">
        <f t="shared" si="13"/>
        <v/>
      </c>
    </row>
    <row r="16" spans="2:53" x14ac:dyDescent="0.2">
      <c r="G16" s="10">
        <v>5</v>
      </c>
      <c r="H16" s="10" t="s">
        <v>7494</v>
      </c>
      <c r="I16" s="10">
        <v>84.486826000000164</v>
      </c>
      <c r="J16" s="10" t="e">
        <f ca="1">IF(H16="","",_xll.BDP(H16,"SECURITY_NAME"))</f>
        <v>#NAME?</v>
      </c>
      <c r="K16" s="10" t="e">
        <f t="shared" ca="1" si="17"/>
        <v>#NAME?</v>
      </c>
      <c r="L16" s="1">
        <f t="shared" si="18"/>
        <v>84.486826000000164</v>
      </c>
      <c r="Y16" s="10" t="e">
        <f t="shared" si="14"/>
        <v>#N/A</v>
      </c>
      <c r="Z16" s="10" t="e">
        <f t="shared" si="2"/>
        <v>#N/A</v>
      </c>
      <c r="AA16" s="10" t="e">
        <f t="shared" si="3"/>
        <v>#N/A</v>
      </c>
      <c r="AB16" s="10" t="e">
        <f t="shared" si="4"/>
        <v>#N/A</v>
      </c>
      <c r="AC16" s="10" t="e">
        <f t="shared" si="5"/>
        <v>#N/A</v>
      </c>
      <c r="AE16" s="10" t="str">
        <f t="shared" si="15"/>
        <v/>
      </c>
      <c r="AF16" s="10" t="str">
        <f t="shared" si="6"/>
        <v/>
      </c>
      <c r="AG16" s="10" t="str">
        <f t="shared" si="7"/>
        <v/>
      </c>
      <c r="AH16" s="10" t="str">
        <f t="shared" si="8"/>
        <v/>
      </c>
      <c r="AI16" s="10" t="str">
        <f t="shared" si="9"/>
        <v/>
      </c>
      <c r="AK16" s="10"/>
      <c r="AL16" s="10"/>
      <c r="AM16" s="10"/>
      <c r="AN16" s="10"/>
      <c r="AO16" s="10"/>
      <c r="AQ16" s="10"/>
      <c r="AR16" s="10"/>
      <c r="AS16" s="10"/>
      <c r="AT16" s="10"/>
      <c r="AU16" s="10"/>
      <c r="AW16" s="10" t="str">
        <f t="shared" si="16"/>
        <v/>
      </c>
      <c r="AX16" s="10" t="str">
        <f t="shared" si="10"/>
        <v/>
      </c>
      <c r="AY16" s="10" t="str">
        <f t="shared" si="11"/>
        <v/>
      </c>
      <c r="AZ16" s="10" t="str">
        <f t="shared" si="12"/>
        <v/>
      </c>
      <c r="BA16" s="10" t="str">
        <f t="shared" si="13"/>
        <v/>
      </c>
    </row>
    <row r="17" spans="7:53" x14ac:dyDescent="0.2">
      <c r="G17" s="10">
        <v>6</v>
      </c>
      <c r="H17" s="10" t="s">
        <v>7492</v>
      </c>
      <c r="I17" s="10">
        <v>81.083187299999977</v>
      </c>
      <c r="J17" s="10" t="e">
        <f ca="1">IF(H17="","",_xll.BDP(H17,"SECURITY_NAME"))</f>
        <v>#NAME?</v>
      </c>
      <c r="K17" s="10" t="e">
        <f t="shared" ca="1" si="17"/>
        <v>#NAME?</v>
      </c>
      <c r="L17" s="1">
        <f t="shared" si="18"/>
        <v>81.083187299999977</v>
      </c>
      <c r="Y17" s="10" t="e">
        <f t="shared" si="14"/>
        <v>#N/A</v>
      </c>
      <c r="Z17" s="10" t="e">
        <f t="shared" si="2"/>
        <v>#N/A</v>
      </c>
      <c r="AA17" s="10" t="e">
        <f t="shared" si="3"/>
        <v>#N/A</v>
      </c>
      <c r="AB17" s="10" t="e">
        <f t="shared" si="4"/>
        <v>#N/A</v>
      </c>
      <c r="AC17" s="10" t="e">
        <f t="shared" si="5"/>
        <v>#N/A</v>
      </c>
      <c r="AE17" s="10" t="str">
        <f t="shared" si="15"/>
        <v/>
      </c>
      <c r="AF17" s="10" t="str">
        <f t="shared" si="6"/>
        <v/>
      </c>
      <c r="AG17" s="10" t="str">
        <f t="shared" si="7"/>
        <v/>
      </c>
      <c r="AH17" s="10" t="str">
        <f t="shared" si="8"/>
        <v/>
      </c>
      <c r="AI17" s="10" t="str">
        <f t="shared" si="9"/>
        <v/>
      </c>
      <c r="AK17" s="10"/>
      <c r="AL17" s="10"/>
      <c r="AM17" s="10"/>
      <c r="AN17" s="10"/>
      <c r="AO17" s="10"/>
      <c r="AQ17" s="10"/>
      <c r="AR17" s="10"/>
      <c r="AS17" s="10"/>
      <c r="AT17" s="10"/>
      <c r="AU17" s="10"/>
      <c r="AW17" s="10" t="str">
        <f t="shared" si="16"/>
        <v/>
      </c>
      <c r="AX17" s="10" t="str">
        <f t="shared" si="10"/>
        <v/>
      </c>
      <c r="AY17" s="10" t="str">
        <f t="shared" si="11"/>
        <v/>
      </c>
      <c r="AZ17" s="10" t="str">
        <f t="shared" si="12"/>
        <v/>
      </c>
      <c r="BA17" s="10" t="str">
        <f t="shared" si="13"/>
        <v/>
      </c>
    </row>
    <row r="18" spans="7:53" x14ac:dyDescent="0.2">
      <c r="G18" s="10">
        <v>7</v>
      </c>
      <c r="H18" s="10" t="s">
        <v>7848</v>
      </c>
      <c r="I18" s="10">
        <v>68.817338200000009</v>
      </c>
      <c r="J18" s="10" t="e">
        <f ca="1">IF(H18="","",_xll.BDP(H18,"SECURITY_NAME"))</f>
        <v>#NAME?</v>
      </c>
      <c r="K18" s="10" t="e">
        <f t="shared" ca="1" si="17"/>
        <v>#NAME?</v>
      </c>
      <c r="L18" s="1">
        <f t="shared" si="18"/>
        <v>68.817338200000009</v>
      </c>
      <c r="Y18" s="10" t="e">
        <f t="shared" si="14"/>
        <v>#N/A</v>
      </c>
      <c r="Z18" s="10" t="e">
        <f t="shared" si="2"/>
        <v>#N/A</v>
      </c>
      <c r="AA18" s="10" t="e">
        <f t="shared" si="3"/>
        <v>#N/A</v>
      </c>
      <c r="AB18" s="10" t="e">
        <f t="shared" si="4"/>
        <v>#N/A</v>
      </c>
      <c r="AC18" s="10" t="e">
        <f t="shared" si="5"/>
        <v>#N/A</v>
      </c>
      <c r="AE18" s="10" t="str">
        <f t="shared" si="15"/>
        <v/>
      </c>
      <c r="AF18" s="10" t="str">
        <f t="shared" si="6"/>
        <v/>
      </c>
      <c r="AG18" s="10" t="str">
        <f t="shared" si="7"/>
        <v/>
      </c>
      <c r="AH18" s="10" t="str">
        <f t="shared" si="8"/>
        <v/>
      </c>
      <c r="AI18" s="10" t="str">
        <f t="shared" si="9"/>
        <v/>
      </c>
      <c r="AK18" s="10"/>
      <c r="AL18" s="10"/>
      <c r="AM18" s="10"/>
      <c r="AN18" s="10"/>
      <c r="AO18" s="10"/>
      <c r="AQ18" s="10"/>
      <c r="AR18" s="10"/>
      <c r="AS18" s="10"/>
      <c r="AT18" s="10"/>
      <c r="AU18" s="10"/>
      <c r="AW18" s="10" t="str">
        <f t="shared" si="16"/>
        <v/>
      </c>
      <c r="AX18" s="10" t="str">
        <f t="shared" si="10"/>
        <v/>
      </c>
      <c r="AY18" s="10" t="str">
        <f t="shared" si="11"/>
        <v/>
      </c>
      <c r="AZ18" s="10" t="str">
        <f t="shared" si="12"/>
        <v/>
      </c>
      <c r="BA18" s="10" t="str">
        <f t="shared" si="13"/>
        <v/>
      </c>
    </row>
    <row r="19" spans="7:53" x14ac:dyDescent="0.2">
      <c r="G19" s="10">
        <v>8</v>
      </c>
      <c r="H19" s="10" t="s">
        <v>7496</v>
      </c>
      <c r="I19" s="10">
        <v>65.979764900000077</v>
      </c>
      <c r="J19" s="10" t="e">
        <f ca="1">IF(H19="","",_xll.BDP(H19,"SECURITY_NAME"))</f>
        <v>#NAME?</v>
      </c>
      <c r="K19" s="10" t="e">
        <f t="shared" ca="1" si="17"/>
        <v>#NAME?</v>
      </c>
      <c r="L19" s="1">
        <f t="shared" si="18"/>
        <v>65.979764900000077</v>
      </c>
      <c r="Y19" s="10" t="e">
        <f t="shared" si="14"/>
        <v>#N/A</v>
      </c>
      <c r="Z19" s="10" t="e">
        <f t="shared" si="2"/>
        <v>#N/A</v>
      </c>
      <c r="AA19" s="10" t="e">
        <f t="shared" si="3"/>
        <v>#N/A</v>
      </c>
      <c r="AB19" s="10" t="e">
        <f t="shared" si="4"/>
        <v>#N/A</v>
      </c>
      <c r="AC19" s="10" t="e">
        <f t="shared" si="5"/>
        <v>#N/A</v>
      </c>
      <c r="AE19" s="10" t="str">
        <f t="shared" si="15"/>
        <v/>
      </c>
      <c r="AF19" s="10" t="str">
        <f t="shared" si="6"/>
        <v/>
      </c>
      <c r="AG19" s="10" t="str">
        <f t="shared" si="7"/>
        <v/>
      </c>
      <c r="AH19" s="10" t="str">
        <f t="shared" si="8"/>
        <v/>
      </c>
      <c r="AI19" s="10" t="str">
        <f t="shared" si="9"/>
        <v/>
      </c>
      <c r="AK19" s="10"/>
      <c r="AL19" s="10"/>
      <c r="AM19" s="10"/>
      <c r="AN19" s="10"/>
      <c r="AO19" s="10"/>
      <c r="AQ19" s="10"/>
      <c r="AR19" s="10"/>
      <c r="AS19" s="10"/>
      <c r="AT19" s="10"/>
      <c r="AU19" s="10"/>
      <c r="AW19" s="10" t="str">
        <f t="shared" si="16"/>
        <v/>
      </c>
      <c r="AX19" s="10" t="str">
        <f t="shared" si="10"/>
        <v/>
      </c>
      <c r="AY19" s="10" t="str">
        <f t="shared" si="11"/>
        <v/>
      </c>
      <c r="AZ19" s="10" t="str">
        <f t="shared" si="12"/>
        <v/>
      </c>
      <c r="BA19" s="10" t="str">
        <f t="shared" si="13"/>
        <v/>
      </c>
    </row>
    <row r="20" spans="7:53" x14ac:dyDescent="0.2">
      <c r="G20" s="10">
        <v>9</v>
      </c>
      <c r="H20" s="10" t="s">
        <v>7849</v>
      </c>
      <c r="I20" s="10">
        <v>62.802386600000055</v>
      </c>
      <c r="J20" s="10" t="e">
        <f ca="1">IF(H20="","",_xll.BDP(H20,"SECURITY_NAME"))</f>
        <v>#NAME?</v>
      </c>
      <c r="K20" s="10" t="e">
        <f t="shared" ca="1" si="17"/>
        <v>#NAME?</v>
      </c>
      <c r="L20" s="1">
        <f t="shared" si="18"/>
        <v>62.802386600000055</v>
      </c>
      <c r="Y20" s="10" t="e">
        <f t="shared" si="14"/>
        <v>#N/A</v>
      </c>
      <c r="Z20" s="10" t="e">
        <f t="shared" si="2"/>
        <v>#N/A</v>
      </c>
      <c r="AA20" s="10" t="e">
        <f t="shared" si="3"/>
        <v>#N/A</v>
      </c>
      <c r="AB20" s="10" t="e">
        <f t="shared" si="4"/>
        <v>#N/A</v>
      </c>
      <c r="AC20" s="10" t="e">
        <f t="shared" si="5"/>
        <v>#N/A</v>
      </c>
      <c r="AE20" s="10" t="str">
        <f t="shared" si="15"/>
        <v/>
      </c>
      <c r="AF20" s="10" t="str">
        <f t="shared" si="6"/>
        <v/>
      </c>
      <c r="AG20" s="10" t="str">
        <f t="shared" si="7"/>
        <v/>
      </c>
      <c r="AH20" s="10" t="str">
        <f t="shared" si="8"/>
        <v/>
      </c>
      <c r="AI20" s="10" t="str">
        <f t="shared" si="9"/>
        <v/>
      </c>
      <c r="AK20" s="10"/>
      <c r="AL20" s="10"/>
      <c r="AM20" s="10"/>
      <c r="AN20" s="10"/>
      <c r="AO20" s="10"/>
      <c r="AQ20" s="10"/>
      <c r="AR20" s="10"/>
      <c r="AS20" s="10"/>
      <c r="AT20" s="10"/>
      <c r="AU20" s="10"/>
      <c r="AW20" s="10" t="str">
        <f t="shared" si="16"/>
        <v/>
      </c>
      <c r="AX20" s="10" t="str">
        <f t="shared" si="10"/>
        <v/>
      </c>
      <c r="AY20" s="10" t="str">
        <f t="shared" si="11"/>
        <v/>
      </c>
      <c r="AZ20" s="10" t="str">
        <f t="shared" si="12"/>
        <v/>
      </c>
      <c r="BA20" s="10" t="str">
        <f t="shared" si="13"/>
        <v/>
      </c>
    </row>
    <row r="21" spans="7:53" x14ac:dyDescent="0.2">
      <c r="G21" s="10">
        <v>10</v>
      </c>
      <c r="H21" s="10" t="s">
        <v>7911</v>
      </c>
      <c r="I21" s="10">
        <v>58.581423300000012</v>
      </c>
      <c r="J21" s="10" t="e">
        <f ca="1">IF(H21="","",_xll.BDP(H21,"SECURITY_NAME"))</f>
        <v>#NAME?</v>
      </c>
      <c r="K21" s="10" t="e">
        <f t="shared" ca="1" si="17"/>
        <v>#NAME?</v>
      </c>
      <c r="L21" s="1">
        <f t="shared" si="18"/>
        <v>58.581423300000012</v>
      </c>
      <c r="Y21" s="10" t="e">
        <f t="shared" si="14"/>
        <v>#N/A</v>
      </c>
      <c r="Z21" s="10" t="e">
        <f t="shared" si="2"/>
        <v>#N/A</v>
      </c>
      <c r="AA21" s="10" t="e">
        <f t="shared" si="3"/>
        <v>#N/A</v>
      </c>
      <c r="AB21" s="10" t="e">
        <f t="shared" si="4"/>
        <v>#N/A</v>
      </c>
      <c r="AC21" s="10" t="e">
        <f t="shared" si="5"/>
        <v>#N/A</v>
      </c>
      <c r="AE21" s="10" t="str">
        <f t="shared" si="15"/>
        <v/>
      </c>
      <c r="AF21" s="10" t="str">
        <f t="shared" si="6"/>
        <v/>
      </c>
      <c r="AG21" s="10" t="str">
        <f t="shared" si="7"/>
        <v/>
      </c>
      <c r="AH21" s="10" t="str">
        <f t="shared" si="8"/>
        <v/>
      </c>
      <c r="AI21" s="10" t="str">
        <f t="shared" si="9"/>
        <v/>
      </c>
      <c r="AK21" s="10"/>
      <c r="AL21" s="10"/>
      <c r="AM21" s="10"/>
      <c r="AN21" s="10"/>
      <c r="AO21" s="10"/>
      <c r="AQ21" s="10"/>
      <c r="AR21" s="10"/>
      <c r="AS21" s="10"/>
      <c r="AT21" s="10"/>
      <c r="AU21" s="10"/>
      <c r="AW21" s="10" t="str">
        <f t="shared" si="16"/>
        <v/>
      </c>
      <c r="AX21" s="10" t="str">
        <f t="shared" si="10"/>
        <v/>
      </c>
      <c r="AY21" s="10" t="str">
        <f t="shared" si="11"/>
        <v/>
      </c>
      <c r="AZ21" s="10" t="str">
        <f t="shared" si="12"/>
        <v/>
      </c>
      <c r="BA21" s="10" t="str">
        <f t="shared" si="13"/>
        <v/>
      </c>
    </row>
    <row r="22" spans="7:53" x14ac:dyDescent="0.2">
      <c r="Y22" s="10" t="e">
        <f t="shared" si="14"/>
        <v>#N/A</v>
      </c>
      <c r="Z22" s="10" t="e">
        <f t="shared" si="2"/>
        <v>#N/A</v>
      </c>
      <c r="AA22" s="10" t="e">
        <f t="shared" si="3"/>
        <v>#N/A</v>
      </c>
      <c r="AB22" s="10" t="e">
        <f t="shared" si="4"/>
        <v>#N/A</v>
      </c>
      <c r="AC22" s="10" t="e">
        <f t="shared" si="5"/>
        <v>#N/A</v>
      </c>
      <c r="AE22" s="10" t="str">
        <f t="shared" si="15"/>
        <v/>
      </c>
      <c r="AF22" s="10" t="str">
        <f t="shared" si="6"/>
        <v/>
      </c>
      <c r="AG22" s="10" t="str">
        <f t="shared" si="7"/>
        <v/>
      </c>
      <c r="AH22" s="10" t="str">
        <f t="shared" si="8"/>
        <v/>
      </c>
      <c r="AI22" s="10" t="str">
        <f t="shared" si="9"/>
        <v/>
      </c>
      <c r="AK22" s="10"/>
      <c r="AL22" s="10"/>
      <c r="AM22" s="10"/>
      <c r="AN22" s="10"/>
      <c r="AO22" s="10"/>
      <c r="AQ22" s="10"/>
      <c r="AR22" s="10"/>
      <c r="AS22" s="10"/>
      <c r="AT22" s="10"/>
      <c r="AU22" s="10"/>
      <c r="AW22" s="10" t="str">
        <f t="shared" si="16"/>
        <v/>
      </c>
      <c r="AX22" s="10" t="str">
        <f t="shared" si="10"/>
        <v/>
      </c>
      <c r="AY22" s="10" t="str">
        <f t="shared" si="11"/>
        <v/>
      </c>
      <c r="AZ22" s="10" t="str">
        <f t="shared" si="12"/>
        <v/>
      </c>
      <c r="BA22" s="10" t="str">
        <f t="shared" si="13"/>
        <v/>
      </c>
    </row>
    <row r="23" spans="7:53" x14ac:dyDescent="0.2">
      <c r="G23" s="7" t="s">
        <v>89</v>
      </c>
      <c r="H23" s="8">
        <f>MAX(COUNTA($H$25:$H$34),1)</f>
        <v>10</v>
      </c>
      <c r="I23" s="8"/>
      <c r="J23" s="9"/>
      <c r="Y23" s="10" t="e">
        <f t="shared" si="14"/>
        <v>#N/A</v>
      </c>
      <c r="Z23" s="10" t="e">
        <f t="shared" si="2"/>
        <v>#N/A</v>
      </c>
      <c r="AA23" s="10" t="e">
        <f t="shared" si="3"/>
        <v>#N/A</v>
      </c>
      <c r="AB23" s="10" t="e">
        <f t="shared" si="4"/>
        <v>#N/A</v>
      </c>
      <c r="AC23" s="10" t="e">
        <f t="shared" si="5"/>
        <v>#N/A</v>
      </c>
      <c r="AE23" s="10" t="str">
        <f t="shared" si="15"/>
        <v/>
      </c>
      <c r="AF23" s="10" t="str">
        <f t="shared" si="6"/>
        <v/>
      </c>
      <c r="AG23" s="10" t="str">
        <f t="shared" si="7"/>
        <v/>
      </c>
      <c r="AH23" s="10" t="str">
        <f t="shared" si="8"/>
        <v/>
      </c>
      <c r="AI23" s="10" t="str">
        <f t="shared" si="9"/>
        <v/>
      </c>
      <c r="AK23" s="10"/>
      <c r="AL23" s="10"/>
      <c r="AM23" s="10"/>
      <c r="AN23" s="10"/>
      <c r="AO23" s="10"/>
      <c r="AQ23" s="10"/>
      <c r="AR23" s="10"/>
      <c r="AS23" s="10"/>
      <c r="AT23" s="10"/>
      <c r="AU23" s="10"/>
      <c r="AW23" s="10" t="str">
        <f t="shared" si="16"/>
        <v/>
      </c>
      <c r="AX23" s="10" t="str">
        <f t="shared" si="10"/>
        <v/>
      </c>
      <c r="AY23" s="10" t="str">
        <f t="shared" si="11"/>
        <v/>
      </c>
      <c r="AZ23" s="10" t="str">
        <f t="shared" si="12"/>
        <v/>
      </c>
      <c r="BA23" s="10" t="str">
        <f t="shared" si="13"/>
        <v/>
      </c>
    </row>
    <row r="24" spans="7:53" x14ac:dyDescent="0.2">
      <c r="G24" s="10"/>
      <c r="H24" s="6" t="s">
        <v>50</v>
      </c>
      <c r="I24" s="6" t="s">
        <v>52</v>
      </c>
      <c r="J24" s="6" t="s">
        <v>51</v>
      </c>
      <c r="L24" s="4" t="str">
        <f>Unit</f>
        <v>BLN</v>
      </c>
      <c r="M24" s="1" t="str">
        <f>"Top Ten Outflow ("&amp;$L24&amp;")"</f>
        <v>Top Ten Outflow (BLN)</v>
      </c>
      <c r="Y24" s="10" t="e">
        <f t="shared" si="14"/>
        <v>#N/A</v>
      </c>
      <c r="Z24" s="10" t="e">
        <f t="shared" si="2"/>
        <v>#N/A</v>
      </c>
      <c r="AA24" s="10" t="e">
        <f t="shared" si="3"/>
        <v>#N/A</v>
      </c>
      <c r="AB24" s="10" t="e">
        <f t="shared" si="4"/>
        <v>#N/A</v>
      </c>
      <c r="AC24" s="10" t="e">
        <f t="shared" si="5"/>
        <v>#N/A</v>
      </c>
      <c r="AE24" s="10" t="str">
        <f t="shared" si="15"/>
        <v/>
      </c>
      <c r="AF24" s="10" t="str">
        <f t="shared" si="6"/>
        <v/>
      </c>
      <c r="AG24" s="10" t="str">
        <f t="shared" si="7"/>
        <v/>
      </c>
      <c r="AH24" s="10" t="str">
        <f t="shared" si="8"/>
        <v/>
      </c>
      <c r="AI24" s="10" t="str">
        <f t="shared" si="9"/>
        <v/>
      </c>
      <c r="AK24" s="10"/>
      <c r="AL24" s="10"/>
      <c r="AM24" s="10"/>
      <c r="AN24" s="10"/>
      <c r="AO24" s="10"/>
      <c r="AQ24" s="10"/>
      <c r="AR24" s="10"/>
      <c r="AS24" s="10"/>
      <c r="AT24" s="10"/>
      <c r="AU24" s="10"/>
      <c r="AW24" s="10" t="str">
        <f t="shared" si="16"/>
        <v/>
      </c>
      <c r="AX24" s="10" t="str">
        <f t="shared" si="10"/>
        <v/>
      </c>
      <c r="AY24" s="10" t="str">
        <f t="shared" si="11"/>
        <v/>
      </c>
      <c r="AZ24" s="10" t="str">
        <f t="shared" si="12"/>
        <v/>
      </c>
      <c r="BA24" s="10" t="str">
        <f t="shared" si="13"/>
        <v/>
      </c>
    </row>
    <row r="25" spans="7:53" x14ac:dyDescent="0.2">
      <c r="G25" s="10">
        <v>1</v>
      </c>
      <c r="H25" s="10" t="s">
        <v>7847</v>
      </c>
      <c r="I25" s="10">
        <v>-22.354446999999997</v>
      </c>
      <c r="J25" s="10" t="e">
        <f ca="1">IF(H25="","",_xll.BDP(H25,"SECURITY_NAME"))</f>
        <v>#NAME?</v>
      </c>
      <c r="K25" s="10" t="e">
        <f t="shared" ref="K25:K34" ca="1" si="19">IF($K$10=1,$H25,$J25)</f>
        <v>#NAME?</v>
      </c>
      <c r="L25" s="1">
        <f t="shared" ref="L25:L34" si="20">IF($L$11="MLN",$I25*1000,$I25)</f>
        <v>-22.354446999999997</v>
      </c>
      <c r="Y25" s="10" t="e">
        <f t="shared" si="14"/>
        <v>#N/A</v>
      </c>
      <c r="Z25" s="10" t="e">
        <f t="shared" si="2"/>
        <v>#N/A</v>
      </c>
      <c r="AA25" s="10" t="e">
        <f t="shared" si="3"/>
        <v>#N/A</v>
      </c>
      <c r="AB25" s="10" t="e">
        <f t="shared" si="4"/>
        <v>#N/A</v>
      </c>
      <c r="AC25" s="10" t="e">
        <f t="shared" si="5"/>
        <v>#N/A</v>
      </c>
      <c r="AE25" s="10" t="str">
        <f t="shared" si="15"/>
        <v/>
      </c>
      <c r="AF25" s="10" t="str">
        <f t="shared" si="6"/>
        <v/>
      </c>
      <c r="AG25" s="10" t="str">
        <f t="shared" si="7"/>
        <v/>
      </c>
      <c r="AH25" s="10" t="str">
        <f t="shared" si="8"/>
        <v/>
      </c>
      <c r="AI25" s="10" t="str">
        <f t="shared" si="9"/>
        <v/>
      </c>
      <c r="AK25" s="10"/>
      <c r="AL25" s="10"/>
      <c r="AM25" s="10"/>
      <c r="AN25" s="10"/>
      <c r="AO25" s="10"/>
      <c r="AQ25" s="10"/>
      <c r="AR25" s="10"/>
      <c r="AS25" s="10"/>
      <c r="AT25" s="10"/>
      <c r="AU25" s="10"/>
      <c r="AW25" s="10" t="str">
        <f t="shared" si="16"/>
        <v/>
      </c>
      <c r="AX25" s="10" t="str">
        <f t="shared" si="10"/>
        <v/>
      </c>
      <c r="AY25" s="10" t="str">
        <f t="shared" si="11"/>
        <v/>
      </c>
      <c r="AZ25" s="10" t="str">
        <f t="shared" si="12"/>
        <v/>
      </c>
      <c r="BA25" s="10" t="str">
        <f t="shared" si="13"/>
        <v/>
      </c>
    </row>
    <row r="26" spans="7:53" x14ac:dyDescent="0.2">
      <c r="G26" s="10">
        <v>2</v>
      </c>
      <c r="H26" s="10" t="s">
        <v>7854</v>
      </c>
      <c r="I26" s="10">
        <v>-10.075552099999996</v>
      </c>
      <c r="J26" s="10" t="e">
        <f ca="1">IF(H26="","",_xll.BDP(H26,"SECURITY_NAME"))</f>
        <v>#NAME?</v>
      </c>
      <c r="K26" s="10" t="e">
        <f t="shared" ca="1" si="19"/>
        <v>#NAME?</v>
      </c>
      <c r="L26" s="1">
        <f t="shared" si="20"/>
        <v>-10.075552099999996</v>
      </c>
      <c r="Y26" s="10" t="e">
        <f t="shared" si="14"/>
        <v>#N/A</v>
      </c>
      <c r="Z26" s="10" t="e">
        <f t="shared" si="2"/>
        <v>#N/A</v>
      </c>
      <c r="AA26" s="10" t="e">
        <f t="shared" si="3"/>
        <v>#N/A</v>
      </c>
      <c r="AB26" s="10" t="e">
        <f t="shared" si="4"/>
        <v>#N/A</v>
      </c>
      <c r="AC26" s="10" t="e">
        <f t="shared" si="5"/>
        <v>#N/A</v>
      </c>
      <c r="AE26" s="10" t="str">
        <f t="shared" si="15"/>
        <v/>
      </c>
      <c r="AF26" s="10" t="str">
        <f t="shared" si="6"/>
        <v/>
      </c>
      <c r="AG26" s="10" t="str">
        <f t="shared" si="7"/>
        <v/>
      </c>
      <c r="AH26" s="10" t="str">
        <f t="shared" si="8"/>
        <v/>
      </c>
      <c r="AI26" s="10" t="str">
        <f t="shared" si="9"/>
        <v/>
      </c>
      <c r="AK26" s="10"/>
      <c r="AL26" s="10"/>
      <c r="AM26" s="10"/>
      <c r="AN26" s="10"/>
      <c r="AO26" s="10"/>
      <c r="AQ26" s="10"/>
      <c r="AR26" s="10"/>
      <c r="AS26" s="10"/>
      <c r="AT26" s="10"/>
      <c r="AU26" s="10"/>
      <c r="AW26" s="10" t="str">
        <f t="shared" si="16"/>
        <v/>
      </c>
      <c r="AX26" s="10" t="str">
        <f t="shared" si="10"/>
        <v/>
      </c>
      <c r="AY26" s="10" t="str">
        <f t="shared" si="11"/>
        <v/>
      </c>
      <c r="AZ26" s="10" t="str">
        <f t="shared" si="12"/>
        <v/>
      </c>
      <c r="BA26" s="10" t="str">
        <f t="shared" si="13"/>
        <v/>
      </c>
    </row>
    <row r="27" spans="7:53" x14ac:dyDescent="0.2">
      <c r="G27" s="10">
        <v>3</v>
      </c>
      <c r="H27" s="10" t="s">
        <v>7498</v>
      </c>
      <c r="I27" s="10">
        <v>-8.9654233000000048</v>
      </c>
      <c r="J27" s="10" t="e">
        <f ca="1">IF(H27="","",_xll.BDP(H27,"SECURITY_NAME"))</f>
        <v>#NAME?</v>
      </c>
      <c r="K27" s="10" t="e">
        <f t="shared" ca="1" si="19"/>
        <v>#NAME?</v>
      </c>
      <c r="L27" s="1">
        <f t="shared" si="20"/>
        <v>-8.9654233000000048</v>
      </c>
      <c r="Y27" s="10" t="e">
        <f t="shared" si="14"/>
        <v>#N/A</v>
      </c>
      <c r="Z27" s="10" t="e">
        <f t="shared" si="2"/>
        <v>#N/A</v>
      </c>
      <c r="AA27" s="10" t="e">
        <f t="shared" si="3"/>
        <v>#N/A</v>
      </c>
      <c r="AB27" s="10" t="e">
        <f t="shared" si="4"/>
        <v>#N/A</v>
      </c>
      <c r="AC27" s="10" t="e">
        <f t="shared" si="5"/>
        <v>#N/A</v>
      </c>
      <c r="AE27" s="10" t="str">
        <f t="shared" si="15"/>
        <v/>
      </c>
      <c r="AF27" s="10" t="str">
        <f t="shared" si="6"/>
        <v/>
      </c>
      <c r="AG27" s="10" t="str">
        <f t="shared" si="7"/>
        <v/>
      </c>
      <c r="AH27" s="10" t="str">
        <f t="shared" si="8"/>
        <v/>
      </c>
      <c r="AI27" s="10" t="str">
        <f t="shared" si="9"/>
        <v/>
      </c>
      <c r="AK27" s="10"/>
      <c r="AL27" s="10"/>
      <c r="AM27" s="10"/>
      <c r="AN27" s="10"/>
      <c r="AO27" s="10"/>
      <c r="AQ27" s="10"/>
      <c r="AR27" s="10"/>
      <c r="AS27" s="10"/>
      <c r="AT27" s="10"/>
      <c r="AU27" s="10"/>
      <c r="AW27" s="10" t="str">
        <f t="shared" si="16"/>
        <v/>
      </c>
      <c r="AX27" s="10" t="str">
        <f t="shared" si="10"/>
        <v/>
      </c>
      <c r="AY27" s="10" t="str">
        <f t="shared" si="11"/>
        <v/>
      </c>
      <c r="AZ27" s="10" t="str">
        <f t="shared" si="12"/>
        <v/>
      </c>
      <c r="BA27" s="10" t="str">
        <f t="shared" si="13"/>
        <v/>
      </c>
    </row>
    <row r="28" spans="7:53" x14ac:dyDescent="0.2">
      <c r="G28" s="10">
        <v>4</v>
      </c>
      <c r="H28" s="10" t="s">
        <v>7855</v>
      </c>
      <c r="I28" s="10">
        <v>-7.8253843999999937</v>
      </c>
      <c r="J28" s="10" t="e">
        <f ca="1">IF(H28="","",_xll.BDP(H28,"SECURITY_NAME"))</f>
        <v>#NAME?</v>
      </c>
      <c r="K28" s="10" t="e">
        <f t="shared" ca="1" si="19"/>
        <v>#NAME?</v>
      </c>
      <c r="L28" s="1">
        <f t="shared" si="20"/>
        <v>-7.8253843999999937</v>
      </c>
      <c r="Y28" s="10" t="e">
        <f t="shared" si="14"/>
        <v>#N/A</v>
      </c>
      <c r="Z28" s="10" t="e">
        <f t="shared" si="2"/>
        <v>#N/A</v>
      </c>
      <c r="AA28" s="10" t="e">
        <f t="shared" si="3"/>
        <v>#N/A</v>
      </c>
      <c r="AB28" s="10" t="e">
        <f t="shared" si="4"/>
        <v>#N/A</v>
      </c>
      <c r="AC28" s="10" t="e">
        <f t="shared" si="5"/>
        <v>#N/A</v>
      </c>
      <c r="AE28" s="10" t="str">
        <f t="shared" si="15"/>
        <v/>
      </c>
      <c r="AF28" s="10" t="str">
        <f t="shared" si="6"/>
        <v/>
      </c>
      <c r="AG28" s="10" t="str">
        <f t="shared" si="7"/>
        <v/>
      </c>
      <c r="AH28" s="10" t="str">
        <f t="shared" si="8"/>
        <v/>
      </c>
      <c r="AI28" s="10" t="str">
        <f t="shared" si="9"/>
        <v/>
      </c>
      <c r="AK28" s="10"/>
      <c r="AL28" s="10"/>
      <c r="AM28" s="10"/>
      <c r="AN28" s="10"/>
      <c r="AO28" s="10"/>
      <c r="AQ28" s="10"/>
      <c r="AR28" s="10"/>
      <c r="AS28" s="10"/>
      <c r="AT28" s="10"/>
      <c r="AU28" s="10"/>
      <c r="AW28" s="10" t="str">
        <f t="shared" si="16"/>
        <v/>
      </c>
      <c r="AX28" s="10" t="str">
        <f t="shared" si="10"/>
        <v/>
      </c>
      <c r="AY28" s="10" t="str">
        <f t="shared" si="11"/>
        <v/>
      </c>
      <c r="AZ28" s="10" t="str">
        <f t="shared" si="12"/>
        <v/>
      </c>
      <c r="BA28" s="10" t="str">
        <f t="shared" si="13"/>
        <v/>
      </c>
    </row>
    <row r="29" spans="7:53" x14ac:dyDescent="0.2">
      <c r="G29" s="10">
        <v>5</v>
      </c>
      <c r="H29" s="10" t="s">
        <v>7856</v>
      </c>
      <c r="I29" s="10">
        <v>-7.4006146000000124</v>
      </c>
      <c r="J29" s="10" t="e">
        <f ca="1">IF(H29="","",_xll.BDP(H29,"SECURITY_NAME"))</f>
        <v>#NAME?</v>
      </c>
      <c r="K29" s="10" t="e">
        <f t="shared" ca="1" si="19"/>
        <v>#NAME?</v>
      </c>
      <c r="L29" s="1">
        <f t="shared" si="20"/>
        <v>-7.4006146000000124</v>
      </c>
      <c r="Y29" s="10" t="e">
        <f t="shared" si="14"/>
        <v>#N/A</v>
      </c>
      <c r="Z29" s="10" t="e">
        <f t="shared" si="2"/>
        <v>#N/A</v>
      </c>
      <c r="AA29" s="10" t="e">
        <f t="shared" si="3"/>
        <v>#N/A</v>
      </c>
      <c r="AB29" s="10" t="e">
        <f t="shared" si="4"/>
        <v>#N/A</v>
      </c>
      <c r="AC29" s="10" t="e">
        <f t="shared" si="5"/>
        <v>#N/A</v>
      </c>
      <c r="AE29" s="10" t="str">
        <f t="shared" si="15"/>
        <v/>
      </c>
      <c r="AF29" s="10" t="str">
        <f t="shared" si="6"/>
        <v/>
      </c>
      <c r="AG29" s="10" t="str">
        <f t="shared" si="7"/>
        <v/>
      </c>
      <c r="AH29" s="10" t="str">
        <f t="shared" si="8"/>
        <v/>
      </c>
      <c r="AI29" s="10" t="str">
        <f t="shared" si="9"/>
        <v/>
      </c>
      <c r="AK29" s="10"/>
      <c r="AL29" s="10"/>
      <c r="AM29" s="10"/>
      <c r="AN29" s="10"/>
      <c r="AO29" s="10"/>
      <c r="AQ29" s="10"/>
      <c r="AR29" s="10"/>
      <c r="AS29" s="10"/>
      <c r="AT29" s="10"/>
      <c r="AU29" s="10"/>
      <c r="AW29" s="10" t="str">
        <f t="shared" si="16"/>
        <v/>
      </c>
      <c r="AX29" s="10" t="str">
        <f t="shared" si="10"/>
        <v/>
      </c>
      <c r="AY29" s="10" t="str">
        <f t="shared" si="11"/>
        <v/>
      </c>
      <c r="AZ29" s="10" t="str">
        <f t="shared" si="12"/>
        <v/>
      </c>
      <c r="BA29" s="10" t="str">
        <f t="shared" si="13"/>
        <v/>
      </c>
    </row>
    <row r="30" spans="7:53" x14ac:dyDescent="0.2">
      <c r="G30" s="10">
        <v>6</v>
      </c>
      <c r="H30" s="10" t="s">
        <v>7850</v>
      </c>
      <c r="I30" s="10">
        <v>-6.8469357000000013</v>
      </c>
      <c r="J30" s="10" t="e">
        <f ca="1">IF(H30="","",_xll.BDP(H30,"SECURITY_NAME"))</f>
        <v>#NAME?</v>
      </c>
      <c r="K30" s="10" t="e">
        <f t="shared" ca="1" si="19"/>
        <v>#NAME?</v>
      </c>
      <c r="L30" s="1">
        <f t="shared" si="20"/>
        <v>-6.8469357000000013</v>
      </c>
      <c r="Y30" s="10" t="e">
        <f t="shared" si="14"/>
        <v>#N/A</v>
      </c>
      <c r="Z30" s="10" t="e">
        <f t="shared" si="2"/>
        <v>#N/A</v>
      </c>
      <c r="AA30" s="10" t="e">
        <f t="shared" si="3"/>
        <v>#N/A</v>
      </c>
      <c r="AB30" s="10" t="e">
        <f t="shared" si="4"/>
        <v>#N/A</v>
      </c>
      <c r="AC30" s="10" t="e">
        <f t="shared" si="5"/>
        <v>#N/A</v>
      </c>
      <c r="AE30" s="10" t="str">
        <f t="shared" si="15"/>
        <v/>
      </c>
      <c r="AF30" s="10" t="str">
        <f t="shared" si="6"/>
        <v/>
      </c>
      <c r="AG30" s="10" t="str">
        <f t="shared" si="7"/>
        <v/>
      </c>
      <c r="AH30" s="10" t="str">
        <f t="shared" si="8"/>
        <v/>
      </c>
      <c r="AI30" s="10" t="str">
        <f t="shared" si="9"/>
        <v/>
      </c>
      <c r="AK30" s="10"/>
      <c r="AL30" s="10"/>
      <c r="AM30" s="10"/>
      <c r="AN30" s="10"/>
      <c r="AO30" s="10"/>
      <c r="AQ30" s="10"/>
      <c r="AR30" s="10"/>
      <c r="AS30" s="10"/>
      <c r="AT30" s="10"/>
      <c r="AU30" s="10"/>
      <c r="AW30" s="10" t="str">
        <f t="shared" si="16"/>
        <v/>
      </c>
      <c r="AX30" s="10" t="str">
        <f t="shared" si="10"/>
        <v/>
      </c>
      <c r="AY30" s="10" t="str">
        <f t="shared" si="11"/>
        <v/>
      </c>
      <c r="AZ30" s="10" t="str">
        <f t="shared" si="12"/>
        <v/>
      </c>
      <c r="BA30" s="10" t="str">
        <f t="shared" si="13"/>
        <v/>
      </c>
    </row>
    <row r="31" spans="7:53" x14ac:dyDescent="0.2">
      <c r="G31" s="10">
        <v>7</v>
      </c>
      <c r="H31" s="10" t="s">
        <v>7499</v>
      </c>
      <c r="I31" s="10">
        <v>-6.069771099999997</v>
      </c>
      <c r="J31" s="10" t="e">
        <f ca="1">IF(H31="","",_xll.BDP(H31,"SECURITY_NAME"))</f>
        <v>#NAME?</v>
      </c>
      <c r="K31" s="10" t="e">
        <f t="shared" ca="1" si="19"/>
        <v>#NAME?</v>
      </c>
      <c r="L31" s="1">
        <f t="shared" si="20"/>
        <v>-6.069771099999997</v>
      </c>
      <c r="Y31" s="10" t="e">
        <f t="shared" si="14"/>
        <v>#N/A</v>
      </c>
      <c r="Z31" s="10" t="e">
        <f t="shared" si="2"/>
        <v>#N/A</v>
      </c>
      <c r="AA31" s="10" t="e">
        <f t="shared" si="3"/>
        <v>#N/A</v>
      </c>
      <c r="AB31" s="10" t="e">
        <f t="shared" si="4"/>
        <v>#N/A</v>
      </c>
      <c r="AC31" s="10" t="e">
        <f t="shared" si="5"/>
        <v>#N/A</v>
      </c>
      <c r="AE31" s="10" t="str">
        <f t="shared" si="15"/>
        <v/>
      </c>
      <c r="AF31" s="10" t="str">
        <f t="shared" si="6"/>
        <v/>
      </c>
      <c r="AG31" s="10" t="str">
        <f t="shared" si="7"/>
        <v/>
      </c>
      <c r="AH31" s="10" t="str">
        <f t="shared" si="8"/>
        <v/>
      </c>
      <c r="AI31" s="10" t="str">
        <f t="shared" si="9"/>
        <v/>
      </c>
      <c r="AK31" s="10"/>
      <c r="AL31" s="10"/>
      <c r="AM31" s="10"/>
      <c r="AN31" s="10"/>
      <c r="AO31" s="10"/>
      <c r="AQ31" s="10"/>
      <c r="AR31" s="10"/>
      <c r="AS31" s="10"/>
      <c r="AT31" s="10"/>
      <c r="AU31" s="10"/>
      <c r="AW31" s="10" t="str">
        <f t="shared" si="16"/>
        <v/>
      </c>
      <c r="AX31" s="10" t="str">
        <f t="shared" si="10"/>
        <v/>
      </c>
      <c r="AY31" s="10" t="str">
        <f t="shared" si="11"/>
        <v/>
      </c>
      <c r="AZ31" s="10" t="str">
        <f t="shared" si="12"/>
        <v/>
      </c>
      <c r="BA31" s="10" t="str">
        <f t="shared" si="13"/>
        <v/>
      </c>
    </row>
    <row r="32" spans="7:53" x14ac:dyDescent="0.2">
      <c r="G32" s="10">
        <v>8</v>
      </c>
      <c r="H32" s="10" t="s">
        <v>7912</v>
      </c>
      <c r="I32" s="10">
        <v>-5.9547137999999933</v>
      </c>
      <c r="J32" s="10" t="e">
        <f ca="1">IF(H32="","",_xll.BDP(H32,"SECURITY_NAME"))</f>
        <v>#NAME?</v>
      </c>
      <c r="K32" s="10" t="e">
        <f t="shared" ca="1" si="19"/>
        <v>#NAME?</v>
      </c>
      <c r="L32" s="1">
        <f t="shared" si="20"/>
        <v>-5.9547137999999933</v>
      </c>
      <c r="Y32" s="10" t="e">
        <f t="shared" si="14"/>
        <v>#N/A</v>
      </c>
      <c r="Z32" s="10" t="e">
        <f t="shared" si="2"/>
        <v>#N/A</v>
      </c>
      <c r="AA32" s="10" t="e">
        <f t="shared" si="3"/>
        <v>#N/A</v>
      </c>
      <c r="AB32" s="10" t="e">
        <f t="shared" si="4"/>
        <v>#N/A</v>
      </c>
      <c r="AC32" s="10" t="e">
        <f t="shared" si="5"/>
        <v>#N/A</v>
      </c>
      <c r="AE32" s="10" t="str">
        <f t="shared" si="15"/>
        <v/>
      </c>
      <c r="AF32" s="10" t="str">
        <f t="shared" si="6"/>
        <v/>
      </c>
      <c r="AG32" s="10" t="str">
        <f t="shared" si="7"/>
        <v/>
      </c>
      <c r="AH32" s="10" t="str">
        <f t="shared" si="8"/>
        <v/>
      </c>
      <c r="AI32" s="10" t="str">
        <f t="shared" si="9"/>
        <v/>
      </c>
      <c r="AK32" s="10"/>
      <c r="AL32" s="10"/>
      <c r="AM32" s="10"/>
      <c r="AN32" s="10"/>
      <c r="AO32" s="10"/>
      <c r="AQ32" s="10"/>
      <c r="AR32" s="10"/>
      <c r="AS32" s="10"/>
      <c r="AT32" s="10"/>
      <c r="AU32" s="10"/>
      <c r="AW32" s="10" t="str">
        <f t="shared" si="16"/>
        <v/>
      </c>
      <c r="AX32" s="10" t="str">
        <f t="shared" si="10"/>
        <v/>
      </c>
      <c r="AY32" s="10" t="str">
        <f t="shared" si="11"/>
        <v/>
      </c>
      <c r="AZ32" s="10" t="str">
        <f t="shared" si="12"/>
        <v/>
      </c>
      <c r="BA32" s="10" t="str">
        <f t="shared" si="13"/>
        <v/>
      </c>
    </row>
    <row r="33" spans="2:53" x14ac:dyDescent="0.2">
      <c r="G33" s="10">
        <v>9</v>
      </c>
      <c r="H33" s="10" t="s">
        <v>7846</v>
      </c>
      <c r="I33" s="10">
        <v>-5.3276248000000095</v>
      </c>
      <c r="J33" s="10" t="e">
        <f ca="1">IF(H33="","",_xll.BDP(H33,"SECURITY_NAME"))</f>
        <v>#NAME?</v>
      </c>
      <c r="K33" s="10" t="e">
        <f t="shared" ca="1" si="19"/>
        <v>#NAME?</v>
      </c>
      <c r="L33" s="1">
        <f t="shared" si="20"/>
        <v>-5.3276248000000095</v>
      </c>
      <c r="Y33" s="10" t="e">
        <f t="shared" si="14"/>
        <v>#N/A</v>
      </c>
      <c r="Z33" s="10" t="e">
        <f t="shared" si="2"/>
        <v>#N/A</v>
      </c>
      <c r="AA33" s="10" t="e">
        <f t="shared" si="3"/>
        <v>#N/A</v>
      </c>
      <c r="AB33" s="10" t="e">
        <f t="shared" si="4"/>
        <v>#N/A</v>
      </c>
      <c r="AC33" s="10" t="e">
        <f t="shared" si="5"/>
        <v>#N/A</v>
      </c>
      <c r="AE33" s="10" t="str">
        <f t="shared" si="15"/>
        <v/>
      </c>
      <c r="AF33" s="10" t="str">
        <f t="shared" si="6"/>
        <v/>
      </c>
      <c r="AG33" s="10" t="str">
        <f t="shared" si="7"/>
        <v/>
      </c>
      <c r="AH33" s="10" t="str">
        <f t="shared" si="8"/>
        <v/>
      </c>
      <c r="AI33" s="10" t="str">
        <f t="shared" si="9"/>
        <v/>
      </c>
      <c r="AK33" s="10"/>
      <c r="AL33" s="10"/>
      <c r="AM33" s="10"/>
      <c r="AN33" s="10"/>
      <c r="AO33" s="10"/>
      <c r="AQ33" s="10"/>
      <c r="AR33" s="10"/>
      <c r="AS33" s="10"/>
      <c r="AT33" s="10"/>
      <c r="AU33" s="10"/>
      <c r="AW33" s="10" t="str">
        <f t="shared" si="16"/>
        <v/>
      </c>
      <c r="AX33" s="10" t="str">
        <f t="shared" si="10"/>
        <v/>
      </c>
      <c r="AY33" s="10" t="str">
        <f t="shared" si="11"/>
        <v/>
      </c>
      <c r="AZ33" s="10" t="str">
        <f t="shared" si="12"/>
        <v/>
      </c>
      <c r="BA33" s="10" t="str">
        <f t="shared" si="13"/>
        <v/>
      </c>
    </row>
    <row r="34" spans="2:53" x14ac:dyDescent="0.2">
      <c r="G34" s="10">
        <v>10</v>
      </c>
      <c r="H34" s="10" t="s">
        <v>7857</v>
      </c>
      <c r="I34" s="10">
        <v>-4.4496564000000012</v>
      </c>
      <c r="J34" s="10" t="e">
        <f ca="1">IF(H34="","",_xll.BDP(H34,"SECURITY_NAME"))</f>
        <v>#NAME?</v>
      </c>
      <c r="K34" s="10" t="e">
        <f t="shared" ca="1" si="19"/>
        <v>#NAME?</v>
      </c>
      <c r="L34" s="1">
        <f t="shared" si="20"/>
        <v>-4.4496564000000012</v>
      </c>
      <c r="Y34" s="10" t="e">
        <f t="shared" si="14"/>
        <v>#N/A</v>
      </c>
      <c r="Z34" s="10" t="e">
        <f t="shared" si="2"/>
        <v>#N/A</v>
      </c>
      <c r="AA34" s="10" t="e">
        <f t="shared" si="3"/>
        <v>#N/A</v>
      </c>
      <c r="AB34" s="10" t="e">
        <f t="shared" si="4"/>
        <v>#N/A</v>
      </c>
      <c r="AC34" s="10" t="e">
        <f t="shared" si="5"/>
        <v>#N/A</v>
      </c>
      <c r="AE34" s="10" t="str">
        <f t="shared" si="15"/>
        <v/>
      </c>
      <c r="AF34" s="10" t="str">
        <f t="shared" si="6"/>
        <v/>
      </c>
      <c r="AG34" s="10" t="str">
        <f t="shared" si="7"/>
        <v/>
      </c>
      <c r="AH34" s="10" t="str">
        <f t="shared" si="8"/>
        <v/>
      </c>
      <c r="AI34" s="10" t="str">
        <f t="shared" si="9"/>
        <v/>
      </c>
      <c r="AK34" s="10"/>
      <c r="AL34" s="10"/>
      <c r="AM34" s="10"/>
      <c r="AN34" s="10"/>
      <c r="AO34" s="10"/>
      <c r="AQ34" s="10"/>
      <c r="AR34" s="10"/>
      <c r="AS34" s="10"/>
      <c r="AT34" s="10"/>
      <c r="AU34" s="10"/>
      <c r="AW34" s="10" t="str">
        <f t="shared" si="16"/>
        <v/>
      </c>
      <c r="AX34" s="10" t="str">
        <f t="shared" si="10"/>
        <v/>
      </c>
      <c r="AY34" s="10" t="str">
        <f t="shared" si="11"/>
        <v/>
      </c>
      <c r="AZ34" s="10" t="str">
        <f t="shared" si="12"/>
        <v/>
      </c>
      <c r="BA34" s="10" t="str">
        <f t="shared" si="13"/>
        <v/>
      </c>
    </row>
    <row r="35" spans="2:53" x14ac:dyDescent="0.2">
      <c r="G35" s="1">
        <f>IF(COUNTA($G$37:$G$536)&gt;0,COUNTA($G$37:$G$536),1)</f>
        <v>500</v>
      </c>
      <c r="Y35" s="10" t="e">
        <f t="shared" si="14"/>
        <v>#N/A</v>
      </c>
      <c r="Z35" s="10" t="e">
        <f t="shared" si="2"/>
        <v>#N/A</v>
      </c>
      <c r="AA35" s="10" t="e">
        <f t="shared" si="3"/>
        <v>#N/A</v>
      </c>
      <c r="AB35" s="10" t="e">
        <f t="shared" si="4"/>
        <v>#N/A</v>
      </c>
      <c r="AC35" s="10" t="e">
        <f t="shared" si="5"/>
        <v>#N/A</v>
      </c>
      <c r="AE35" s="10" t="str">
        <f t="shared" si="15"/>
        <v/>
      </c>
      <c r="AF35" s="10" t="str">
        <f t="shared" si="6"/>
        <v/>
      </c>
      <c r="AG35" s="10" t="str">
        <f t="shared" si="7"/>
        <v/>
      </c>
      <c r="AH35" s="10" t="str">
        <f t="shared" si="8"/>
        <v/>
      </c>
      <c r="AI35" s="10" t="str">
        <f t="shared" si="9"/>
        <v/>
      </c>
      <c r="AK35" s="10"/>
      <c r="AL35" s="10"/>
      <c r="AM35" s="10"/>
      <c r="AN35" s="10"/>
      <c r="AO35" s="10"/>
      <c r="AQ35" s="10"/>
      <c r="AR35" s="10"/>
      <c r="AS35" s="10"/>
      <c r="AT35" s="10"/>
      <c r="AU35" s="10"/>
      <c r="AW35" s="10" t="str">
        <f t="shared" si="16"/>
        <v/>
      </c>
      <c r="AX35" s="10" t="str">
        <f t="shared" si="10"/>
        <v/>
      </c>
      <c r="AY35" s="10" t="str">
        <f t="shared" si="11"/>
        <v/>
      </c>
      <c r="AZ35" s="10" t="str">
        <f t="shared" si="12"/>
        <v/>
      </c>
      <c r="BA35" s="10" t="str">
        <f t="shared" si="13"/>
        <v/>
      </c>
    </row>
    <row r="36" spans="2:53" x14ac:dyDescent="0.2">
      <c r="B36" s="7" t="s">
        <v>57</v>
      </c>
      <c r="C36" s="8"/>
      <c r="D36" s="9">
        <f>IF(COUNTA($B$38:$B$87)&gt;0,COUNTA($B$38:$B$87),1)</f>
        <v>5</v>
      </c>
      <c r="G36" s="6" t="s">
        <v>58</v>
      </c>
      <c r="H36" s="6" t="s">
        <v>59</v>
      </c>
      <c r="I36" s="6" t="s">
        <v>60</v>
      </c>
      <c r="J36" s="6" t="s">
        <v>61</v>
      </c>
      <c r="K36" s="6" t="s">
        <v>118</v>
      </c>
      <c r="L36" s="6" t="s">
        <v>119</v>
      </c>
      <c r="M36" s="6" t="s">
        <v>120</v>
      </c>
      <c r="N36" s="6" t="s">
        <v>7451</v>
      </c>
      <c r="O36" s="6" t="s">
        <v>86</v>
      </c>
      <c r="P36" s="6" t="s">
        <v>7400</v>
      </c>
      <c r="Q36" s="7" t="s">
        <v>57</v>
      </c>
      <c r="R36" s="10"/>
      <c r="Y36" s="10" t="e">
        <f t="shared" si="14"/>
        <v>#N/A</v>
      </c>
      <c r="Z36" s="10" t="e">
        <f t="shared" si="2"/>
        <v>#N/A</v>
      </c>
      <c r="AA36" s="10" t="e">
        <f t="shared" si="3"/>
        <v>#N/A</v>
      </c>
      <c r="AB36" s="10" t="e">
        <f t="shared" si="4"/>
        <v>#N/A</v>
      </c>
      <c r="AC36" s="10" t="e">
        <f t="shared" si="5"/>
        <v>#N/A</v>
      </c>
      <c r="AE36" s="10" t="str">
        <f t="shared" si="15"/>
        <v/>
      </c>
      <c r="AF36" s="10" t="str">
        <f t="shared" si="6"/>
        <v/>
      </c>
      <c r="AG36" s="10" t="str">
        <f t="shared" si="7"/>
        <v/>
      </c>
      <c r="AH36" s="10" t="str">
        <f t="shared" si="8"/>
        <v/>
      </c>
      <c r="AI36" s="10" t="str">
        <f t="shared" si="9"/>
        <v/>
      </c>
      <c r="AK36" s="10"/>
      <c r="AL36" s="10"/>
      <c r="AM36" s="10"/>
      <c r="AN36" s="10"/>
      <c r="AO36" s="10"/>
      <c r="AQ36" s="10"/>
      <c r="AR36" s="10"/>
      <c r="AS36" s="10"/>
      <c r="AT36" s="10"/>
      <c r="AU36" s="10"/>
      <c r="AW36" s="10" t="str">
        <f t="shared" si="16"/>
        <v/>
      </c>
      <c r="AX36" s="10" t="str">
        <f t="shared" si="10"/>
        <v/>
      </c>
      <c r="AY36" s="10" t="str">
        <f t="shared" si="11"/>
        <v/>
      </c>
      <c r="AZ36" s="10" t="str">
        <f t="shared" si="12"/>
        <v/>
      </c>
      <c r="BA36" s="10" t="str">
        <f t="shared" si="13"/>
        <v/>
      </c>
    </row>
    <row r="37" spans="2:53" x14ac:dyDescent="0.2">
      <c r="B37" s="6" t="s">
        <v>62</v>
      </c>
      <c r="C37" s="6" t="s">
        <v>55</v>
      </c>
      <c r="D37" s="6" t="s">
        <v>56</v>
      </c>
      <c r="F37" s="10" t="str">
        <f>IF($G37="","",YEAR($G37)&amp;"/"&amp;MONTH($G37)&amp;"/"&amp;DAY($G37))</f>
        <v>2017/1/2</v>
      </c>
      <c r="G37" s="14">
        <v>42737</v>
      </c>
      <c r="H37" s="10">
        <v>7.6085299999999995E-2</v>
      </c>
      <c r="I37" s="10">
        <v>-0.24583010000000002</v>
      </c>
      <c r="J37" s="10">
        <v>-0.16974480000000003</v>
      </c>
      <c r="K37" s="10">
        <f>IF($G37="","",H37)</f>
        <v>7.6085299999999995E-2</v>
      </c>
      <c r="L37" s="10">
        <f t="shared" ref="L37:M37" si="21">IF($G37="","",I37)</f>
        <v>-0.24583010000000002</v>
      </c>
      <c r="M37" s="10">
        <f t="shared" si="21"/>
        <v>-0.16974480000000003</v>
      </c>
      <c r="N37" s="10">
        <v>0.28889491551912783</v>
      </c>
      <c r="O37" s="10">
        <v>0.20487274837511601</v>
      </c>
      <c r="P37" s="10">
        <v>2765.9616127232007</v>
      </c>
      <c r="Q37" s="6"/>
      <c r="R37" s="6" t="s">
        <v>56</v>
      </c>
      <c r="T37" s="1">
        <f>MIN(50,$D$36)</f>
        <v>5</v>
      </c>
      <c r="Y37" s="10" t="e">
        <f t="shared" si="14"/>
        <v>#N/A</v>
      </c>
      <c r="Z37" s="10" t="e">
        <f t="shared" si="2"/>
        <v>#N/A</v>
      </c>
      <c r="AA37" s="10" t="e">
        <f t="shared" si="3"/>
        <v>#N/A</v>
      </c>
      <c r="AB37" s="10" t="e">
        <f t="shared" si="4"/>
        <v>#N/A</v>
      </c>
      <c r="AC37" s="10" t="e">
        <f t="shared" si="5"/>
        <v>#N/A</v>
      </c>
      <c r="AE37" s="10" t="str">
        <f t="shared" si="15"/>
        <v/>
      </c>
      <c r="AF37" s="10" t="str">
        <f t="shared" si="6"/>
        <v/>
      </c>
      <c r="AG37" s="10" t="str">
        <f t="shared" si="7"/>
        <v/>
      </c>
      <c r="AH37" s="10" t="str">
        <f t="shared" si="8"/>
        <v/>
      </c>
      <c r="AI37" s="10" t="str">
        <f t="shared" si="9"/>
        <v/>
      </c>
      <c r="AK37" s="10"/>
      <c r="AL37" s="10"/>
      <c r="AM37" s="10"/>
      <c r="AN37" s="10"/>
      <c r="AO37" s="10"/>
      <c r="AQ37" s="10"/>
      <c r="AR37" s="10"/>
      <c r="AS37" s="10"/>
      <c r="AT37" s="10"/>
      <c r="AU37" s="10"/>
      <c r="AW37" s="10" t="str">
        <f t="shared" si="16"/>
        <v/>
      </c>
      <c r="AX37" s="10" t="str">
        <f t="shared" si="10"/>
        <v/>
      </c>
      <c r="AY37" s="10" t="str">
        <f t="shared" si="11"/>
        <v/>
      </c>
      <c r="AZ37" s="10" t="str">
        <f t="shared" si="12"/>
        <v/>
      </c>
      <c r="BA37" s="10" t="str">
        <f t="shared" si="13"/>
        <v/>
      </c>
    </row>
    <row r="38" spans="2:53" x14ac:dyDescent="0.2">
      <c r="B38" s="10" t="s">
        <v>73</v>
      </c>
      <c r="C38" s="15">
        <v>-3.6872713999999984</v>
      </c>
      <c r="D38" s="15">
        <v>1766.7799757000016</v>
      </c>
      <c r="F38" s="10" t="str">
        <f t="shared" ref="F38:F101" si="22">IF($G38="","",YEAR($G38)&amp;"/"&amp;MONTH($G38)&amp;"/"&amp;DAY($G38))</f>
        <v>2017/1/3</v>
      </c>
      <c r="G38" s="14">
        <v>42738</v>
      </c>
      <c r="H38" s="10">
        <v>7.3193866000000005</v>
      </c>
      <c r="I38" s="10">
        <v>-1.9234450999999999</v>
      </c>
      <c r="J38" s="10">
        <v>5.3959415000000011</v>
      </c>
      <c r="K38" s="10">
        <f>IF($H38="","",K37+H38)</f>
        <v>7.3954719000000004</v>
      </c>
      <c r="L38" s="10">
        <f>IF($I38="","",L37+I38)</f>
        <v>-2.1692752</v>
      </c>
      <c r="M38" s="10">
        <f>IF($J38="","",M37+J38)</f>
        <v>5.2261967000000009</v>
      </c>
      <c r="N38" s="10">
        <v>0.58926008494290538</v>
      </c>
      <c r="O38" s="10">
        <v>0.43758282265552462</v>
      </c>
      <c r="P38" s="10">
        <v>2777.6851280300007</v>
      </c>
      <c r="Q38" s="15"/>
      <c r="R38" s="15">
        <f t="shared" ref="R38:R69" ca="1" si="23">RANK($D38,Attribute_Custom,0)</f>
        <v>1</v>
      </c>
      <c r="S38" s="1">
        <v>1</v>
      </c>
      <c r="V38" s="1" t="str">
        <f ca="1">IF(ISERROR(INDEX(Attribute,MATCH($S38,OFFSET($R$38,0,0,$D$36),0))),"",INDEX(Attribute,MATCH($S38,OFFSET($R$38,0,0,$D$36),0)))</f>
        <v>Equity</v>
      </c>
      <c r="W38" s="1">
        <f t="shared" ref="W38:W87" ca="1" si="24">VLOOKUP($V38,$B$38:$D$87,3,FALSE)</f>
        <v>1766.7799757000016</v>
      </c>
      <c r="Y38" s="10" t="e">
        <f t="shared" si="14"/>
        <v>#N/A</v>
      </c>
      <c r="Z38" s="10" t="e">
        <f t="shared" si="2"/>
        <v>#N/A</v>
      </c>
      <c r="AA38" s="10" t="e">
        <f t="shared" si="3"/>
        <v>#N/A</v>
      </c>
      <c r="AB38" s="10" t="e">
        <f t="shared" si="4"/>
        <v>#N/A</v>
      </c>
      <c r="AC38" s="10" t="e">
        <f t="shared" si="5"/>
        <v>#N/A</v>
      </c>
      <c r="AE38" s="10" t="str">
        <f t="shared" si="15"/>
        <v/>
      </c>
      <c r="AF38" s="10" t="str">
        <f t="shared" si="6"/>
        <v/>
      </c>
      <c r="AG38" s="10" t="str">
        <f t="shared" si="7"/>
        <v/>
      </c>
      <c r="AH38" s="10" t="str">
        <f t="shared" si="8"/>
        <v/>
      </c>
      <c r="AI38" s="10" t="str">
        <f t="shared" si="9"/>
        <v/>
      </c>
      <c r="AK38" s="10"/>
      <c r="AL38" s="10"/>
      <c r="AM38" s="10"/>
      <c r="AN38" s="10"/>
      <c r="AO38" s="10"/>
      <c r="AQ38" s="10"/>
      <c r="AR38" s="10"/>
      <c r="AS38" s="10"/>
      <c r="AT38" s="10"/>
      <c r="AU38" s="10"/>
      <c r="AW38" s="10" t="str">
        <f t="shared" si="16"/>
        <v/>
      </c>
      <c r="AX38" s="10" t="str">
        <f t="shared" si="10"/>
        <v/>
      </c>
      <c r="AY38" s="10" t="str">
        <f t="shared" si="11"/>
        <v/>
      </c>
      <c r="AZ38" s="10" t="str">
        <f t="shared" si="12"/>
        <v/>
      </c>
      <c r="BA38" s="10" t="str">
        <f t="shared" si="13"/>
        <v/>
      </c>
    </row>
    <row r="39" spans="2:53" x14ac:dyDescent="0.2">
      <c r="B39" s="10" t="s">
        <v>76</v>
      </c>
      <c r="C39" s="15">
        <v>-1.2875906999999998</v>
      </c>
      <c r="D39" s="15">
        <v>637.61610289999817</v>
      </c>
      <c r="F39" s="10" t="str">
        <f t="shared" si="22"/>
        <v>2017/1/4</v>
      </c>
      <c r="G39" s="14">
        <v>42739</v>
      </c>
      <c r="H39" s="10">
        <v>6.104846199999999</v>
      </c>
      <c r="I39" s="10">
        <v>-2.9414005000000003</v>
      </c>
      <c r="J39" s="10">
        <v>3.1634457</v>
      </c>
      <c r="K39" s="10">
        <f t="shared" ref="K39:K102" si="25">IF($H39="","",K38+H39)</f>
        <v>13.500318099999999</v>
      </c>
      <c r="L39" s="10">
        <f t="shared" ref="L39:L102" si="26">IF($I39="","",L38+I39)</f>
        <v>-5.1106756999999998</v>
      </c>
      <c r="M39" s="10">
        <f t="shared" ref="M39:M102" si="27">IF($J39="","",M38+J39)</f>
        <v>8.3896424000000014</v>
      </c>
      <c r="N39" s="10">
        <v>1.3471620496354921</v>
      </c>
      <c r="O39" s="10">
        <v>1.2083487465181053</v>
      </c>
      <c r="P39" s="10">
        <v>2787.8787910000005</v>
      </c>
      <c r="Q39" s="15"/>
      <c r="R39" s="15">
        <f t="shared" ca="1" si="23"/>
        <v>2</v>
      </c>
      <c r="S39" s="1">
        <v>2</v>
      </c>
      <c r="V39" s="1" t="str">
        <f t="shared" ref="V39:V70" ca="1" si="28">INDEX(Attribute,MATCH($S39,OFFSET($R$38,0,0,$D$36),0))</f>
        <v>Fixed Income</v>
      </c>
      <c r="W39" s="1">
        <f t="shared" ca="1" si="24"/>
        <v>637.61610289999817</v>
      </c>
      <c r="Y39" s="10" t="e">
        <f t="shared" si="14"/>
        <v>#N/A</v>
      </c>
      <c r="Z39" s="10" t="e">
        <f t="shared" si="2"/>
        <v>#N/A</v>
      </c>
      <c r="AA39" s="10" t="e">
        <f t="shared" si="3"/>
        <v>#N/A</v>
      </c>
      <c r="AB39" s="10" t="e">
        <f t="shared" si="4"/>
        <v>#N/A</v>
      </c>
      <c r="AC39" s="10" t="e">
        <f t="shared" si="5"/>
        <v>#N/A</v>
      </c>
      <c r="AE39" s="10" t="str">
        <f t="shared" si="15"/>
        <v/>
      </c>
      <c r="AF39" s="10" t="str">
        <f t="shared" si="6"/>
        <v/>
      </c>
      <c r="AG39" s="10" t="str">
        <f t="shared" si="7"/>
        <v/>
      </c>
      <c r="AH39" s="10" t="str">
        <f t="shared" si="8"/>
        <v/>
      </c>
      <c r="AI39" s="10" t="str">
        <f t="shared" si="9"/>
        <v/>
      </c>
      <c r="AK39" s="10"/>
      <c r="AL39" s="10"/>
      <c r="AM39" s="10"/>
      <c r="AN39" s="10"/>
      <c r="AO39" s="10"/>
      <c r="AQ39" s="10"/>
      <c r="AR39" s="10"/>
      <c r="AS39" s="10"/>
      <c r="AT39" s="10"/>
      <c r="AU39" s="10"/>
      <c r="AW39" s="10" t="str">
        <f t="shared" si="16"/>
        <v/>
      </c>
      <c r="AX39" s="10" t="str">
        <f t="shared" si="10"/>
        <v/>
      </c>
      <c r="AY39" s="10" t="str">
        <f t="shared" si="11"/>
        <v/>
      </c>
      <c r="AZ39" s="10" t="str">
        <f t="shared" si="12"/>
        <v/>
      </c>
      <c r="BA39" s="10" t="str">
        <f t="shared" si="13"/>
        <v/>
      </c>
    </row>
    <row r="40" spans="2:53" x14ac:dyDescent="0.2">
      <c r="B40" s="10" t="s">
        <v>152</v>
      </c>
      <c r="C40" s="15">
        <v>-0.37012500000000004</v>
      </c>
      <c r="D40" s="15">
        <v>19.890980699999933</v>
      </c>
      <c r="F40" s="10" t="str">
        <f t="shared" si="22"/>
        <v>2017/1/5</v>
      </c>
      <c r="G40" s="14">
        <v>42740</v>
      </c>
      <c r="H40" s="10">
        <v>6.7187908999999992</v>
      </c>
      <c r="I40" s="10">
        <v>-3.5240322000000002</v>
      </c>
      <c r="J40" s="10">
        <v>3.1947587000000026</v>
      </c>
      <c r="K40" s="10">
        <f t="shared" si="25"/>
        <v>20.219109</v>
      </c>
      <c r="L40" s="10">
        <f t="shared" si="26"/>
        <v>-8.6347079000000004</v>
      </c>
      <c r="M40" s="10">
        <f t="shared" si="27"/>
        <v>11.584401100000004</v>
      </c>
      <c r="N40" s="10">
        <v>1.6721576342365472</v>
      </c>
      <c r="O40" s="10">
        <v>1.7157077994428971</v>
      </c>
      <c r="P40" s="10">
        <v>2811.7348576000013</v>
      </c>
      <c r="Q40" s="15"/>
      <c r="R40" s="15">
        <f t="shared" ca="1" si="23"/>
        <v>3</v>
      </c>
      <c r="S40" s="1">
        <v>3</v>
      </c>
      <c r="V40" s="1" t="str">
        <f t="shared" ca="1" si="28"/>
        <v>Commodity</v>
      </c>
      <c r="W40" s="1">
        <f t="shared" ca="1" si="24"/>
        <v>19.890980699999933</v>
      </c>
      <c r="Y40" s="10" t="e">
        <f t="shared" si="14"/>
        <v>#N/A</v>
      </c>
      <c r="Z40" s="10" t="e">
        <f t="shared" si="2"/>
        <v>#N/A</v>
      </c>
      <c r="AA40" s="10" t="e">
        <f t="shared" si="3"/>
        <v>#N/A</v>
      </c>
      <c r="AB40" s="10" t="e">
        <f t="shared" si="4"/>
        <v>#N/A</v>
      </c>
      <c r="AC40" s="10" t="e">
        <f t="shared" si="5"/>
        <v>#N/A</v>
      </c>
      <c r="AE40" s="10" t="str">
        <f t="shared" si="15"/>
        <v/>
      </c>
      <c r="AF40" s="10" t="str">
        <f t="shared" si="6"/>
        <v/>
      </c>
      <c r="AG40" s="10" t="str">
        <f t="shared" si="7"/>
        <v/>
      </c>
      <c r="AH40" s="10" t="str">
        <f t="shared" si="8"/>
        <v/>
      </c>
      <c r="AI40" s="10" t="str">
        <f t="shared" si="9"/>
        <v/>
      </c>
      <c r="AK40" s="10"/>
      <c r="AL40" s="10"/>
      <c r="AM40" s="10"/>
      <c r="AN40" s="10"/>
      <c r="AO40" s="10"/>
      <c r="AQ40" s="10"/>
      <c r="AR40" s="10"/>
      <c r="AS40" s="10"/>
      <c r="AT40" s="10"/>
      <c r="AU40" s="10"/>
      <c r="AW40" s="10" t="str">
        <f t="shared" si="16"/>
        <v/>
      </c>
      <c r="AX40" s="10" t="str">
        <f t="shared" si="10"/>
        <v/>
      </c>
      <c r="AY40" s="10" t="str">
        <f t="shared" si="11"/>
        <v/>
      </c>
      <c r="AZ40" s="10" t="str">
        <f t="shared" si="12"/>
        <v/>
      </c>
      <c r="BA40" s="10" t="str">
        <f t="shared" si="13"/>
        <v/>
      </c>
    </row>
    <row r="41" spans="2:53" x14ac:dyDescent="0.2">
      <c r="B41" s="10" t="s">
        <v>7506</v>
      </c>
      <c r="C41" s="15">
        <v>-0.3058208</v>
      </c>
      <c r="D41" s="15">
        <v>14.135949100000028</v>
      </c>
      <c r="F41" s="10" t="str">
        <f t="shared" si="22"/>
        <v>2017/1/6</v>
      </c>
      <c r="G41" s="14">
        <v>42741</v>
      </c>
      <c r="H41" s="10">
        <v>6.5718967000000017</v>
      </c>
      <c r="I41" s="10">
        <v>-4.5100286000000009</v>
      </c>
      <c r="J41" s="10">
        <v>2.0618681000000003</v>
      </c>
      <c r="K41" s="10">
        <f t="shared" si="25"/>
        <v>26.791005699999999</v>
      </c>
      <c r="L41" s="10">
        <f t="shared" si="26"/>
        <v>-13.1447365</v>
      </c>
      <c r="M41" s="10">
        <f t="shared" si="27"/>
        <v>13.646269200000004</v>
      </c>
      <c r="N41" s="10">
        <v>1.5504604243622666</v>
      </c>
      <c r="O41" s="10">
        <v>1.4691128133704734</v>
      </c>
      <c r="P41" s="10">
        <v>2823.5893995000001</v>
      </c>
      <c r="Q41" s="15"/>
      <c r="R41" s="15">
        <f t="shared" ca="1" si="23"/>
        <v>4</v>
      </c>
      <c r="S41" s="1">
        <v>4</v>
      </c>
      <c r="V41" s="1" t="str">
        <f t="shared" ca="1" si="28"/>
        <v>Money Market</v>
      </c>
      <c r="W41" s="1">
        <f t="shared" ca="1" si="24"/>
        <v>14.135949100000028</v>
      </c>
      <c r="Y41" s="10" t="e">
        <f t="shared" si="14"/>
        <v>#N/A</v>
      </c>
      <c r="Z41" s="10" t="e">
        <f t="shared" si="2"/>
        <v>#N/A</v>
      </c>
      <c r="AA41" s="10" t="e">
        <f t="shared" si="3"/>
        <v>#N/A</v>
      </c>
      <c r="AB41" s="10" t="e">
        <f t="shared" si="4"/>
        <v>#N/A</v>
      </c>
      <c r="AC41" s="10" t="e">
        <f t="shared" si="5"/>
        <v>#N/A</v>
      </c>
      <c r="AE41" s="10" t="str">
        <f t="shared" si="15"/>
        <v/>
      </c>
      <c r="AF41" s="10" t="str">
        <f t="shared" si="6"/>
        <v/>
      </c>
      <c r="AG41" s="10" t="str">
        <f t="shared" si="7"/>
        <v/>
      </c>
      <c r="AH41" s="10" t="str">
        <f t="shared" si="8"/>
        <v/>
      </c>
      <c r="AI41" s="10" t="str">
        <f t="shared" si="9"/>
        <v/>
      </c>
      <c r="AK41" s="10"/>
      <c r="AL41" s="10"/>
      <c r="AM41" s="10"/>
      <c r="AN41" s="10"/>
      <c r="AO41" s="10"/>
      <c r="AQ41" s="10"/>
      <c r="AR41" s="10"/>
      <c r="AS41" s="10"/>
      <c r="AT41" s="10"/>
      <c r="AU41" s="10"/>
      <c r="AW41" s="10" t="str">
        <f t="shared" si="16"/>
        <v/>
      </c>
      <c r="AX41" s="10" t="str">
        <f t="shared" si="10"/>
        <v/>
      </c>
      <c r="AY41" s="10" t="str">
        <f t="shared" si="11"/>
        <v/>
      </c>
      <c r="AZ41" s="10" t="str">
        <f t="shared" si="12"/>
        <v/>
      </c>
      <c r="BA41" s="10" t="str">
        <f t="shared" si="13"/>
        <v/>
      </c>
    </row>
    <row r="42" spans="2:53" x14ac:dyDescent="0.2">
      <c r="B42" s="10" t="s">
        <v>7930</v>
      </c>
      <c r="C42" s="15">
        <v>8.0306799999999998E-2</v>
      </c>
      <c r="D42" s="15">
        <v>1.3696248999999989</v>
      </c>
      <c r="F42" s="10" t="str">
        <f t="shared" si="22"/>
        <v>2017/1/9</v>
      </c>
      <c r="G42" s="14">
        <v>42744</v>
      </c>
      <c r="H42" s="10">
        <v>3.7423352000000003</v>
      </c>
      <c r="I42" s="10">
        <v>-3.1151375999999997</v>
      </c>
      <c r="J42" s="10">
        <v>0.62719760000000047</v>
      </c>
      <c r="K42" s="10">
        <f t="shared" si="25"/>
        <v>30.533340899999999</v>
      </c>
      <c r="L42" s="10">
        <f t="shared" si="26"/>
        <v>-16.259874100000001</v>
      </c>
      <c r="M42" s="10">
        <f t="shared" si="27"/>
        <v>14.273466800000005</v>
      </c>
      <c r="N42" s="10">
        <v>1.3404260891588553</v>
      </c>
      <c r="O42" s="10">
        <v>1.2985305013927579</v>
      </c>
      <c r="P42" s="10">
        <v>2822.4217741999992</v>
      </c>
      <c r="Q42" s="15"/>
      <c r="R42" s="15">
        <f t="shared" ca="1" si="23"/>
        <v>5</v>
      </c>
      <c r="S42" s="1">
        <v>5</v>
      </c>
      <c r="V42" s="1" t="str">
        <f t="shared" ca="1" si="28"/>
        <v>Specialty</v>
      </c>
      <c r="W42" s="1">
        <f t="shared" ca="1" si="24"/>
        <v>1.3696248999999989</v>
      </c>
      <c r="Y42" s="10" t="e">
        <f t="shared" si="14"/>
        <v>#N/A</v>
      </c>
      <c r="Z42" s="10" t="e">
        <f t="shared" si="2"/>
        <v>#N/A</v>
      </c>
      <c r="AA42" s="10" t="e">
        <f t="shared" si="3"/>
        <v>#N/A</v>
      </c>
      <c r="AB42" s="10" t="e">
        <f t="shared" si="4"/>
        <v>#N/A</v>
      </c>
      <c r="AC42" s="10" t="e">
        <f t="shared" si="5"/>
        <v>#N/A</v>
      </c>
      <c r="AE42" s="10" t="str">
        <f t="shared" si="15"/>
        <v/>
      </c>
      <c r="AF42" s="10" t="str">
        <f t="shared" si="6"/>
        <v/>
      </c>
      <c r="AG42" s="10" t="str">
        <f t="shared" si="7"/>
        <v/>
      </c>
      <c r="AH42" s="10" t="str">
        <f t="shared" si="8"/>
        <v/>
      </c>
      <c r="AI42" s="10" t="str">
        <f t="shared" si="9"/>
        <v/>
      </c>
      <c r="AK42" s="10"/>
      <c r="AL42" s="10"/>
      <c r="AM42" s="10"/>
      <c r="AN42" s="10"/>
      <c r="AO42" s="10"/>
      <c r="AQ42" s="10"/>
      <c r="AR42" s="10"/>
      <c r="AS42" s="10"/>
      <c r="AT42" s="10"/>
      <c r="AU42" s="10"/>
      <c r="AW42" s="10" t="str">
        <f t="shared" si="16"/>
        <v/>
      </c>
      <c r="AX42" s="10" t="str">
        <f t="shared" si="10"/>
        <v/>
      </c>
      <c r="AY42" s="10" t="str">
        <f t="shared" si="11"/>
        <v/>
      </c>
      <c r="AZ42" s="10" t="str">
        <f t="shared" si="12"/>
        <v/>
      </c>
      <c r="BA42" s="10" t="str">
        <f t="shared" si="13"/>
        <v/>
      </c>
    </row>
    <row r="43" spans="2:53" x14ac:dyDescent="0.2">
      <c r="B43" s="10"/>
      <c r="C43" s="15"/>
      <c r="D43" s="15"/>
      <c r="F43" s="10" t="str">
        <f t="shared" si="22"/>
        <v>2017/1/10</v>
      </c>
      <c r="G43" s="14">
        <v>42745</v>
      </c>
      <c r="H43" s="10">
        <v>5.0283491000000016</v>
      </c>
      <c r="I43" s="10">
        <v>-2.7830187000000004</v>
      </c>
      <c r="J43" s="10">
        <v>2.2453304000000003</v>
      </c>
      <c r="K43" s="10">
        <f t="shared" si="25"/>
        <v>35.561689999999999</v>
      </c>
      <c r="L43" s="10">
        <f t="shared" si="26"/>
        <v>-19.042892800000001</v>
      </c>
      <c r="M43" s="10">
        <f t="shared" si="27"/>
        <v>16.518797200000005</v>
      </c>
      <c r="N43" s="10">
        <v>1.44600969741618</v>
      </c>
      <c r="O43" s="10">
        <v>1.3879933147632313</v>
      </c>
      <c r="P43" s="10">
        <v>2817.4142533500008</v>
      </c>
      <c r="Q43" s="15"/>
      <c r="R43" s="15" t="e">
        <f t="shared" ca="1" si="23"/>
        <v>#N/A</v>
      </c>
      <c r="S43" s="1">
        <v>6</v>
      </c>
      <c r="V43" s="1" t="e">
        <f t="shared" ca="1" si="28"/>
        <v>#N/A</v>
      </c>
      <c r="W43" s="1" t="e">
        <f t="shared" ca="1" si="24"/>
        <v>#N/A</v>
      </c>
      <c r="Y43" s="10" t="e">
        <f t="shared" si="14"/>
        <v>#N/A</v>
      </c>
      <c r="Z43" s="10" t="e">
        <f t="shared" si="2"/>
        <v>#N/A</v>
      </c>
      <c r="AA43" s="10" t="e">
        <f t="shared" si="3"/>
        <v>#N/A</v>
      </c>
      <c r="AB43" s="10" t="e">
        <f t="shared" si="4"/>
        <v>#N/A</v>
      </c>
      <c r="AC43" s="10" t="e">
        <f t="shared" si="5"/>
        <v>#N/A</v>
      </c>
      <c r="AE43" s="10" t="str">
        <f t="shared" si="15"/>
        <v/>
      </c>
      <c r="AF43" s="10" t="str">
        <f t="shared" si="6"/>
        <v/>
      </c>
      <c r="AG43" s="10" t="str">
        <f t="shared" si="7"/>
        <v/>
      </c>
      <c r="AH43" s="10" t="str">
        <f t="shared" si="8"/>
        <v/>
      </c>
      <c r="AI43" s="10" t="str">
        <f t="shared" si="9"/>
        <v/>
      </c>
      <c r="AK43" s="10"/>
      <c r="AL43" s="10"/>
      <c r="AM43" s="10"/>
      <c r="AN43" s="10"/>
      <c r="AO43" s="10"/>
      <c r="AQ43" s="10"/>
      <c r="AR43" s="10"/>
      <c r="AS43" s="10"/>
      <c r="AT43" s="10"/>
      <c r="AU43" s="10"/>
      <c r="AW43" s="10" t="str">
        <f t="shared" si="16"/>
        <v/>
      </c>
      <c r="AX43" s="10" t="str">
        <f t="shared" si="10"/>
        <v/>
      </c>
      <c r="AY43" s="10" t="str">
        <f t="shared" si="11"/>
        <v/>
      </c>
      <c r="AZ43" s="10" t="str">
        <f t="shared" si="12"/>
        <v/>
      </c>
      <c r="BA43" s="10" t="str">
        <f t="shared" si="13"/>
        <v/>
      </c>
    </row>
    <row r="44" spans="2:53" x14ac:dyDescent="0.2">
      <c r="B44" s="10"/>
      <c r="C44" s="15"/>
      <c r="D44" s="15"/>
      <c r="F44" s="10" t="str">
        <f t="shared" si="22"/>
        <v>2017/1/11</v>
      </c>
      <c r="G44" s="14">
        <v>42746</v>
      </c>
      <c r="H44" s="10">
        <v>3.8677735999999996</v>
      </c>
      <c r="I44" s="10">
        <v>-5.7534029999999996</v>
      </c>
      <c r="J44" s="10">
        <v>-1.8856293999999996</v>
      </c>
      <c r="K44" s="10">
        <f t="shared" si="25"/>
        <v>39.429463599999998</v>
      </c>
      <c r="L44" s="10">
        <f t="shared" si="26"/>
        <v>-24.796295799999999</v>
      </c>
      <c r="M44" s="10">
        <f t="shared" si="27"/>
        <v>14.633167800000006</v>
      </c>
      <c r="N44" s="10">
        <v>1.7677764758187711</v>
      </c>
      <c r="O44" s="10">
        <v>1.6590108635097487</v>
      </c>
      <c r="P44" s="10">
        <v>2822.1716878000007</v>
      </c>
      <c r="Q44" s="15"/>
      <c r="R44" s="15" t="e">
        <f t="shared" ca="1" si="23"/>
        <v>#N/A</v>
      </c>
      <c r="S44" s="1">
        <v>7</v>
      </c>
      <c r="V44" s="1" t="e">
        <f t="shared" ca="1" si="28"/>
        <v>#N/A</v>
      </c>
      <c r="W44" s="1" t="e">
        <f t="shared" ca="1" si="24"/>
        <v>#N/A</v>
      </c>
      <c r="Y44" s="10" t="e">
        <f t="shared" si="14"/>
        <v>#N/A</v>
      </c>
      <c r="Z44" s="10" t="e">
        <f t="shared" si="2"/>
        <v>#N/A</v>
      </c>
      <c r="AA44" s="10" t="e">
        <f t="shared" si="3"/>
        <v>#N/A</v>
      </c>
      <c r="AB44" s="10" t="e">
        <f t="shared" si="4"/>
        <v>#N/A</v>
      </c>
      <c r="AC44" s="10" t="e">
        <f t="shared" si="5"/>
        <v>#N/A</v>
      </c>
      <c r="AE44" s="10" t="str">
        <f t="shared" si="15"/>
        <v/>
      </c>
      <c r="AF44" s="10" t="str">
        <f t="shared" si="6"/>
        <v/>
      </c>
      <c r="AG44" s="10" t="str">
        <f t="shared" si="7"/>
        <v/>
      </c>
      <c r="AH44" s="10" t="str">
        <f t="shared" si="8"/>
        <v/>
      </c>
      <c r="AI44" s="10" t="str">
        <f t="shared" si="9"/>
        <v/>
      </c>
      <c r="AK44" s="10"/>
      <c r="AL44" s="10"/>
      <c r="AM44" s="10"/>
      <c r="AN44" s="10"/>
      <c r="AO44" s="10"/>
      <c r="AQ44" s="10"/>
      <c r="AR44" s="10"/>
      <c r="AS44" s="10"/>
      <c r="AT44" s="10"/>
      <c r="AU44" s="10"/>
      <c r="AW44" s="10" t="str">
        <f t="shared" si="16"/>
        <v/>
      </c>
      <c r="AX44" s="10" t="str">
        <f t="shared" si="10"/>
        <v/>
      </c>
      <c r="AY44" s="10" t="str">
        <f t="shared" si="11"/>
        <v/>
      </c>
      <c r="AZ44" s="10" t="str">
        <f t="shared" si="12"/>
        <v/>
      </c>
      <c r="BA44" s="10" t="str">
        <f t="shared" si="13"/>
        <v/>
      </c>
    </row>
    <row r="45" spans="2:53" x14ac:dyDescent="0.2">
      <c r="B45" s="10"/>
      <c r="C45" s="15"/>
      <c r="D45" s="15"/>
      <c r="F45" s="10" t="str">
        <f t="shared" si="22"/>
        <v>2017/1/12</v>
      </c>
      <c r="G45" s="14">
        <v>42747</v>
      </c>
      <c r="H45" s="10">
        <v>7.0772288000000012</v>
      </c>
      <c r="I45" s="10">
        <v>-3.1103752</v>
      </c>
      <c r="J45" s="10">
        <v>3.9668536000000003</v>
      </c>
      <c r="K45" s="10">
        <f t="shared" si="25"/>
        <v>46.506692399999999</v>
      </c>
      <c r="L45" s="10">
        <f t="shared" si="26"/>
        <v>-27.906670999999999</v>
      </c>
      <c r="M45" s="10">
        <f t="shared" si="27"/>
        <v>18.600021400000006</v>
      </c>
      <c r="N45" s="10">
        <v>1.701485735009153</v>
      </c>
      <c r="O45" s="10">
        <v>1.7039766016713094</v>
      </c>
      <c r="P45" s="10">
        <v>2829.1718009000001</v>
      </c>
      <c r="Q45" s="15"/>
      <c r="R45" s="15" t="e">
        <f t="shared" ca="1" si="23"/>
        <v>#N/A</v>
      </c>
      <c r="S45" s="1">
        <v>8</v>
      </c>
      <c r="V45" s="1" t="e">
        <f t="shared" ca="1" si="28"/>
        <v>#N/A</v>
      </c>
      <c r="W45" s="1" t="e">
        <f t="shared" ca="1" si="24"/>
        <v>#N/A</v>
      </c>
      <c r="Y45" s="10" t="e">
        <f t="shared" si="14"/>
        <v>#N/A</v>
      </c>
      <c r="Z45" s="10" t="e">
        <f t="shared" si="2"/>
        <v>#N/A</v>
      </c>
      <c r="AA45" s="10" t="e">
        <f t="shared" si="3"/>
        <v>#N/A</v>
      </c>
      <c r="AB45" s="10" t="e">
        <f t="shared" si="4"/>
        <v>#N/A</v>
      </c>
      <c r="AC45" s="10" t="e">
        <f t="shared" si="5"/>
        <v>#N/A</v>
      </c>
      <c r="AE45" s="10" t="str">
        <f t="shared" si="15"/>
        <v/>
      </c>
      <c r="AF45" s="10" t="str">
        <f t="shared" si="6"/>
        <v/>
      </c>
      <c r="AG45" s="10" t="str">
        <f t="shared" si="7"/>
        <v/>
      </c>
      <c r="AH45" s="10" t="str">
        <f t="shared" si="8"/>
        <v/>
      </c>
      <c r="AI45" s="10" t="str">
        <f t="shared" si="9"/>
        <v/>
      </c>
      <c r="AK45" s="10"/>
      <c r="AL45" s="10"/>
      <c r="AM45" s="10"/>
      <c r="AN45" s="10"/>
      <c r="AO45" s="10"/>
      <c r="AQ45" s="10"/>
      <c r="AR45" s="10"/>
      <c r="AS45" s="10"/>
      <c r="AT45" s="10"/>
      <c r="AU45" s="10"/>
      <c r="AW45" s="10" t="str">
        <f t="shared" si="16"/>
        <v/>
      </c>
      <c r="AX45" s="10" t="str">
        <f t="shared" si="10"/>
        <v/>
      </c>
      <c r="AY45" s="10" t="str">
        <f t="shared" si="11"/>
        <v/>
      </c>
      <c r="AZ45" s="10" t="str">
        <f t="shared" si="12"/>
        <v/>
      </c>
      <c r="BA45" s="10" t="str">
        <f t="shared" si="13"/>
        <v/>
      </c>
    </row>
    <row r="46" spans="2:53" x14ac:dyDescent="0.2">
      <c r="B46" s="10"/>
      <c r="C46" s="15"/>
      <c r="D46" s="15"/>
      <c r="F46" s="10" t="str">
        <f t="shared" si="22"/>
        <v>2017/1/13</v>
      </c>
      <c r="G46" s="14">
        <v>42748</v>
      </c>
      <c r="H46" s="10">
        <v>4.2428512999999999</v>
      </c>
      <c r="I46" s="10">
        <v>-4.9362997999999996</v>
      </c>
      <c r="J46" s="10">
        <v>-0.69344849999999991</v>
      </c>
      <c r="K46" s="10">
        <f t="shared" si="25"/>
        <v>50.749543699999997</v>
      </c>
      <c r="L46" s="10">
        <f t="shared" si="26"/>
        <v>-32.842970799999996</v>
      </c>
      <c r="M46" s="10">
        <f t="shared" si="27"/>
        <v>17.906572900000008</v>
      </c>
      <c r="N46" s="10">
        <v>1.9101857053301732</v>
      </c>
      <c r="O46" s="10">
        <v>1.8922777158774369</v>
      </c>
      <c r="P46" s="10">
        <v>2830.8407660999992</v>
      </c>
      <c r="Q46" s="15"/>
      <c r="R46" s="15" t="e">
        <f t="shared" ca="1" si="23"/>
        <v>#N/A</v>
      </c>
      <c r="S46" s="1">
        <v>9</v>
      </c>
      <c r="V46" s="1" t="e">
        <f t="shared" ca="1" si="28"/>
        <v>#N/A</v>
      </c>
      <c r="W46" s="1" t="e">
        <f t="shared" ca="1" si="24"/>
        <v>#N/A</v>
      </c>
      <c r="Y46" s="10" t="e">
        <f t="shared" si="14"/>
        <v>#N/A</v>
      </c>
      <c r="Z46" s="10" t="e">
        <f t="shared" si="2"/>
        <v>#N/A</v>
      </c>
      <c r="AA46" s="10" t="e">
        <f t="shared" si="3"/>
        <v>#N/A</v>
      </c>
      <c r="AB46" s="10" t="e">
        <f t="shared" si="4"/>
        <v>#N/A</v>
      </c>
      <c r="AC46" s="10" t="e">
        <f t="shared" si="5"/>
        <v>#N/A</v>
      </c>
      <c r="AE46" s="10" t="str">
        <f t="shared" si="15"/>
        <v/>
      </c>
      <c r="AF46" s="10" t="str">
        <f t="shared" si="6"/>
        <v/>
      </c>
      <c r="AG46" s="10" t="str">
        <f t="shared" si="7"/>
        <v/>
      </c>
      <c r="AH46" s="10" t="str">
        <f t="shared" si="8"/>
        <v/>
      </c>
      <c r="AI46" s="10" t="str">
        <f t="shared" si="9"/>
        <v/>
      </c>
      <c r="AK46" s="10"/>
      <c r="AL46" s="10"/>
      <c r="AM46" s="10"/>
      <c r="AN46" s="10"/>
      <c r="AO46" s="10"/>
      <c r="AQ46" s="10"/>
      <c r="AR46" s="10"/>
      <c r="AS46" s="10"/>
      <c r="AT46" s="10"/>
      <c r="AU46" s="10"/>
      <c r="AW46" s="10" t="str">
        <f t="shared" si="16"/>
        <v/>
      </c>
      <c r="AX46" s="10" t="str">
        <f t="shared" si="10"/>
        <v/>
      </c>
      <c r="AY46" s="10" t="str">
        <f t="shared" si="11"/>
        <v/>
      </c>
      <c r="AZ46" s="10" t="str">
        <f t="shared" si="12"/>
        <v/>
      </c>
      <c r="BA46" s="10" t="str">
        <f t="shared" si="13"/>
        <v/>
      </c>
    </row>
    <row r="47" spans="2:53" x14ac:dyDescent="0.2">
      <c r="B47" s="10"/>
      <c r="C47" s="15"/>
      <c r="D47" s="15"/>
      <c r="F47" s="10" t="str">
        <f t="shared" si="22"/>
        <v>2017/1/16</v>
      </c>
      <c r="G47" s="14">
        <v>42751</v>
      </c>
      <c r="H47" s="10">
        <v>0.60284499999999996</v>
      </c>
      <c r="I47" s="10">
        <v>-0.31558120000000001</v>
      </c>
      <c r="J47" s="10">
        <v>0.28726380000000001</v>
      </c>
      <c r="K47" s="10">
        <f t="shared" si="25"/>
        <v>51.352388699999999</v>
      </c>
      <c r="L47" s="10">
        <f t="shared" si="26"/>
        <v>-33.158551999999993</v>
      </c>
      <c r="M47" s="10">
        <f t="shared" si="27"/>
        <v>18.193836700000009</v>
      </c>
      <c r="N47" s="10">
        <v>1.7445850435623451</v>
      </c>
      <c r="O47" s="10">
        <v>1.7156685236768803</v>
      </c>
      <c r="P47" s="10">
        <v>2834.9040265999997</v>
      </c>
      <c r="Q47" s="15"/>
      <c r="R47" s="15" t="e">
        <f t="shared" ca="1" si="23"/>
        <v>#N/A</v>
      </c>
      <c r="S47" s="1">
        <v>10</v>
      </c>
      <c r="V47" s="1" t="e">
        <f t="shared" ca="1" si="28"/>
        <v>#N/A</v>
      </c>
      <c r="W47" s="1" t="e">
        <f t="shared" ca="1" si="24"/>
        <v>#N/A</v>
      </c>
      <c r="Y47" s="10" t="e">
        <f t="shared" si="14"/>
        <v>#N/A</v>
      </c>
      <c r="Z47" s="10" t="e">
        <f t="shared" si="2"/>
        <v>#N/A</v>
      </c>
      <c r="AA47" s="10" t="e">
        <f t="shared" si="3"/>
        <v>#N/A</v>
      </c>
      <c r="AB47" s="10" t="e">
        <f t="shared" si="4"/>
        <v>#N/A</v>
      </c>
      <c r="AC47" s="10" t="e">
        <f t="shared" si="5"/>
        <v>#N/A</v>
      </c>
      <c r="AE47" s="10" t="str">
        <f t="shared" si="15"/>
        <v/>
      </c>
      <c r="AF47" s="10" t="str">
        <f t="shared" si="6"/>
        <v/>
      </c>
      <c r="AG47" s="10" t="str">
        <f t="shared" si="7"/>
        <v/>
      </c>
      <c r="AH47" s="10" t="str">
        <f t="shared" si="8"/>
        <v/>
      </c>
      <c r="AI47" s="10" t="str">
        <f t="shared" si="9"/>
        <v/>
      </c>
      <c r="AK47" s="10"/>
      <c r="AL47" s="10"/>
      <c r="AM47" s="10"/>
      <c r="AN47" s="10"/>
      <c r="AO47" s="10"/>
      <c r="AQ47" s="10"/>
      <c r="AR47" s="10"/>
      <c r="AS47" s="10"/>
      <c r="AT47" s="10"/>
      <c r="AU47" s="10"/>
      <c r="AW47" s="10" t="str">
        <f t="shared" si="16"/>
        <v/>
      </c>
      <c r="AX47" s="10" t="str">
        <f t="shared" si="10"/>
        <v/>
      </c>
      <c r="AY47" s="10" t="str">
        <f t="shared" si="11"/>
        <v/>
      </c>
      <c r="AZ47" s="10" t="str">
        <f t="shared" si="12"/>
        <v/>
      </c>
      <c r="BA47" s="10" t="str">
        <f t="shared" si="13"/>
        <v/>
      </c>
    </row>
    <row r="48" spans="2:53" x14ac:dyDescent="0.2">
      <c r="B48" s="10"/>
      <c r="C48" s="15"/>
      <c r="D48" s="15"/>
      <c r="F48" s="10" t="str">
        <f t="shared" si="22"/>
        <v>2017/1/17</v>
      </c>
      <c r="G48" s="14">
        <v>42752</v>
      </c>
      <c r="H48" s="10">
        <v>4.5151097000000009</v>
      </c>
      <c r="I48" s="10">
        <v>-2.7722471</v>
      </c>
      <c r="J48" s="10">
        <v>1.7428626</v>
      </c>
      <c r="K48" s="10">
        <f t="shared" si="25"/>
        <v>55.867498400000002</v>
      </c>
      <c r="L48" s="10">
        <f t="shared" si="26"/>
        <v>-35.930799099999994</v>
      </c>
      <c r="M48" s="10">
        <f t="shared" si="27"/>
        <v>19.936699300000008</v>
      </c>
      <c r="N48" s="10">
        <v>1.7047823785322009</v>
      </c>
      <c r="O48" s="10">
        <v>1.8447927576601675</v>
      </c>
      <c r="P48" s="10">
        <v>2831.7498762999994</v>
      </c>
      <c r="Q48" s="15"/>
      <c r="R48" s="15" t="e">
        <f t="shared" ca="1" si="23"/>
        <v>#N/A</v>
      </c>
      <c r="S48" s="1">
        <v>11</v>
      </c>
      <c r="V48" s="1" t="e">
        <f t="shared" ca="1" si="28"/>
        <v>#N/A</v>
      </c>
      <c r="W48" s="1" t="e">
        <f t="shared" ca="1" si="24"/>
        <v>#N/A</v>
      </c>
      <c r="Y48" s="10" t="e">
        <f t="shared" si="14"/>
        <v>#N/A</v>
      </c>
      <c r="Z48" s="10" t="e">
        <f t="shared" si="2"/>
        <v>#N/A</v>
      </c>
      <c r="AA48" s="10" t="e">
        <f t="shared" si="3"/>
        <v>#N/A</v>
      </c>
      <c r="AB48" s="10" t="e">
        <f t="shared" si="4"/>
        <v>#N/A</v>
      </c>
      <c r="AC48" s="10" t="e">
        <f t="shared" si="5"/>
        <v>#N/A</v>
      </c>
      <c r="AE48" s="10" t="str">
        <f t="shared" si="15"/>
        <v/>
      </c>
      <c r="AF48" s="10" t="str">
        <f t="shared" si="6"/>
        <v/>
      </c>
      <c r="AG48" s="10" t="str">
        <f t="shared" si="7"/>
        <v/>
      </c>
      <c r="AH48" s="10" t="str">
        <f t="shared" si="8"/>
        <v/>
      </c>
      <c r="AI48" s="10" t="str">
        <f t="shared" si="9"/>
        <v/>
      </c>
      <c r="AK48" s="10"/>
      <c r="AL48" s="10"/>
      <c r="AM48" s="10"/>
      <c r="AN48" s="10"/>
      <c r="AO48" s="10"/>
      <c r="AQ48" s="10"/>
      <c r="AR48" s="10"/>
      <c r="AS48" s="10"/>
      <c r="AT48" s="10"/>
      <c r="AU48" s="10"/>
      <c r="AW48" s="10" t="str">
        <f t="shared" si="16"/>
        <v/>
      </c>
      <c r="AX48" s="10" t="str">
        <f t="shared" si="10"/>
        <v/>
      </c>
      <c r="AY48" s="10" t="str">
        <f t="shared" si="11"/>
        <v/>
      </c>
      <c r="AZ48" s="10" t="str">
        <f t="shared" si="12"/>
        <v/>
      </c>
      <c r="BA48" s="10" t="str">
        <f t="shared" si="13"/>
        <v/>
      </c>
    </row>
    <row r="49" spans="2:53" x14ac:dyDescent="0.2">
      <c r="B49" s="10"/>
      <c r="C49" s="15"/>
      <c r="D49" s="15"/>
      <c r="F49" s="10" t="str">
        <f t="shared" si="22"/>
        <v>2017/1/18</v>
      </c>
      <c r="G49" s="14">
        <v>42753</v>
      </c>
      <c r="H49" s="10">
        <v>4.8728163999999996</v>
      </c>
      <c r="I49" s="10">
        <v>-2.5182929000000001</v>
      </c>
      <c r="J49" s="10">
        <v>2.3545235000000004</v>
      </c>
      <c r="K49" s="10">
        <f t="shared" si="25"/>
        <v>60.7403148</v>
      </c>
      <c r="L49" s="10">
        <f t="shared" si="26"/>
        <v>-38.449091999999993</v>
      </c>
      <c r="M49" s="10">
        <f t="shared" si="27"/>
        <v>22.291222800000007</v>
      </c>
      <c r="N49" s="10">
        <v>1.6944307450048925</v>
      </c>
      <c r="O49" s="10">
        <v>1.7761729805013924</v>
      </c>
      <c r="P49" s="10">
        <v>2831.9810718000003</v>
      </c>
      <c r="Q49" s="15"/>
      <c r="R49" s="15" t="e">
        <f t="shared" ca="1" si="23"/>
        <v>#N/A</v>
      </c>
      <c r="S49" s="1">
        <v>12</v>
      </c>
      <c r="V49" s="1" t="e">
        <f t="shared" ca="1" si="28"/>
        <v>#N/A</v>
      </c>
      <c r="W49" s="1" t="e">
        <f t="shared" ca="1" si="24"/>
        <v>#N/A</v>
      </c>
      <c r="Y49" s="10" t="e">
        <f t="shared" si="14"/>
        <v>#N/A</v>
      </c>
      <c r="Z49" s="10" t="e">
        <f t="shared" si="2"/>
        <v>#N/A</v>
      </c>
      <c r="AA49" s="10" t="e">
        <f t="shared" si="3"/>
        <v>#N/A</v>
      </c>
      <c r="AB49" s="10" t="e">
        <f t="shared" si="4"/>
        <v>#N/A</v>
      </c>
      <c r="AC49" s="10" t="e">
        <f t="shared" si="5"/>
        <v>#N/A</v>
      </c>
      <c r="AE49" s="10" t="str">
        <f t="shared" si="15"/>
        <v/>
      </c>
      <c r="AF49" s="10" t="str">
        <f t="shared" si="6"/>
        <v/>
      </c>
      <c r="AG49" s="10" t="str">
        <f t="shared" si="7"/>
        <v/>
      </c>
      <c r="AH49" s="10" t="str">
        <f t="shared" si="8"/>
        <v/>
      </c>
      <c r="AI49" s="10" t="str">
        <f t="shared" si="9"/>
        <v/>
      </c>
      <c r="AK49" s="10"/>
      <c r="AL49" s="10"/>
      <c r="AM49" s="10"/>
      <c r="AN49" s="10"/>
      <c r="AO49" s="10"/>
      <c r="AQ49" s="10"/>
      <c r="AR49" s="10"/>
      <c r="AS49" s="10"/>
      <c r="AT49" s="10"/>
      <c r="AU49" s="10"/>
      <c r="AW49" s="10" t="str">
        <f t="shared" si="16"/>
        <v/>
      </c>
      <c r="AX49" s="10" t="str">
        <f t="shared" si="10"/>
        <v/>
      </c>
      <c r="AY49" s="10" t="str">
        <f t="shared" si="11"/>
        <v/>
      </c>
      <c r="AZ49" s="10" t="str">
        <f t="shared" si="12"/>
        <v/>
      </c>
      <c r="BA49" s="10" t="str">
        <f t="shared" si="13"/>
        <v/>
      </c>
    </row>
    <row r="50" spans="2:53" x14ac:dyDescent="0.2">
      <c r="B50" s="10"/>
      <c r="C50" s="15"/>
      <c r="D50" s="15"/>
      <c r="F50" s="10" t="str">
        <f t="shared" si="22"/>
        <v>2017/1/19</v>
      </c>
      <c r="G50" s="14">
        <v>42754</v>
      </c>
      <c r="H50" s="10">
        <v>4.1816952000000001</v>
      </c>
      <c r="I50" s="10">
        <v>-4.4979984000000002</v>
      </c>
      <c r="J50" s="10">
        <v>-0.3163031999999999</v>
      </c>
      <c r="K50" s="10">
        <f t="shared" si="25"/>
        <v>64.92201</v>
      </c>
      <c r="L50" s="10">
        <f t="shared" si="26"/>
        <v>-42.947090399999993</v>
      </c>
      <c r="M50" s="10">
        <f t="shared" si="27"/>
        <v>21.974919600000007</v>
      </c>
      <c r="N50" s="10">
        <v>1.2676431114826627</v>
      </c>
      <c r="O50" s="10">
        <v>1.3240467966573821</v>
      </c>
      <c r="P50" s="10">
        <v>2834.2635450999996</v>
      </c>
      <c r="Q50" s="15"/>
      <c r="R50" s="15" t="e">
        <f t="shared" ca="1" si="23"/>
        <v>#N/A</v>
      </c>
      <c r="S50" s="1">
        <v>13</v>
      </c>
      <c r="V50" s="1" t="e">
        <f t="shared" ca="1" si="28"/>
        <v>#N/A</v>
      </c>
      <c r="W50" s="1" t="e">
        <f t="shared" ca="1" si="24"/>
        <v>#N/A</v>
      </c>
      <c r="Y50" s="10" t="e">
        <f t="shared" si="14"/>
        <v>#N/A</v>
      </c>
      <c r="Z50" s="10" t="e">
        <f t="shared" si="2"/>
        <v>#N/A</v>
      </c>
      <c r="AA50" s="10" t="e">
        <f t="shared" si="3"/>
        <v>#N/A</v>
      </c>
      <c r="AB50" s="10" t="e">
        <f t="shared" si="4"/>
        <v>#N/A</v>
      </c>
      <c r="AC50" s="10" t="e">
        <f t="shared" si="5"/>
        <v>#N/A</v>
      </c>
      <c r="AE50" s="10" t="str">
        <f t="shared" si="15"/>
        <v/>
      </c>
      <c r="AF50" s="10" t="str">
        <f t="shared" si="6"/>
        <v/>
      </c>
      <c r="AG50" s="10" t="str">
        <f t="shared" si="7"/>
        <v/>
      </c>
      <c r="AH50" s="10" t="str">
        <f t="shared" si="8"/>
        <v/>
      </c>
      <c r="AI50" s="10" t="str">
        <f t="shared" si="9"/>
        <v/>
      </c>
      <c r="AK50" s="10"/>
      <c r="AL50" s="10"/>
      <c r="AM50" s="10"/>
      <c r="AN50" s="10"/>
      <c r="AO50" s="10"/>
      <c r="AQ50" s="10"/>
      <c r="AR50" s="10"/>
      <c r="AS50" s="10"/>
      <c r="AT50" s="10"/>
      <c r="AU50" s="10"/>
      <c r="AW50" s="10" t="str">
        <f t="shared" si="16"/>
        <v/>
      </c>
      <c r="AX50" s="10" t="str">
        <f t="shared" si="10"/>
        <v/>
      </c>
      <c r="AY50" s="10" t="str">
        <f t="shared" si="11"/>
        <v/>
      </c>
      <c r="AZ50" s="10" t="str">
        <f t="shared" si="12"/>
        <v/>
      </c>
      <c r="BA50" s="10" t="str">
        <f t="shared" si="13"/>
        <v/>
      </c>
    </row>
    <row r="51" spans="2:53" x14ac:dyDescent="0.2">
      <c r="B51" s="10"/>
      <c r="C51" s="15"/>
      <c r="D51" s="15"/>
      <c r="F51" s="10" t="str">
        <f t="shared" si="22"/>
        <v>2017/1/20</v>
      </c>
      <c r="G51" s="14">
        <v>42755</v>
      </c>
      <c r="H51" s="10">
        <v>3.4414361000000002</v>
      </c>
      <c r="I51" s="10">
        <v>-7.9852770999999976</v>
      </c>
      <c r="J51" s="10">
        <v>-4.5438409999999996</v>
      </c>
      <c r="K51" s="10">
        <f t="shared" si="25"/>
        <v>68.363446100000004</v>
      </c>
      <c r="L51" s="10">
        <f t="shared" si="26"/>
        <v>-50.932367499999991</v>
      </c>
      <c r="M51" s="10">
        <f t="shared" si="27"/>
        <v>17.431078600000006</v>
      </c>
      <c r="N51" s="10">
        <v>1.6394702883067491</v>
      </c>
      <c r="O51" s="10">
        <v>1.6891309192200556</v>
      </c>
      <c r="P51" s="10">
        <v>2822.0090951999996</v>
      </c>
      <c r="Q51" s="15"/>
      <c r="R51" s="15" t="e">
        <f t="shared" ca="1" si="23"/>
        <v>#N/A</v>
      </c>
      <c r="S51" s="1">
        <v>14</v>
      </c>
      <c r="V51" s="1" t="e">
        <f t="shared" ca="1" si="28"/>
        <v>#N/A</v>
      </c>
      <c r="W51" s="1" t="e">
        <f t="shared" ca="1" si="24"/>
        <v>#N/A</v>
      </c>
      <c r="Y51" s="10" t="e">
        <f t="shared" si="14"/>
        <v>#N/A</v>
      </c>
      <c r="Z51" s="10" t="e">
        <f t="shared" si="2"/>
        <v>#N/A</v>
      </c>
      <c r="AA51" s="10" t="e">
        <f t="shared" si="3"/>
        <v>#N/A</v>
      </c>
      <c r="AB51" s="10" t="e">
        <f t="shared" si="4"/>
        <v>#N/A</v>
      </c>
      <c r="AC51" s="10" t="e">
        <f t="shared" si="5"/>
        <v>#N/A</v>
      </c>
      <c r="AE51" s="10" t="str">
        <f t="shared" si="15"/>
        <v/>
      </c>
      <c r="AF51" s="10" t="str">
        <f t="shared" si="6"/>
        <v/>
      </c>
      <c r="AG51" s="10" t="str">
        <f t="shared" si="7"/>
        <v/>
      </c>
      <c r="AH51" s="10" t="str">
        <f t="shared" si="8"/>
        <v/>
      </c>
      <c r="AI51" s="10" t="str">
        <f t="shared" si="9"/>
        <v/>
      </c>
      <c r="AK51" s="10"/>
      <c r="AL51" s="10"/>
      <c r="AM51" s="10"/>
      <c r="AN51" s="10"/>
      <c r="AO51" s="10"/>
      <c r="AQ51" s="10"/>
      <c r="AR51" s="10"/>
      <c r="AS51" s="10"/>
      <c r="AT51" s="10"/>
      <c r="AU51" s="10"/>
      <c r="AW51" s="10" t="str">
        <f t="shared" si="16"/>
        <v/>
      </c>
      <c r="AX51" s="10" t="str">
        <f t="shared" si="10"/>
        <v/>
      </c>
      <c r="AY51" s="10" t="str">
        <f t="shared" si="11"/>
        <v/>
      </c>
      <c r="AZ51" s="10" t="str">
        <f t="shared" si="12"/>
        <v/>
      </c>
      <c r="BA51" s="10" t="str">
        <f t="shared" si="13"/>
        <v/>
      </c>
    </row>
    <row r="52" spans="2:53" x14ac:dyDescent="0.2">
      <c r="B52" s="10"/>
      <c r="C52" s="15"/>
      <c r="D52" s="15"/>
      <c r="F52" s="10" t="str">
        <f t="shared" si="22"/>
        <v>2017/1/23</v>
      </c>
      <c r="G52" s="14">
        <v>42758</v>
      </c>
      <c r="H52" s="10">
        <v>4.8365926000000004</v>
      </c>
      <c r="I52" s="10">
        <v>-2.7471926999999998</v>
      </c>
      <c r="J52" s="10">
        <v>2.0893998999999992</v>
      </c>
      <c r="K52" s="10">
        <f t="shared" si="25"/>
        <v>73.200038700000007</v>
      </c>
      <c r="L52" s="10">
        <f t="shared" si="26"/>
        <v>-53.67956019999999</v>
      </c>
      <c r="M52" s="10">
        <f t="shared" si="27"/>
        <v>19.520478500000007</v>
      </c>
      <c r="N52" s="10">
        <v>1.7390609467791123</v>
      </c>
      <c r="O52" s="10">
        <v>1.8805509749303622</v>
      </c>
      <c r="P52" s="10">
        <v>2827.414864599999</v>
      </c>
      <c r="Q52" s="15"/>
      <c r="R52" s="15" t="e">
        <f t="shared" ca="1" si="23"/>
        <v>#N/A</v>
      </c>
      <c r="S52" s="1">
        <v>15</v>
      </c>
      <c r="V52" s="1" t="e">
        <f t="shared" ca="1" si="28"/>
        <v>#N/A</v>
      </c>
      <c r="W52" s="1" t="e">
        <f t="shared" ca="1" si="24"/>
        <v>#N/A</v>
      </c>
      <c r="Y52" s="10" t="e">
        <f t="shared" si="14"/>
        <v>#N/A</v>
      </c>
      <c r="Z52" s="10" t="e">
        <f t="shared" si="2"/>
        <v>#N/A</v>
      </c>
      <c r="AA52" s="10" t="e">
        <f t="shared" si="3"/>
        <v>#N/A</v>
      </c>
      <c r="AB52" s="10" t="e">
        <f t="shared" si="4"/>
        <v>#N/A</v>
      </c>
      <c r="AC52" s="10" t="e">
        <f t="shared" si="5"/>
        <v>#N/A</v>
      </c>
      <c r="AE52" s="10" t="str">
        <f t="shared" si="15"/>
        <v/>
      </c>
      <c r="AF52" s="10" t="str">
        <f t="shared" si="6"/>
        <v/>
      </c>
      <c r="AG52" s="10" t="str">
        <f t="shared" si="7"/>
        <v/>
      </c>
      <c r="AH52" s="10" t="str">
        <f t="shared" si="8"/>
        <v/>
      </c>
      <c r="AI52" s="10" t="str">
        <f t="shared" si="9"/>
        <v/>
      </c>
      <c r="AK52" s="10"/>
      <c r="AL52" s="10"/>
      <c r="AM52" s="10"/>
      <c r="AN52" s="10"/>
      <c r="AO52" s="10"/>
      <c r="AQ52" s="10"/>
      <c r="AR52" s="10"/>
      <c r="AS52" s="10"/>
      <c r="AT52" s="10"/>
      <c r="AU52" s="10"/>
      <c r="AW52" s="10" t="str">
        <f t="shared" si="16"/>
        <v/>
      </c>
      <c r="AX52" s="10" t="str">
        <f t="shared" si="10"/>
        <v/>
      </c>
      <c r="AY52" s="10" t="str">
        <f t="shared" si="11"/>
        <v/>
      </c>
      <c r="AZ52" s="10" t="str">
        <f t="shared" si="12"/>
        <v/>
      </c>
      <c r="BA52" s="10" t="str">
        <f t="shared" si="13"/>
        <v/>
      </c>
    </row>
    <row r="53" spans="2:53" x14ac:dyDescent="0.2">
      <c r="B53" s="10"/>
      <c r="C53" s="15"/>
      <c r="D53" s="15"/>
      <c r="F53" s="10" t="str">
        <f t="shared" si="22"/>
        <v>2017/1/24</v>
      </c>
      <c r="G53" s="14">
        <v>42759</v>
      </c>
      <c r="H53" s="10">
        <v>9.4358888000000007</v>
      </c>
      <c r="I53" s="10">
        <v>-4.0419545000000001</v>
      </c>
      <c r="J53" s="10">
        <v>5.3939342999999997</v>
      </c>
      <c r="K53" s="10">
        <f t="shared" si="25"/>
        <v>82.635927500000008</v>
      </c>
      <c r="L53" s="10">
        <f t="shared" si="26"/>
        <v>-57.721514699999993</v>
      </c>
      <c r="M53" s="10">
        <f t="shared" si="27"/>
        <v>24.914412800000008</v>
      </c>
      <c r="N53" s="10">
        <v>2.1943650988533188</v>
      </c>
      <c r="O53" s="10">
        <v>2.3563674094707521</v>
      </c>
      <c r="P53" s="10">
        <v>2832.0525240999987</v>
      </c>
      <c r="Q53" s="15"/>
      <c r="R53" s="15" t="e">
        <f t="shared" ca="1" si="23"/>
        <v>#N/A</v>
      </c>
      <c r="S53" s="1">
        <v>16</v>
      </c>
      <c r="V53" s="1" t="e">
        <f t="shared" ca="1" si="28"/>
        <v>#N/A</v>
      </c>
      <c r="W53" s="1" t="e">
        <f t="shared" ca="1" si="24"/>
        <v>#N/A</v>
      </c>
      <c r="Y53" s="10" t="e">
        <f t="shared" si="14"/>
        <v>#N/A</v>
      </c>
      <c r="Z53" s="10" t="e">
        <f t="shared" si="2"/>
        <v>#N/A</v>
      </c>
      <c r="AA53" s="10" t="e">
        <f t="shared" si="3"/>
        <v>#N/A</v>
      </c>
      <c r="AB53" s="10" t="e">
        <f t="shared" si="4"/>
        <v>#N/A</v>
      </c>
      <c r="AC53" s="10" t="e">
        <f t="shared" si="5"/>
        <v>#N/A</v>
      </c>
      <c r="AE53" s="10" t="str">
        <f t="shared" si="15"/>
        <v/>
      </c>
      <c r="AF53" s="10" t="str">
        <f t="shared" si="6"/>
        <v/>
      </c>
      <c r="AG53" s="10" t="str">
        <f t="shared" si="7"/>
        <v/>
      </c>
      <c r="AH53" s="10" t="str">
        <f t="shared" si="8"/>
        <v/>
      </c>
      <c r="AI53" s="10" t="str">
        <f t="shared" si="9"/>
        <v/>
      </c>
      <c r="AK53" s="10"/>
      <c r="AL53" s="10"/>
      <c r="AM53" s="10"/>
      <c r="AN53" s="10"/>
      <c r="AO53" s="10"/>
      <c r="AQ53" s="10"/>
      <c r="AR53" s="10"/>
      <c r="AS53" s="10"/>
      <c r="AT53" s="10"/>
      <c r="AU53" s="10"/>
      <c r="AW53" s="10" t="str">
        <f t="shared" si="16"/>
        <v/>
      </c>
      <c r="AX53" s="10" t="str">
        <f t="shared" si="10"/>
        <v/>
      </c>
      <c r="AY53" s="10" t="str">
        <f t="shared" si="11"/>
        <v/>
      </c>
      <c r="AZ53" s="10" t="str">
        <f t="shared" si="12"/>
        <v/>
      </c>
      <c r="BA53" s="10" t="str">
        <f t="shared" si="13"/>
        <v/>
      </c>
    </row>
    <row r="54" spans="2:53" x14ac:dyDescent="0.2">
      <c r="B54" s="10"/>
      <c r="C54" s="15"/>
      <c r="D54" s="15"/>
      <c r="F54" s="10" t="str">
        <f t="shared" si="22"/>
        <v>2017/1/25</v>
      </c>
      <c r="G54" s="14">
        <v>42760</v>
      </c>
      <c r="H54" s="10">
        <v>10.041991799999998</v>
      </c>
      <c r="I54" s="10">
        <v>-1.9212135999999997</v>
      </c>
      <c r="J54" s="10">
        <v>8.1207782000000002</v>
      </c>
      <c r="K54" s="10">
        <f t="shared" si="25"/>
        <v>92.677919300000013</v>
      </c>
      <c r="L54" s="10">
        <f t="shared" si="26"/>
        <v>-59.642728299999995</v>
      </c>
      <c r="M54" s="10">
        <f t="shared" si="27"/>
        <v>33.035191000000012</v>
      </c>
      <c r="N54" s="10">
        <v>2.8092539033472042</v>
      </c>
      <c r="O54" s="10">
        <v>2.8559142857142867</v>
      </c>
      <c r="P54" s="10">
        <v>2850.1032572000004</v>
      </c>
      <c r="Q54" s="15"/>
      <c r="R54" s="15" t="e">
        <f t="shared" ca="1" si="23"/>
        <v>#N/A</v>
      </c>
      <c r="S54" s="1">
        <v>17</v>
      </c>
      <c r="V54" s="1" t="e">
        <f t="shared" ca="1" si="28"/>
        <v>#N/A</v>
      </c>
      <c r="W54" s="1" t="e">
        <f t="shared" ca="1" si="24"/>
        <v>#N/A</v>
      </c>
      <c r="Y54" s="10" t="e">
        <f t="shared" si="14"/>
        <v>#N/A</v>
      </c>
      <c r="Z54" s="10" t="e">
        <f t="shared" si="2"/>
        <v>#N/A</v>
      </c>
      <c r="AA54" s="10" t="e">
        <f t="shared" si="3"/>
        <v>#N/A</v>
      </c>
      <c r="AB54" s="10" t="e">
        <f t="shared" si="4"/>
        <v>#N/A</v>
      </c>
      <c r="AC54" s="10" t="e">
        <f t="shared" si="5"/>
        <v>#N/A</v>
      </c>
      <c r="AE54" s="10" t="str">
        <f t="shared" si="15"/>
        <v/>
      </c>
      <c r="AF54" s="10" t="str">
        <f t="shared" si="6"/>
        <v/>
      </c>
      <c r="AG54" s="10" t="str">
        <f t="shared" si="7"/>
        <v/>
      </c>
      <c r="AH54" s="10" t="str">
        <f t="shared" si="8"/>
        <v/>
      </c>
      <c r="AI54" s="10" t="str">
        <f t="shared" si="9"/>
        <v/>
      </c>
      <c r="AK54" s="10"/>
      <c r="AL54" s="10"/>
      <c r="AM54" s="10"/>
      <c r="AN54" s="10"/>
      <c r="AO54" s="10"/>
      <c r="AQ54" s="10"/>
      <c r="AR54" s="10"/>
      <c r="AS54" s="10"/>
      <c r="AT54" s="10"/>
      <c r="AU54" s="10"/>
      <c r="AW54" s="10" t="str">
        <f t="shared" si="16"/>
        <v/>
      </c>
      <c r="AX54" s="10" t="str">
        <f t="shared" si="10"/>
        <v/>
      </c>
      <c r="AY54" s="10" t="str">
        <f t="shared" si="11"/>
        <v/>
      </c>
      <c r="AZ54" s="10" t="str">
        <f t="shared" si="12"/>
        <v/>
      </c>
      <c r="BA54" s="10" t="str">
        <f t="shared" si="13"/>
        <v/>
      </c>
    </row>
    <row r="55" spans="2:53" x14ac:dyDescent="0.2">
      <c r="B55" s="10"/>
      <c r="C55" s="15"/>
      <c r="D55" s="15"/>
      <c r="F55" s="10" t="str">
        <f t="shared" si="22"/>
        <v>2017/1/26</v>
      </c>
      <c r="G55" s="14">
        <v>42761</v>
      </c>
      <c r="H55" s="10">
        <v>8.2595991000000009</v>
      </c>
      <c r="I55" s="10">
        <v>-1.4579114</v>
      </c>
      <c r="J55" s="10">
        <v>6.8016877000000013</v>
      </c>
      <c r="K55" s="10">
        <f t="shared" si="25"/>
        <v>100.93751840000002</v>
      </c>
      <c r="L55" s="10">
        <f t="shared" si="26"/>
        <v>-61.100639699999995</v>
      </c>
      <c r="M55" s="10">
        <f t="shared" si="27"/>
        <v>39.836878700000014</v>
      </c>
      <c r="N55" s="10">
        <v>2.7031524773173716</v>
      </c>
      <c r="O55" s="10">
        <v>2.7131221647433348</v>
      </c>
      <c r="P55" s="10">
        <v>2875.5559595599993</v>
      </c>
      <c r="Q55" s="15"/>
      <c r="R55" s="15" t="e">
        <f t="shared" ca="1" si="23"/>
        <v>#N/A</v>
      </c>
      <c r="S55" s="1">
        <v>18</v>
      </c>
      <c r="V55" s="1" t="e">
        <f t="shared" ca="1" si="28"/>
        <v>#N/A</v>
      </c>
      <c r="W55" s="1" t="e">
        <f t="shared" ca="1" si="24"/>
        <v>#N/A</v>
      </c>
      <c r="Y55" s="10" t="e">
        <f t="shared" si="14"/>
        <v>#N/A</v>
      </c>
      <c r="Z55" s="10" t="e">
        <f t="shared" si="2"/>
        <v>#N/A</v>
      </c>
      <c r="AA55" s="10" t="e">
        <f t="shared" si="3"/>
        <v>#N/A</v>
      </c>
      <c r="AB55" s="10" t="e">
        <f t="shared" si="4"/>
        <v>#N/A</v>
      </c>
      <c r="AC55" s="10" t="e">
        <f t="shared" si="5"/>
        <v>#N/A</v>
      </c>
      <c r="AE55" s="10" t="str">
        <f t="shared" si="15"/>
        <v/>
      </c>
      <c r="AF55" s="10" t="str">
        <f t="shared" si="6"/>
        <v/>
      </c>
      <c r="AG55" s="10" t="str">
        <f t="shared" si="7"/>
        <v/>
      </c>
      <c r="AH55" s="10" t="str">
        <f t="shared" si="8"/>
        <v/>
      </c>
      <c r="AI55" s="10" t="str">
        <f t="shared" si="9"/>
        <v/>
      </c>
      <c r="AK55" s="10"/>
      <c r="AL55" s="10"/>
      <c r="AM55" s="10"/>
      <c r="AN55" s="10"/>
      <c r="AO55" s="10"/>
      <c r="AQ55" s="10"/>
      <c r="AR55" s="10"/>
      <c r="AS55" s="10"/>
      <c r="AT55" s="10"/>
      <c r="AU55" s="10"/>
      <c r="AW55" s="10" t="str">
        <f t="shared" si="16"/>
        <v/>
      </c>
      <c r="AX55" s="10" t="str">
        <f t="shared" si="10"/>
        <v/>
      </c>
      <c r="AY55" s="10" t="str">
        <f t="shared" si="11"/>
        <v/>
      </c>
      <c r="AZ55" s="10" t="str">
        <f t="shared" si="12"/>
        <v/>
      </c>
      <c r="BA55" s="10" t="str">
        <f t="shared" si="13"/>
        <v/>
      </c>
    </row>
    <row r="56" spans="2:53" x14ac:dyDescent="0.2">
      <c r="B56" s="10"/>
      <c r="C56" s="15"/>
      <c r="D56" s="15"/>
      <c r="F56" s="10" t="str">
        <f t="shared" si="22"/>
        <v>2017/1/27</v>
      </c>
      <c r="G56" s="14">
        <v>42762</v>
      </c>
      <c r="H56" s="10">
        <v>5.4270402000000004</v>
      </c>
      <c r="I56" s="10">
        <v>-1.3831185999999998</v>
      </c>
      <c r="J56" s="10">
        <v>4.0439216000000018</v>
      </c>
      <c r="K56" s="10">
        <f t="shared" si="25"/>
        <v>106.36455860000001</v>
      </c>
      <c r="L56" s="10">
        <f t="shared" si="26"/>
        <v>-62.483758299999998</v>
      </c>
      <c r="M56" s="10">
        <f t="shared" si="27"/>
        <v>43.880800300000018</v>
      </c>
      <c r="N56" s="10">
        <v>2.5745255140713765</v>
      </c>
      <c r="O56" s="10">
        <v>2.604430508024937</v>
      </c>
      <c r="P56" s="10">
        <v>2879.5938202500001</v>
      </c>
      <c r="Q56" s="15"/>
      <c r="R56" s="15" t="e">
        <f t="shared" ca="1" si="23"/>
        <v>#N/A</v>
      </c>
      <c r="S56" s="1">
        <v>19</v>
      </c>
      <c r="V56" s="1" t="e">
        <f t="shared" ca="1" si="28"/>
        <v>#N/A</v>
      </c>
      <c r="W56" s="1" t="e">
        <f t="shared" ca="1" si="24"/>
        <v>#N/A</v>
      </c>
      <c r="Y56" s="10" t="e">
        <f t="shared" si="14"/>
        <v>#N/A</v>
      </c>
      <c r="Z56" s="10" t="e">
        <f t="shared" si="2"/>
        <v>#N/A</v>
      </c>
      <c r="AA56" s="10" t="e">
        <f t="shared" si="3"/>
        <v>#N/A</v>
      </c>
      <c r="AB56" s="10" t="e">
        <f t="shared" si="4"/>
        <v>#N/A</v>
      </c>
      <c r="AC56" s="10" t="e">
        <f t="shared" si="5"/>
        <v>#N/A</v>
      </c>
      <c r="AE56" s="10" t="str">
        <f t="shared" si="15"/>
        <v/>
      </c>
      <c r="AF56" s="10" t="str">
        <f t="shared" si="6"/>
        <v/>
      </c>
      <c r="AG56" s="10" t="str">
        <f t="shared" si="7"/>
        <v/>
      </c>
      <c r="AH56" s="10" t="str">
        <f t="shared" si="8"/>
        <v/>
      </c>
      <c r="AI56" s="10" t="str">
        <f t="shared" si="9"/>
        <v/>
      </c>
      <c r="AK56" s="10"/>
      <c r="AL56" s="10"/>
      <c r="AM56" s="10"/>
      <c r="AN56" s="10"/>
      <c r="AO56" s="10"/>
      <c r="AQ56" s="10"/>
      <c r="AR56" s="10"/>
      <c r="AS56" s="10"/>
      <c r="AT56" s="10"/>
      <c r="AU56" s="10"/>
      <c r="AW56" s="10" t="str">
        <f t="shared" si="16"/>
        <v/>
      </c>
      <c r="AX56" s="10" t="str">
        <f t="shared" si="10"/>
        <v/>
      </c>
      <c r="AY56" s="10" t="str">
        <f t="shared" si="11"/>
        <v/>
      </c>
      <c r="AZ56" s="10" t="str">
        <f t="shared" si="12"/>
        <v/>
      </c>
      <c r="BA56" s="10" t="str">
        <f t="shared" si="13"/>
        <v/>
      </c>
    </row>
    <row r="57" spans="2:53" x14ac:dyDescent="0.2">
      <c r="B57" s="10"/>
      <c r="C57" s="15"/>
      <c r="D57" s="15"/>
      <c r="F57" s="10" t="str">
        <f t="shared" si="22"/>
        <v>2017/1/30</v>
      </c>
      <c r="G57" s="14">
        <v>42765</v>
      </c>
      <c r="H57" s="10">
        <v>4.0378973</v>
      </c>
      <c r="I57" s="10">
        <v>-2.9254569999999998</v>
      </c>
      <c r="J57" s="10">
        <v>1.1124402999999998</v>
      </c>
      <c r="K57" s="10">
        <f t="shared" si="25"/>
        <v>110.40245590000001</v>
      </c>
      <c r="L57" s="10">
        <f t="shared" si="26"/>
        <v>-65.4092153</v>
      </c>
      <c r="M57" s="10">
        <f t="shared" si="27"/>
        <v>44.993240600000021</v>
      </c>
      <c r="N57" s="10">
        <v>2.089523510833641</v>
      </c>
      <c r="O57" s="10">
        <v>2.1193042180660586</v>
      </c>
      <c r="P57" s="10">
        <v>2879.6569390733334</v>
      </c>
      <c r="Q57" s="15"/>
      <c r="R57" s="15" t="e">
        <f t="shared" ca="1" si="23"/>
        <v>#N/A</v>
      </c>
      <c r="S57" s="1">
        <v>20</v>
      </c>
      <c r="V57" s="1" t="e">
        <f t="shared" ca="1" si="28"/>
        <v>#N/A</v>
      </c>
      <c r="W57" s="1" t="e">
        <f t="shared" ca="1" si="24"/>
        <v>#N/A</v>
      </c>
      <c r="Y57" s="10" t="e">
        <f t="shared" si="14"/>
        <v>#N/A</v>
      </c>
      <c r="Z57" s="10" t="e">
        <f t="shared" si="2"/>
        <v>#N/A</v>
      </c>
      <c r="AA57" s="10" t="e">
        <f t="shared" si="3"/>
        <v>#N/A</v>
      </c>
      <c r="AB57" s="10" t="e">
        <f t="shared" si="4"/>
        <v>#N/A</v>
      </c>
      <c r="AC57" s="10" t="e">
        <f t="shared" si="5"/>
        <v>#N/A</v>
      </c>
      <c r="AE57" s="10" t="str">
        <f t="shared" si="15"/>
        <v/>
      </c>
      <c r="AF57" s="10" t="str">
        <f t="shared" si="6"/>
        <v/>
      </c>
      <c r="AG57" s="10" t="str">
        <f t="shared" si="7"/>
        <v/>
      </c>
      <c r="AH57" s="10" t="str">
        <f t="shared" si="8"/>
        <v/>
      </c>
      <c r="AI57" s="10" t="str">
        <f t="shared" si="9"/>
        <v/>
      </c>
      <c r="AK57" s="10"/>
      <c r="AL57" s="10"/>
      <c r="AM57" s="10"/>
      <c r="AN57" s="10"/>
      <c r="AO57" s="10"/>
      <c r="AQ57" s="10"/>
      <c r="AR57" s="10"/>
      <c r="AS57" s="10"/>
      <c r="AT57" s="10"/>
      <c r="AU57" s="10"/>
      <c r="AW57" s="10" t="str">
        <f t="shared" si="16"/>
        <v/>
      </c>
      <c r="AX57" s="10" t="str">
        <f t="shared" si="10"/>
        <v/>
      </c>
      <c r="AY57" s="10" t="str">
        <f t="shared" si="11"/>
        <v/>
      </c>
      <c r="AZ57" s="10" t="str">
        <f t="shared" si="12"/>
        <v/>
      </c>
      <c r="BA57" s="10" t="str">
        <f t="shared" si="13"/>
        <v/>
      </c>
    </row>
    <row r="58" spans="2:53" x14ac:dyDescent="0.2">
      <c r="B58" s="10"/>
      <c r="C58" s="15"/>
      <c r="D58" s="15"/>
      <c r="F58" s="10" t="str">
        <f t="shared" si="22"/>
        <v>2017/1/31</v>
      </c>
      <c r="G58" s="14">
        <v>42766</v>
      </c>
      <c r="H58" s="10">
        <v>4.7402737000000004</v>
      </c>
      <c r="I58" s="10">
        <v>-3.828040699999999</v>
      </c>
      <c r="J58" s="10">
        <v>0.91223299999999996</v>
      </c>
      <c r="K58" s="10">
        <f t="shared" si="25"/>
        <v>115.14272960000001</v>
      </c>
      <c r="L58" s="10">
        <f t="shared" si="26"/>
        <v>-69.237256000000002</v>
      </c>
      <c r="M58" s="10">
        <f t="shared" si="27"/>
        <v>45.905473600000022</v>
      </c>
      <c r="N58" s="10">
        <v>2.2375871289575771</v>
      </c>
      <c r="O58" s="10">
        <v>2.3736809921740285</v>
      </c>
      <c r="P58" s="10">
        <v>2867.2925493799999</v>
      </c>
      <c r="Q58" s="15"/>
      <c r="R58" s="15" t="e">
        <f t="shared" ca="1" si="23"/>
        <v>#N/A</v>
      </c>
      <c r="S58" s="1">
        <v>21</v>
      </c>
      <c r="V58" s="1" t="e">
        <f t="shared" ca="1" si="28"/>
        <v>#N/A</v>
      </c>
      <c r="W58" s="1" t="e">
        <f t="shared" ca="1" si="24"/>
        <v>#N/A</v>
      </c>
      <c r="Y58" s="10" t="e">
        <f t="shared" si="14"/>
        <v>#N/A</v>
      </c>
      <c r="Z58" s="10" t="e">
        <f t="shared" si="2"/>
        <v>#N/A</v>
      </c>
      <c r="AA58" s="10" t="e">
        <f t="shared" si="3"/>
        <v>#N/A</v>
      </c>
      <c r="AB58" s="10" t="e">
        <f t="shared" si="4"/>
        <v>#N/A</v>
      </c>
      <c r="AC58" s="10" t="e">
        <f t="shared" si="5"/>
        <v>#N/A</v>
      </c>
      <c r="AE58" s="10" t="str">
        <f t="shared" si="15"/>
        <v/>
      </c>
      <c r="AF58" s="10" t="str">
        <f t="shared" si="6"/>
        <v/>
      </c>
      <c r="AG58" s="10" t="str">
        <f t="shared" si="7"/>
        <v/>
      </c>
      <c r="AH58" s="10" t="str">
        <f t="shared" si="8"/>
        <v/>
      </c>
      <c r="AI58" s="10" t="str">
        <f t="shared" si="9"/>
        <v/>
      </c>
      <c r="AK58" s="10"/>
      <c r="AL58" s="10"/>
      <c r="AM58" s="10"/>
      <c r="AN58" s="10"/>
      <c r="AO58" s="10"/>
      <c r="AQ58" s="10"/>
      <c r="AR58" s="10"/>
      <c r="AS58" s="10"/>
      <c r="AT58" s="10"/>
      <c r="AU58" s="10"/>
      <c r="AW58" s="10" t="str">
        <f t="shared" si="16"/>
        <v/>
      </c>
      <c r="AX58" s="10" t="str">
        <f t="shared" si="10"/>
        <v/>
      </c>
      <c r="AY58" s="10" t="str">
        <f t="shared" si="11"/>
        <v/>
      </c>
      <c r="AZ58" s="10" t="str">
        <f t="shared" si="12"/>
        <v/>
      </c>
      <c r="BA58" s="10" t="str">
        <f t="shared" si="13"/>
        <v/>
      </c>
    </row>
    <row r="59" spans="2:53" x14ac:dyDescent="0.2">
      <c r="B59" s="10"/>
      <c r="C59" s="15"/>
      <c r="D59" s="15"/>
      <c r="F59" s="10" t="str">
        <f t="shared" si="22"/>
        <v>2017/2/1</v>
      </c>
      <c r="G59" s="14">
        <v>42767</v>
      </c>
      <c r="H59" s="10">
        <v>3.4425395999999995</v>
      </c>
      <c r="I59" s="10">
        <v>-5.0264187999999992</v>
      </c>
      <c r="J59" s="10">
        <v>-1.5838791999999995</v>
      </c>
      <c r="K59" s="10">
        <f t="shared" si="25"/>
        <v>118.58526920000001</v>
      </c>
      <c r="L59" s="10">
        <f t="shared" si="26"/>
        <v>-74.263674800000004</v>
      </c>
      <c r="M59" s="10">
        <f t="shared" si="27"/>
        <v>44.321594400000023</v>
      </c>
      <c r="N59" s="10">
        <v>2.2572220247924069</v>
      </c>
      <c r="O59" s="10">
        <v>2.4148048414909131</v>
      </c>
      <c r="P59" s="10">
        <v>2872.0998932866673</v>
      </c>
      <c r="Q59" s="15"/>
      <c r="R59" s="15" t="e">
        <f t="shared" ca="1" si="23"/>
        <v>#N/A</v>
      </c>
      <c r="S59" s="1">
        <v>22</v>
      </c>
      <c r="V59" s="1" t="e">
        <f t="shared" ca="1" si="28"/>
        <v>#N/A</v>
      </c>
      <c r="W59" s="1" t="e">
        <f t="shared" ca="1" si="24"/>
        <v>#N/A</v>
      </c>
      <c r="Y59" s="10" t="e">
        <f t="shared" si="14"/>
        <v>#N/A</v>
      </c>
      <c r="Z59" s="10" t="e">
        <f t="shared" si="2"/>
        <v>#N/A</v>
      </c>
      <c r="AA59" s="10" t="e">
        <f t="shared" si="3"/>
        <v>#N/A</v>
      </c>
      <c r="AB59" s="10" t="e">
        <f t="shared" si="4"/>
        <v>#N/A</v>
      </c>
      <c r="AC59" s="10" t="e">
        <f t="shared" si="5"/>
        <v>#N/A</v>
      </c>
      <c r="AE59" s="10" t="str">
        <f t="shared" si="15"/>
        <v/>
      </c>
      <c r="AF59" s="10" t="str">
        <f t="shared" si="6"/>
        <v/>
      </c>
      <c r="AG59" s="10" t="str">
        <f t="shared" si="7"/>
        <v/>
      </c>
      <c r="AH59" s="10" t="str">
        <f t="shared" si="8"/>
        <v/>
      </c>
      <c r="AI59" s="10" t="str">
        <f t="shared" si="9"/>
        <v/>
      </c>
      <c r="AK59" s="10"/>
      <c r="AL59" s="10"/>
      <c r="AM59" s="10"/>
      <c r="AN59" s="10"/>
      <c r="AO59" s="10"/>
      <c r="AQ59" s="10"/>
      <c r="AR59" s="10"/>
      <c r="AS59" s="10"/>
      <c r="AT59" s="10"/>
      <c r="AU59" s="10"/>
      <c r="AW59" s="10" t="str">
        <f t="shared" si="16"/>
        <v/>
      </c>
      <c r="AX59" s="10" t="str">
        <f t="shared" si="10"/>
        <v/>
      </c>
      <c r="AY59" s="10" t="str">
        <f t="shared" si="11"/>
        <v/>
      </c>
      <c r="AZ59" s="10" t="str">
        <f t="shared" si="12"/>
        <v/>
      </c>
      <c r="BA59" s="10" t="str">
        <f t="shared" si="13"/>
        <v/>
      </c>
    </row>
    <row r="60" spans="2:53" x14ac:dyDescent="0.2">
      <c r="B60" s="10"/>
      <c r="C60" s="15"/>
      <c r="D60" s="15"/>
      <c r="F60" s="10" t="str">
        <f t="shared" si="22"/>
        <v>2017/2/2</v>
      </c>
      <c r="G60" s="14">
        <v>42768</v>
      </c>
      <c r="H60" s="10">
        <v>5.9716324999999992</v>
      </c>
      <c r="I60" s="10">
        <v>-3.8727992000000007</v>
      </c>
      <c r="J60" s="10">
        <v>2.0988332999999999</v>
      </c>
      <c r="K60" s="10">
        <f t="shared" si="25"/>
        <v>124.55690170000001</v>
      </c>
      <c r="L60" s="10">
        <f t="shared" si="26"/>
        <v>-78.136474000000007</v>
      </c>
      <c r="M60" s="10">
        <f t="shared" si="27"/>
        <v>46.420427700000026</v>
      </c>
      <c r="N60" s="10">
        <v>2.388346390425053</v>
      </c>
      <c r="O60" s="10">
        <v>2.6334374187558041</v>
      </c>
      <c r="P60" s="10">
        <v>2870.1117392266665</v>
      </c>
      <c r="Q60" s="15"/>
      <c r="R60" s="15" t="e">
        <f t="shared" ca="1" si="23"/>
        <v>#N/A</v>
      </c>
      <c r="S60" s="1">
        <v>23</v>
      </c>
      <c r="V60" s="1" t="e">
        <f t="shared" ca="1" si="28"/>
        <v>#N/A</v>
      </c>
      <c r="W60" s="1" t="e">
        <f t="shared" ca="1" si="24"/>
        <v>#N/A</v>
      </c>
      <c r="Y60" s="10" t="e">
        <f t="shared" si="14"/>
        <v>#N/A</v>
      </c>
      <c r="Z60" s="10" t="e">
        <f t="shared" si="2"/>
        <v>#N/A</v>
      </c>
      <c r="AA60" s="10" t="e">
        <f t="shared" si="3"/>
        <v>#N/A</v>
      </c>
      <c r="AB60" s="10" t="e">
        <f t="shared" si="4"/>
        <v>#N/A</v>
      </c>
      <c r="AC60" s="10" t="e">
        <f t="shared" si="5"/>
        <v>#N/A</v>
      </c>
      <c r="AE60" s="10" t="str">
        <f t="shared" si="15"/>
        <v/>
      </c>
      <c r="AF60" s="10" t="str">
        <f t="shared" si="6"/>
        <v/>
      </c>
      <c r="AG60" s="10" t="str">
        <f t="shared" si="7"/>
        <v/>
      </c>
      <c r="AH60" s="10" t="str">
        <f t="shared" si="8"/>
        <v/>
      </c>
      <c r="AI60" s="10" t="str">
        <f t="shared" si="9"/>
        <v/>
      </c>
      <c r="AK60" s="10"/>
      <c r="AL60" s="10"/>
      <c r="AM60" s="10"/>
      <c r="AN60" s="10"/>
      <c r="AO60" s="10"/>
      <c r="AQ60" s="10"/>
      <c r="AR60" s="10"/>
      <c r="AS60" s="10"/>
      <c r="AT60" s="10"/>
      <c r="AU60" s="10"/>
      <c r="AW60" s="10" t="str">
        <f t="shared" si="16"/>
        <v/>
      </c>
      <c r="AX60" s="10" t="str">
        <f t="shared" si="10"/>
        <v/>
      </c>
      <c r="AY60" s="10" t="str">
        <f t="shared" si="11"/>
        <v/>
      </c>
      <c r="AZ60" s="10" t="str">
        <f t="shared" si="12"/>
        <v/>
      </c>
      <c r="BA60" s="10" t="str">
        <f t="shared" si="13"/>
        <v/>
      </c>
    </row>
    <row r="61" spans="2:53" x14ac:dyDescent="0.2">
      <c r="B61" s="10"/>
      <c r="C61" s="15"/>
      <c r="D61" s="15"/>
      <c r="F61" s="10" t="str">
        <f t="shared" si="22"/>
        <v>2017/2/3</v>
      </c>
      <c r="G61" s="14">
        <v>42769</v>
      </c>
      <c r="H61" s="10">
        <v>5.4787815000000011</v>
      </c>
      <c r="I61" s="10">
        <v>-1.8592030000000002</v>
      </c>
      <c r="J61" s="10">
        <v>3.6195785000000011</v>
      </c>
      <c r="K61" s="10">
        <f t="shared" si="25"/>
        <v>130.03568320000002</v>
      </c>
      <c r="L61" s="10">
        <f t="shared" si="26"/>
        <v>-79.995677000000001</v>
      </c>
      <c r="M61" s="10">
        <f t="shared" si="27"/>
        <v>50.040006200000029</v>
      </c>
      <c r="N61" s="10">
        <v>2.9582201931374406</v>
      </c>
      <c r="O61" s="10">
        <v>3.1113738161559894</v>
      </c>
      <c r="P61" s="10">
        <v>2875.6785468333337</v>
      </c>
      <c r="Q61" s="15"/>
      <c r="R61" s="15" t="e">
        <f t="shared" ca="1" si="23"/>
        <v>#N/A</v>
      </c>
      <c r="S61" s="1">
        <v>24</v>
      </c>
      <c r="V61" s="1" t="e">
        <f t="shared" ca="1" si="28"/>
        <v>#N/A</v>
      </c>
      <c r="W61" s="1" t="e">
        <f t="shared" ca="1" si="24"/>
        <v>#N/A</v>
      </c>
      <c r="Y61" s="10" t="e">
        <f t="shared" si="14"/>
        <v>#N/A</v>
      </c>
      <c r="Z61" s="10" t="e">
        <f t="shared" si="2"/>
        <v>#N/A</v>
      </c>
      <c r="AA61" s="10" t="e">
        <f t="shared" si="3"/>
        <v>#N/A</v>
      </c>
      <c r="AB61" s="10" t="e">
        <f t="shared" si="4"/>
        <v>#N/A</v>
      </c>
      <c r="AC61" s="10" t="e">
        <f t="shared" si="5"/>
        <v>#N/A</v>
      </c>
      <c r="AE61" s="10" t="str">
        <f t="shared" si="15"/>
        <v/>
      </c>
      <c r="AF61" s="10" t="str">
        <f t="shared" si="6"/>
        <v/>
      </c>
      <c r="AG61" s="10" t="str">
        <f t="shared" si="7"/>
        <v/>
      </c>
      <c r="AH61" s="10" t="str">
        <f t="shared" si="8"/>
        <v/>
      </c>
      <c r="AI61" s="10" t="str">
        <f t="shared" si="9"/>
        <v/>
      </c>
      <c r="AK61" s="10"/>
      <c r="AL61" s="10"/>
      <c r="AM61" s="10"/>
      <c r="AN61" s="10"/>
      <c r="AO61" s="10"/>
      <c r="AQ61" s="10"/>
      <c r="AR61" s="10"/>
      <c r="AS61" s="10"/>
      <c r="AT61" s="10"/>
      <c r="AU61" s="10"/>
      <c r="AW61" s="10" t="str">
        <f t="shared" si="16"/>
        <v/>
      </c>
      <c r="AX61" s="10" t="str">
        <f t="shared" si="10"/>
        <v/>
      </c>
      <c r="AY61" s="10" t="str">
        <f t="shared" si="11"/>
        <v/>
      </c>
      <c r="AZ61" s="10" t="str">
        <f t="shared" si="12"/>
        <v/>
      </c>
      <c r="BA61" s="10" t="str">
        <f t="shared" si="13"/>
        <v/>
      </c>
    </row>
    <row r="62" spans="2:53" x14ac:dyDescent="0.2">
      <c r="B62" s="10"/>
      <c r="C62" s="15"/>
      <c r="D62" s="15"/>
      <c r="F62" s="10" t="str">
        <f t="shared" si="22"/>
        <v>2017/2/6</v>
      </c>
      <c r="G62" s="14">
        <v>42772</v>
      </c>
      <c r="H62" s="10">
        <v>5.5611373999999998</v>
      </c>
      <c r="I62" s="10">
        <v>-2.5508391000000001</v>
      </c>
      <c r="J62" s="10">
        <v>3.0102983000000005</v>
      </c>
      <c r="K62" s="10">
        <f t="shared" si="25"/>
        <v>135.59682060000003</v>
      </c>
      <c r="L62" s="10">
        <f t="shared" si="26"/>
        <v>-82.546516100000005</v>
      </c>
      <c r="M62" s="10">
        <f t="shared" si="27"/>
        <v>53.050304500000031</v>
      </c>
      <c r="N62" s="10">
        <v>2.8433361188084332</v>
      </c>
      <c r="O62" s="10">
        <v>2.9510182451253488</v>
      </c>
      <c r="P62" s="10">
        <v>2895.2719758000003</v>
      </c>
      <c r="Q62" s="15"/>
      <c r="R62" s="15" t="e">
        <f t="shared" ca="1" si="23"/>
        <v>#N/A</v>
      </c>
      <c r="S62" s="1">
        <v>25</v>
      </c>
      <c r="V62" s="1" t="e">
        <f t="shared" ca="1" si="28"/>
        <v>#N/A</v>
      </c>
      <c r="W62" s="1" t="e">
        <f t="shared" ca="1" si="24"/>
        <v>#N/A</v>
      </c>
      <c r="Y62" s="10" t="e">
        <f t="shared" si="14"/>
        <v>#N/A</v>
      </c>
      <c r="Z62" s="10" t="e">
        <f t="shared" si="2"/>
        <v>#N/A</v>
      </c>
      <c r="AA62" s="10" t="e">
        <f t="shared" si="3"/>
        <v>#N/A</v>
      </c>
      <c r="AB62" s="10" t="e">
        <f t="shared" si="4"/>
        <v>#N/A</v>
      </c>
      <c r="AC62" s="10" t="e">
        <f t="shared" si="5"/>
        <v>#N/A</v>
      </c>
      <c r="AE62" s="10" t="str">
        <f t="shared" si="15"/>
        <v/>
      </c>
      <c r="AF62" s="10" t="str">
        <f t="shared" si="6"/>
        <v/>
      </c>
      <c r="AG62" s="10" t="str">
        <f t="shared" si="7"/>
        <v/>
      </c>
      <c r="AH62" s="10" t="str">
        <f t="shared" si="8"/>
        <v/>
      </c>
      <c r="AI62" s="10" t="str">
        <f t="shared" si="9"/>
        <v/>
      </c>
      <c r="AK62" s="10"/>
      <c r="AL62" s="10"/>
      <c r="AM62" s="10"/>
      <c r="AN62" s="10"/>
      <c r="AO62" s="10"/>
      <c r="AQ62" s="10"/>
      <c r="AR62" s="10"/>
      <c r="AS62" s="10"/>
      <c r="AT62" s="10"/>
      <c r="AU62" s="10"/>
      <c r="AW62" s="10" t="str">
        <f t="shared" si="16"/>
        <v/>
      </c>
      <c r="AX62" s="10" t="str">
        <f t="shared" si="10"/>
        <v/>
      </c>
      <c r="AY62" s="10" t="str">
        <f t="shared" si="11"/>
        <v/>
      </c>
      <c r="AZ62" s="10" t="str">
        <f t="shared" si="12"/>
        <v/>
      </c>
      <c r="BA62" s="10" t="str">
        <f t="shared" si="13"/>
        <v/>
      </c>
    </row>
    <row r="63" spans="2:53" x14ac:dyDescent="0.2">
      <c r="B63" s="10"/>
      <c r="C63" s="15"/>
      <c r="D63" s="15"/>
      <c r="F63" s="10" t="str">
        <f t="shared" si="22"/>
        <v>2017/2/7</v>
      </c>
      <c r="G63" s="14">
        <v>42773</v>
      </c>
      <c r="H63" s="10">
        <v>5.3964280000000011</v>
      </c>
      <c r="I63" s="10">
        <v>-2.5158856000000003</v>
      </c>
      <c r="J63" s="10">
        <v>2.8805424000000008</v>
      </c>
      <c r="K63" s="10">
        <f t="shared" si="25"/>
        <v>140.99324860000004</v>
      </c>
      <c r="L63" s="10">
        <f t="shared" si="26"/>
        <v>-85.062401700000009</v>
      </c>
      <c r="M63" s="10">
        <f t="shared" si="27"/>
        <v>55.930846900000034</v>
      </c>
      <c r="N63" s="10">
        <v>2.739256977150506</v>
      </c>
      <c r="O63" s="10">
        <v>2.800552367688022</v>
      </c>
      <c r="P63" s="10">
        <v>2893.334724750001</v>
      </c>
      <c r="Q63" s="15"/>
      <c r="R63" s="15" t="e">
        <f t="shared" ca="1" si="23"/>
        <v>#N/A</v>
      </c>
      <c r="S63" s="1">
        <v>26</v>
      </c>
      <c r="V63" s="1" t="e">
        <f t="shared" ca="1" si="28"/>
        <v>#N/A</v>
      </c>
      <c r="W63" s="1" t="e">
        <f t="shared" ca="1" si="24"/>
        <v>#N/A</v>
      </c>
      <c r="Y63" s="10" t="e">
        <f t="shared" si="14"/>
        <v>#N/A</v>
      </c>
      <c r="Z63" s="10" t="e">
        <f t="shared" si="2"/>
        <v>#N/A</v>
      </c>
      <c r="AA63" s="10" t="e">
        <f t="shared" si="3"/>
        <v>#N/A</v>
      </c>
      <c r="AB63" s="10" t="e">
        <f t="shared" si="4"/>
        <v>#N/A</v>
      </c>
      <c r="AC63" s="10" t="e">
        <f t="shared" si="5"/>
        <v>#N/A</v>
      </c>
      <c r="AE63" s="10" t="str">
        <f t="shared" si="15"/>
        <v/>
      </c>
      <c r="AF63" s="10" t="str">
        <f t="shared" si="6"/>
        <v/>
      </c>
      <c r="AG63" s="10" t="str">
        <f t="shared" si="7"/>
        <v/>
      </c>
      <c r="AH63" s="10" t="str">
        <f t="shared" si="8"/>
        <v/>
      </c>
      <c r="AI63" s="10" t="str">
        <f t="shared" si="9"/>
        <v/>
      </c>
      <c r="AK63" s="10"/>
      <c r="AL63" s="10"/>
      <c r="AM63" s="10"/>
      <c r="AN63" s="10"/>
      <c r="AO63" s="10"/>
      <c r="AQ63" s="10"/>
      <c r="AR63" s="10"/>
      <c r="AS63" s="10"/>
      <c r="AT63" s="10"/>
      <c r="AU63" s="10"/>
      <c r="AW63" s="10" t="str">
        <f t="shared" si="16"/>
        <v/>
      </c>
      <c r="AX63" s="10" t="str">
        <f t="shared" si="10"/>
        <v/>
      </c>
      <c r="AY63" s="10" t="str">
        <f t="shared" si="11"/>
        <v/>
      </c>
      <c r="AZ63" s="10" t="str">
        <f t="shared" si="12"/>
        <v/>
      </c>
      <c r="BA63" s="10" t="str">
        <f t="shared" si="13"/>
        <v/>
      </c>
    </row>
    <row r="64" spans="2:53" x14ac:dyDescent="0.2">
      <c r="B64" s="10"/>
      <c r="C64" s="15"/>
      <c r="D64" s="15"/>
      <c r="F64" s="10" t="str">
        <f t="shared" si="22"/>
        <v>2017/2/8</v>
      </c>
      <c r="G64" s="14">
        <v>42774</v>
      </c>
      <c r="H64" s="10">
        <v>5.3121817</v>
      </c>
      <c r="I64" s="10">
        <v>-3.3231446999999994</v>
      </c>
      <c r="J64" s="10">
        <v>1.9890369999999999</v>
      </c>
      <c r="K64" s="10">
        <f t="shared" si="25"/>
        <v>146.30543030000004</v>
      </c>
      <c r="L64" s="10">
        <f t="shared" si="26"/>
        <v>-88.38554640000001</v>
      </c>
      <c r="M64" s="10">
        <f t="shared" si="27"/>
        <v>57.919883900000038</v>
      </c>
      <c r="N64" s="10">
        <v>2.9917501854384358</v>
      </c>
      <c r="O64" s="10">
        <v>3.0773947075208912</v>
      </c>
      <c r="P64" s="10">
        <v>2894.3862487999991</v>
      </c>
      <c r="Q64" s="15"/>
      <c r="R64" s="15" t="e">
        <f t="shared" ca="1" si="23"/>
        <v>#N/A</v>
      </c>
      <c r="S64" s="1">
        <v>27</v>
      </c>
      <c r="V64" s="1" t="e">
        <f t="shared" ca="1" si="28"/>
        <v>#N/A</v>
      </c>
      <c r="W64" s="1" t="e">
        <f t="shared" ca="1" si="24"/>
        <v>#N/A</v>
      </c>
      <c r="Y64" s="10" t="e">
        <f t="shared" si="14"/>
        <v>#N/A</v>
      </c>
      <c r="Z64" s="10" t="e">
        <f t="shared" si="2"/>
        <v>#N/A</v>
      </c>
      <c r="AA64" s="10" t="e">
        <f t="shared" si="3"/>
        <v>#N/A</v>
      </c>
      <c r="AB64" s="10" t="e">
        <f t="shared" si="4"/>
        <v>#N/A</v>
      </c>
      <c r="AC64" s="10" t="e">
        <f t="shared" si="5"/>
        <v>#N/A</v>
      </c>
      <c r="AE64" s="10" t="str">
        <f t="shared" si="15"/>
        <v/>
      </c>
      <c r="AF64" s="10" t="str">
        <f t="shared" si="6"/>
        <v/>
      </c>
      <c r="AG64" s="10" t="str">
        <f t="shared" si="7"/>
        <v/>
      </c>
      <c r="AH64" s="10" t="str">
        <f t="shared" si="8"/>
        <v/>
      </c>
      <c r="AI64" s="10" t="str">
        <f t="shared" si="9"/>
        <v/>
      </c>
      <c r="AK64" s="10"/>
      <c r="AL64" s="10"/>
      <c r="AM64" s="10"/>
      <c r="AN64" s="10"/>
      <c r="AO64" s="10"/>
      <c r="AQ64" s="10"/>
      <c r="AR64" s="10"/>
      <c r="AS64" s="10"/>
      <c r="AT64" s="10"/>
      <c r="AU64" s="10"/>
      <c r="AW64" s="10" t="str">
        <f t="shared" si="16"/>
        <v/>
      </c>
      <c r="AX64" s="10" t="str">
        <f t="shared" si="10"/>
        <v/>
      </c>
      <c r="AY64" s="10" t="str">
        <f t="shared" si="11"/>
        <v/>
      </c>
      <c r="AZ64" s="10" t="str">
        <f t="shared" si="12"/>
        <v/>
      </c>
      <c r="BA64" s="10" t="str">
        <f t="shared" si="13"/>
        <v/>
      </c>
    </row>
    <row r="65" spans="2:53" x14ac:dyDescent="0.2">
      <c r="B65" s="10"/>
      <c r="C65" s="15"/>
      <c r="D65" s="15"/>
      <c r="F65" s="10" t="str">
        <f t="shared" si="22"/>
        <v>2017/2/9</v>
      </c>
      <c r="G65" s="14">
        <v>42775</v>
      </c>
      <c r="H65" s="10">
        <v>5.7660082000000008</v>
      </c>
      <c r="I65" s="10">
        <v>-1.8486785000000001</v>
      </c>
      <c r="J65" s="10">
        <v>3.9173296999999994</v>
      </c>
      <c r="K65" s="10">
        <f t="shared" si="25"/>
        <v>152.07143850000003</v>
      </c>
      <c r="L65" s="10">
        <f t="shared" si="26"/>
        <v>-90.234224900000015</v>
      </c>
      <c r="M65" s="10">
        <f t="shared" si="27"/>
        <v>61.837213600000034</v>
      </c>
      <c r="N65" s="10">
        <v>3.2426666907649189</v>
      </c>
      <c r="O65" s="10">
        <v>3.2813161559888573</v>
      </c>
      <c r="P65" s="10">
        <v>2902.9805469000003</v>
      </c>
      <c r="Q65" s="15"/>
      <c r="R65" s="15" t="e">
        <f t="shared" ca="1" si="23"/>
        <v>#N/A</v>
      </c>
      <c r="S65" s="1">
        <v>28</v>
      </c>
      <c r="V65" s="1" t="e">
        <f t="shared" ca="1" si="28"/>
        <v>#N/A</v>
      </c>
      <c r="W65" s="1" t="e">
        <f t="shared" ca="1" si="24"/>
        <v>#N/A</v>
      </c>
      <c r="Y65" s="10" t="e">
        <f t="shared" si="14"/>
        <v>#N/A</v>
      </c>
      <c r="Z65" s="10" t="e">
        <f t="shared" si="2"/>
        <v>#N/A</v>
      </c>
      <c r="AA65" s="10" t="e">
        <f t="shared" si="3"/>
        <v>#N/A</v>
      </c>
      <c r="AB65" s="10" t="e">
        <f t="shared" si="4"/>
        <v>#N/A</v>
      </c>
      <c r="AC65" s="10" t="e">
        <f t="shared" si="5"/>
        <v>#N/A</v>
      </c>
      <c r="AE65" s="10" t="str">
        <f t="shared" si="15"/>
        <v/>
      </c>
      <c r="AF65" s="10" t="str">
        <f t="shared" si="6"/>
        <v/>
      </c>
      <c r="AG65" s="10" t="str">
        <f t="shared" si="7"/>
        <v/>
      </c>
      <c r="AH65" s="10" t="str">
        <f t="shared" si="8"/>
        <v/>
      </c>
      <c r="AI65" s="10" t="str">
        <f t="shared" si="9"/>
        <v/>
      </c>
      <c r="AK65" s="10"/>
      <c r="AL65" s="10"/>
      <c r="AM65" s="10"/>
      <c r="AN65" s="10"/>
      <c r="AO65" s="10"/>
      <c r="AQ65" s="10"/>
      <c r="AR65" s="10"/>
      <c r="AS65" s="10"/>
      <c r="AT65" s="10"/>
      <c r="AU65" s="10"/>
      <c r="AW65" s="10" t="str">
        <f t="shared" si="16"/>
        <v/>
      </c>
      <c r="AX65" s="10" t="str">
        <f t="shared" si="10"/>
        <v/>
      </c>
      <c r="AY65" s="10" t="str">
        <f t="shared" si="11"/>
        <v/>
      </c>
      <c r="AZ65" s="10" t="str">
        <f t="shared" si="12"/>
        <v/>
      </c>
      <c r="BA65" s="10" t="str">
        <f t="shared" si="13"/>
        <v/>
      </c>
    </row>
    <row r="66" spans="2:53" x14ac:dyDescent="0.2">
      <c r="B66" s="10"/>
      <c r="C66" s="15"/>
      <c r="D66" s="15"/>
      <c r="F66" s="10" t="str">
        <f t="shared" si="22"/>
        <v>2017/2/10</v>
      </c>
      <c r="G66" s="14">
        <v>42776</v>
      </c>
      <c r="H66" s="10">
        <v>6.6888539000000007</v>
      </c>
      <c r="I66" s="10">
        <v>-1.1955869999999997</v>
      </c>
      <c r="J66" s="10">
        <v>5.493266900000001</v>
      </c>
      <c r="K66" s="10">
        <f t="shared" si="25"/>
        <v>158.76029240000003</v>
      </c>
      <c r="L66" s="10">
        <f t="shared" si="26"/>
        <v>-91.429811900000018</v>
      </c>
      <c r="M66" s="10">
        <f t="shared" si="27"/>
        <v>67.330480500000036</v>
      </c>
      <c r="N66" s="10">
        <v>3.7434794006813337</v>
      </c>
      <c r="O66" s="10">
        <v>3.7136766016713074</v>
      </c>
      <c r="P66" s="10">
        <v>2914.4257408999997</v>
      </c>
      <c r="Q66" s="15"/>
      <c r="R66" s="15" t="e">
        <f t="shared" ca="1" si="23"/>
        <v>#N/A</v>
      </c>
      <c r="S66" s="1">
        <v>29</v>
      </c>
      <c r="V66" s="1" t="e">
        <f t="shared" ca="1" si="28"/>
        <v>#N/A</v>
      </c>
      <c r="W66" s="1" t="e">
        <f t="shared" ca="1" si="24"/>
        <v>#N/A</v>
      </c>
      <c r="Y66" s="10" t="e">
        <f t="shared" si="14"/>
        <v>#N/A</v>
      </c>
      <c r="Z66" s="10" t="e">
        <f t="shared" si="2"/>
        <v>#N/A</v>
      </c>
      <c r="AA66" s="10" t="e">
        <f t="shared" si="3"/>
        <v>#N/A</v>
      </c>
      <c r="AB66" s="10" t="e">
        <f t="shared" si="4"/>
        <v>#N/A</v>
      </c>
      <c r="AC66" s="10" t="e">
        <f t="shared" si="5"/>
        <v>#N/A</v>
      </c>
      <c r="AE66" s="10" t="str">
        <f t="shared" si="15"/>
        <v/>
      </c>
      <c r="AF66" s="10" t="str">
        <f t="shared" si="6"/>
        <v/>
      </c>
      <c r="AG66" s="10" t="str">
        <f t="shared" si="7"/>
        <v/>
      </c>
      <c r="AH66" s="10" t="str">
        <f t="shared" si="8"/>
        <v/>
      </c>
      <c r="AI66" s="10" t="str">
        <f t="shared" si="9"/>
        <v/>
      </c>
      <c r="AK66" s="10"/>
      <c r="AL66" s="10"/>
      <c r="AM66" s="10"/>
      <c r="AN66" s="10"/>
      <c r="AO66" s="10"/>
      <c r="AQ66" s="10"/>
      <c r="AR66" s="10"/>
      <c r="AS66" s="10"/>
      <c r="AT66" s="10"/>
      <c r="AU66" s="10"/>
      <c r="AW66" s="10" t="str">
        <f t="shared" si="16"/>
        <v/>
      </c>
      <c r="AX66" s="10" t="str">
        <f t="shared" si="10"/>
        <v/>
      </c>
      <c r="AY66" s="10" t="str">
        <f t="shared" si="11"/>
        <v/>
      </c>
      <c r="AZ66" s="10" t="str">
        <f t="shared" si="12"/>
        <v/>
      </c>
      <c r="BA66" s="10" t="str">
        <f t="shared" si="13"/>
        <v/>
      </c>
    </row>
    <row r="67" spans="2:53" x14ac:dyDescent="0.2">
      <c r="B67" s="10"/>
      <c r="C67" s="15"/>
      <c r="D67" s="15"/>
      <c r="F67" s="10" t="str">
        <f t="shared" si="22"/>
        <v>2017/2/13</v>
      </c>
      <c r="G67" s="14">
        <v>42779</v>
      </c>
      <c r="H67" s="10">
        <v>5.7742366999999977</v>
      </c>
      <c r="I67" s="10">
        <v>-1.6785651000000001</v>
      </c>
      <c r="J67" s="10">
        <v>4.0956715999999984</v>
      </c>
      <c r="K67" s="10">
        <f t="shared" si="25"/>
        <v>164.53452910000001</v>
      </c>
      <c r="L67" s="10">
        <f t="shared" si="26"/>
        <v>-93.108377000000019</v>
      </c>
      <c r="M67" s="10">
        <f t="shared" si="27"/>
        <v>71.426152100000039</v>
      </c>
      <c r="N67" s="10">
        <v>4.0459581732716181</v>
      </c>
      <c r="O67" s="10">
        <v>3.9323732590529237</v>
      </c>
      <c r="P67" s="10">
        <v>2932.5845994000001</v>
      </c>
      <c r="Q67" s="15"/>
      <c r="R67" s="15" t="e">
        <f t="shared" ca="1" si="23"/>
        <v>#N/A</v>
      </c>
      <c r="S67" s="1">
        <v>30</v>
      </c>
      <c r="V67" s="1" t="e">
        <f t="shared" ca="1" si="28"/>
        <v>#N/A</v>
      </c>
      <c r="W67" s="1" t="e">
        <f t="shared" ca="1" si="24"/>
        <v>#N/A</v>
      </c>
      <c r="Y67" s="10" t="e">
        <f t="shared" si="14"/>
        <v>#N/A</v>
      </c>
      <c r="Z67" s="10" t="e">
        <f t="shared" si="2"/>
        <v>#N/A</v>
      </c>
      <c r="AA67" s="10" t="e">
        <f t="shared" si="3"/>
        <v>#N/A</v>
      </c>
      <c r="AB67" s="10" t="e">
        <f t="shared" si="4"/>
        <v>#N/A</v>
      </c>
      <c r="AC67" s="10" t="e">
        <f t="shared" si="5"/>
        <v>#N/A</v>
      </c>
      <c r="AE67" s="10" t="str">
        <f t="shared" si="15"/>
        <v/>
      </c>
      <c r="AF67" s="10" t="str">
        <f t="shared" si="6"/>
        <v/>
      </c>
      <c r="AG67" s="10" t="str">
        <f t="shared" si="7"/>
        <v/>
      </c>
      <c r="AH67" s="10" t="str">
        <f t="shared" si="8"/>
        <v/>
      </c>
      <c r="AI67" s="10" t="str">
        <f t="shared" si="9"/>
        <v/>
      </c>
      <c r="AK67" s="10"/>
      <c r="AL67" s="10"/>
      <c r="AM67" s="10"/>
      <c r="AN67" s="10"/>
      <c r="AO67" s="10"/>
      <c r="AQ67" s="10"/>
      <c r="AR67" s="10"/>
      <c r="AS67" s="10"/>
      <c r="AT67" s="10"/>
      <c r="AU67" s="10"/>
      <c r="AW67" s="10" t="str">
        <f t="shared" si="16"/>
        <v/>
      </c>
      <c r="AX67" s="10" t="str">
        <f t="shared" si="10"/>
        <v/>
      </c>
      <c r="AY67" s="10" t="str">
        <f t="shared" si="11"/>
        <v/>
      </c>
      <c r="AZ67" s="10" t="str">
        <f t="shared" si="12"/>
        <v/>
      </c>
      <c r="BA67" s="10" t="str">
        <f t="shared" si="13"/>
        <v/>
      </c>
    </row>
    <row r="68" spans="2:53" x14ac:dyDescent="0.2">
      <c r="B68" s="10"/>
      <c r="C68" s="15"/>
      <c r="D68" s="15"/>
      <c r="F68" s="10" t="str">
        <f t="shared" si="22"/>
        <v>2017/2/14</v>
      </c>
      <c r="G68" s="14">
        <v>42780</v>
      </c>
      <c r="H68" s="10">
        <v>7.2048339999999991</v>
      </c>
      <c r="I68" s="10">
        <v>-3.663119500000001</v>
      </c>
      <c r="J68" s="10">
        <v>3.5417144999999999</v>
      </c>
      <c r="K68" s="10">
        <f t="shared" si="25"/>
        <v>171.73936310000002</v>
      </c>
      <c r="L68" s="10">
        <f t="shared" si="26"/>
        <v>-96.771496500000026</v>
      </c>
      <c r="M68" s="10">
        <f t="shared" si="27"/>
        <v>74.967866600000036</v>
      </c>
      <c r="N68" s="10">
        <v>4.108364379299231</v>
      </c>
      <c r="O68" s="10">
        <v>3.946313370473538</v>
      </c>
      <c r="P68" s="10">
        <v>2946.4426243000003</v>
      </c>
      <c r="Q68" s="15"/>
      <c r="R68" s="15" t="e">
        <f t="shared" ca="1" si="23"/>
        <v>#N/A</v>
      </c>
      <c r="S68" s="1">
        <v>31</v>
      </c>
      <c r="V68" s="1" t="e">
        <f t="shared" ca="1" si="28"/>
        <v>#N/A</v>
      </c>
      <c r="W68" s="1" t="e">
        <f t="shared" ca="1" si="24"/>
        <v>#N/A</v>
      </c>
      <c r="Y68" s="10" t="e">
        <f t="shared" si="14"/>
        <v>#N/A</v>
      </c>
      <c r="Z68" s="10" t="e">
        <f t="shared" si="2"/>
        <v>#N/A</v>
      </c>
      <c r="AA68" s="10" t="e">
        <f t="shared" si="3"/>
        <v>#N/A</v>
      </c>
      <c r="AB68" s="10" t="e">
        <f t="shared" si="4"/>
        <v>#N/A</v>
      </c>
      <c r="AC68" s="10" t="e">
        <f t="shared" si="5"/>
        <v>#N/A</v>
      </c>
      <c r="AE68" s="10" t="str">
        <f t="shared" si="15"/>
        <v/>
      </c>
      <c r="AF68" s="10" t="str">
        <f t="shared" si="6"/>
        <v/>
      </c>
      <c r="AG68" s="10" t="str">
        <f t="shared" si="7"/>
        <v/>
      </c>
      <c r="AH68" s="10" t="str">
        <f t="shared" si="8"/>
        <v/>
      </c>
      <c r="AI68" s="10" t="str">
        <f t="shared" si="9"/>
        <v/>
      </c>
      <c r="AK68" s="10"/>
      <c r="AL68" s="10"/>
      <c r="AM68" s="10"/>
      <c r="AN68" s="10"/>
      <c r="AO68" s="10"/>
      <c r="AQ68" s="10"/>
      <c r="AR68" s="10"/>
      <c r="AS68" s="10"/>
      <c r="AT68" s="10"/>
      <c r="AU68" s="10"/>
      <c r="AW68" s="10" t="str">
        <f t="shared" si="16"/>
        <v/>
      </c>
      <c r="AX68" s="10" t="str">
        <f t="shared" si="10"/>
        <v/>
      </c>
      <c r="AY68" s="10" t="str">
        <f t="shared" si="11"/>
        <v/>
      </c>
      <c r="AZ68" s="10" t="str">
        <f t="shared" si="12"/>
        <v/>
      </c>
      <c r="BA68" s="10" t="str">
        <f t="shared" si="13"/>
        <v/>
      </c>
    </row>
    <row r="69" spans="2:53" x14ac:dyDescent="0.2">
      <c r="B69" s="10"/>
      <c r="C69" s="15"/>
      <c r="D69" s="15"/>
      <c r="F69" s="10" t="str">
        <f t="shared" si="22"/>
        <v>2017/2/15</v>
      </c>
      <c r="G69" s="14">
        <v>42781</v>
      </c>
      <c r="H69" s="10">
        <v>4.032641700000001</v>
      </c>
      <c r="I69" s="10">
        <v>-3.1295348999999999</v>
      </c>
      <c r="J69" s="10">
        <v>0.90310679999999988</v>
      </c>
      <c r="K69" s="10">
        <f t="shared" si="25"/>
        <v>175.77200480000002</v>
      </c>
      <c r="L69" s="10">
        <f t="shared" si="26"/>
        <v>-99.901031400000022</v>
      </c>
      <c r="M69" s="10">
        <f t="shared" si="27"/>
        <v>75.87097340000004</v>
      </c>
      <c r="N69" s="10">
        <v>4.5604110395869482</v>
      </c>
      <c r="O69" s="10">
        <v>4.3110933147632311</v>
      </c>
      <c r="P69" s="10">
        <v>2951.5130363999997</v>
      </c>
      <c r="Q69" s="15"/>
      <c r="R69" s="15" t="e">
        <f t="shared" ca="1" si="23"/>
        <v>#N/A</v>
      </c>
      <c r="S69" s="1">
        <v>32</v>
      </c>
      <c r="V69" s="1" t="e">
        <f t="shared" ca="1" si="28"/>
        <v>#N/A</v>
      </c>
      <c r="W69" s="1" t="e">
        <f t="shared" ca="1" si="24"/>
        <v>#N/A</v>
      </c>
      <c r="Y69" s="10" t="e">
        <f t="shared" si="14"/>
        <v>#N/A</v>
      </c>
      <c r="Z69" s="10" t="e">
        <f t="shared" si="2"/>
        <v>#N/A</v>
      </c>
      <c r="AA69" s="10" t="e">
        <f t="shared" si="3"/>
        <v>#N/A</v>
      </c>
      <c r="AB69" s="10" t="e">
        <f t="shared" si="4"/>
        <v>#N/A</v>
      </c>
      <c r="AC69" s="10" t="e">
        <f t="shared" si="5"/>
        <v>#N/A</v>
      </c>
      <c r="AE69" s="10" t="str">
        <f t="shared" si="15"/>
        <v/>
      </c>
      <c r="AF69" s="10" t="str">
        <f t="shared" si="6"/>
        <v/>
      </c>
      <c r="AG69" s="10" t="str">
        <f t="shared" si="7"/>
        <v/>
      </c>
      <c r="AH69" s="10" t="str">
        <f t="shared" si="8"/>
        <v/>
      </c>
      <c r="AI69" s="10" t="str">
        <f t="shared" si="9"/>
        <v/>
      </c>
      <c r="AK69" s="10"/>
      <c r="AL69" s="10"/>
      <c r="AM69" s="10"/>
      <c r="AN69" s="10"/>
      <c r="AO69" s="10"/>
      <c r="AQ69" s="10"/>
      <c r="AR69" s="10"/>
      <c r="AS69" s="10"/>
      <c r="AT69" s="10"/>
      <c r="AU69" s="10"/>
      <c r="AW69" s="10" t="str">
        <f t="shared" si="16"/>
        <v/>
      </c>
      <c r="AX69" s="10" t="str">
        <f t="shared" si="10"/>
        <v/>
      </c>
      <c r="AY69" s="10" t="str">
        <f t="shared" si="11"/>
        <v/>
      </c>
      <c r="AZ69" s="10" t="str">
        <f t="shared" si="12"/>
        <v/>
      </c>
      <c r="BA69" s="10" t="str">
        <f t="shared" si="13"/>
        <v/>
      </c>
    </row>
    <row r="70" spans="2:53" x14ac:dyDescent="0.2">
      <c r="B70" s="10"/>
      <c r="C70" s="15"/>
      <c r="D70" s="15"/>
      <c r="F70" s="10" t="str">
        <f t="shared" si="22"/>
        <v>2017/2/16</v>
      </c>
      <c r="G70" s="14">
        <v>42782</v>
      </c>
      <c r="H70" s="10">
        <v>4.0377881000000002</v>
      </c>
      <c r="I70" s="10">
        <v>-3.4832741999999999</v>
      </c>
      <c r="J70" s="10">
        <v>0.55451389999999989</v>
      </c>
      <c r="K70" s="10">
        <f t="shared" si="25"/>
        <v>179.80979290000002</v>
      </c>
      <c r="L70" s="10">
        <f t="shared" si="26"/>
        <v>-103.38430560000002</v>
      </c>
      <c r="M70" s="10">
        <f t="shared" si="27"/>
        <v>76.425487300000043</v>
      </c>
      <c r="N70" s="10">
        <v>4.617640266421323</v>
      </c>
      <c r="O70" s="10">
        <v>4.4206732590529239</v>
      </c>
      <c r="P70" s="10">
        <v>2964.7583564000001</v>
      </c>
      <c r="Q70" s="15"/>
      <c r="R70" s="15" t="e">
        <f t="shared" ref="R70:R87" ca="1" si="29">RANK($D70,Attribute_Custom,0)</f>
        <v>#N/A</v>
      </c>
      <c r="S70" s="1">
        <v>33</v>
      </c>
      <c r="V70" s="1" t="e">
        <f t="shared" ca="1" si="28"/>
        <v>#N/A</v>
      </c>
      <c r="W70" s="1" t="e">
        <f t="shared" ca="1" si="24"/>
        <v>#N/A</v>
      </c>
      <c r="Y70" s="10" t="e">
        <f t="shared" si="14"/>
        <v>#N/A</v>
      </c>
      <c r="Z70" s="10" t="e">
        <f t="shared" si="2"/>
        <v>#N/A</v>
      </c>
      <c r="AA70" s="10" t="e">
        <f t="shared" si="3"/>
        <v>#N/A</v>
      </c>
      <c r="AB70" s="10" t="e">
        <f t="shared" si="4"/>
        <v>#N/A</v>
      </c>
      <c r="AC70" s="10" t="e">
        <f t="shared" si="5"/>
        <v>#N/A</v>
      </c>
      <c r="AE70" s="10" t="str">
        <f t="shared" si="15"/>
        <v/>
      </c>
      <c r="AF70" s="10" t="str">
        <f t="shared" si="6"/>
        <v/>
      </c>
      <c r="AG70" s="10" t="str">
        <f t="shared" si="7"/>
        <v/>
      </c>
      <c r="AH70" s="10" t="str">
        <f t="shared" si="8"/>
        <v/>
      </c>
      <c r="AI70" s="10" t="str">
        <f t="shared" si="9"/>
        <v/>
      </c>
      <c r="AK70" s="10"/>
      <c r="AL70" s="10"/>
      <c r="AM70" s="10"/>
      <c r="AN70" s="10"/>
      <c r="AO70" s="10"/>
      <c r="AQ70" s="10"/>
      <c r="AR70" s="10"/>
      <c r="AS70" s="10"/>
      <c r="AT70" s="10"/>
      <c r="AU70" s="10"/>
      <c r="AW70" s="10" t="str">
        <f t="shared" si="16"/>
        <v/>
      </c>
      <c r="AX70" s="10" t="str">
        <f t="shared" si="10"/>
        <v/>
      </c>
      <c r="AY70" s="10" t="str">
        <f t="shared" si="11"/>
        <v/>
      </c>
      <c r="AZ70" s="10" t="str">
        <f t="shared" si="12"/>
        <v/>
      </c>
      <c r="BA70" s="10" t="str">
        <f t="shared" si="13"/>
        <v/>
      </c>
    </row>
    <row r="71" spans="2:53" x14ac:dyDescent="0.2">
      <c r="B71" s="10"/>
      <c r="C71" s="15"/>
      <c r="D71" s="15"/>
      <c r="F71" s="10" t="str">
        <f t="shared" si="22"/>
        <v>2017/2/17</v>
      </c>
      <c r="G71" s="14">
        <v>42783</v>
      </c>
      <c r="H71" s="10">
        <v>3.2783037000000004</v>
      </c>
      <c r="I71" s="10">
        <v>-4.8455779999999997</v>
      </c>
      <c r="J71" s="10">
        <v>-1.5672743000000002</v>
      </c>
      <c r="K71" s="10">
        <f t="shared" si="25"/>
        <v>183.08809660000003</v>
      </c>
      <c r="L71" s="10">
        <f t="shared" si="26"/>
        <v>-108.22988360000002</v>
      </c>
      <c r="M71" s="10">
        <f t="shared" si="27"/>
        <v>74.858213000000049</v>
      </c>
      <c r="N71" s="10">
        <v>4.591703912801103</v>
      </c>
      <c r="O71" s="10">
        <v>4.2957359331476317</v>
      </c>
      <c r="P71" s="10">
        <v>2966.8492772000004</v>
      </c>
      <c r="Q71" s="15"/>
      <c r="R71" s="15" t="e">
        <f t="shared" ca="1" si="29"/>
        <v>#N/A</v>
      </c>
      <c r="S71" s="1">
        <v>34</v>
      </c>
      <c r="V71" s="1" t="e">
        <f t="shared" ref="V71:V87" ca="1" si="30">INDEX(Attribute,MATCH($S71,OFFSET($R$38,0,0,$D$36),0))</f>
        <v>#N/A</v>
      </c>
      <c r="W71" s="1" t="e">
        <f t="shared" ca="1" si="24"/>
        <v>#N/A</v>
      </c>
      <c r="Y71" s="10" t="e">
        <f t="shared" si="14"/>
        <v>#N/A</v>
      </c>
      <c r="Z71" s="10" t="e">
        <f t="shared" si="2"/>
        <v>#N/A</v>
      </c>
      <c r="AA71" s="10" t="e">
        <f t="shared" si="3"/>
        <v>#N/A</v>
      </c>
      <c r="AB71" s="10" t="e">
        <f t="shared" si="4"/>
        <v>#N/A</v>
      </c>
      <c r="AC71" s="10" t="e">
        <f t="shared" si="5"/>
        <v>#N/A</v>
      </c>
      <c r="AE71" s="10" t="str">
        <f t="shared" si="15"/>
        <v/>
      </c>
      <c r="AF71" s="10" t="str">
        <f t="shared" si="6"/>
        <v/>
      </c>
      <c r="AG71" s="10" t="str">
        <f t="shared" si="7"/>
        <v/>
      </c>
      <c r="AH71" s="10" t="str">
        <f t="shared" si="8"/>
        <v/>
      </c>
      <c r="AI71" s="10" t="str">
        <f t="shared" si="9"/>
        <v/>
      </c>
      <c r="AK71" s="10"/>
      <c r="AL71" s="10"/>
      <c r="AM71" s="10"/>
      <c r="AN71" s="10"/>
      <c r="AO71" s="10"/>
      <c r="AQ71" s="10"/>
      <c r="AR71" s="10"/>
      <c r="AS71" s="10"/>
      <c r="AT71" s="10"/>
      <c r="AU71" s="10"/>
      <c r="AW71" s="10" t="str">
        <f t="shared" si="16"/>
        <v/>
      </c>
      <c r="AX71" s="10" t="str">
        <f t="shared" si="10"/>
        <v/>
      </c>
      <c r="AY71" s="10" t="str">
        <f t="shared" si="11"/>
        <v/>
      </c>
      <c r="AZ71" s="10" t="str">
        <f t="shared" si="12"/>
        <v/>
      </c>
      <c r="BA71" s="10" t="str">
        <f t="shared" si="13"/>
        <v/>
      </c>
    </row>
    <row r="72" spans="2:53" x14ac:dyDescent="0.2">
      <c r="B72" s="10"/>
      <c r="C72" s="15"/>
      <c r="D72" s="15"/>
      <c r="F72" s="10" t="str">
        <f t="shared" si="22"/>
        <v>2017/2/20</v>
      </c>
      <c r="G72" s="14">
        <v>42786</v>
      </c>
      <c r="H72" s="10">
        <v>0.24046360000000003</v>
      </c>
      <c r="I72" s="10">
        <v>-0.33036769999999999</v>
      </c>
      <c r="J72" s="10">
        <v>-8.9904100000000001E-2</v>
      </c>
      <c r="K72" s="10">
        <f t="shared" si="25"/>
        <v>183.32856020000003</v>
      </c>
      <c r="L72" s="10">
        <f t="shared" si="26"/>
        <v>-108.56025130000002</v>
      </c>
      <c r="M72" s="10">
        <f t="shared" si="27"/>
        <v>74.768308900000051</v>
      </c>
      <c r="N72" s="10">
        <v>4.8434841308180596</v>
      </c>
      <c r="O72" s="10">
        <v>4.5564002785515294</v>
      </c>
      <c r="P72" s="10">
        <v>2964.6226623000011</v>
      </c>
      <c r="Q72" s="15"/>
      <c r="R72" s="15" t="e">
        <f t="shared" ca="1" si="29"/>
        <v>#N/A</v>
      </c>
      <c r="S72" s="1">
        <v>35</v>
      </c>
      <c r="V72" s="1" t="e">
        <f t="shared" ca="1" si="30"/>
        <v>#N/A</v>
      </c>
      <c r="W72" s="1" t="e">
        <f t="shared" ca="1" si="24"/>
        <v>#N/A</v>
      </c>
      <c r="Y72" s="10" t="e">
        <f t="shared" si="14"/>
        <v>#N/A</v>
      </c>
      <c r="Z72" s="10" t="e">
        <f t="shared" si="2"/>
        <v>#N/A</v>
      </c>
      <c r="AA72" s="10" t="e">
        <f t="shared" si="3"/>
        <v>#N/A</v>
      </c>
      <c r="AB72" s="10" t="e">
        <f t="shared" si="4"/>
        <v>#N/A</v>
      </c>
      <c r="AC72" s="10" t="e">
        <f t="shared" si="5"/>
        <v>#N/A</v>
      </c>
      <c r="AE72" s="10" t="str">
        <f t="shared" si="15"/>
        <v/>
      </c>
      <c r="AF72" s="10" t="str">
        <f t="shared" si="6"/>
        <v/>
      </c>
      <c r="AG72" s="10" t="str">
        <f t="shared" si="7"/>
        <v/>
      </c>
      <c r="AH72" s="10" t="str">
        <f t="shared" si="8"/>
        <v/>
      </c>
      <c r="AI72" s="10" t="str">
        <f t="shared" si="9"/>
        <v/>
      </c>
      <c r="AK72" s="10"/>
      <c r="AL72" s="10"/>
      <c r="AM72" s="10"/>
      <c r="AN72" s="10"/>
      <c r="AO72" s="10"/>
      <c r="AQ72" s="10"/>
      <c r="AR72" s="10"/>
      <c r="AS72" s="10"/>
      <c r="AT72" s="10"/>
      <c r="AU72" s="10"/>
      <c r="AW72" s="10" t="str">
        <f t="shared" si="16"/>
        <v/>
      </c>
      <c r="AX72" s="10" t="str">
        <f t="shared" si="10"/>
        <v/>
      </c>
      <c r="AY72" s="10" t="str">
        <f t="shared" si="11"/>
        <v/>
      </c>
      <c r="AZ72" s="10" t="str">
        <f t="shared" si="12"/>
        <v/>
      </c>
      <c r="BA72" s="10" t="str">
        <f t="shared" si="13"/>
        <v/>
      </c>
    </row>
    <row r="73" spans="2:53" x14ac:dyDescent="0.2">
      <c r="B73" s="10"/>
      <c r="C73" s="15"/>
      <c r="D73" s="15"/>
      <c r="F73" s="10" t="str">
        <f t="shared" si="22"/>
        <v>2017/2/21</v>
      </c>
      <c r="G73" s="14">
        <v>42787</v>
      </c>
      <c r="H73" s="10">
        <v>7.3286031999999972</v>
      </c>
      <c r="I73" s="10">
        <v>-1.3552131000000001</v>
      </c>
      <c r="J73" s="10">
        <v>5.9733900999999978</v>
      </c>
      <c r="K73" s="10">
        <f t="shared" si="25"/>
        <v>190.65716340000003</v>
      </c>
      <c r="L73" s="10">
        <f t="shared" si="26"/>
        <v>-109.91546440000002</v>
      </c>
      <c r="M73" s="10">
        <f t="shared" si="27"/>
        <v>80.741699000000054</v>
      </c>
      <c r="N73" s="10">
        <v>5.0792832021595942</v>
      </c>
      <c r="O73" s="10">
        <v>4.737834818941506</v>
      </c>
      <c r="P73" s="10">
        <v>2974.6235586000003</v>
      </c>
      <c r="Q73" s="15"/>
      <c r="R73" s="15" t="e">
        <f t="shared" ca="1" si="29"/>
        <v>#N/A</v>
      </c>
      <c r="S73" s="1">
        <v>36</v>
      </c>
      <c r="V73" s="1" t="e">
        <f t="shared" ca="1" si="30"/>
        <v>#N/A</v>
      </c>
      <c r="W73" s="1" t="e">
        <f t="shared" ca="1" si="24"/>
        <v>#N/A</v>
      </c>
      <c r="Y73" s="10" t="e">
        <f t="shared" si="14"/>
        <v>#N/A</v>
      </c>
      <c r="Z73" s="10" t="e">
        <f t="shared" si="2"/>
        <v>#N/A</v>
      </c>
      <c r="AA73" s="10" t="e">
        <f t="shared" si="3"/>
        <v>#N/A</v>
      </c>
      <c r="AB73" s="10" t="e">
        <f t="shared" si="4"/>
        <v>#N/A</v>
      </c>
      <c r="AC73" s="10" t="e">
        <f t="shared" si="5"/>
        <v>#N/A</v>
      </c>
      <c r="AE73" s="10" t="str">
        <f t="shared" si="15"/>
        <v/>
      </c>
      <c r="AF73" s="10" t="str">
        <f t="shared" si="6"/>
        <v/>
      </c>
      <c r="AG73" s="10" t="str">
        <f t="shared" si="7"/>
        <v/>
      </c>
      <c r="AH73" s="10" t="str">
        <f t="shared" si="8"/>
        <v/>
      </c>
      <c r="AI73" s="10" t="str">
        <f t="shared" si="9"/>
        <v/>
      </c>
      <c r="AK73" s="10"/>
      <c r="AL73" s="10"/>
      <c r="AM73" s="10"/>
      <c r="AN73" s="10"/>
      <c r="AO73" s="10"/>
      <c r="AQ73" s="10"/>
      <c r="AR73" s="10"/>
      <c r="AS73" s="10"/>
      <c r="AT73" s="10"/>
      <c r="AU73" s="10"/>
      <c r="AW73" s="10" t="str">
        <f t="shared" si="16"/>
        <v/>
      </c>
      <c r="AX73" s="10" t="str">
        <f t="shared" si="10"/>
        <v/>
      </c>
      <c r="AY73" s="10" t="str">
        <f t="shared" si="11"/>
        <v/>
      </c>
      <c r="AZ73" s="10" t="str">
        <f t="shared" si="12"/>
        <v/>
      </c>
      <c r="BA73" s="10" t="str">
        <f t="shared" si="13"/>
        <v/>
      </c>
    </row>
    <row r="74" spans="2:53" x14ac:dyDescent="0.2">
      <c r="B74" s="10"/>
      <c r="C74" s="15"/>
      <c r="D74" s="15"/>
      <c r="F74" s="10" t="str">
        <f t="shared" si="22"/>
        <v>2017/2/22</v>
      </c>
      <c r="G74" s="14">
        <v>42788</v>
      </c>
      <c r="H74" s="10">
        <v>6.0320536999999996</v>
      </c>
      <c r="I74" s="10">
        <v>-3.0465972999999997</v>
      </c>
      <c r="J74" s="10">
        <v>2.9854563999999995</v>
      </c>
      <c r="K74" s="10">
        <f t="shared" si="25"/>
        <v>196.68921710000004</v>
      </c>
      <c r="L74" s="10">
        <f t="shared" si="26"/>
        <v>-112.96206170000002</v>
      </c>
      <c r="M74" s="10">
        <f t="shared" si="27"/>
        <v>83.727155400000058</v>
      </c>
      <c r="N74" s="10">
        <v>5.0177077729749611</v>
      </c>
      <c r="O74" s="10">
        <v>4.6623381615598882</v>
      </c>
      <c r="P74" s="10">
        <v>2984.1503865999989</v>
      </c>
      <c r="Q74" s="15"/>
      <c r="R74" s="15" t="e">
        <f t="shared" ca="1" si="29"/>
        <v>#N/A</v>
      </c>
      <c r="S74" s="1">
        <v>37</v>
      </c>
      <c r="V74" s="1" t="e">
        <f t="shared" ca="1" si="30"/>
        <v>#N/A</v>
      </c>
      <c r="W74" s="1" t="e">
        <f t="shared" ca="1" si="24"/>
        <v>#N/A</v>
      </c>
      <c r="Y74" s="10" t="e">
        <f t="shared" si="14"/>
        <v>#N/A</v>
      </c>
      <c r="Z74" s="10" t="e">
        <f t="shared" si="2"/>
        <v>#N/A</v>
      </c>
      <c r="AA74" s="10" t="e">
        <f t="shared" si="3"/>
        <v>#N/A</v>
      </c>
      <c r="AB74" s="10" t="e">
        <f t="shared" si="4"/>
        <v>#N/A</v>
      </c>
      <c r="AC74" s="10" t="e">
        <f t="shared" si="5"/>
        <v>#N/A</v>
      </c>
      <c r="AE74" s="10" t="str">
        <f t="shared" si="15"/>
        <v/>
      </c>
      <c r="AF74" s="10" t="str">
        <f t="shared" si="6"/>
        <v/>
      </c>
      <c r="AG74" s="10" t="str">
        <f t="shared" si="7"/>
        <v/>
      </c>
      <c r="AH74" s="10" t="str">
        <f t="shared" si="8"/>
        <v/>
      </c>
      <c r="AI74" s="10" t="str">
        <f t="shared" si="9"/>
        <v/>
      </c>
      <c r="AK74" s="10"/>
      <c r="AL74" s="10"/>
      <c r="AM74" s="10"/>
      <c r="AN74" s="10"/>
      <c r="AO74" s="10"/>
      <c r="AQ74" s="10"/>
      <c r="AR74" s="10"/>
      <c r="AS74" s="10"/>
      <c r="AT74" s="10"/>
      <c r="AU74" s="10"/>
      <c r="AW74" s="10" t="str">
        <f t="shared" si="16"/>
        <v/>
      </c>
      <c r="AX74" s="10" t="str">
        <f t="shared" si="10"/>
        <v/>
      </c>
      <c r="AY74" s="10" t="str">
        <f t="shared" si="11"/>
        <v/>
      </c>
      <c r="AZ74" s="10" t="str">
        <f t="shared" si="12"/>
        <v/>
      </c>
      <c r="BA74" s="10" t="str">
        <f t="shared" si="13"/>
        <v/>
      </c>
    </row>
    <row r="75" spans="2:53" x14ac:dyDescent="0.2">
      <c r="B75" s="10"/>
      <c r="C75" s="15"/>
      <c r="D75" s="15"/>
      <c r="F75" s="10" t="str">
        <f t="shared" si="22"/>
        <v>2017/2/23</v>
      </c>
      <c r="G75" s="14">
        <v>42789</v>
      </c>
      <c r="H75" s="10">
        <v>5.2346851999999986</v>
      </c>
      <c r="I75" s="10">
        <v>-2.3441133000000005</v>
      </c>
      <c r="J75" s="10">
        <v>2.8905718999999999</v>
      </c>
      <c r="K75" s="10">
        <f t="shared" si="25"/>
        <v>201.92390230000004</v>
      </c>
      <c r="L75" s="10">
        <f t="shared" si="26"/>
        <v>-115.30617500000002</v>
      </c>
      <c r="M75" s="10">
        <f t="shared" si="27"/>
        <v>86.617727300000055</v>
      </c>
      <c r="N75" s="10">
        <v>5.1224740832859732</v>
      </c>
      <c r="O75" s="10">
        <v>4.8168236768802242</v>
      </c>
      <c r="P75" s="10">
        <v>2985.3229927000002</v>
      </c>
      <c r="Q75" s="15"/>
      <c r="R75" s="15" t="e">
        <f t="shared" ca="1" si="29"/>
        <v>#N/A</v>
      </c>
      <c r="S75" s="1">
        <v>38</v>
      </c>
      <c r="V75" s="1" t="e">
        <f t="shared" ca="1" si="30"/>
        <v>#N/A</v>
      </c>
      <c r="W75" s="1" t="e">
        <f t="shared" ca="1" si="24"/>
        <v>#N/A</v>
      </c>
      <c r="Y75" s="10" t="e">
        <f t="shared" si="14"/>
        <v>#N/A</v>
      </c>
      <c r="Z75" s="10" t="e">
        <f t="shared" ref="Z75:Z138" si="31">IF($W$5=1,IF(AL75="",NA(),AL75),IF($W$5=2,IF(AF75="",NA(),AF75),IF($W$5=3,IF(AX75="",NA(),AX75),IF($W$5=4,IF(AR75="",NA(),AR75)))))</f>
        <v>#N/A</v>
      </c>
      <c r="AA75" s="10" t="e">
        <f t="shared" ref="AA75:AA138" si="32">IF($W$5=1,IF(AM75="",NA(),AM75),IF($W$5=2,IF(AG75="",NA(),AG75),IF($W$5=3,IF(AY75="",NA(),AY75),IF($W$5=4,IF(AS75="",NA(),AS75)))))</f>
        <v>#N/A</v>
      </c>
      <c r="AB75" s="10" t="e">
        <f t="shared" ref="AB75:AB138" si="33">IF($W$5=1,IF(AN75="",NA(),AN75),IF($W$5=2,IF(AH75="",NA(),AH75),IF($W$5=3,IF(AZ75="",NA(),AZ75),IF($W$5=4,IF(AT75="",NA(),AT75)))))</f>
        <v>#N/A</v>
      </c>
      <c r="AC75" s="10" t="e">
        <f t="shared" ref="AC75:AC138" si="34">IF($W$5=1,IF(AO75="",NA(),AO75),IF($W$5=2,IF(AI75="",NA(),AI75),IF($W$5=3,IF(BA75="",NA(),BA75),IF($W$5=4,IF(AU75="",NA(),AU75)))))</f>
        <v>#N/A</v>
      </c>
      <c r="AE75" s="10" t="str">
        <f t="shared" si="15"/>
        <v/>
      </c>
      <c r="AF75" s="10" t="str">
        <f t="shared" ref="AF75:AF138" si="35">IF(AL75="","",AL75/AR75*100)</f>
        <v/>
      </c>
      <c r="AG75" s="10" t="str">
        <f t="shared" ref="AG75:AG138" si="36">IF(AM75="","",AM75/AS75*100)</f>
        <v/>
      </c>
      <c r="AH75" s="10" t="str">
        <f t="shared" ref="AH75:AH138" si="37">IF(AN75="","",AN75/AT75*100)</f>
        <v/>
      </c>
      <c r="AI75" s="10" t="str">
        <f t="shared" ref="AI75:AI138" si="38">IF(AO75="","",AO75/AU75*100)</f>
        <v/>
      </c>
      <c r="AK75" s="10"/>
      <c r="AL75" s="10"/>
      <c r="AM75" s="10"/>
      <c r="AN75" s="10"/>
      <c r="AO75" s="10"/>
      <c r="AQ75" s="10"/>
      <c r="AR75" s="10"/>
      <c r="AS75" s="10"/>
      <c r="AT75" s="10"/>
      <c r="AU75" s="10"/>
      <c r="AW75" s="10" t="str">
        <f t="shared" si="16"/>
        <v/>
      </c>
      <c r="AX75" s="10" t="str">
        <f t="shared" ref="AX75:AX138" si="39">IF(AL$11="","",100+AF75)</f>
        <v/>
      </c>
      <c r="AY75" s="10" t="str">
        <f t="shared" ref="AY75:AY138" si="40">IF(AM$11="","",100+AG75)</f>
        <v/>
      </c>
      <c r="AZ75" s="10" t="str">
        <f t="shared" ref="AZ75:AZ138" si="41">IF(AN$11="","",100+AH75)</f>
        <v/>
      </c>
      <c r="BA75" s="10" t="str">
        <f t="shared" ref="BA75:BA138" si="42">IF(AO$11="","",100+AI75)</f>
        <v/>
      </c>
    </row>
    <row r="76" spans="2:53" x14ac:dyDescent="0.2">
      <c r="B76" s="10"/>
      <c r="C76" s="15"/>
      <c r="D76" s="15"/>
      <c r="F76" s="10" t="str">
        <f t="shared" si="22"/>
        <v>2017/2/24</v>
      </c>
      <c r="G76" s="14">
        <v>42790</v>
      </c>
      <c r="H76" s="10">
        <v>5.3518571000000001</v>
      </c>
      <c r="I76" s="10">
        <v>-1.3441757999999999</v>
      </c>
      <c r="J76" s="10">
        <v>4.0076812999999998</v>
      </c>
      <c r="K76" s="10">
        <f t="shared" si="25"/>
        <v>207.27575940000003</v>
      </c>
      <c r="L76" s="10">
        <f t="shared" si="26"/>
        <v>-116.65035080000003</v>
      </c>
      <c r="M76" s="10">
        <f t="shared" si="27"/>
        <v>90.625408600000057</v>
      </c>
      <c r="N76" s="10">
        <v>5.0439377579598208</v>
      </c>
      <c r="O76" s="10">
        <v>4.6392105849582181</v>
      </c>
      <c r="P76" s="10">
        <v>2991.2174947999993</v>
      </c>
      <c r="Q76" s="15"/>
      <c r="R76" s="15" t="e">
        <f t="shared" ca="1" si="29"/>
        <v>#N/A</v>
      </c>
      <c r="S76" s="1">
        <v>39</v>
      </c>
      <c r="V76" s="1" t="e">
        <f t="shared" ca="1" si="30"/>
        <v>#N/A</v>
      </c>
      <c r="W76" s="1" t="e">
        <f t="shared" ca="1" si="24"/>
        <v>#N/A</v>
      </c>
      <c r="Y76" s="10" t="e">
        <f t="shared" ref="Y76:Y139" si="43">IF($W$5=1,IF(AK76="",NA(),AK76),IF($W$5=2,IF(AE76="",NA(),AE76),IF($W$5=3,IF(AW76="",NA(),AW76),IF($W$5=4,IF(AQ76="",NA(),AQ76)))))</f>
        <v>#N/A</v>
      </c>
      <c r="Z76" s="10" t="e">
        <f t="shared" si="31"/>
        <v>#N/A</v>
      </c>
      <c r="AA76" s="10" t="e">
        <f t="shared" si="32"/>
        <v>#N/A</v>
      </c>
      <c r="AB76" s="10" t="e">
        <f t="shared" si="33"/>
        <v>#N/A</v>
      </c>
      <c r="AC76" s="10" t="e">
        <f t="shared" si="34"/>
        <v>#N/A</v>
      </c>
      <c r="AE76" s="10" t="str">
        <f t="shared" ref="AE76:AE139" si="44">IF(AK76="","",AK76/AQ76*100)</f>
        <v/>
      </c>
      <c r="AF76" s="10" t="str">
        <f t="shared" si="35"/>
        <v/>
      </c>
      <c r="AG76" s="10" t="str">
        <f t="shared" si="36"/>
        <v/>
      </c>
      <c r="AH76" s="10" t="str">
        <f t="shared" si="37"/>
        <v/>
      </c>
      <c r="AI76" s="10" t="str">
        <f t="shared" si="38"/>
        <v/>
      </c>
      <c r="AK76" s="10"/>
      <c r="AL76" s="10"/>
      <c r="AM76" s="10"/>
      <c r="AN76" s="10"/>
      <c r="AO76" s="10"/>
      <c r="AQ76" s="10"/>
      <c r="AR76" s="10"/>
      <c r="AS76" s="10"/>
      <c r="AT76" s="10"/>
      <c r="AU76" s="10"/>
      <c r="AW76" s="10" t="str">
        <f t="shared" ref="AW76:AW139" si="45">IF(AK$11="","",100+AE76)</f>
        <v/>
      </c>
      <c r="AX76" s="10" t="str">
        <f t="shared" si="39"/>
        <v/>
      </c>
      <c r="AY76" s="10" t="str">
        <f t="shared" si="40"/>
        <v/>
      </c>
      <c r="AZ76" s="10" t="str">
        <f t="shared" si="41"/>
        <v/>
      </c>
      <c r="BA76" s="10" t="str">
        <f t="shared" si="42"/>
        <v/>
      </c>
    </row>
    <row r="77" spans="2:53" x14ac:dyDescent="0.2">
      <c r="B77" s="10"/>
      <c r="C77" s="15"/>
      <c r="D77" s="15"/>
      <c r="F77" s="10" t="str">
        <f t="shared" si="22"/>
        <v>2017/2/27</v>
      </c>
      <c r="G77" s="14">
        <v>42793</v>
      </c>
      <c r="H77" s="10">
        <v>3.5972474999999999</v>
      </c>
      <c r="I77" s="10">
        <v>-1.9825745999999991</v>
      </c>
      <c r="J77" s="10">
        <v>1.6146729000000006</v>
      </c>
      <c r="K77" s="10">
        <f t="shared" si="25"/>
        <v>210.87300690000004</v>
      </c>
      <c r="L77" s="10">
        <f t="shared" si="26"/>
        <v>-118.63292540000002</v>
      </c>
      <c r="M77" s="10">
        <f t="shared" si="27"/>
        <v>92.240081500000059</v>
      </c>
      <c r="N77" s="10">
        <v>5.0495596046553937</v>
      </c>
      <c r="O77" s="10">
        <v>4.6071812441968385</v>
      </c>
      <c r="P77" s="10">
        <v>2993.0363263999998</v>
      </c>
      <c r="Q77" s="15"/>
      <c r="R77" s="15" t="e">
        <f t="shared" ca="1" si="29"/>
        <v>#N/A</v>
      </c>
      <c r="S77" s="1">
        <v>40</v>
      </c>
      <c r="V77" s="1" t="e">
        <f t="shared" ca="1" si="30"/>
        <v>#N/A</v>
      </c>
      <c r="W77" s="1" t="e">
        <f t="shared" ca="1" si="24"/>
        <v>#N/A</v>
      </c>
      <c r="Y77" s="10" t="e">
        <f t="shared" si="43"/>
        <v>#N/A</v>
      </c>
      <c r="Z77" s="10" t="e">
        <f t="shared" si="31"/>
        <v>#N/A</v>
      </c>
      <c r="AA77" s="10" t="e">
        <f t="shared" si="32"/>
        <v>#N/A</v>
      </c>
      <c r="AB77" s="10" t="e">
        <f t="shared" si="33"/>
        <v>#N/A</v>
      </c>
      <c r="AC77" s="10" t="e">
        <f t="shared" si="34"/>
        <v>#N/A</v>
      </c>
      <c r="AE77" s="10" t="str">
        <f t="shared" si="44"/>
        <v/>
      </c>
      <c r="AF77" s="10" t="str">
        <f t="shared" si="35"/>
        <v/>
      </c>
      <c r="AG77" s="10" t="str">
        <f t="shared" si="36"/>
        <v/>
      </c>
      <c r="AH77" s="10" t="str">
        <f t="shared" si="37"/>
        <v/>
      </c>
      <c r="AI77" s="10" t="str">
        <f t="shared" si="38"/>
        <v/>
      </c>
      <c r="AK77" s="10"/>
      <c r="AL77" s="10"/>
      <c r="AM77" s="10"/>
      <c r="AN77" s="10"/>
      <c r="AO77" s="10"/>
      <c r="AQ77" s="10"/>
      <c r="AR77" s="10"/>
      <c r="AS77" s="10"/>
      <c r="AT77" s="10"/>
      <c r="AU77" s="10"/>
      <c r="AW77" s="10" t="str">
        <f t="shared" si="45"/>
        <v/>
      </c>
      <c r="AX77" s="10" t="str">
        <f t="shared" si="39"/>
        <v/>
      </c>
      <c r="AY77" s="10" t="str">
        <f t="shared" si="40"/>
        <v/>
      </c>
      <c r="AZ77" s="10" t="str">
        <f t="shared" si="41"/>
        <v/>
      </c>
      <c r="BA77" s="10" t="str">
        <f t="shared" si="42"/>
        <v/>
      </c>
    </row>
    <row r="78" spans="2:53" x14ac:dyDescent="0.2">
      <c r="B78" s="10"/>
      <c r="C78" s="15"/>
      <c r="D78" s="15"/>
      <c r="F78" s="10" t="str">
        <f t="shared" si="22"/>
        <v>2017/2/28</v>
      </c>
      <c r="G78" s="14">
        <v>42794</v>
      </c>
      <c r="H78" s="10">
        <v>6.6157897999999999</v>
      </c>
      <c r="I78" s="10">
        <v>-2.6522827999999992</v>
      </c>
      <c r="J78" s="10">
        <v>3.963506999999999</v>
      </c>
      <c r="K78" s="10">
        <f t="shared" si="25"/>
        <v>217.48879670000002</v>
      </c>
      <c r="L78" s="10">
        <f t="shared" si="26"/>
        <v>-121.28520820000001</v>
      </c>
      <c r="M78" s="10">
        <f t="shared" si="27"/>
        <v>96.203588500000052</v>
      </c>
      <c r="N78" s="10">
        <v>4.7423259497478494</v>
      </c>
      <c r="O78" s="10">
        <v>4.338950510677809</v>
      </c>
      <c r="P78" s="10">
        <v>2995.3506855000001</v>
      </c>
      <c r="Q78" s="15"/>
      <c r="R78" s="15" t="e">
        <f t="shared" ca="1" si="29"/>
        <v>#N/A</v>
      </c>
      <c r="S78" s="1">
        <v>41</v>
      </c>
      <c r="V78" s="1" t="e">
        <f t="shared" ca="1" si="30"/>
        <v>#N/A</v>
      </c>
      <c r="W78" s="1" t="e">
        <f t="shared" ca="1" si="24"/>
        <v>#N/A</v>
      </c>
      <c r="Y78" s="10" t="e">
        <f t="shared" si="43"/>
        <v>#N/A</v>
      </c>
      <c r="Z78" s="10" t="e">
        <f t="shared" si="31"/>
        <v>#N/A</v>
      </c>
      <c r="AA78" s="10" t="e">
        <f t="shared" si="32"/>
        <v>#N/A</v>
      </c>
      <c r="AB78" s="10" t="e">
        <f t="shared" si="33"/>
        <v>#N/A</v>
      </c>
      <c r="AC78" s="10" t="e">
        <f t="shared" si="34"/>
        <v>#N/A</v>
      </c>
      <c r="AE78" s="10" t="str">
        <f t="shared" si="44"/>
        <v/>
      </c>
      <c r="AF78" s="10" t="str">
        <f t="shared" si="35"/>
        <v/>
      </c>
      <c r="AG78" s="10" t="str">
        <f t="shared" si="36"/>
        <v/>
      </c>
      <c r="AH78" s="10" t="str">
        <f t="shared" si="37"/>
        <v/>
      </c>
      <c r="AI78" s="10" t="str">
        <f t="shared" si="38"/>
        <v/>
      </c>
      <c r="AK78" s="10"/>
      <c r="AL78" s="10"/>
      <c r="AM78" s="10"/>
      <c r="AN78" s="10"/>
      <c r="AO78" s="10"/>
      <c r="AQ78" s="10"/>
      <c r="AR78" s="10"/>
      <c r="AS78" s="10"/>
      <c r="AT78" s="10"/>
      <c r="AU78" s="10"/>
      <c r="AW78" s="10" t="str">
        <f t="shared" si="45"/>
        <v/>
      </c>
      <c r="AX78" s="10" t="str">
        <f t="shared" si="39"/>
        <v/>
      </c>
      <c r="AY78" s="10" t="str">
        <f t="shared" si="40"/>
        <v/>
      </c>
      <c r="AZ78" s="10" t="str">
        <f t="shared" si="41"/>
        <v/>
      </c>
      <c r="BA78" s="10" t="str">
        <f t="shared" si="42"/>
        <v/>
      </c>
    </row>
    <row r="79" spans="2:53" x14ac:dyDescent="0.2">
      <c r="B79" s="10"/>
      <c r="C79" s="15"/>
      <c r="D79" s="15"/>
      <c r="F79" s="10" t="str">
        <f t="shared" si="22"/>
        <v>2017/3/1</v>
      </c>
      <c r="G79" s="14">
        <v>42795</v>
      </c>
      <c r="H79" s="10">
        <v>13.0975363</v>
      </c>
      <c r="I79" s="10">
        <v>-2.3625896000000002</v>
      </c>
      <c r="J79" s="10">
        <v>10.734946699999998</v>
      </c>
      <c r="K79" s="10">
        <f t="shared" si="25"/>
        <v>230.58633300000002</v>
      </c>
      <c r="L79" s="10">
        <f t="shared" si="26"/>
        <v>-123.64779780000002</v>
      </c>
      <c r="M79" s="10">
        <f t="shared" si="27"/>
        <v>106.93853520000005</v>
      </c>
      <c r="N79" s="10">
        <v>5.6841794655798035</v>
      </c>
      <c r="O79" s="10">
        <v>5.0730972144846787</v>
      </c>
      <c r="P79" s="10">
        <v>2990.5195756999997</v>
      </c>
      <c r="Q79" s="15"/>
      <c r="R79" s="15" t="e">
        <f t="shared" ca="1" si="29"/>
        <v>#N/A</v>
      </c>
      <c r="S79" s="1">
        <v>42</v>
      </c>
      <c r="V79" s="1" t="e">
        <f t="shared" ca="1" si="30"/>
        <v>#N/A</v>
      </c>
      <c r="W79" s="1" t="e">
        <f t="shared" ca="1" si="24"/>
        <v>#N/A</v>
      </c>
      <c r="Y79" s="10" t="e">
        <f t="shared" si="43"/>
        <v>#N/A</v>
      </c>
      <c r="Z79" s="10" t="e">
        <f t="shared" si="31"/>
        <v>#N/A</v>
      </c>
      <c r="AA79" s="10" t="e">
        <f t="shared" si="32"/>
        <v>#N/A</v>
      </c>
      <c r="AB79" s="10" t="e">
        <f t="shared" si="33"/>
        <v>#N/A</v>
      </c>
      <c r="AC79" s="10" t="e">
        <f t="shared" si="34"/>
        <v>#N/A</v>
      </c>
      <c r="AE79" s="10" t="str">
        <f t="shared" si="44"/>
        <v/>
      </c>
      <c r="AF79" s="10" t="str">
        <f t="shared" si="35"/>
        <v/>
      </c>
      <c r="AG79" s="10" t="str">
        <f t="shared" si="36"/>
        <v/>
      </c>
      <c r="AH79" s="10" t="str">
        <f t="shared" si="37"/>
        <v/>
      </c>
      <c r="AI79" s="10" t="str">
        <f t="shared" si="38"/>
        <v/>
      </c>
      <c r="AK79" s="10"/>
      <c r="AL79" s="10"/>
      <c r="AM79" s="10"/>
      <c r="AN79" s="10"/>
      <c r="AO79" s="10"/>
      <c r="AQ79" s="10"/>
      <c r="AR79" s="10"/>
      <c r="AS79" s="10"/>
      <c r="AT79" s="10"/>
      <c r="AU79" s="10"/>
      <c r="AW79" s="10" t="str">
        <f t="shared" si="45"/>
        <v/>
      </c>
      <c r="AX79" s="10" t="str">
        <f t="shared" si="39"/>
        <v/>
      </c>
      <c r="AY79" s="10" t="str">
        <f t="shared" si="40"/>
        <v/>
      </c>
      <c r="AZ79" s="10" t="str">
        <f t="shared" si="41"/>
        <v/>
      </c>
      <c r="BA79" s="10" t="str">
        <f t="shared" si="42"/>
        <v/>
      </c>
    </row>
    <row r="80" spans="2:53" x14ac:dyDescent="0.2">
      <c r="B80" s="10"/>
      <c r="C80" s="15"/>
      <c r="D80" s="15"/>
      <c r="F80" s="10" t="str">
        <f t="shared" si="22"/>
        <v>2017/3/2</v>
      </c>
      <c r="G80" s="14">
        <v>42796</v>
      </c>
      <c r="H80" s="10">
        <v>4.517179800000001</v>
      </c>
      <c r="I80" s="10">
        <v>-5.6760715999999976</v>
      </c>
      <c r="J80" s="10">
        <v>-1.1588918000000001</v>
      </c>
      <c r="K80" s="10">
        <f t="shared" si="25"/>
        <v>235.10351280000003</v>
      </c>
      <c r="L80" s="10">
        <f t="shared" si="26"/>
        <v>-129.32386940000001</v>
      </c>
      <c r="M80" s="10">
        <f t="shared" si="27"/>
        <v>105.77964340000004</v>
      </c>
      <c r="N80" s="10">
        <v>4.9677299858653736</v>
      </c>
      <c r="O80" s="10">
        <v>4.3249587743732594</v>
      </c>
      <c r="P80" s="10">
        <v>3026.4978455199998</v>
      </c>
      <c r="Q80" s="15"/>
      <c r="R80" s="15" t="e">
        <f t="shared" ca="1" si="29"/>
        <v>#N/A</v>
      </c>
      <c r="S80" s="1">
        <v>43</v>
      </c>
      <c r="V80" s="1" t="e">
        <f t="shared" ca="1" si="30"/>
        <v>#N/A</v>
      </c>
      <c r="W80" s="1" t="e">
        <f t="shared" ca="1" si="24"/>
        <v>#N/A</v>
      </c>
      <c r="Y80" s="10" t="e">
        <f t="shared" si="43"/>
        <v>#N/A</v>
      </c>
      <c r="Z80" s="10" t="e">
        <f t="shared" si="31"/>
        <v>#N/A</v>
      </c>
      <c r="AA80" s="10" t="e">
        <f t="shared" si="32"/>
        <v>#N/A</v>
      </c>
      <c r="AB80" s="10" t="e">
        <f t="shared" si="33"/>
        <v>#N/A</v>
      </c>
      <c r="AC80" s="10" t="e">
        <f t="shared" si="34"/>
        <v>#N/A</v>
      </c>
      <c r="AE80" s="10" t="str">
        <f t="shared" si="44"/>
        <v/>
      </c>
      <c r="AF80" s="10" t="str">
        <f t="shared" si="35"/>
        <v/>
      </c>
      <c r="AG80" s="10" t="str">
        <f t="shared" si="36"/>
        <v/>
      </c>
      <c r="AH80" s="10" t="str">
        <f t="shared" si="37"/>
        <v/>
      </c>
      <c r="AI80" s="10" t="str">
        <f t="shared" si="38"/>
        <v/>
      </c>
      <c r="AK80" s="10"/>
      <c r="AL80" s="10"/>
      <c r="AM80" s="10"/>
      <c r="AN80" s="10"/>
      <c r="AO80" s="10"/>
      <c r="AQ80" s="10"/>
      <c r="AR80" s="10"/>
      <c r="AS80" s="10"/>
      <c r="AT80" s="10"/>
      <c r="AU80" s="10"/>
      <c r="AW80" s="10" t="str">
        <f t="shared" si="45"/>
        <v/>
      </c>
      <c r="AX80" s="10" t="str">
        <f t="shared" si="39"/>
        <v/>
      </c>
      <c r="AY80" s="10" t="str">
        <f t="shared" si="40"/>
        <v/>
      </c>
      <c r="AZ80" s="10" t="str">
        <f t="shared" si="41"/>
        <v/>
      </c>
      <c r="BA80" s="10" t="str">
        <f t="shared" si="42"/>
        <v/>
      </c>
    </row>
    <row r="81" spans="2:53" x14ac:dyDescent="0.2">
      <c r="B81" s="10"/>
      <c r="C81" s="15"/>
      <c r="D81" s="15"/>
      <c r="F81" s="10" t="str">
        <f t="shared" si="22"/>
        <v>2017/3/3</v>
      </c>
      <c r="G81" s="14">
        <v>42797</v>
      </c>
      <c r="H81" s="10">
        <v>3.8754797999999995</v>
      </c>
      <c r="I81" s="10">
        <v>-6.4881975000000001</v>
      </c>
      <c r="J81" s="10">
        <v>-2.6127177000000006</v>
      </c>
      <c r="K81" s="10">
        <f t="shared" si="25"/>
        <v>238.97899260000003</v>
      </c>
      <c r="L81" s="10">
        <f t="shared" si="26"/>
        <v>-135.81206690000002</v>
      </c>
      <c r="M81" s="10">
        <f t="shared" si="27"/>
        <v>103.16692570000004</v>
      </c>
      <c r="N81" s="10">
        <v>5.0741814064254029</v>
      </c>
      <c r="O81" s="10">
        <v>4.429074373259053</v>
      </c>
      <c r="P81" s="10">
        <v>3005.3895360000001</v>
      </c>
      <c r="Q81" s="15"/>
      <c r="R81" s="15" t="e">
        <f t="shared" ca="1" si="29"/>
        <v>#N/A</v>
      </c>
      <c r="S81" s="1">
        <v>44</v>
      </c>
      <c r="V81" s="1" t="e">
        <f t="shared" ca="1" si="30"/>
        <v>#N/A</v>
      </c>
      <c r="W81" s="1" t="e">
        <f t="shared" ca="1" si="24"/>
        <v>#N/A</v>
      </c>
      <c r="Y81" s="10" t="e">
        <f t="shared" si="43"/>
        <v>#N/A</v>
      </c>
      <c r="Z81" s="10" t="e">
        <f t="shared" si="31"/>
        <v>#N/A</v>
      </c>
      <c r="AA81" s="10" t="e">
        <f t="shared" si="32"/>
        <v>#N/A</v>
      </c>
      <c r="AB81" s="10" t="e">
        <f t="shared" si="33"/>
        <v>#N/A</v>
      </c>
      <c r="AC81" s="10" t="e">
        <f t="shared" si="34"/>
        <v>#N/A</v>
      </c>
      <c r="AE81" s="10" t="str">
        <f t="shared" si="44"/>
        <v/>
      </c>
      <c r="AF81" s="10" t="str">
        <f t="shared" si="35"/>
        <v/>
      </c>
      <c r="AG81" s="10" t="str">
        <f t="shared" si="36"/>
        <v/>
      </c>
      <c r="AH81" s="10" t="str">
        <f t="shared" si="37"/>
        <v/>
      </c>
      <c r="AI81" s="10" t="str">
        <f t="shared" si="38"/>
        <v/>
      </c>
      <c r="AK81" s="10"/>
      <c r="AL81" s="10"/>
      <c r="AM81" s="10"/>
      <c r="AN81" s="10"/>
      <c r="AO81" s="10"/>
      <c r="AQ81" s="10"/>
      <c r="AR81" s="10"/>
      <c r="AS81" s="10"/>
      <c r="AT81" s="10"/>
      <c r="AU81" s="10"/>
      <c r="AW81" s="10" t="str">
        <f t="shared" si="45"/>
        <v/>
      </c>
      <c r="AX81" s="10" t="str">
        <f t="shared" si="39"/>
        <v/>
      </c>
      <c r="AY81" s="10" t="str">
        <f t="shared" si="40"/>
        <v/>
      </c>
      <c r="AZ81" s="10" t="str">
        <f t="shared" si="41"/>
        <v/>
      </c>
      <c r="BA81" s="10" t="str">
        <f t="shared" si="42"/>
        <v/>
      </c>
    </row>
    <row r="82" spans="2:53" x14ac:dyDescent="0.2">
      <c r="B82" s="10"/>
      <c r="C82" s="15"/>
      <c r="D82" s="15"/>
      <c r="F82" s="10" t="str">
        <f t="shared" si="22"/>
        <v>2017/3/6</v>
      </c>
      <c r="G82" s="14">
        <v>42800</v>
      </c>
      <c r="H82" s="10">
        <v>6.3643440000000018</v>
      </c>
      <c r="I82" s="10">
        <v>-2.4476941999999999</v>
      </c>
      <c r="J82" s="10">
        <v>3.9166497999999996</v>
      </c>
      <c r="K82" s="10">
        <f t="shared" si="25"/>
        <v>245.34333660000001</v>
      </c>
      <c r="L82" s="10">
        <f t="shared" si="26"/>
        <v>-138.25976110000002</v>
      </c>
      <c r="M82" s="10">
        <f t="shared" si="27"/>
        <v>107.08357550000004</v>
      </c>
      <c r="N82" s="10">
        <v>4.7896208455942437</v>
      </c>
      <c r="O82" s="10">
        <v>4.1960259052924789</v>
      </c>
      <c r="P82" s="10">
        <v>3005.2123543999996</v>
      </c>
      <c r="Q82" s="15"/>
      <c r="R82" s="15" t="e">
        <f t="shared" ca="1" si="29"/>
        <v>#N/A</v>
      </c>
      <c r="S82" s="1">
        <v>45</v>
      </c>
      <c r="V82" s="1" t="e">
        <f t="shared" ca="1" si="30"/>
        <v>#N/A</v>
      </c>
      <c r="W82" s="1" t="e">
        <f t="shared" ca="1" si="24"/>
        <v>#N/A</v>
      </c>
      <c r="Y82" s="10" t="e">
        <f t="shared" si="43"/>
        <v>#N/A</v>
      </c>
      <c r="Z82" s="10" t="e">
        <f t="shared" si="31"/>
        <v>#N/A</v>
      </c>
      <c r="AA82" s="10" t="e">
        <f t="shared" si="32"/>
        <v>#N/A</v>
      </c>
      <c r="AB82" s="10" t="e">
        <f t="shared" si="33"/>
        <v>#N/A</v>
      </c>
      <c r="AC82" s="10" t="e">
        <f t="shared" si="34"/>
        <v>#N/A</v>
      </c>
      <c r="AE82" s="10" t="str">
        <f t="shared" si="44"/>
        <v/>
      </c>
      <c r="AF82" s="10" t="str">
        <f t="shared" si="35"/>
        <v/>
      </c>
      <c r="AG82" s="10" t="str">
        <f t="shared" si="36"/>
        <v/>
      </c>
      <c r="AH82" s="10" t="str">
        <f t="shared" si="37"/>
        <v/>
      </c>
      <c r="AI82" s="10" t="str">
        <f t="shared" si="38"/>
        <v/>
      </c>
      <c r="AK82" s="10"/>
      <c r="AL82" s="10"/>
      <c r="AM82" s="10"/>
      <c r="AN82" s="10"/>
      <c r="AO82" s="10"/>
      <c r="AQ82" s="10"/>
      <c r="AR82" s="10"/>
      <c r="AS82" s="10"/>
      <c r="AT82" s="10"/>
      <c r="AU82" s="10"/>
      <c r="AW82" s="10" t="str">
        <f t="shared" si="45"/>
        <v/>
      </c>
      <c r="AX82" s="10" t="str">
        <f t="shared" si="39"/>
        <v/>
      </c>
      <c r="AY82" s="10" t="str">
        <f t="shared" si="40"/>
        <v/>
      </c>
      <c r="AZ82" s="10" t="str">
        <f t="shared" si="41"/>
        <v/>
      </c>
      <c r="BA82" s="10" t="str">
        <f t="shared" si="42"/>
        <v/>
      </c>
    </row>
    <row r="83" spans="2:53" x14ac:dyDescent="0.2">
      <c r="B83" s="10"/>
      <c r="C83" s="15"/>
      <c r="D83" s="15"/>
      <c r="F83" s="10" t="str">
        <f t="shared" si="22"/>
        <v>2017/3/7</v>
      </c>
      <c r="G83" s="14">
        <v>42801</v>
      </c>
      <c r="H83" s="10">
        <v>5.0553808000000009</v>
      </c>
      <c r="I83" s="10">
        <v>-3.3225981000000004</v>
      </c>
      <c r="J83" s="10">
        <v>1.7327827000000007</v>
      </c>
      <c r="K83" s="10">
        <f t="shared" si="25"/>
        <v>250.39871740000001</v>
      </c>
      <c r="L83" s="10">
        <f t="shared" si="26"/>
        <v>-141.58235920000001</v>
      </c>
      <c r="M83" s="10">
        <f t="shared" si="27"/>
        <v>108.81635820000004</v>
      </c>
      <c r="N83" s="10">
        <v>4.5179339126230031</v>
      </c>
      <c r="O83" s="10">
        <v>3.9759651810584966</v>
      </c>
      <c r="P83" s="10">
        <v>3001.6429762000002</v>
      </c>
      <c r="Q83" s="15"/>
      <c r="R83" s="15" t="e">
        <f t="shared" ca="1" si="29"/>
        <v>#N/A</v>
      </c>
      <c r="S83" s="1">
        <v>46</v>
      </c>
      <c r="V83" s="1" t="e">
        <f t="shared" ca="1" si="30"/>
        <v>#N/A</v>
      </c>
      <c r="W83" s="1" t="e">
        <f t="shared" ca="1" si="24"/>
        <v>#N/A</v>
      </c>
      <c r="Y83" s="10" t="e">
        <f t="shared" si="43"/>
        <v>#N/A</v>
      </c>
      <c r="Z83" s="10" t="e">
        <f t="shared" si="31"/>
        <v>#N/A</v>
      </c>
      <c r="AA83" s="10" t="e">
        <f t="shared" si="32"/>
        <v>#N/A</v>
      </c>
      <c r="AB83" s="10" t="e">
        <f t="shared" si="33"/>
        <v>#N/A</v>
      </c>
      <c r="AC83" s="10" t="e">
        <f t="shared" si="34"/>
        <v>#N/A</v>
      </c>
      <c r="AE83" s="10" t="str">
        <f t="shared" si="44"/>
        <v/>
      </c>
      <c r="AF83" s="10" t="str">
        <f t="shared" si="35"/>
        <v/>
      </c>
      <c r="AG83" s="10" t="str">
        <f t="shared" si="36"/>
        <v/>
      </c>
      <c r="AH83" s="10" t="str">
        <f t="shared" si="37"/>
        <v/>
      </c>
      <c r="AI83" s="10" t="str">
        <f t="shared" si="38"/>
        <v/>
      </c>
      <c r="AK83" s="10"/>
      <c r="AL83" s="10"/>
      <c r="AM83" s="10"/>
      <c r="AN83" s="10"/>
      <c r="AO83" s="10"/>
      <c r="AQ83" s="10"/>
      <c r="AR83" s="10"/>
      <c r="AS83" s="10"/>
      <c r="AT83" s="10"/>
      <c r="AU83" s="10"/>
      <c r="AW83" s="10" t="str">
        <f t="shared" si="45"/>
        <v/>
      </c>
      <c r="AX83" s="10" t="str">
        <f t="shared" si="39"/>
        <v/>
      </c>
      <c r="AY83" s="10" t="str">
        <f t="shared" si="40"/>
        <v/>
      </c>
      <c r="AZ83" s="10" t="str">
        <f t="shared" si="41"/>
        <v/>
      </c>
      <c r="BA83" s="10" t="str">
        <f t="shared" si="42"/>
        <v/>
      </c>
    </row>
    <row r="84" spans="2:53" x14ac:dyDescent="0.2">
      <c r="B84" s="10"/>
      <c r="C84" s="15"/>
      <c r="D84" s="15"/>
      <c r="F84" s="10" t="str">
        <f t="shared" si="22"/>
        <v>2017/3/8</v>
      </c>
      <c r="G84" s="14">
        <v>42802</v>
      </c>
      <c r="H84" s="10">
        <v>5.6173479000000004</v>
      </c>
      <c r="I84" s="10">
        <v>-3.1544100000000004</v>
      </c>
      <c r="J84" s="10">
        <v>2.4629379000000005</v>
      </c>
      <c r="K84" s="10">
        <f t="shared" si="25"/>
        <v>256.01606530000004</v>
      </c>
      <c r="L84" s="10">
        <f t="shared" si="26"/>
        <v>-144.73676920000003</v>
      </c>
      <c r="M84" s="10">
        <f t="shared" si="27"/>
        <v>111.27929610000004</v>
      </c>
      <c r="N84" s="10">
        <v>4.0784425740277266</v>
      </c>
      <c r="O84" s="10">
        <v>3.4693178272980494</v>
      </c>
      <c r="P84" s="10">
        <v>2995.4701425999997</v>
      </c>
      <c r="Q84" s="15"/>
      <c r="R84" s="15" t="e">
        <f t="shared" ca="1" si="29"/>
        <v>#N/A</v>
      </c>
      <c r="S84" s="1">
        <v>47</v>
      </c>
      <c r="V84" s="1" t="e">
        <f t="shared" ca="1" si="30"/>
        <v>#N/A</v>
      </c>
      <c r="W84" s="1" t="e">
        <f t="shared" ca="1" si="24"/>
        <v>#N/A</v>
      </c>
      <c r="Y84" s="10" t="e">
        <f t="shared" si="43"/>
        <v>#N/A</v>
      </c>
      <c r="Z84" s="10" t="e">
        <f t="shared" si="31"/>
        <v>#N/A</v>
      </c>
      <c r="AA84" s="10" t="e">
        <f t="shared" si="32"/>
        <v>#N/A</v>
      </c>
      <c r="AB84" s="10" t="e">
        <f t="shared" si="33"/>
        <v>#N/A</v>
      </c>
      <c r="AC84" s="10" t="e">
        <f t="shared" si="34"/>
        <v>#N/A</v>
      </c>
      <c r="AE84" s="10" t="str">
        <f t="shared" si="44"/>
        <v/>
      </c>
      <c r="AF84" s="10" t="str">
        <f t="shared" si="35"/>
        <v/>
      </c>
      <c r="AG84" s="10" t="str">
        <f t="shared" si="36"/>
        <v/>
      </c>
      <c r="AH84" s="10" t="str">
        <f t="shared" si="37"/>
        <v/>
      </c>
      <c r="AI84" s="10" t="str">
        <f t="shared" si="38"/>
        <v/>
      </c>
      <c r="AK84" s="10"/>
      <c r="AL84" s="10"/>
      <c r="AM84" s="10"/>
      <c r="AN84" s="10"/>
      <c r="AO84" s="10"/>
      <c r="AQ84" s="10"/>
      <c r="AR84" s="10"/>
      <c r="AS84" s="10"/>
      <c r="AT84" s="10"/>
      <c r="AU84" s="10"/>
      <c r="AW84" s="10" t="str">
        <f t="shared" si="45"/>
        <v/>
      </c>
      <c r="AX84" s="10" t="str">
        <f t="shared" si="39"/>
        <v/>
      </c>
      <c r="AY84" s="10" t="str">
        <f t="shared" si="40"/>
        <v/>
      </c>
      <c r="AZ84" s="10" t="str">
        <f t="shared" si="41"/>
        <v/>
      </c>
      <c r="BA84" s="10" t="str">
        <f t="shared" si="42"/>
        <v/>
      </c>
    </row>
    <row r="85" spans="2:53" x14ac:dyDescent="0.2">
      <c r="B85" s="10"/>
      <c r="C85" s="15"/>
      <c r="D85" s="15"/>
      <c r="F85" s="10" t="str">
        <f t="shared" si="22"/>
        <v>2017/3/9</v>
      </c>
      <c r="G85" s="14">
        <v>42803</v>
      </c>
      <c r="H85" s="10">
        <v>3.3130348999999999</v>
      </c>
      <c r="I85" s="10">
        <v>-2.6815694000000003</v>
      </c>
      <c r="J85" s="10">
        <v>0.63146550000000012</v>
      </c>
      <c r="K85" s="10">
        <f t="shared" si="25"/>
        <v>259.32910020000003</v>
      </c>
      <c r="L85" s="10">
        <f t="shared" si="26"/>
        <v>-147.41833860000003</v>
      </c>
      <c r="M85" s="10">
        <f t="shared" si="27"/>
        <v>111.91076160000004</v>
      </c>
      <c r="N85" s="10">
        <v>3.9965225384005647</v>
      </c>
      <c r="O85" s="10">
        <v>3.3356314763231221</v>
      </c>
      <c r="P85" s="10">
        <v>2984.8778325000007</v>
      </c>
      <c r="Q85" s="15"/>
      <c r="R85" s="15" t="e">
        <f t="shared" ca="1" si="29"/>
        <v>#N/A</v>
      </c>
      <c r="S85" s="1">
        <v>48</v>
      </c>
      <c r="V85" s="1" t="e">
        <f t="shared" ca="1" si="30"/>
        <v>#N/A</v>
      </c>
      <c r="W85" s="1" t="e">
        <f t="shared" ca="1" si="24"/>
        <v>#N/A</v>
      </c>
      <c r="Y85" s="10" t="e">
        <f t="shared" si="43"/>
        <v>#N/A</v>
      </c>
      <c r="Z85" s="10" t="e">
        <f t="shared" si="31"/>
        <v>#N/A</v>
      </c>
      <c r="AA85" s="10" t="e">
        <f t="shared" si="32"/>
        <v>#N/A</v>
      </c>
      <c r="AB85" s="10" t="e">
        <f t="shared" si="33"/>
        <v>#N/A</v>
      </c>
      <c r="AC85" s="10" t="e">
        <f t="shared" si="34"/>
        <v>#N/A</v>
      </c>
      <c r="AE85" s="10" t="str">
        <f t="shared" si="44"/>
        <v/>
      </c>
      <c r="AF85" s="10" t="str">
        <f t="shared" si="35"/>
        <v/>
      </c>
      <c r="AG85" s="10" t="str">
        <f t="shared" si="36"/>
        <v/>
      </c>
      <c r="AH85" s="10" t="str">
        <f t="shared" si="37"/>
        <v/>
      </c>
      <c r="AI85" s="10" t="str">
        <f t="shared" si="38"/>
        <v/>
      </c>
      <c r="AK85" s="10"/>
      <c r="AL85" s="10"/>
      <c r="AM85" s="10"/>
      <c r="AN85" s="10"/>
      <c r="AO85" s="10"/>
      <c r="AQ85" s="10"/>
      <c r="AR85" s="10"/>
      <c r="AS85" s="10"/>
      <c r="AT85" s="10"/>
      <c r="AU85" s="10"/>
      <c r="AW85" s="10" t="str">
        <f t="shared" si="45"/>
        <v/>
      </c>
      <c r="AX85" s="10" t="str">
        <f t="shared" si="39"/>
        <v/>
      </c>
      <c r="AY85" s="10" t="str">
        <f t="shared" si="40"/>
        <v/>
      </c>
      <c r="AZ85" s="10" t="str">
        <f t="shared" si="41"/>
        <v/>
      </c>
      <c r="BA85" s="10" t="str">
        <f t="shared" si="42"/>
        <v/>
      </c>
    </row>
    <row r="86" spans="2:53" x14ac:dyDescent="0.2">
      <c r="B86" s="10"/>
      <c r="C86" s="15"/>
      <c r="D86" s="15"/>
      <c r="F86" s="10" t="str">
        <f t="shared" si="22"/>
        <v>2017/3/10</v>
      </c>
      <c r="G86" s="14">
        <v>42804</v>
      </c>
      <c r="H86" s="10">
        <v>3.6010968000000005</v>
      </c>
      <c r="I86" s="10">
        <v>-3.7341864999999999</v>
      </c>
      <c r="J86" s="10">
        <v>-0.13308969999999978</v>
      </c>
      <c r="K86" s="10">
        <f t="shared" si="25"/>
        <v>262.93019700000002</v>
      </c>
      <c r="L86" s="10">
        <f t="shared" si="26"/>
        <v>-151.15252510000002</v>
      </c>
      <c r="M86" s="10">
        <f t="shared" si="27"/>
        <v>111.77767190000004</v>
      </c>
      <c r="N86" s="10">
        <v>4.4925106992692934</v>
      </c>
      <c r="O86" s="10">
        <v>3.8052136490250685</v>
      </c>
      <c r="P86" s="10">
        <v>2982.9869543000004</v>
      </c>
      <c r="Q86" s="15"/>
      <c r="R86" s="15" t="e">
        <f t="shared" ca="1" si="29"/>
        <v>#N/A</v>
      </c>
      <c r="S86" s="1">
        <v>49</v>
      </c>
      <c r="V86" s="1" t="e">
        <f t="shared" ca="1" si="30"/>
        <v>#N/A</v>
      </c>
      <c r="W86" s="1" t="e">
        <f t="shared" ca="1" si="24"/>
        <v>#N/A</v>
      </c>
      <c r="Y86" s="10" t="e">
        <f t="shared" si="43"/>
        <v>#N/A</v>
      </c>
      <c r="Z86" s="10" t="e">
        <f t="shared" si="31"/>
        <v>#N/A</v>
      </c>
      <c r="AA86" s="10" t="e">
        <f t="shared" si="32"/>
        <v>#N/A</v>
      </c>
      <c r="AB86" s="10" t="e">
        <f t="shared" si="33"/>
        <v>#N/A</v>
      </c>
      <c r="AC86" s="10" t="e">
        <f t="shared" si="34"/>
        <v>#N/A</v>
      </c>
      <c r="AE86" s="10" t="str">
        <f t="shared" si="44"/>
        <v/>
      </c>
      <c r="AF86" s="10" t="str">
        <f t="shared" si="35"/>
        <v/>
      </c>
      <c r="AG86" s="10" t="str">
        <f t="shared" si="36"/>
        <v/>
      </c>
      <c r="AH86" s="10" t="str">
        <f t="shared" si="37"/>
        <v/>
      </c>
      <c r="AI86" s="10" t="str">
        <f t="shared" si="38"/>
        <v/>
      </c>
      <c r="AK86" s="10"/>
      <c r="AL86" s="10"/>
      <c r="AM86" s="10"/>
      <c r="AN86" s="10"/>
      <c r="AO86" s="10"/>
      <c r="AQ86" s="10"/>
      <c r="AR86" s="10"/>
      <c r="AS86" s="10"/>
      <c r="AT86" s="10"/>
      <c r="AU86" s="10"/>
      <c r="AW86" s="10" t="str">
        <f t="shared" si="45"/>
        <v/>
      </c>
      <c r="AX86" s="10" t="str">
        <f t="shared" si="39"/>
        <v/>
      </c>
      <c r="AY86" s="10" t="str">
        <f t="shared" si="40"/>
        <v/>
      </c>
      <c r="AZ86" s="10" t="str">
        <f t="shared" si="41"/>
        <v/>
      </c>
      <c r="BA86" s="10" t="str">
        <f t="shared" si="42"/>
        <v/>
      </c>
    </row>
    <row r="87" spans="2:53" x14ac:dyDescent="0.2">
      <c r="B87" s="10"/>
      <c r="C87" s="15"/>
      <c r="D87" s="15"/>
      <c r="F87" s="10" t="str">
        <f t="shared" si="22"/>
        <v>2017/3/13</v>
      </c>
      <c r="G87" s="14">
        <v>42807</v>
      </c>
      <c r="H87" s="10">
        <v>6.4262354999999989</v>
      </c>
      <c r="I87" s="10">
        <v>-2.9416964999999999</v>
      </c>
      <c r="J87" s="10">
        <v>3.4845389999999994</v>
      </c>
      <c r="K87" s="10">
        <f t="shared" si="25"/>
        <v>269.35643250000004</v>
      </c>
      <c r="L87" s="10">
        <f t="shared" si="26"/>
        <v>-154.09422160000003</v>
      </c>
      <c r="M87" s="10">
        <f t="shared" si="27"/>
        <v>115.26221090000004</v>
      </c>
      <c r="N87" s="10">
        <v>4.7327035966907678</v>
      </c>
      <c r="O87" s="10">
        <v>4.1133952646239571</v>
      </c>
      <c r="P87" s="10">
        <v>2996.7230388999992</v>
      </c>
      <c r="Q87" s="15"/>
      <c r="R87" s="15" t="e">
        <f t="shared" ca="1" si="29"/>
        <v>#N/A</v>
      </c>
      <c r="S87" s="1">
        <v>50</v>
      </c>
      <c r="V87" s="1" t="e">
        <f t="shared" ca="1" si="30"/>
        <v>#N/A</v>
      </c>
      <c r="W87" s="1" t="e">
        <f t="shared" ca="1" si="24"/>
        <v>#N/A</v>
      </c>
      <c r="Y87" s="10" t="e">
        <f t="shared" si="43"/>
        <v>#N/A</v>
      </c>
      <c r="Z87" s="10" t="e">
        <f t="shared" si="31"/>
        <v>#N/A</v>
      </c>
      <c r="AA87" s="10" t="e">
        <f t="shared" si="32"/>
        <v>#N/A</v>
      </c>
      <c r="AB87" s="10" t="e">
        <f t="shared" si="33"/>
        <v>#N/A</v>
      </c>
      <c r="AC87" s="10" t="e">
        <f t="shared" si="34"/>
        <v>#N/A</v>
      </c>
      <c r="AE87" s="10" t="str">
        <f t="shared" si="44"/>
        <v/>
      </c>
      <c r="AF87" s="10" t="str">
        <f t="shared" si="35"/>
        <v/>
      </c>
      <c r="AG87" s="10" t="str">
        <f t="shared" si="36"/>
        <v/>
      </c>
      <c r="AH87" s="10" t="str">
        <f t="shared" si="37"/>
        <v/>
      </c>
      <c r="AI87" s="10" t="str">
        <f t="shared" si="38"/>
        <v/>
      </c>
      <c r="AK87" s="10"/>
      <c r="AL87" s="10"/>
      <c r="AM87" s="10"/>
      <c r="AN87" s="10"/>
      <c r="AO87" s="10"/>
      <c r="AQ87" s="10"/>
      <c r="AR87" s="10"/>
      <c r="AS87" s="10"/>
      <c r="AT87" s="10"/>
      <c r="AU87" s="10"/>
      <c r="AW87" s="10" t="str">
        <f t="shared" si="45"/>
        <v/>
      </c>
      <c r="AX87" s="10" t="str">
        <f t="shared" si="39"/>
        <v/>
      </c>
      <c r="AY87" s="10" t="str">
        <f t="shared" si="40"/>
        <v/>
      </c>
      <c r="AZ87" s="10" t="str">
        <f t="shared" si="41"/>
        <v/>
      </c>
      <c r="BA87" s="10" t="str">
        <f t="shared" si="42"/>
        <v/>
      </c>
    </row>
    <row r="88" spans="2:53" x14ac:dyDescent="0.2">
      <c r="F88" s="10" t="str">
        <f t="shared" si="22"/>
        <v>2017/3/14</v>
      </c>
      <c r="G88" s="14">
        <v>42808</v>
      </c>
      <c r="H88" s="10">
        <v>11.322626899999999</v>
      </c>
      <c r="I88" s="10">
        <v>-3.2929678</v>
      </c>
      <c r="J88" s="10">
        <v>8.0296591000000017</v>
      </c>
      <c r="K88" s="10">
        <f t="shared" si="25"/>
        <v>280.67905940000003</v>
      </c>
      <c r="L88" s="10">
        <f t="shared" si="26"/>
        <v>-157.38718940000004</v>
      </c>
      <c r="M88" s="10">
        <f t="shared" si="27"/>
        <v>123.29187000000005</v>
      </c>
      <c r="N88" s="10">
        <v>4.3246630702682518</v>
      </c>
      <c r="O88" s="10">
        <v>3.6854888579387177</v>
      </c>
      <c r="P88" s="10">
        <v>3006.8630085999994</v>
      </c>
      <c r="Y88" s="10" t="e">
        <f t="shared" si="43"/>
        <v>#N/A</v>
      </c>
      <c r="Z88" s="10" t="e">
        <f t="shared" si="31"/>
        <v>#N/A</v>
      </c>
      <c r="AA88" s="10" t="e">
        <f t="shared" si="32"/>
        <v>#N/A</v>
      </c>
      <c r="AB88" s="10" t="e">
        <f t="shared" si="33"/>
        <v>#N/A</v>
      </c>
      <c r="AC88" s="10" t="e">
        <f t="shared" si="34"/>
        <v>#N/A</v>
      </c>
      <c r="AE88" s="10" t="str">
        <f t="shared" si="44"/>
        <v/>
      </c>
      <c r="AF88" s="10" t="str">
        <f t="shared" si="35"/>
        <v/>
      </c>
      <c r="AG88" s="10" t="str">
        <f t="shared" si="36"/>
        <v/>
      </c>
      <c r="AH88" s="10" t="str">
        <f t="shared" si="37"/>
        <v/>
      </c>
      <c r="AI88" s="10" t="str">
        <f t="shared" si="38"/>
        <v/>
      </c>
      <c r="AK88" s="10"/>
      <c r="AL88" s="10"/>
      <c r="AM88" s="10"/>
      <c r="AN88" s="10"/>
      <c r="AO88" s="10"/>
      <c r="AQ88" s="10"/>
      <c r="AR88" s="10"/>
      <c r="AS88" s="10"/>
      <c r="AT88" s="10"/>
      <c r="AU88" s="10"/>
      <c r="AW88" s="10" t="str">
        <f t="shared" si="45"/>
        <v/>
      </c>
      <c r="AX88" s="10" t="str">
        <f t="shared" si="39"/>
        <v/>
      </c>
      <c r="AY88" s="10" t="str">
        <f t="shared" si="40"/>
        <v/>
      </c>
      <c r="AZ88" s="10" t="str">
        <f t="shared" si="41"/>
        <v/>
      </c>
      <c r="BA88" s="10" t="str">
        <f t="shared" si="42"/>
        <v/>
      </c>
    </row>
    <row r="89" spans="2:53" x14ac:dyDescent="0.2">
      <c r="F89" s="10" t="str">
        <f t="shared" si="22"/>
        <v>2017/3/15</v>
      </c>
      <c r="G89" s="14">
        <v>42809</v>
      </c>
      <c r="H89" s="10">
        <v>7.9313250000000011</v>
      </c>
      <c r="I89" s="10">
        <v>-2.1678926999999999</v>
      </c>
      <c r="J89" s="10">
        <v>5.763432299999999</v>
      </c>
      <c r="K89" s="10">
        <f t="shared" si="25"/>
        <v>288.61038440000004</v>
      </c>
      <c r="L89" s="10">
        <f t="shared" si="26"/>
        <v>-159.55508210000005</v>
      </c>
      <c r="M89" s="10">
        <f t="shared" si="27"/>
        <v>129.05530230000005</v>
      </c>
      <c r="N89" s="10">
        <v>5.3504123669688095</v>
      </c>
      <c r="O89" s="10">
        <v>4.6469206128133722</v>
      </c>
      <c r="P89" s="10">
        <v>3003.3822855999992</v>
      </c>
      <c r="Y89" s="10" t="e">
        <f t="shared" si="43"/>
        <v>#N/A</v>
      </c>
      <c r="Z89" s="10" t="e">
        <f t="shared" si="31"/>
        <v>#N/A</v>
      </c>
      <c r="AA89" s="10" t="e">
        <f t="shared" si="32"/>
        <v>#N/A</v>
      </c>
      <c r="AB89" s="10" t="e">
        <f t="shared" si="33"/>
        <v>#N/A</v>
      </c>
      <c r="AC89" s="10" t="e">
        <f t="shared" si="34"/>
        <v>#N/A</v>
      </c>
      <c r="AE89" s="10" t="str">
        <f t="shared" si="44"/>
        <v/>
      </c>
      <c r="AF89" s="10" t="str">
        <f t="shared" si="35"/>
        <v/>
      </c>
      <c r="AG89" s="10" t="str">
        <f t="shared" si="36"/>
        <v/>
      </c>
      <c r="AH89" s="10" t="str">
        <f t="shared" si="37"/>
        <v/>
      </c>
      <c r="AI89" s="10" t="str">
        <f t="shared" si="38"/>
        <v/>
      </c>
      <c r="AK89" s="10"/>
      <c r="AL89" s="10"/>
      <c r="AM89" s="10"/>
      <c r="AN89" s="10"/>
      <c r="AO89" s="10"/>
      <c r="AQ89" s="10"/>
      <c r="AR89" s="10"/>
      <c r="AS89" s="10"/>
      <c r="AT89" s="10"/>
      <c r="AU89" s="10"/>
      <c r="AW89" s="10" t="str">
        <f t="shared" si="45"/>
        <v/>
      </c>
      <c r="AX89" s="10" t="str">
        <f t="shared" si="39"/>
        <v/>
      </c>
      <c r="AY89" s="10" t="str">
        <f t="shared" si="40"/>
        <v/>
      </c>
      <c r="AZ89" s="10" t="str">
        <f t="shared" si="41"/>
        <v/>
      </c>
      <c r="BA89" s="10" t="str">
        <f t="shared" si="42"/>
        <v/>
      </c>
    </row>
    <row r="90" spans="2:53" x14ac:dyDescent="0.2">
      <c r="F90" s="10" t="str">
        <f t="shared" si="22"/>
        <v>2017/3/16</v>
      </c>
      <c r="G90" s="14">
        <v>42810</v>
      </c>
      <c r="H90" s="10">
        <v>6.9044600000000003</v>
      </c>
      <c r="I90" s="10">
        <v>-8.5137006999999993</v>
      </c>
      <c r="J90" s="10">
        <v>-1.6092407000000006</v>
      </c>
      <c r="K90" s="10">
        <f t="shared" si="25"/>
        <v>295.51484440000002</v>
      </c>
      <c r="L90" s="10">
        <f t="shared" si="26"/>
        <v>-168.06878280000004</v>
      </c>
      <c r="M90" s="10">
        <f t="shared" si="27"/>
        <v>127.44606160000005</v>
      </c>
      <c r="N90" s="10">
        <v>5.566462480765022</v>
      </c>
      <c r="O90" s="10">
        <v>5.0936495821727066</v>
      </c>
      <c r="P90" s="10">
        <v>3038.2573952999978</v>
      </c>
      <c r="Y90" s="10" t="e">
        <f t="shared" si="43"/>
        <v>#N/A</v>
      </c>
      <c r="Z90" s="10" t="e">
        <f t="shared" si="31"/>
        <v>#N/A</v>
      </c>
      <c r="AA90" s="10" t="e">
        <f t="shared" si="32"/>
        <v>#N/A</v>
      </c>
      <c r="AB90" s="10" t="e">
        <f t="shared" si="33"/>
        <v>#N/A</v>
      </c>
      <c r="AC90" s="10" t="e">
        <f t="shared" si="34"/>
        <v>#N/A</v>
      </c>
      <c r="AE90" s="10" t="str">
        <f t="shared" si="44"/>
        <v/>
      </c>
      <c r="AF90" s="10" t="str">
        <f t="shared" si="35"/>
        <v/>
      </c>
      <c r="AG90" s="10" t="str">
        <f t="shared" si="36"/>
        <v/>
      </c>
      <c r="AH90" s="10" t="str">
        <f t="shared" si="37"/>
        <v/>
      </c>
      <c r="AI90" s="10" t="str">
        <f t="shared" si="38"/>
        <v/>
      </c>
      <c r="AK90" s="10"/>
      <c r="AL90" s="10"/>
      <c r="AM90" s="10"/>
      <c r="AN90" s="10"/>
      <c r="AO90" s="10"/>
      <c r="AQ90" s="10"/>
      <c r="AR90" s="10"/>
      <c r="AS90" s="10"/>
      <c r="AT90" s="10"/>
      <c r="AU90" s="10"/>
      <c r="AW90" s="10" t="str">
        <f t="shared" si="45"/>
        <v/>
      </c>
      <c r="AX90" s="10" t="str">
        <f t="shared" si="39"/>
        <v/>
      </c>
      <c r="AY90" s="10" t="str">
        <f t="shared" si="40"/>
        <v/>
      </c>
      <c r="AZ90" s="10" t="str">
        <f t="shared" si="41"/>
        <v/>
      </c>
      <c r="BA90" s="10" t="str">
        <f t="shared" si="42"/>
        <v/>
      </c>
    </row>
    <row r="91" spans="2:53" x14ac:dyDescent="0.2">
      <c r="F91" s="10" t="str">
        <f t="shared" si="22"/>
        <v>2017/3/17</v>
      </c>
      <c r="G91" s="14">
        <v>42811</v>
      </c>
      <c r="H91" s="10">
        <v>5.7361452000000002</v>
      </c>
      <c r="I91" s="10">
        <v>-9.9969766000000018</v>
      </c>
      <c r="J91" s="10">
        <v>-4.2608313999999998</v>
      </c>
      <c r="K91" s="10">
        <f t="shared" si="25"/>
        <v>301.25098960000003</v>
      </c>
      <c r="L91" s="10">
        <f t="shared" si="26"/>
        <v>-178.06575940000005</v>
      </c>
      <c r="M91" s="10">
        <f t="shared" si="27"/>
        <v>123.18523020000005</v>
      </c>
      <c r="N91" s="10">
        <v>5.5932248151848993</v>
      </c>
      <c r="O91" s="10">
        <v>5.1663629526462369</v>
      </c>
      <c r="P91" s="10">
        <v>3042.5670324999992</v>
      </c>
      <c r="Y91" s="10" t="e">
        <f t="shared" si="43"/>
        <v>#N/A</v>
      </c>
      <c r="Z91" s="10" t="e">
        <f t="shared" si="31"/>
        <v>#N/A</v>
      </c>
      <c r="AA91" s="10" t="e">
        <f t="shared" si="32"/>
        <v>#N/A</v>
      </c>
      <c r="AB91" s="10" t="e">
        <f t="shared" si="33"/>
        <v>#N/A</v>
      </c>
      <c r="AC91" s="10" t="e">
        <f t="shared" si="34"/>
        <v>#N/A</v>
      </c>
      <c r="AE91" s="10" t="str">
        <f t="shared" si="44"/>
        <v/>
      </c>
      <c r="AF91" s="10" t="str">
        <f t="shared" si="35"/>
        <v/>
      </c>
      <c r="AG91" s="10" t="str">
        <f t="shared" si="36"/>
        <v/>
      </c>
      <c r="AH91" s="10" t="str">
        <f t="shared" si="37"/>
        <v/>
      </c>
      <c r="AI91" s="10" t="str">
        <f t="shared" si="38"/>
        <v/>
      </c>
      <c r="AK91" s="10"/>
      <c r="AL91" s="10"/>
      <c r="AM91" s="10"/>
      <c r="AN91" s="10"/>
      <c r="AO91" s="10"/>
      <c r="AQ91" s="10"/>
      <c r="AR91" s="10"/>
      <c r="AS91" s="10"/>
      <c r="AT91" s="10"/>
      <c r="AU91" s="10"/>
      <c r="AW91" s="10" t="str">
        <f t="shared" si="45"/>
        <v/>
      </c>
      <c r="AX91" s="10" t="str">
        <f t="shared" si="39"/>
        <v/>
      </c>
      <c r="AY91" s="10" t="str">
        <f t="shared" si="40"/>
        <v/>
      </c>
      <c r="AZ91" s="10" t="str">
        <f t="shared" si="41"/>
        <v/>
      </c>
      <c r="BA91" s="10" t="str">
        <f t="shared" si="42"/>
        <v/>
      </c>
    </row>
    <row r="92" spans="2:53" x14ac:dyDescent="0.2">
      <c r="F92" s="10" t="str">
        <f t="shared" si="22"/>
        <v>2017/3/20</v>
      </c>
      <c r="G92" s="14">
        <v>42814</v>
      </c>
      <c r="H92" s="10">
        <v>5.5845099000000005</v>
      </c>
      <c r="I92" s="10">
        <v>-6.9711654000000012</v>
      </c>
      <c r="J92" s="10">
        <v>-1.3866555</v>
      </c>
      <c r="K92" s="10">
        <f t="shared" si="25"/>
        <v>306.83549950000003</v>
      </c>
      <c r="L92" s="10">
        <f t="shared" si="26"/>
        <v>-185.03692480000004</v>
      </c>
      <c r="M92" s="10">
        <f t="shared" si="27"/>
        <v>121.79857470000005</v>
      </c>
      <c r="N92" s="10">
        <v>5.5930180111929122</v>
      </c>
      <c r="O92" s="10">
        <v>5.1715174094707539</v>
      </c>
      <c r="P92" s="10">
        <v>3037.078069199998</v>
      </c>
      <c r="Y92" s="10" t="e">
        <f t="shared" si="43"/>
        <v>#N/A</v>
      </c>
      <c r="Z92" s="10" t="e">
        <f t="shared" si="31"/>
        <v>#N/A</v>
      </c>
      <c r="AA92" s="10" t="e">
        <f t="shared" si="32"/>
        <v>#N/A</v>
      </c>
      <c r="AB92" s="10" t="e">
        <f t="shared" si="33"/>
        <v>#N/A</v>
      </c>
      <c r="AC92" s="10" t="e">
        <f t="shared" si="34"/>
        <v>#N/A</v>
      </c>
      <c r="AE92" s="10" t="str">
        <f t="shared" si="44"/>
        <v/>
      </c>
      <c r="AF92" s="10" t="str">
        <f t="shared" si="35"/>
        <v/>
      </c>
      <c r="AG92" s="10" t="str">
        <f t="shared" si="36"/>
        <v/>
      </c>
      <c r="AH92" s="10" t="str">
        <f t="shared" si="37"/>
        <v/>
      </c>
      <c r="AI92" s="10" t="str">
        <f t="shared" si="38"/>
        <v/>
      </c>
      <c r="AK92" s="10"/>
      <c r="AL92" s="10"/>
      <c r="AM92" s="10"/>
      <c r="AN92" s="10"/>
      <c r="AO92" s="10"/>
      <c r="AQ92" s="10"/>
      <c r="AR92" s="10"/>
      <c r="AS92" s="10"/>
      <c r="AT92" s="10"/>
      <c r="AU92" s="10"/>
      <c r="AW92" s="10" t="str">
        <f t="shared" si="45"/>
        <v/>
      </c>
      <c r="AX92" s="10" t="str">
        <f t="shared" si="39"/>
        <v/>
      </c>
      <c r="AY92" s="10" t="str">
        <f t="shared" si="40"/>
        <v/>
      </c>
      <c r="AZ92" s="10" t="str">
        <f t="shared" si="41"/>
        <v/>
      </c>
      <c r="BA92" s="10" t="str">
        <f t="shared" si="42"/>
        <v/>
      </c>
    </row>
    <row r="93" spans="2:53" x14ac:dyDescent="0.2">
      <c r="F93" s="10" t="str">
        <f t="shared" si="22"/>
        <v>2017/3/21</v>
      </c>
      <c r="G93" s="14">
        <v>42815</v>
      </c>
      <c r="H93" s="10">
        <v>9.6531789000000003</v>
      </c>
      <c r="I93" s="10">
        <v>-3.9944630999999999</v>
      </c>
      <c r="J93" s="10">
        <v>5.6587158000000022</v>
      </c>
      <c r="K93" s="10">
        <f t="shared" si="25"/>
        <v>316.48867840000003</v>
      </c>
      <c r="L93" s="10">
        <f t="shared" si="26"/>
        <v>-189.03138790000003</v>
      </c>
      <c r="M93" s="10">
        <f t="shared" si="27"/>
        <v>127.45729050000004</v>
      </c>
      <c r="N93" s="10">
        <v>4.7605822094604449</v>
      </c>
      <c r="O93" s="10">
        <v>4.5806885793871874</v>
      </c>
      <c r="P93" s="10">
        <v>3035.6238112499987</v>
      </c>
      <c r="Y93" s="10" t="e">
        <f t="shared" si="43"/>
        <v>#N/A</v>
      </c>
      <c r="Z93" s="10" t="e">
        <f t="shared" si="31"/>
        <v>#N/A</v>
      </c>
      <c r="AA93" s="10" t="e">
        <f t="shared" si="32"/>
        <v>#N/A</v>
      </c>
      <c r="AB93" s="10" t="e">
        <f t="shared" si="33"/>
        <v>#N/A</v>
      </c>
      <c r="AC93" s="10" t="e">
        <f t="shared" si="34"/>
        <v>#N/A</v>
      </c>
      <c r="AE93" s="10" t="str">
        <f t="shared" si="44"/>
        <v/>
      </c>
      <c r="AF93" s="10" t="str">
        <f t="shared" si="35"/>
        <v/>
      </c>
      <c r="AG93" s="10" t="str">
        <f t="shared" si="36"/>
        <v/>
      </c>
      <c r="AH93" s="10" t="str">
        <f t="shared" si="37"/>
        <v/>
      </c>
      <c r="AI93" s="10" t="str">
        <f t="shared" si="38"/>
        <v/>
      </c>
      <c r="AK93" s="10"/>
      <c r="AL93" s="10"/>
      <c r="AM93" s="10"/>
      <c r="AN93" s="10"/>
      <c r="AO93" s="10"/>
      <c r="AQ93" s="10"/>
      <c r="AR93" s="10"/>
      <c r="AS93" s="10"/>
      <c r="AT93" s="10"/>
      <c r="AU93" s="10"/>
      <c r="AW93" s="10" t="str">
        <f t="shared" si="45"/>
        <v/>
      </c>
      <c r="AX93" s="10" t="str">
        <f t="shared" si="39"/>
        <v/>
      </c>
      <c r="AY93" s="10" t="str">
        <f t="shared" si="40"/>
        <v/>
      </c>
      <c r="AZ93" s="10" t="str">
        <f t="shared" si="41"/>
        <v/>
      </c>
      <c r="BA93" s="10" t="str">
        <f t="shared" si="42"/>
        <v/>
      </c>
    </row>
    <row r="94" spans="2:53" x14ac:dyDescent="0.2">
      <c r="F94" s="10" t="str">
        <f t="shared" si="22"/>
        <v>2017/3/22</v>
      </c>
      <c r="G94" s="14">
        <v>42816</v>
      </c>
      <c r="H94" s="10">
        <v>7.5604080999999992</v>
      </c>
      <c r="I94" s="10">
        <v>-3.2495135999999998</v>
      </c>
      <c r="J94" s="10">
        <v>4.310894499999999</v>
      </c>
      <c r="K94" s="10">
        <f t="shared" si="25"/>
        <v>324.04908650000004</v>
      </c>
      <c r="L94" s="10">
        <f t="shared" si="26"/>
        <v>-192.28090150000003</v>
      </c>
      <c r="M94" s="10">
        <f t="shared" si="27"/>
        <v>131.76818500000005</v>
      </c>
      <c r="N94" s="10">
        <v>4.8145540450651865</v>
      </c>
      <c r="O94" s="10">
        <v>4.5950545961002751</v>
      </c>
      <c r="P94" s="10">
        <v>3016.7301527</v>
      </c>
      <c r="Y94" s="10" t="e">
        <f t="shared" si="43"/>
        <v>#N/A</v>
      </c>
      <c r="Z94" s="10" t="e">
        <f t="shared" si="31"/>
        <v>#N/A</v>
      </c>
      <c r="AA94" s="10" t="e">
        <f t="shared" si="32"/>
        <v>#N/A</v>
      </c>
      <c r="AB94" s="10" t="e">
        <f t="shared" si="33"/>
        <v>#N/A</v>
      </c>
      <c r="AC94" s="10" t="e">
        <f t="shared" si="34"/>
        <v>#N/A</v>
      </c>
      <c r="AE94" s="10" t="str">
        <f t="shared" si="44"/>
        <v/>
      </c>
      <c r="AF94" s="10" t="str">
        <f t="shared" si="35"/>
        <v/>
      </c>
      <c r="AG94" s="10" t="str">
        <f t="shared" si="36"/>
        <v/>
      </c>
      <c r="AH94" s="10" t="str">
        <f t="shared" si="37"/>
        <v/>
      </c>
      <c r="AI94" s="10" t="str">
        <f t="shared" si="38"/>
        <v/>
      </c>
      <c r="AK94" s="10"/>
      <c r="AL94" s="10"/>
      <c r="AM94" s="10"/>
      <c r="AN94" s="10"/>
      <c r="AO94" s="10"/>
      <c r="AQ94" s="10"/>
      <c r="AR94" s="10"/>
      <c r="AS94" s="10"/>
      <c r="AT94" s="10"/>
      <c r="AU94" s="10"/>
      <c r="AW94" s="10" t="str">
        <f t="shared" si="45"/>
        <v/>
      </c>
      <c r="AX94" s="10" t="str">
        <f t="shared" si="39"/>
        <v/>
      </c>
      <c r="AY94" s="10" t="str">
        <f t="shared" si="40"/>
        <v/>
      </c>
      <c r="AZ94" s="10" t="str">
        <f t="shared" si="41"/>
        <v/>
      </c>
      <c r="BA94" s="10" t="str">
        <f t="shared" si="42"/>
        <v/>
      </c>
    </row>
    <row r="95" spans="2:53" x14ac:dyDescent="0.2">
      <c r="F95" s="10" t="str">
        <f t="shared" si="22"/>
        <v>2017/3/23</v>
      </c>
      <c r="G95" s="14">
        <v>42817</v>
      </c>
      <c r="H95" s="10">
        <v>4.870992600000001</v>
      </c>
      <c r="I95" s="10">
        <v>-2.7186898999999998</v>
      </c>
      <c r="J95" s="10">
        <v>2.1523026999999999</v>
      </c>
      <c r="K95" s="10">
        <f t="shared" si="25"/>
        <v>328.92007910000007</v>
      </c>
      <c r="L95" s="10">
        <f t="shared" si="26"/>
        <v>-194.99959140000001</v>
      </c>
      <c r="M95" s="10">
        <f t="shared" si="27"/>
        <v>133.92048770000005</v>
      </c>
      <c r="N95" s="10">
        <v>4.8562189616563893</v>
      </c>
      <c r="O95" s="10">
        <v>4.6657771587743726</v>
      </c>
      <c r="P95" s="10">
        <v>3021.3745828000006</v>
      </c>
      <c r="Y95" s="10" t="e">
        <f t="shared" si="43"/>
        <v>#N/A</v>
      </c>
      <c r="Z95" s="10" t="e">
        <f t="shared" si="31"/>
        <v>#N/A</v>
      </c>
      <c r="AA95" s="10" t="e">
        <f t="shared" si="32"/>
        <v>#N/A</v>
      </c>
      <c r="AB95" s="10" t="e">
        <f t="shared" si="33"/>
        <v>#N/A</v>
      </c>
      <c r="AC95" s="10" t="e">
        <f t="shared" si="34"/>
        <v>#N/A</v>
      </c>
      <c r="AE95" s="10" t="str">
        <f t="shared" si="44"/>
        <v/>
      </c>
      <c r="AF95" s="10" t="str">
        <f t="shared" si="35"/>
        <v/>
      </c>
      <c r="AG95" s="10" t="str">
        <f t="shared" si="36"/>
        <v/>
      </c>
      <c r="AH95" s="10" t="str">
        <f t="shared" si="37"/>
        <v/>
      </c>
      <c r="AI95" s="10" t="str">
        <f t="shared" si="38"/>
        <v/>
      </c>
      <c r="AK95" s="10"/>
      <c r="AL95" s="10"/>
      <c r="AM95" s="10"/>
      <c r="AN95" s="10"/>
      <c r="AO95" s="10"/>
      <c r="AQ95" s="10"/>
      <c r="AR95" s="10"/>
      <c r="AS95" s="10"/>
      <c r="AT95" s="10"/>
      <c r="AU95" s="10"/>
      <c r="AW95" s="10" t="str">
        <f t="shared" si="45"/>
        <v/>
      </c>
      <c r="AX95" s="10" t="str">
        <f t="shared" si="39"/>
        <v/>
      </c>
      <c r="AY95" s="10" t="str">
        <f t="shared" si="40"/>
        <v/>
      </c>
      <c r="AZ95" s="10" t="str">
        <f t="shared" si="41"/>
        <v/>
      </c>
      <c r="BA95" s="10" t="str">
        <f t="shared" si="42"/>
        <v/>
      </c>
    </row>
    <row r="96" spans="2:53" x14ac:dyDescent="0.2">
      <c r="F96" s="10" t="str">
        <f t="shared" si="22"/>
        <v>2017/3/24</v>
      </c>
      <c r="G96" s="14">
        <v>42818</v>
      </c>
      <c r="H96" s="10">
        <v>4.1846358999999991</v>
      </c>
      <c r="I96" s="10">
        <v>-2.5599677999999999</v>
      </c>
      <c r="J96" s="10">
        <v>1.6246681000000003</v>
      </c>
      <c r="K96" s="10">
        <f t="shared" si="25"/>
        <v>333.10471500000006</v>
      </c>
      <c r="L96" s="10">
        <f t="shared" si="26"/>
        <v>-197.55955920000002</v>
      </c>
      <c r="M96" s="10">
        <f t="shared" si="27"/>
        <v>135.54515580000006</v>
      </c>
      <c r="N96" s="10">
        <v>4.9973895499036161</v>
      </c>
      <c r="O96" s="10">
        <v>4.8381930362116963</v>
      </c>
      <c r="P96" s="10">
        <v>3023.8274520999985</v>
      </c>
      <c r="Y96" s="10" t="e">
        <f t="shared" si="43"/>
        <v>#N/A</v>
      </c>
      <c r="Z96" s="10" t="e">
        <f t="shared" si="31"/>
        <v>#N/A</v>
      </c>
      <c r="AA96" s="10" t="e">
        <f t="shared" si="32"/>
        <v>#N/A</v>
      </c>
      <c r="AB96" s="10" t="e">
        <f t="shared" si="33"/>
        <v>#N/A</v>
      </c>
      <c r="AC96" s="10" t="e">
        <f t="shared" si="34"/>
        <v>#N/A</v>
      </c>
      <c r="AE96" s="10" t="str">
        <f t="shared" si="44"/>
        <v/>
      </c>
      <c r="AF96" s="10" t="str">
        <f t="shared" si="35"/>
        <v/>
      </c>
      <c r="AG96" s="10" t="str">
        <f t="shared" si="36"/>
        <v/>
      </c>
      <c r="AH96" s="10" t="str">
        <f t="shared" si="37"/>
        <v/>
      </c>
      <c r="AI96" s="10" t="str">
        <f t="shared" si="38"/>
        <v/>
      </c>
      <c r="AK96" s="10"/>
      <c r="AL96" s="10"/>
      <c r="AM96" s="10"/>
      <c r="AN96" s="10"/>
      <c r="AO96" s="10"/>
      <c r="AQ96" s="10"/>
      <c r="AR96" s="10"/>
      <c r="AS96" s="10"/>
      <c r="AT96" s="10"/>
      <c r="AU96" s="10"/>
      <c r="AW96" s="10" t="str">
        <f t="shared" si="45"/>
        <v/>
      </c>
      <c r="AX96" s="10" t="str">
        <f t="shared" si="39"/>
        <v/>
      </c>
      <c r="AY96" s="10" t="str">
        <f t="shared" si="40"/>
        <v/>
      </c>
      <c r="AZ96" s="10" t="str">
        <f t="shared" si="41"/>
        <v/>
      </c>
      <c r="BA96" s="10" t="str">
        <f t="shared" si="42"/>
        <v/>
      </c>
    </row>
    <row r="97" spans="6:53" x14ac:dyDescent="0.2">
      <c r="F97" s="10" t="str">
        <f t="shared" si="22"/>
        <v>2017/3/27</v>
      </c>
      <c r="G97" s="14">
        <v>42821</v>
      </c>
      <c r="H97" s="10">
        <v>5.242744899999999</v>
      </c>
      <c r="I97" s="10">
        <v>-3.0091055000000004</v>
      </c>
      <c r="J97" s="10">
        <v>2.2336393999999995</v>
      </c>
      <c r="K97" s="10">
        <f t="shared" si="25"/>
        <v>338.34745990000005</v>
      </c>
      <c r="L97" s="10">
        <f t="shared" si="26"/>
        <v>-200.56866470000003</v>
      </c>
      <c r="M97" s="10">
        <f t="shared" si="27"/>
        <v>137.77879520000005</v>
      </c>
      <c r="N97" s="10">
        <v>4.9117870132701009</v>
      </c>
      <c r="O97" s="10">
        <v>4.8024100278551538</v>
      </c>
      <c r="P97" s="10">
        <v>3025.1100575</v>
      </c>
      <c r="Y97" s="10" t="e">
        <f t="shared" si="43"/>
        <v>#N/A</v>
      </c>
      <c r="Z97" s="10" t="e">
        <f t="shared" si="31"/>
        <v>#N/A</v>
      </c>
      <c r="AA97" s="10" t="e">
        <f t="shared" si="32"/>
        <v>#N/A</v>
      </c>
      <c r="AB97" s="10" t="e">
        <f t="shared" si="33"/>
        <v>#N/A</v>
      </c>
      <c r="AC97" s="10" t="e">
        <f t="shared" si="34"/>
        <v>#N/A</v>
      </c>
      <c r="AE97" s="10" t="str">
        <f t="shared" si="44"/>
        <v/>
      </c>
      <c r="AF97" s="10" t="str">
        <f t="shared" si="35"/>
        <v/>
      </c>
      <c r="AG97" s="10" t="str">
        <f t="shared" si="36"/>
        <v/>
      </c>
      <c r="AH97" s="10" t="str">
        <f t="shared" si="37"/>
        <v/>
      </c>
      <c r="AI97" s="10" t="str">
        <f t="shared" si="38"/>
        <v/>
      </c>
      <c r="AK97" s="10"/>
      <c r="AL97" s="10"/>
      <c r="AM97" s="10"/>
      <c r="AN97" s="10"/>
      <c r="AO97" s="10"/>
      <c r="AQ97" s="10"/>
      <c r="AR97" s="10"/>
      <c r="AS97" s="10"/>
      <c r="AT97" s="10"/>
      <c r="AU97" s="10"/>
      <c r="AW97" s="10" t="str">
        <f t="shared" si="45"/>
        <v/>
      </c>
      <c r="AX97" s="10" t="str">
        <f t="shared" si="39"/>
        <v/>
      </c>
      <c r="AY97" s="10" t="str">
        <f t="shared" si="40"/>
        <v/>
      </c>
      <c r="AZ97" s="10" t="str">
        <f t="shared" si="41"/>
        <v/>
      </c>
      <c r="BA97" s="10" t="str">
        <f t="shared" si="42"/>
        <v/>
      </c>
    </row>
    <row r="98" spans="6:53" x14ac:dyDescent="0.2">
      <c r="F98" s="10" t="str">
        <f t="shared" si="22"/>
        <v>2017/3/28</v>
      </c>
      <c r="G98" s="14">
        <v>42822</v>
      </c>
      <c r="H98" s="10">
        <v>6.3765585000000007</v>
      </c>
      <c r="I98" s="10">
        <v>-3.0342636000000005</v>
      </c>
      <c r="J98" s="10">
        <v>3.3422948999999997</v>
      </c>
      <c r="K98" s="10">
        <f t="shared" si="25"/>
        <v>344.72401840000003</v>
      </c>
      <c r="L98" s="10">
        <f t="shared" si="26"/>
        <v>-203.60292830000003</v>
      </c>
      <c r="M98" s="10">
        <f t="shared" si="27"/>
        <v>141.12109010000006</v>
      </c>
      <c r="N98" s="10">
        <v>5.4129341218792577</v>
      </c>
      <c r="O98" s="10">
        <v>5.162677994428968</v>
      </c>
      <c r="P98" s="10">
        <v>3026.3065524000003</v>
      </c>
      <c r="Y98" s="10" t="e">
        <f t="shared" si="43"/>
        <v>#N/A</v>
      </c>
      <c r="Z98" s="10" t="e">
        <f t="shared" si="31"/>
        <v>#N/A</v>
      </c>
      <c r="AA98" s="10" t="e">
        <f t="shared" si="32"/>
        <v>#N/A</v>
      </c>
      <c r="AB98" s="10" t="e">
        <f t="shared" si="33"/>
        <v>#N/A</v>
      </c>
      <c r="AC98" s="10" t="e">
        <f t="shared" si="34"/>
        <v>#N/A</v>
      </c>
      <c r="AE98" s="10" t="str">
        <f t="shared" si="44"/>
        <v/>
      </c>
      <c r="AF98" s="10" t="str">
        <f t="shared" si="35"/>
        <v/>
      </c>
      <c r="AG98" s="10" t="str">
        <f t="shared" si="36"/>
        <v/>
      </c>
      <c r="AH98" s="10" t="str">
        <f t="shared" si="37"/>
        <v/>
      </c>
      <c r="AI98" s="10" t="str">
        <f t="shared" si="38"/>
        <v/>
      </c>
      <c r="AK98" s="10"/>
      <c r="AL98" s="10"/>
      <c r="AM98" s="10"/>
      <c r="AN98" s="10"/>
      <c r="AO98" s="10"/>
      <c r="AQ98" s="10"/>
      <c r="AR98" s="10"/>
      <c r="AS98" s="10"/>
      <c r="AT98" s="10"/>
      <c r="AU98" s="10"/>
      <c r="AW98" s="10" t="str">
        <f t="shared" si="45"/>
        <v/>
      </c>
      <c r="AX98" s="10" t="str">
        <f t="shared" si="39"/>
        <v/>
      </c>
      <c r="AY98" s="10" t="str">
        <f t="shared" si="40"/>
        <v/>
      </c>
      <c r="AZ98" s="10" t="str">
        <f t="shared" si="41"/>
        <v/>
      </c>
      <c r="BA98" s="10" t="str">
        <f t="shared" si="42"/>
        <v/>
      </c>
    </row>
    <row r="99" spans="6:53" x14ac:dyDescent="0.2">
      <c r="F99" s="10" t="str">
        <f t="shared" si="22"/>
        <v>2017/3/29</v>
      </c>
      <c r="G99" s="14">
        <v>42823</v>
      </c>
      <c r="H99" s="10">
        <v>5.1139532000000001</v>
      </c>
      <c r="I99" s="10">
        <v>-3.7365122000000004</v>
      </c>
      <c r="J99" s="10">
        <v>1.3774409999999999</v>
      </c>
      <c r="K99" s="10">
        <f t="shared" si="25"/>
        <v>349.83797160000006</v>
      </c>
      <c r="L99" s="10">
        <f t="shared" si="26"/>
        <v>-207.33944050000002</v>
      </c>
      <c r="M99" s="10">
        <f t="shared" si="27"/>
        <v>142.49853110000006</v>
      </c>
      <c r="N99" s="10">
        <v>5.58513393899677</v>
      </c>
      <c r="O99" s="10">
        <v>5.2892033426183849</v>
      </c>
      <c r="P99" s="10">
        <v>3044.1821044999992</v>
      </c>
      <c r="Y99" s="10" t="e">
        <f t="shared" si="43"/>
        <v>#N/A</v>
      </c>
      <c r="Z99" s="10" t="e">
        <f t="shared" si="31"/>
        <v>#N/A</v>
      </c>
      <c r="AA99" s="10" t="e">
        <f t="shared" si="32"/>
        <v>#N/A</v>
      </c>
      <c r="AB99" s="10" t="e">
        <f t="shared" si="33"/>
        <v>#N/A</v>
      </c>
      <c r="AC99" s="10" t="e">
        <f t="shared" si="34"/>
        <v>#N/A</v>
      </c>
      <c r="AE99" s="10" t="str">
        <f t="shared" si="44"/>
        <v/>
      </c>
      <c r="AF99" s="10" t="str">
        <f t="shared" si="35"/>
        <v/>
      </c>
      <c r="AG99" s="10" t="str">
        <f t="shared" si="36"/>
        <v/>
      </c>
      <c r="AH99" s="10" t="str">
        <f t="shared" si="37"/>
        <v/>
      </c>
      <c r="AI99" s="10" t="str">
        <f t="shared" si="38"/>
        <v/>
      </c>
      <c r="AK99" s="10"/>
      <c r="AL99" s="10"/>
      <c r="AM99" s="10"/>
      <c r="AN99" s="10"/>
      <c r="AO99" s="10"/>
      <c r="AQ99" s="10"/>
      <c r="AR99" s="10"/>
      <c r="AS99" s="10"/>
      <c r="AT99" s="10"/>
      <c r="AU99" s="10"/>
      <c r="AW99" s="10" t="str">
        <f t="shared" si="45"/>
        <v/>
      </c>
      <c r="AX99" s="10" t="str">
        <f t="shared" si="39"/>
        <v/>
      </c>
      <c r="AY99" s="10" t="str">
        <f t="shared" si="40"/>
        <v/>
      </c>
      <c r="AZ99" s="10" t="str">
        <f t="shared" si="41"/>
        <v/>
      </c>
      <c r="BA99" s="10" t="str">
        <f t="shared" si="42"/>
        <v/>
      </c>
    </row>
    <row r="100" spans="6:53" x14ac:dyDescent="0.2">
      <c r="F100" s="10" t="str">
        <f t="shared" si="22"/>
        <v>2017/3/30</v>
      </c>
      <c r="G100" s="14">
        <v>42824</v>
      </c>
      <c r="H100" s="10">
        <v>4.7286275</v>
      </c>
      <c r="I100" s="10">
        <v>-2.8358486000000003</v>
      </c>
      <c r="J100" s="10">
        <v>1.8927788999999995</v>
      </c>
      <c r="K100" s="10">
        <f t="shared" si="25"/>
        <v>354.56659910000008</v>
      </c>
      <c r="L100" s="10">
        <f t="shared" si="26"/>
        <v>-210.17528910000001</v>
      </c>
      <c r="M100" s="10">
        <f t="shared" si="27"/>
        <v>144.39131000000006</v>
      </c>
      <c r="N100" s="10">
        <v>5.56486652329201</v>
      </c>
      <c r="O100" s="10">
        <v>5.2546008356545979</v>
      </c>
      <c r="P100" s="10">
        <v>3050.4045497999996</v>
      </c>
      <c r="Y100" s="10" t="e">
        <f t="shared" si="43"/>
        <v>#N/A</v>
      </c>
      <c r="Z100" s="10" t="e">
        <f t="shared" si="31"/>
        <v>#N/A</v>
      </c>
      <c r="AA100" s="10" t="e">
        <f t="shared" si="32"/>
        <v>#N/A</v>
      </c>
      <c r="AB100" s="10" t="e">
        <f t="shared" si="33"/>
        <v>#N/A</v>
      </c>
      <c r="AC100" s="10" t="e">
        <f t="shared" si="34"/>
        <v>#N/A</v>
      </c>
      <c r="AE100" s="10" t="str">
        <f t="shared" si="44"/>
        <v/>
      </c>
      <c r="AF100" s="10" t="str">
        <f t="shared" si="35"/>
        <v/>
      </c>
      <c r="AG100" s="10" t="str">
        <f t="shared" si="36"/>
        <v/>
      </c>
      <c r="AH100" s="10" t="str">
        <f t="shared" si="37"/>
        <v/>
      </c>
      <c r="AI100" s="10" t="str">
        <f t="shared" si="38"/>
        <v/>
      </c>
      <c r="AK100" s="10"/>
      <c r="AL100" s="10"/>
      <c r="AM100" s="10"/>
      <c r="AN100" s="10"/>
      <c r="AO100" s="10"/>
      <c r="AQ100" s="10"/>
      <c r="AR100" s="10"/>
      <c r="AS100" s="10"/>
      <c r="AT100" s="10"/>
      <c r="AU100" s="10"/>
      <c r="AW100" s="10" t="str">
        <f t="shared" si="45"/>
        <v/>
      </c>
      <c r="AX100" s="10" t="str">
        <f t="shared" si="39"/>
        <v/>
      </c>
      <c r="AY100" s="10" t="str">
        <f t="shared" si="40"/>
        <v/>
      </c>
      <c r="AZ100" s="10" t="str">
        <f t="shared" si="41"/>
        <v/>
      </c>
      <c r="BA100" s="10" t="str">
        <f t="shared" si="42"/>
        <v/>
      </c>
    </row>
    <row r="101" spans="6:53" x14ac:dyDescent="0.2">
      <c r="F101" s="10" t="str">
        <f t="shared" si="22"/>
        <v>2017/3/31</v>
      </c>
      <c r="G101" s="14">
        <v>42825</v>
      </c>
      <c r="H101" s="10">
        <v>2.8323559000000005</v>
      </c>
      <c r="I101" s="10">
        <v>-3.9653632999999995</v>
      </c>
      <c r="J101" s="10">
        <v>-1.1330074000000001</v>
      </c>
      <c r="K101" s="10">
        <f t="shared" si="25"/>
        <v>357.39895500000006</v>
      </c>
      <c r="L101" s="10">
        <f t="shared" si="26"/>
        <v>-214.14065240000002</v>
      </c>
      <c r="M101" s="10">
        <f t="shared" si="27"/>
        <v>143.25830260000006</v>
      </c>
      <c r="N101" s="10">
        <v>5.4250344551814074</v>
      </c>
      <c r="O101" s="10">
        <v>5.1916206128133711</v>
      </c>
      <c r="P101" s="10">
        <v>3052.0592237000001</v>
      </c>
      <c r="Y101" s="10" t="e">
        <f t="shared" si="43"/>
        <v>#N/A</v>
      </c>
      <c r="Z101" s="10" t="e">
        <f t="shared" si="31"/>
        <v>#N/A</v>
      </c>
      <c r="AA101" s="10" t="e">
        <f t="shared" si="32"/>
        <v>#N/A</v>
      </c>
      <c r="AB101" s="10" t="e">
        <f t="shared" si="33"/>
        <v>#N/A</v>
      </c>
      <c r="AC101" s="10" t="e">
        <f t="shared" si="34"/>
        <v>#N/A</v>
      </c>
      <c r="AE101" s="10" t="str">
        <f t="shared" si="44"/>
        <v/>
      </c>
      <c r="AF101" s="10" t="str">
        <f t="shared" si="35"/>
        <v/>
      </c>
      <c r="AG101" s="10" t="str">
        <f t="shared" si="36"/>
        <v/>
      </c>
      <c r="AH101" s="10" t="str">
        <f t="shared" si="37"/>
        <v/>
      </c>
      <c r="AI101" s="10" t="str">
        <f t="shared" si="38"/>
        <v/>
      </c>
      <c r="AK101" s="10"/>
      <c r="AL101" s="10"/>
      <c r="AM101" s="10"/>
      <c r="AN101" s="10"/>
      <c r="AO101" s="10"/>
      <c r="AQ101" s="10"/>
      <c r="AR101" s="10"/>
      <c r="AS101" s="10"/>
      <c r="AT101" s="10"/>
      <c r="AU101" s="10"/>
      <c r="AW101" s="10" t="str">
        <f t="shared" si="45"/>
        <v/>
      </c>
      <c r="AX101" s="10" t="str">
        <f t="shared" si="39"/>
        <v/>
      </c>
      <c r="AY101" s="10" t="str">
        <f t="shared" si="40"/>
        <v/>
      </c>
      <c r="AZ101" s="10" t="str">
        <f t="shared" si="41"/>
        <v/>
      </c>
      <c r="BA101" s="10" t="str">
        <f t="shared" si="42"/>
        <v/>
      </c>
    </row>
    <row r="102" spans="6:53" x14ac:dyDescent="0.2">
      <c r="F102" s="10" t="str">
        <f t="shared" ref="F102:F165" si="46">IF($G102="","",YEAR($G102)&amp;"/"&amp;MONTH($G102)&amp;"/"&amp;DAY($G102))</f>
        <v>2017/4/3</v>
      </c>
      <c r="G102" s="14">
        <v>42828</v>
      </c>
      <c r="H102" s="10">
        <v>4.4587592000000003</v>
      </c>
      <c r="I102" s="10">
        <v>-7.433907500000001</v>
      </c>
      <c r="J102" s="10">
        <v>-2.9751483000000003</v>
      </c>
      <c r="K102" s="10">
        <f t="shared" si="25"/>
        <v>361.85771420000003</v>
      </c>
      <c r="L102" s="10">
        <f t="shared" si="26"/>
        <v>-221.57455990000003</v>
      </c>
      <c r="M102" s="10">
        <f t="shared" si="27"/>
        <v>140.28315430000006</v>
      </c>
      <c r="N102" s="10">
        <v>5.3561080922124642</v>
      </c>
      <c r="O102" s="10">
        <v>5.0948787372330546</v>
      </c>
      <c r="P102" s="10">
        <v>3047.4790187999984</v>
      </c>
      <c r="Y102" s="10" t="e">
        <f t="shared" si="43"/>
        <v>#N/A</v>
      </c>
      <c r="Z102" s="10" t="e">
        <f t="shared" si="31"/>
        <v>#N/A</v>
      </c>
      <c r="AA102" s="10" t="e">
        <f t="shared" si="32"/>
        <v>#N/A</v>
      </c>
      <c r="AB102" s="10" t="e">
        <f t="shared" si="33"/>
        <v>#N/A</v>
      </c>
      <c r="AC102" s="10" t="e">
        <f t="shared" si="34"/>
        <v>#N/A</v>
      </c>
      <c r="AE102" s="10" t="str">
        <f t="shared" si="44"/>
        <v/>
      </c>
      <c r="AF102" s="10" t="str">
        <f t="shared" si="35"/>
        <v/>
      </c>
      <c r="AG102" s="10" t="str">
        <f t="shared" si="36"/>
        <v/>
      </c>
      <c r="AH102" s="10" t="str">
        <f t="shared" si="37"/>
        <v/>
      </c>
      <c r="AI102" s="10" t="str">
        <f t="shared" si="38"/>
        <v/>
      </c>
      <c r="AK102" s="10"/>
      <c r="AL102" s="10"/>
      <c r="AM102" s="10"/>
      <c r="AN102" s="10"/>
      <c r="AO102" s="10"/>
      <c r="AQ102" s="10"/>
      <c r="AR102" s="10"/>
      <c r="AS102" s="10"/>
      <c r="AT102" s="10"/>
      <c r="AU102" s="10"/>
      <c r="AW102" s="10" t="str">
        <f t="shared" si="45"/>
        <v/>
      </c>
      <c r="AX102" s="10" t="str">
        <f t="shared" si="39"/>
        <v/>
      </c>
      <c r="AY102" s="10" t="str">
        <f t="shared" si="40"/>
        <v/>
      </c>
      <c r="AZ102" s="10" t="str">
        <f t="shared" si="41"/>
        <v/>
      </c>
      <c r="BA102" s="10" t="str">
        <f t="shared" si="42"/>
        <v/>
      </c>
    </row>
    <row r="103" spans="6:53" x14ac:dyDescent="0.2">
      <c r="F103" s="10" t="str">
        <f t="shared" si="46"/>
        <v>2017/4/4</v>
      </c>
      <c r="G103" s="14">
        <v>42829</v>
      </c>
      <c r="H103" s="10">
        <v>3.759961800000001</v>
      </c>
      <c r="I103" s="10">
        <v>-3.7682369000000011</v>
      </c>
      <c r="J103" s="10">
        <v>-8.2750999999999936E-3</v>
      </c>
      <c r="K103" s="10">
        <f t="shared" ref="K103:K166" si="47">IF($H103="","",K102+H103)</f>
        <v>365.61767600000002</v>
      </c>
      <c r="L103" s="10">
        <f t="shared" ref="L103:L166" si="48">IF($I103="","",L102+I103)</f>
        <v>-225.34279680000003</v>
      </c>
      <c r="M103" s="10">
        <f t="shared" ref="M103:M166" si="49">IF($J103="","",M102+J103)</f>
        <v>140.27487920000007</v>
      </c>
      <c r="N103" s="10">
        <v>5.3735980292948007</v>
      </c>
      <c r="O103" s="10">
        <v>5.1539924326833786</v>
      </c>
      <c r="P103" s="10">
        <v>3041.1326690333331</v>
      </c>
      <c r="Y103" s="10" t="e">
        <f t="shared" si="43"/>
        <v>#N/A</v>
      </c>
      <c r="Z103" s="10" t="e">
        <f t="shared" si="31"/>
        <v>#N/A</v>
      </c>
      <c r="AA103" s="10" t="e">
        <f t="shared" si="32"/>
        <v>#N/A</v>
      </c>
      <c r="AB103" s="10" t="e">
        <f t="shared" si="33"/>
        <v>#N/A</v>
      </c>
      <c r="AC103" s="10" t="e">
        <f t="shared" si="34"/>
        <v>#N/A</v>
      </c>
      <c r="AE103" s="10" t="str">
        <f t="shared" si="44"/>
        <v/>
      </c>
      <c r="AF103" s="10" t="str">
        <f t="shared" si="35"/>
        <v/>
      </c>
      <c r="AG103" s="10" t="str">
        <f t="shared" si="36"/>
        <v/>
      </c>
      <c r="AH103" s="10" t="str">
        <f t="shared" si="37"/>
        <v/>
      </c>
      <c r="AI103" s="10" t="str">
        <f t="shared" si="38"/>
        <v/>
      </c>
      <c r="AK103" s="10"/>
      <c r="AL103" s="10"/>
      <c r="AM103" s="10"/>
      <c r="AN103" s="10"/>
      <c r="AO103" s="10"/>
      <c r="AQ103" s="10"/>
      <c r="AR103" s="10"/>
      <c r="AS103" s="10"/>
      <c r="AT103" s="10"/>
      <c r="AU103" s="10"/>
      <c r="AW103" s="10" t="str">
        <f t="shared" si="45"/>
        <v/>
      </c>
      <c r="AX103" s="10" t="str">
        <f t="shared" si="39"/>
        <v/>
      </c>
      <c r="AY103" s="10" t="str">
        <f t="shared" si="40"/>
        <v/>
      </c>
      <c r="AZ103" s="10" t="str">
        <f t="shared" si="41"/>
        <v/>
      </c>
      <c r="BA103" s="10" t="str">
        <f t="shared" si="42"/>
        <v/>
      </c>
    </row>
    <row r="104" spans="6:53" x14ac:dyDescent="0.2">
      <c r="F104" s="10" t="str">
        <f t="shared" si="46"/>
        <v>2017/4/5</v>
      </c>
      <c r="G104" s="14">
        <v>42830</v>
      </c>
      <c r="H104" s="10">
        <v>5.2222587000000003</v>
      </c>
      <c r="I104" s="10">
        <v>-5.1170819000000005</v>
      </c>
      <c r="J104" s="10">
        <v>0.10517680000000004</v>
      </c>
      <c r="K104" s="10">
        <f t="shared" si="47"/>
        <v>370.83993470000001</v>
      </c>
      <c r="L104" s="10">
        <f t="shared" si="48"/>
        <v>-230.45987870000002</v>
      </c>
      <c r="M104" s="10">
        <f t="shared" si="49"/>
        <v>140.38005600000008</v>
      </c>
      <c r="N104" s="10">
        <v>5.0728747470151188</v>
      </c>
      <c r="O104" s="10">
        <v>4.9216072423398334</v>
      </c>
      <c r="P104" s="10">
        <v>3041.3188828166672</v>
      </c>
      <c r="Y104" s="10" t="e">
        <f t="shared" si="43"/>
        <v>#N/A</v>
      </c>
      <c r="Z104" s="10" t="e">
        <f t="shared" si="31"/>
        <v>#N/A</v>
      </c>
      <c r="AA104" s="10" t="e">
        <f t="shared" si="32"/>
        <v>#N/A</v>
      </c>
      <c r="AB104" s="10" t="e">
        <f t="shared" si="33"/>
        <v>#N/A</v>
      </c>
      <c r="AC104" s="10" t="e">
        <f t="shared" si="34"/>
        <v>#N/A</v>
      </c>
      <c r="AE104" s="10" t="str">
        <f t="shared" si="44"/>
        <v/>
      </c>
      <c r="AF104" s="10" t="str">
        <f t="shared" si="35"/>
        <v/>
      </c>
      <c r="AG104" s="10" t="str">
        <f t="shared" si="36"/>
        <v/>
      </c>
      <c r="AH104" s="10" t="str">
        <f t="shared" si="37"/>
        <v/>
      </c>
      <c r="AI104" s="10" t="str">
        <f t="shared" si="38"/>
        <v/>
      </c>
      <c r="AK104" s="10"/>
      <c r="AL104" s="10"/>
      <c r="AM104" s="10"/>
      <c r="AN104" s="10"/>
      <c r="AO104" s="10"/>
      <c r="AQ104" s="10"/>
      <c r="AR104" s="10"/>
      <c r="AS104" s="10"/>
      <c r="AT104" s="10"/>
      <c r="AU104" s="10"/>
      <c r="AW104" s="10" t="str">
        <f t="shared" si="45"/>
        <v/>
      </c>
      <c r="AX104" s="10" t="str">
        <f t="shared" si="39"/>
        <v/>
      </c>
      <c r="AY104" s="10" t="str">
        <f t="shared" si="40"/>
        <v/>
      </c>
      <c r="AZ104" s="10" t="str">
        <f t="shared" si="41"/>
        <v/>
      </c>
      <c r="BA104" s="10" t="str">
        <f t="shared" si="42"/>
        <v/>
      </c>
    </row>
    <row r="105" spans="6:53" x14ac:dyDescent="0.2">
      <c r="F105" s="10" t="str">
        <f t="shared" si="46"/>
        <v>2017/4/6</v>
      </c>
      <c r="G105" s="14">
        <v>42831</v>
      </c>
      <c r="H105" s="10">
        <v>5.2559522999999997</v>
      </c>
      <c r="I105" s="10">
        <v>-3.1424619000000011</v>
      </c>
      <c r="J105" s="10">
        <v>2.1134903999999994</v>
      </c>
      <c r="K105" s="10">
        <f t="shared" si="47"/>
        <v>376.095887</v>
      </c>
      <c r="L105" s="10">
        <f t="shared" si="48"/>
        <v>-233.60234060000002</v>
      </c>
      <c r="M105" s="10">
        <f t="shared" si="49"/>
        <v>142.49354640000007</v>
      </c>
      <c r="N105" s="10">
        <v>5.1885490975766526</v>
      </c>
      <c r="O105" s="10">
        <v>5.018666573816156</v>
      </c>
      <c r="P105" s="10">
        <v>3032.5533757999997</v>
      </c>
      <c r="Y105" s="10" t="e">
        <f t="shared" si="43"/>
        <v>#N/A</v>
      </c>
      <c r="Z105" s="10" t="e">
        <f t="shared" si="31"/>
        <v>#N/A</v>
      </c>
      <c r="AA105" s="10" t="e">
        <f t="shared" si="32"/>
        <v>#N/A</v>
      </c>
      <c r="AB105" s="10" t="e">
        <f t="shared" si="33"/>
        <v>#N/A</v>
      </c>
      <c r="AC105" s="10" t="e">
        <f t="shared" si="34"/>
        <v>#N/A</v>
      </c>
      <c r="AE105" s="10" t="str">
        <f t="shared" si="44"/>
        <v/>
      </c>
      <c r="AF105" s="10" t="str">
        <f t="shared" si="35"/>
        <v/>
      </c>
      <c r="AG105" s="10" t="str">
        <f t="shared" si="36"/>
        <v/>
      </c>
      <c r="AH105" s="10" t="str">
        <f t="shared" si="37"/>
        <v/>
      </c>
      <c r="AI105" s="10" t="str">
        <f t="shared" si="38"/>
        <v/>
      </c>
      <c r="AK105" s="10"/>
      <c r="AL105" s="10"/>
      <c r="AM105" s="10"/>
      <c r="AN105" s="10"/>
      <c r="AO105" s="10"/>
      <c r="AQ105" s="10"/>
      <c r="AR105" s="10"/>
      <c r="AS105" s="10"/>
      <c r="AT105" s="10"/>
      <c r="AU105" s="10"/>
      <c r="AW105" s="10" t="str">
        <f t="shared" si="45"/>
        <v/>
      </c>
      <c r="AX105" s="10" t="str">
        <f t="shared" si="39"/>
        <v/>
      </c>
      <c r="AY105" s="10" t="str">
        <f t="shared" si="40"/>
        <v/>
      </c>
      <c r="AZ105" s="10" t="str">
        <f t="shared" si="41"/>
        <v/>
      </c>
      <c r="BA105" s="10" t="str">
        <f t="shared" si="42"/>
        <v/>
      </c>
    </row>
    <row r="106" spans="6:53" x14ac:dyDescent="0.2">
      <c r="F106" s="10" t="str">
        <f t="shared" si="46"/>
        <v>2017/4/7</v>
      </c>
      <c r="G106" s="14">
        <v>42832</v>
      </c>
      <c r="H106" s="10">
        <v>2.8687398999999996</v>
      </c>
      <c r="I106" s="10">
        <v>-2.3053446000000002</v>
      </c>
      <c r="J106" s="10">
        <v>0.56339530000000015</v>
      </c>
      <c r="K106" s="10">
        <f t="shared" si="47"/>
        <v>378.96462689999998</v>
      </c>
      <c r="L106" s="10">
        <f t="shared" si="48"/>
        <v>-235.90768520000003</v>
      </c>
      <c r="M106" s="10">
        <f t="shared" si="49"/>
        <v>143.05694170000007</v>
      </c>
      <c r="N106" s="10">
        <v>5.1242793745495065</v>
      </c>
      <c r="O106" s="10">
        <v>4.9539707520891367</v>
      </c>
      <c r="P106" s="10">
        <v>3038.1545487999997</v>
      </c>
      <c r="Y106" s="10" t="e">
        <f t="shared" si="43"/>
        <v>#N/A</v>
      </c>
      <c r="Z106" s="10" t="e">
        <f t="shared" si="31"/>
        <v>#N/A</v>
      </c>
      <c r="AA106" s="10" t="e">
        <f t="shared" si="32"/>
        <v>#N/A</v>
      </c>
      <c r="AB106" s="10" t="e">
        <f t="shared" si="33"/>
        <v>#N/A</v>
      </c>
      <c r="AC106" s="10" t="e">
        <f t="shared" si="34"/>
        <v>#N/A</v>
      </c>
      <c r="AE106" s="10" t="str">
        <f t="shared" si="44"/>
        <v/>
      </c>
      <c r="AF106" s="10" t="str">
        <f t="shared" si="35"/>
        <v/>
      </c>
      <c r="AG106" s="10" t="str">
        <f t="shared" si="36"/>
        <v/>
      </c>
      <c r="AH106" s="10" t="str">
        <f t="shared" si="37"/>
        <v/>
      </c>
      <c r="AI106" s="10" t="str">
        <f t="shared" si="38"/>
        <v/>
      </c>
      <c r="AK106" s="10"/>
      <c r="AL106" s="10"/>
      <c r="AM106" s="10"/>
      <c r="AN106" s="10"/>
      <c r="AO106" s="10"/>
      <c r="AQ106" s="10"/>
      <c r="AR106" s="10"/>
      <c r="AS106" s="10"/>
      <c r="AT106" s="10"/>
      <c r="AU106" s="10"/>
      <c r="AW106" s="10" t="str">
        <f t="shared" si="45"/>
        <v/>
      </c>
      <c r="AX106" s="10" t="str">
        <f t="shared" si="39"/>
        <v/>
      </c>
      <c r="AY106" s="10" t="str">
        <f t="shared" si="40"/>
        <v/>
      </c>
      <c r="AZ106" s="10" t="str">
        <f t="shared" si="41"/>
        <v/>
      </c>
      <c r="BA106" s="10" t="str">
        <f t="shared" si="42"/>
        <v/>
      </c>
    </row>
    <row r="107" spans="6:53" x14ac:dyDescent="0.2">
      <c r="F107" s="10" t="str">
        <f t="shared" si="46"/>
        <v>2017/4/10</v>
      </c>
      <c r="G107" s="14">
        <v>42835</v>
      </c>
      <c r="H107" s="10">
        <v>5.3313885000000001</v>
      </c>
      <c r="I107" s="10">
        <v>-3.9681907000000001</v>
      </c>
      <c r="J107" s="10">
        <v>1.3631977999999998</v>
      </c>
      <c r="K107" s="10">
        <f t="shared" si="47"/>
        <v>384.29601539999999</v>
      </c>
      <c r="L107" s="10">
        <f t="shared" si="48"/>
        <v>-239.87587590000004</v>
      </c>
      <c r="M107" s="10">
        <f t="shared" si="49"/>
        <v>144.42013950000006</v>
      </c>
      <c r="N107" s="10">
        <v>5.2050744978443966</v>
      </c>
      <c r="O107" s="10">
        <v>4.9889844011142053</v>
      </c>
      <c r="P107" s="10">
        <v>3036.7089383000007</v>
      </c>
      <c r="Y107" s="10" t="e">
        <f t="shared" si="43"/>
        <v>#N/A</v>
      </c>
      <c r="Z107" s="10" t="e">
        <f t="shared" si="31"/>
        <v>#N/A</v>
      </c>
      <c r="AA107" s="10" t="e">
        <f t="shared" si="32"/>
        <v>#N/A</v>
      </c>
      <c r="AB107" s="10" t="e">
        <f t="shared" si="33"/>
        <v>#N/A</v>
      </c>
      <c r="AC107" s="10" t="e">
        <f t="shared" si="34"/>
        <v>#N/A</v>
      </c>
      <c r="AE107" s="10" t="str">
        <f t="shared" si="44"/>
        <v/>
      </c>
      <c r="AF107" s="10" t="str">
        <f t="shared" si="35"/>
        <v/>
      </c>
      <c r="AG107" s="10" t="str">
        <f t="shared" si="36"/>
        <v/>
      </c>
      <c r="AH107" s="10" t="str">
        <f t="shared" si="37"/>
        <v/>
      </c>
      <c r="AI107" s="10" t="str">
        <f t="shared" si="38"/>
        <v/>
      </c>
      <c r="AK107" s="10"/>
      <c r="AL107" s="10"/>
      <c r="AM107" s="10"/>
      <c r="AN107" s="10"/>
      <c r="AO107" s="10"/>
      <c r="AQ107" s="10"/>
      <c r="AR107" s="10"/>
      <c r="AS107" s="10"/>
      <c r="AT107" s="10"/>
      <c r="AU107" s="10"/>
      <c r="AW107" s="10" t="str">
        <f t="shared" si="45"/>
        <v/>
      </c>
      <c r="AX107" s="10" t="str">
        <f t="shared" si="39"/>
        <v/>
      </c>
      <c r="AY107" s="10" t="str">
        <f t="shared" si="40"/>
        <v/>
      </c>
      <c r="AZ107" s="10" t="str">
        <f t="shared" si="41"/>
        <v/>
      </c>
      <c r="BA107" s="10" t="str">
        <f t="shared" si="42"/>
        <v/>
      </c>
    </row>
    <row r="108" spans="6:53" x14ac:dyDescent="0.2">
      <c r="F108" s="10" t="str">
        <f t="shared" si="46"/>
        <v>2017/4/11</v>
      </c>
      <c r="G108" s="14">
        <v>42836</v>
      </c>
      <c r="H108" s="10">
        <v>4.0980895000000004</v>
      </c>
      <c r="I108" s="10">
        <v>-3.4941705999999999</v>
      </c>
      <c r="J108" s="10">
        <v>0.60391890000000004</v>
      </c>
      <c r="K108" s="10">
        <f t="shared" si="47"/>
        <v>388.3941049</v>
      </c>
      <c r="L108" s="10">
        <f t="shared" si="48"/>
        <v>-243.37004650000003</v>
      </c>
      <c r="M108" s="10">
        <f t="shared" si="49"/>
        <v>145.02405840000006</v>
      </c>
      <c r="N108" s="10">
        <v>5.3978366282695447</v>
      </c>
      <c r="O108" s="10">
        <v>5.1788713091921998</v>
      </c>
      <c r="P108" s="10">
        <v>3040.6772708000003</v>
      </c>
      <c r="Y108" s="10" t="e">
        <f t="shared" si="43"/>
        <v>#N/A</v>
      </c>
      <c r="Z108" s="10" t="e">
        <f t="shared" si="31"/>
        <v>#N/A</v>
      </c>
      <c r="AA108" s="10" t="e">
        <f t="shared" si="32"/>
        <v>#N/A</v>
      </c>
      <c r="AB108" s="10" t="e">
        <f t="shared" si="33"/>
        <v>#N/A</v>
      </c>
      <c r="AC108" s="10" t="e">
        <f t="shared" si="34"/>
        <v>#N/A</v>
      </c>
      <c r="AE108" s="10" t="str">
        <f t="shared" si="44"/>
        <v/>
      </c>
      <c r="AF108" s="10" t="str">
        <f t="shared" si="35"/>
        <v/>
      </c>
      <c r="AG108" s="10" t="str">
        <f t="shared" si="36"/>
        <v/>
      </c>
      <c r="AH108" s="10" t="str">
        <f t="shared" si="37"/>
        <v/>
      </c>
      <c r="AI108" s="10" t="str">
        <f t="shared" si="38"/>
        <v/>
      </c>
      <c r="AK108" s="10"/>
      <c r="AL108" s="10"/>
      <c r="AM108" s="10"/>
      <c r="AN108" s="10"/>
      <c r="AO108" s="10"/>
      <c r="AQ108" s="10"/>
      <c r="AR108" s="10"/>
      <c r="AS108" s="10"/>
      <c r="AT108" s="10"/>
      <c r="AU108" s="10"/>
      <c r="AW108" s="10" t="str">
        <f t="shared" si="45"/>
        <v/>
      </c>
      <c r="AX108" s="10" t="str">
        <f t="shared" si="39"/>
        <v/>
      </c>
      <c r="AY108" s="10" t="str">
        <f t="shared" si="40"/>
        <v/>
      </c>
      <c r="AZ108" s="10" t="str">
        <f t="shared" si="41"/>
        <v/>
      </c>
      <c r="BA108" s="10" t="str">
        <f t="shared" si="42"/>
        <v/>
      </c>
    </row>
    <row r="109" spans="6:53" x14ac:dyDescent="0.2">
      <c r="F109" s="10" t="str">
        <f t="shared" si="46"/>
        <v>2017/4/12</v>
      </c>
      <c r="G109" s="14">
        <v>42837</v>
      </c>
      <c r="H109" s="10">
        <v>4.3745533999999999</v>
      </c>
      <c r="I109" s="10">
        <v>-1.9564891000000002</v>
      </c>
      <c r="J109" s="10">
        <v>2.4180643000000002</v>
      </c>
      <c r="K109" s="10">
        <f t="shared" si="47"/>
        <v>392.76865830000003</v>
      </c>
      <c r="L109" s="10">
        <f t="shared" si="48"/>
        <v>-245.32653560000003</v>
      </c>
      <c r="M109" s="10">
        <f t="shared" si="49"/>
        <v>147.44212270000006</v>
      </c>
      <c r="N109" s="10">
        <v>5.1227467597954988</v>
      </c>
      <c r="O109" s="10">
        <v>4.9921713091922006</v>
      </c>
      <c r="P109" s="10">
        <v>3046.7982150999978</v>
      </c>
      <c r="Y109" s="10" t="e">
        <f t="shared" si="43"/>
        <v>#N/A</v>
      </c>
      <c r="Z109" s="10" t="e">
        <f t="shared" si="31"/>
        <v>#N/A</v>
      </c>
      <c r="AA109" s="10" t="e">
        <f t="shared" si="32"/>
        <v>#N/A</v>
      </c>
      <c r="AB109" s="10" t="e">
        <f t="shared" si="33"/>
        <v>#N/A</v>
      </c>
      <c r="AC109" s="10" t="e">
        <f t="shared" si="34"/>
        <v>#N/A</v>
      </c>
      <c r="AE109" s="10" t="str">
        <f t="shared" si="44"/>
        <v/>
      </c>
      <c r="AF109" s="10" t="str">
        <f t="shared" si="35"/>
        <v/>
      </c>
      <c r="AG109" s="10" t="str">
        <f t="shared" si="36"/>
        <v/>
      </c>
      <c r="AH109" s="10" t="str">
        <f t="shared" si="37"/>
        <v/>
      </c>
      <c r="AI109" s="10" t="str">
        <f t="shared" si="38"/>
        <v/>
      </c>
      <c r="AK109" s="10"/>
      <c r="AL109" s="10"/>
      <c r="AM109" s="10"/>
      <c r="AN109" s="10"/>
      <c r="AO109" s="10"/>
      <c r="AQ109" s="10"/>
      <c r="AR109" s="10"/>
      <c r="AS109" s="10"/>
      <c r="AT109" s="10"/>
      <c r="AU109" s="10"/>
      <c r="AW109" s="10" t="str">
        <f t="shared" si="45"/>
        <v/>
      </c>
      <c r="AX109" s="10" t="str">
        <f t="shared" si="39"/>
        <v/>
      </c>
      <c r="AY109" s="10" t="str">
        <f t="shared" si="40"/>
        <v/>
      </c>
      <c r="AZ109" s="10" t="str">
        <f t="shared" si="41"/>
        <v/>
      </c>
      <c r="BA109" s="10" t="str">
        <f t="shared" si="42"/>
        <v/>
      </c>
    </row>
    <row r="110" spans="6:53" x14ac:dyDescent="0.2">
      <c r="F110" s="10" t="str">
        <f t="shared" si="46"/>
        <v>2017/4/13</v>
      </c>
      <c r="G110" s="14">
        <v>42838</v>
      </c>
      <c r="H110" s="10">
        <v>4.0285880999999995</v>
      </c>
      <c r="I110" s="10">
        <v>-2.8274851000000005</v>
      </c>
      <c r="J110" s="10">
        <v>1.2011030000000003</v>
      </c>
      <c r="K110" s="10">
        <f t="shared" si="47"/>
        <v>396.79724640000001</v>
      </c>
      <c r="L110" s="10">
        <f t="shared" si="48"/>
        <v>-248.15402070000002</v>
      </c>
      <c r="M110" s="10">
        <f t="shared" si="49"/>
        <v>148.64322570000004</v>
      </c>
      <c r="N110" s="10">
        <v>4.6858389931878062</v>
      </c>
      <c r="O110" s="10">
        <v>4.7070832869080785</v>
      </c>
      <c r="P110" s="10">
        <v>3040.5397497999998</v>
      </c>
      <c r="Y110" s="10" t="e">
        <f t="shared" si="43"/>
        <v>#N/A</v>
      </c>
      <c r="Z110" s="10" t="e">
        <f t="shared" si="31"/>
        <v>#N/A</v>
      </c>
      <c r="AA110" s="10" t="e">
        <f t="shared" si="32"/>
        <v>#N/A</v>
      </c>
      <c r="AB110" s="10" t="e">
        <f t="shared" si="33"/>
        <v>#N/A</v>
      </c>
      <c r="AC110" s="10" t="e">
        <f t="shared" si="34"/>
        <v>#N/A</v>
      </c>
      <c r="AE110" s="10" t="str">
        <f t="shared" si="44"/>
        <v/>
      </c>
      <c r="AF110" s="10" t="str">
        <f t="shared" si="35"/>
        <v/>
      </c>
      <c r="AG110" s="10" t="str">
        <f t="shared" si="36"/>
        <v/>
      </c>
      <c r="AH110" s="10" t="str">
        <f t="shared" si="37"/>
        <v/>
      </c>
      <c r="AI110" s="10" t="str">
        <f t="shared" si="38"/>
        <v/>
      </c>
      <c r="AK110" s="10"/>
      <c r="AL110" s="10"/>
      <c r="AM110" s="10"/>
      <c r="AN110" s="10"/>
      <c r="AO110" s="10"/>
      <c r="AQ110" s="10"/>
      <c r="AR110" s="10"/>
      <c r="AS110" s="10"/>
      <c r="AT110" s="10"/>
      <c r="AU110" s="10"/>
      <c r="AW110" s="10" t="str">
        <f t="shared" si="45"/>
        <v/>
      </c>
      <c r="AX110" s="10" t="str">
        <f t="shared" si="39"/>
        <v/>
      </c>
      <c r="AY110" s="10" t="str">
        <f t="shared" si="40"/>
        <v/>
      </c>
      <c r="AZ110" s="10" t="str">
        <f t="shared" si="41"/>
        <v/>
      </c>
      <c r="BA110" s="10" t="str">
        <f t="shared" si="42"/>
        <v/>
      </c>
    </row>
    <row r="111" spans="6:53" x14ac:dyDescent="0.2">
      <c r="F111" s="10" t="str">
        <f t="shared" si="46"/>
        <v>2017/4/14</v>
      </c>
      <c r="G111" s="14">
        <v>42839</v>
      </c>
      <c r="H111" s="10">
        <v>0.91153800000000007</v>
      </c>
      <c r="I111" s="10">
        <v>-0.19482089999999999</v>
      </c>
      <c r="J111" s="10">
        <v>0.71671709999999988</v>
      </c>
      <c r="K111" s="10">
        <f t="shared" si="47"/>
        <v>397.70878440000001</v>
      </c>
      <c r="L111" s="10">
        <f t="shared" si="48"/>
        <v>-248.34884160000001</v>
      </c>
      <c r="M111" s="10">
        <f t="shared" si="49"/>
        <v>149.35994280000006</v>
      </c>
      <c r="N111" s="10">
        <v>4.9598192499651477</v>
      </c>
      <c r="O111" s="10">
        <v>4.8990292014856083</v>
      </c>
      <c r="P111" s="10">
        <v>3028.7943958000001</v>
      </c>
      <c r="Y111" s="10" t="e">
        <f t="shared" si="43"/>
        <v>#N/A</v>
      </c>
      <c r="Z111" s="10" t="e">
        <f t="shared" si="31"/>
        <v>#N/A</v>
      </c>
      <c r="AA111" s="10" t="e">
        <f t="shared" si="32"/>
        <v>#N/A</v>
      </c>
      <c r="AB111" s="10" t="e">
        <f t="shared" si="33"/>
        <v>#N/A</v>
      </c>
      <c r="AC111" s="10" t="e">
        <f t="shared" si="34"/>
        <v>#N/A</v>
      </c>
      <c r="AE111" s="10" t="str">
        <f t="shared" si="44"/>
        <v/>
      </c>
      <c r="AF111" s="10" t="str">
        <f t="shared" si="35"/>
        <v/>
      </c>
      <c r="AG111" s="10" t="str">
        <f t="shared" si="36"/>
        <v/>
      </c>
      <c r="AH111" s="10" t="str">
        <f t="shared" si="37"/>
        <v/>
      </c>
      <c r="AI111" s="10" t="str">
        <f t="shared" si="38"/>
        <v/>
      </c>
      <c r="AK111" s="10"/>
      <c r="AL111" s="10"/>
      <c r="AM111" s="10"/>
      <c r="AN111" s="10"/>
      <c r="AO111" s="10"/>
      <c r="AQ111" s="10"/>
      <c r="AR111" s="10"/>
      <c r="AS111" s="10"/>
      <c r="AT111" s="10"/>
      <c r="AU111" s="10"/>
      <c r="AW111" s="10" t="str">
        <f t="shared" si="45"/>
        <v/>
      </c>
      <c r="AX111" s="10" t="str">
        <f t="shared" si="39"/>
        <v/>
      </c>
      <c r="AY111" s="10" t="str">
        <f t="shared" si="40"/>
        <v/>
      </c>
      <c r="AZ111" s="10" t="str">
        <f t="shared" si="41"/>
        <v/>
      </c>
      <c r="BA111" s="10" t="str">
        <f t="shared" si="42"/>
        <v/>
      </c>
    </row>
    <row r="112" spans="6:53" x14ac:dyDescent="0.2">
      <c r="F112" s="10" t="str">
        <f t="shared" si="46"/>
        <v>2017/4/17</v>
      </c>
      <c r="G112" s="14">
        <v>42842</v>
      </c>
      <c r="H112" s="10">
        <v>1.9402256000000002</v>
      </c>
      <c r="I112" s="10">
        <v>-2.0368544000000002</v>
      </c>
      <c r="J112" s="10">
        <v>-9.6628800000000015E-2</v>
      </c>
      <c r="K112" s="10">
        <f t="shared" si="47"/>
        <v>399.64901000000003</v>
      </c>
      <c r="L112" s="10">
        <f t="shared" si="48"/>
        <v>-250.38569600000002</v>
      </c>
      <c r="M112" s="10">
        <f t="shared" si="49"/>
        <v>149.26331400000007</v>
      </c>
      <c r="N112" s="10">
        <v>5.2771749737957991</v>
      </c>
      <c r="O112" s="10">
        <v>5.1338687093779019</v>
      </c>
      <c r="P112" s="10">
        <v>3038.4905259950001</v>
      </c>
      <c r="Y112" s="10" t="e">
        <f t="shared" si="43"/>
        <v>#N/A</v>
      </c>
      <c r="Z112" s="10" t="e">
        <f t="shared" si="31"/>
        <v>#N/A</v>
      </c>
      <c r="AA112" s="10" t="e">
        <f t="shared" si="32"/>
        <v>#N/A</v>
      </c>
      <c r="AB112" s="10" t="e">
        <f t="shared" si="33"/>
        <v>#N/A</v>
      </c>
      <c r="AC112" s="10" t="e">
        <f t="shared" si="34"/>
        <v>#N/A</v>
      </c>
      <c r="AE112" s="10" t="str">
        <f t="shared" si="44"/>
        <v/>
      </c>
      <c r="AF112" s="10" t="str">
        <f t="shared" si="35"/>
        <v/>
      </c>
      <c r="AG112" s="10" t="str">
        <f t="shared" si="36"/>
        <v/>
      </c>
      <c r="AH112" s="10" t="str">
        <f t="shared" si="37"/>
        <v/>
      </c>
      <c r="AI112" s="10" t="str">
        <f t="shared" si="38"/>
        <v/>
      </c>
      <c r="AK112" s="10"/>
      <c r="AL112" s="10"/>
      <c r="AM112" s="10"/>
      <c r="AN112" s="10"/>
      <c r="AO112" s="10"/>
      <c r="AQ112" s="10"/>
      <c r="AR112" s="10"/>
      <c r="AS112" s="10"/>
      <c r="AT112" s="10"/>
      <c r="AU112" s="10"/>
      <c r="AW112" s="10" t="str">
        <f t="shared" si="45"/>
        <v/>
      </c>
      <c r="AX112" s="10" t="str">
        <f t="shared" si="39"/>
        <v/>
      </c>
      <c r="AY112" s="10" t="str">
        <f t="shared" si="40"/>
        <v/>
      </c>
      <c r="AZ112" s="10" t="str">
        <f t="shared" si="41"/>
        <v/>
      </c>
      <c r="BA112" s="10" t="str">
        <f t="shared" si="42"/>
        <v/>
      </c>
    </row>
    <row r="113" spans="6:53" x14ac:dyDescent="0.2">
      <c r="F113" s="10" t="str">
        <f t="shared" si="46"/>
        <v>2017/4/18</v>
      </c>
      <c r="G113" s="14">
        <v>42843</v>
      </c>
      <c r="H113" s="10">
        <v>3.901629100000001</v>
      </c>
      <c r="I113" s="10">
        <v>-4.1738996000000004</v>
      </c>
      <c r="J113" s="10">
        <v>-0.27227050000000047</v>
      </c>
      <c r="K113" s="10">
        <f t="shared" si="47"/>
        <v>403.55063910000001</v>
      </c>
      <c r="L113" s="10">
        <f t="shared" si="48"/>
        <v>-254.55959560000002</v>
      </c>
      <c r="M113" s="10">
        <f t="shared" si="49"/>
        <v>148.99104350000007</v>
      </c>
      <c r="N113" s="10">
        <v>5.0721016858125099</v>
      </c>
      <c r="O113" s="10">
        <v>4.9393275766016709</v>
      </c>
      <c r="P113" s="10">
        <v>3049.9346772000004</v>
      </c>
      <c r="Y113" s="10" t="e">
        <f t="shared" si="43"/>
        <v>#N/A</v>
      </c>
      <c r="Z113" s="10" t="e">
        <f t="shared" si="31"/>
        <v>#N/A</v>
      </c>
      <c r="AA113" s="10" t="e">
        <f t="shared" si="32"/>
        <v>#N/A</v>
      </c>
      <c r="AB113" s="10" t="e">
        <f t="shared" si="33"/>
        <v>#N/A</v>
      </c>
      <c r="AC113" s="10" t="e">
        <f t="shared" si="34"/>
        <v>#N/A</v>
      </c>
      <c r="AE113" s="10" t="str">
        <f t="shared" si="44"/>
        <v/>
      </c>
      <c r="AF113" s="10" t="str">
        <f t="shared" si="35"/>
        <v/>
      </c>
      <c r="AG113" s="10" t="str">
        <f t="shared" si="36"/>
        <v/>
      </c>
      <c r="AH113" s="10" t="str">
        <f t="shared" si="37"/>
        <v/>
      </c>
      <c r="AI113" s="10" t="str">
        <f t="shared" si="38"/>
        <v/>
      </c>
      <c r="AK113" s="10"/>
      <c r="AL113" s="10"/>
      <c r="AM113" s="10"/>
      <c r="AN113" s="10"/>
      <c r="AO113" s="10"/>
      <c r="AQ113" s="10"/>
      <c r="AR113" s="10"/>
      <c r="AS113" s="10"/>
      <c r="AT113" s="10"/>
      <c r="AU113" s="10"/>
      <c r="AW113" s="10" t="str">
        <f t="shared" si="45"/>
        <v/>
      </c>
      <c r="AX113" s="10" t="str">
        <f t="shared" si="39"/>
        <v/>
      </c>
      <c r="AY113" s="10" t="str">
        <f t="shared" si="40"/>
        <v/>
      </c>
      <c r="AZ113" s="10" t="str">
        <f t="shared" si="41"/>
        <v/>
      </c>
      <c r="BA113" s="10" t="str">
        <f t="shared" si="42"/>
        <v/>
      </c>
    </row>
    <row r="114" spans="6:53" x14ac:dyDescent="0.2">
      <c r="F114" s="10" t="str">
        <f t="shared" si="46"/>
        <v>2017/4/19</v>
      </c>
      <c r="G114" s="14">
        <v>42844</v>
      </c>
      <c r="H114" s="10">
        <v>3.4350526999999991</v>
      </c>
      <c r="I114" s="10">
        <v>-2.1721152999999993</v>
      </c>
      <c r="J114" s="10">
        <v>1.2629373999999998</v>
      </c>
      <c r="K114" s="10">
        <f t="shared" si="47"/>
        <v>406.98569179999998</v>
      </c>
      <c r="L114" s="10">
        <f t="shared" si="48"/>
        <v>-256.7317109</v>
      </c>
      <c r="M114" s="10">
        <f t="shared" si="49"/>
        <v>150.25398090000007</v>
      </c>
      <c r="N114" s="10">
        <v>4.8293457237956199</v>
      </c>
      <c r="O114" s="10">
        <v>4.6396548746518107</v>
      </c>
      <c r="P114" s="10">
        <v>3040.9301369999998</v>
      </c>
      <c r="Y114" s="10" t="e">
        <f t="shared" si="43"/>
        <v>#N/A</v>
      </c>
      <c r="Z114" s="10" t="e">
        <f t="shared" si="31"/>
        <v>#N/A</v>
      </c>
      <c r="AA114" s="10" t="e">
        <f t="shared" si="32"/>
        <v>#N/A</v>
      </c>
      <c r="AB114" s="10" t="e">
        <f t="shared" si="33"/>
        <v>#N/A</v>
      </c>
      <c r="AC114" s="10" t="e">
        <f t="shared" si="34"/>
        <v>#N/A</v>
      </c>
      <c r="AE114" s="10" t="str">
        <f t="shared" si="44"/>
        <v/>
      </c>
      <c r="AF114" s="10" t="str">
        <f t="shared" si="35"/>
        <v/>
      </c>
      <c r="AG114" s="10" t="str">
        <f t="shared" si="36"/>
        <v/>
      </c>
      <c r="AH114" s="10" t="str">
        <f t="shared" si="37"/>
        <v/>
      </c>
      <c r="AI114" s="10" t="str">
        <f t="shared" si="38"/>
        <v/>
      </c>
      <c r="AK114" s="10"/>
      <c r="AL114" s="10"/>
      <c r="AM114" s="10"/>
      <c r="AN114" s="10"/>
      <c r="AO114" s="10"/>
      <c r="AQ114" s="10"/>
      <c r="AR114" s="10"/>
      <c r="AS114" s="10"/>
      <c r="AT114" s="10"/>
      <c r="AU114" s="10"/>
      <c r="AW114" s="10" t="str">
        <f t="shared" si="45"/>
        <v/>
      </c>
      <c r="AX114" s="10" t="str">
        <f t="shared" si="39"/>
        <v/>
      </c>
      <c r="AY114" s="10" t="str">
        <f t="shared" si="40"/>
        <v/>
      </c>
      <c r="AZ114" s="10" t="str">
        <f t="shared" si="41"/>
        <v/>
      </c>
      <c r="BA114" s="10" t="str">
        <f t="shared" si="42"/>
        <v/>
      </c>
    </row>
    <row r="115" spans="6:53" x14ac:dyDescent="0.2">
      <c r="F115" s="10" t="str">
        <f t="shared" si="46"/>
        <v>2017/4/20</v>
      </c>
      <c r="G115" s="14">
        <v>42845</v>
      </c>
      <c r="H115" s="10">
        <v>4.7845926000000008</v>
      </c>
      <c r="I115" s="10">
        <v>-2.2393840000000003</v>
      </c>
      <c r="J115" s="10">
        <v>2.5452086000000005</v>
      </c>
      <c r="K115" s="10">
        <f t="shared" si="47"/>
        <v>411.77028439999998</v>
      </c>
      <c r="L115" s="10">
        <f t="shared" si="48"/>
        <v>-258.97109489999997</v>
      </c>
      <c r="M115" s="10">
        <f t="shared" si="49"/>
        <v>152.79918950000007</v>
      </c>
      <c r="N115" s="10">
        <v>5.4290827836798217</v>
      </c>
      <c r="O115" s="10">
        <v>5.1680557103064082</v>
      </c>
      <c r="P115" s="10">
        <v>3035.4502856999984</v>
      </c>
      <c r="Y115" s="10" t="e">
        <f t="shared" si="43"/>
        <v>#N/A</v>
      </c>
      <c r="Z115" s="10" t="e">
        <f t="shared" si="31"/>
        <v>#N/A</v>
      </c>
      <c r="AA115" s="10" t="e">
        <f t="shared" si="32"/>
        <v>#N/A</v>
      </c>
      <c r="AB115" s="10" t="e">
        <f t="shared" si="33"/>
        <v>#N/A</v>
      </c>
      <c r="AC115" s="10" t="e">
        <f t="shared" si="34"/>
        <v>#N/A</v>
      </c>
      <c r="AE115" s="10" t="str">
        <f t="shared" si="44"/>
        <v/>
      </c>
      <c r="AF115" s="10" t="str">
        <f t="shared" si="35"/>
        <v/>
      </c>
      <c r="AG115" s="10" t="str">
        <f t="shared" si="36"/>
        <v/>
      </c>
      <c r="AH115" s="10" t="str">
        <f t="shared" si="37"/>
        <v/>
      </c>
      <c r="AI115" s="10" t="str">
        <f t="shared" si="38"/>
        <v/>
      </c>
      <c r="AK115" s="10"/>
      <c r="AL115" s="10"/>
      <c r="AM115" s="10"/>
      <c r="AN115" s="10"/>
      <c r="AO115" s="10"/>
      <c r="AQ115" s="10"/>
      <c r="AR115" s="10"/>
      <c r="AS115" s="10"/>
      <c r="AT115" s="10"/>
      <c r="AU115" s="10"/>
      <c r="AW115" s="10" t="str">
        <f t="shared" si="45"/>
        <v/>
      </c>
      <c r="AX115" s="10" t="str">
        <f t="shared" si="39"/>
        <v/>
      </c>
      <c r="AY115" s="10" t="str">
        <f t="shared" si="40"/>
        <v/>
      </c>
      <c r="AZ115" s="10" t="str">
        <f t="shared" si="41"/>
        <v/>
      </c>
      <c r="BA115" s="10" t="str">
        <f t="shared" si="42"/>
        <v/>
      </c>
    </row>
    <row r="116" spans="6:53" x14ac:dyDescent="0.2">
      <c r="F116" s="10" t="str">
        <f t="shared" si="46"/>
        <v>2017/4/21</v>
      </c>
      <c r="G116" s="14">
        <v>42846</v>
      </c>
      <c r="H116" s="10">
        <v>3.4663273999999995</v>
      </c>
      <c r="I116" s="10">
        <v>-5.1598674999999981</v>
      </c>
      <c r="J116" s="10">
        <v>-1.6935401000000012</v>
      </c>
      <c r="K116" s="10">
        <f t="shared" si="47"/>
        <v>415.23661179999999</v>
      </c>
      <c r="L116" s="10">
        <f t="shared" si="48"/>
        <v>-264.13096239999999</v>
      </c>
      <c r="M116" s="10">
        <f t="shared" si="49"/>
        <v>151.10564940000006</v>
      </c>
      <c r="N116" s="10">
        <v>5.3714285899646566</v>
      </c>
      <c r="O116" s="10">
        <v>5.1008431754874648</v>
      </c>
      <c r="P116" s="10">
        <v>3055.1045155999986</v>
      </c>
      <c r="Y116" s="10" t="e">
        <f t="shared" si="43"/>
        <v>#N/A</v>
      </c>
      <c r="Z116" s="10" t="e">
        <f t="shared" si="31"/>
        <v>#N/A</v>
      </c>
      <c r="AA116" s="10" t="e">
        <f t="shared" si="32"/>
        <v>#N/A</v>
      </c>
      <c r="AB116" s="10" t="e">
        <f t="shared" si="33"/>
        <v>#N/A</v>
      </c>
      <c r="AC116" s="10" t="e">
        <f t="shared" si="34"/>
        <v>#N/A</v>
      </c>
      <c r="AE116" s="10" t="str">
        <f t="shared" si="44"/>
        <v/>
      </c>
      <c r="AF116" s="10" t="str">
        <f t="shared" si="35"/>
        <v/>
      </c>
      <c r="AG116" s="10" t="str">
        <f t="shared" si="36"/>
        <v/>
      </c>
      <c r="AH116" s="10" t="str">
        <f t="shared" si="37"/>
        <v/>
      </c>
      <c r="AI116" s="10" t="str">
        <f t="shared" si="38"/>
        <v/>
      </c>
      <c r="AK116" s="10"/>
      <c r="AL116" s="10"/>
      <c r="AM116" s="10"/>
      <c r="AN116" s="10"/>
      <c r="AO116" s="10"/>
      <c r="AQ116" s="10"/>
      <c r="AR116" s="10"/>
      <c r="AS116" s="10"/>
      <c r="AT116" s="10"/>
      <c r="AU116" s="10"/>
      <c r="AW116" s="10" t="str">
        <f t="shared" si="45"/>
        <v/>
      </c>
      <c r="AX116" s="10" t="str">
        <f t="shared" si="39"/>
        <v/>
      </c>
      <c r="AY116" s="10" t="str">
        <f t="shared" si="40"/>
        <v/>
      </c>
      <c r="AZ116" s="10" t="str">
        <f t="shared" si="41"/>
        <v/>
      </c>
      <c r="BA116" s="10" t="str">
        <f t="shared" si="42"/>
        <v/>
      </c>
    </row>
    <row r="117" spans="6:53" x14ac:dyDescent="0.2">
      <c r="F117" s="10" t="str">
        <f t="shared" si="46"/>
        <v>2017/4/24</v>
      </c>
      <c r="G117" s="14">
        <v>42849</v>
      </c>
      <c r="H117" s="10">
        <v>12.025306500000003</v>
      </c>
      <c r="I117" s="10">
        <v>-2.0502893999999996</v>
      </c>
      <c r="J117" s="10">
        <v>9.9750171000000005</v>
      </c>
      <c r="K117" s="10">
        <f t="shared" si="47"/>
        <v>427.26191829999999</v>
      </c>
      <c r="L117" s="10">
        <f t="shared" si="48"/>
        <v>-266.18125179999998</v>
      </c>
      <c r="M117" s="10">
        <f t="shared" si="49"/>
        <v>161.08066650000006</v>
      </c>
      <c r="N117" s="10">
        <v>6.4261342317671577</v>
      </c>
      <c r="O117" s="10">
        <v>6.1068242339832866</v>
      </c>
      <c r="P117" s="10">
        <v>3051.0324547000009</v>
      </c>
      <c r="Y117" s="10" t="e">
        <f t="shared" si="43"/>
        <v>#N/A</v>
      </c>
      <c r="Z117" s="10" t="e">
        <f t="shared" si="31"/>
        <v>#N/A</v>
      </c>
      <c r="AA117" s="10" t="e">
        <f t="shared" si="32"/>
        <v>#N/A</v>
      </c>
      <c r="AB117" s="10" t="e">
        <f t="shared" si="33"/>
        <v>#N/A</v>
      </c>
      <c r="AC117" s="10" t="e">
        <f t="shared" si="34"/>
        <v>#N/A</v>
      </c>
      <c r="AE117" s="10" t="str">
        <f t="shared" si="44"/>
        <v/>
      </c>
      <c r="AF117" s="10" t="str">
        <f t="shared" si="35"/>
        <v/>
      </c>
      <c r="AG117" s="10" t="str">
        <f t="shared" si="36"/>
        <v/>
      </c>
      <c r="AH117" s="10" t="str">
        <f t="shared" si="37"/>
        <v/>
      </c>
      <c r="AI117" s="10" t="str">
        <f t="shared" si="38"/>
        <v/>
      </c>
      <c r="AK117" s="10"/>
      <c r="AL117" s="10"/>
      <c r="AM117" s="10"/>
      <c r="AN117" s="10"/>
      <c r="AO117" s="10"/>
      <c r="AQ117" s="10"/>
      <c r="AR117" s="10"/>
      <c r="AS117" s="10"/>
      <c r="AT117" s="10"/>
      <c r="AU117" s="10"/>
      <c r="AW117" s="10" t="str">
        <f t="shared" si="45"/>
        <v/>
      </c>
      <c r="AX117" s="10" t="str">
        <f t="shared" si="39"/>
        <v/>
      </c>
      <c r="AY117" s="10" t="str">
        <f t="shared" si="40"/>
        <v/>
      </c>
      <c r="AZ117" s="10" t="str">
        <f t="shared" si="41"/>
        <v/>
      </c>
      <c r="BA117" s="10" t="str">
        <f t="shared" si="42"/>
        <v/>
      </c>
    </row>
    <row r="118" spans="6:53" x14ac:dyDescent="0.2">
      <c r="F118" s="10" t="str">
        <f t="shared" si="46"/>
        <v>2017/4/25</v>
      </c>
      <c r="G118" s="14">
        <v>42850</v>
      </c>
      <c r="H118" s="10">
        <v>10.281891600000002</v>
      </c>
      <c r="I118" s="10">
        <v>-2.1309495000000003</v>
      </c>
      <c r="J118" s="10">
        <v>8.1509421000000017</v>
      </c>
      <c r="K118" s="10">
        <f t="shared" si="47"/>
        <v>437.54380989999999</v>
      </c>
      <c r="L118" s="10">
        <f t="shared" si="48"/>
        <v>-268.31220129999997</v>
      </c>
      <c r="M118" s="10">
        <f t="shared" si="49"/>
        <v>169.23160860000007</v>
      </c>
      <c r="N118" s="10">
        <v>6.8922658078364885</v>
      </c>
      <c r="O118" s="10">
        <v>6.5545922005571056</v>
      </c>
      <c r="P118" s="10">
        <v>3091.4698245</v>
      </c>
      <c r="Y118" s="10" t="e">
        <f t="shared" si="43"/>
        <v>#N/A</v>
      </c>
      <c r="Z118" s="10" t="e">
        <f t="shared" si="31"/>
        <v>#N/A</v>
      </c>
      <c r="AA118" s="10" t="e">
        <f t="shared" si="32"/>
        <v>#N/A</v>
      </c>
      <c r="AB118" s="10" t="e">
        <f t="shared" si="33"/>
        <v>#N/A</v>
      </c>
      <c r="AC118" s="10" t="e">
        <f t="shared" si="34"/>
        <v>#N/A</v>
      </c>
      <c r="AE118" s="10" t="str">
        <f t="shared" si="44"/>
        <v/>
      </c>
      <c r="AF118" s="10" t="str">
        <f t="shared" si="35"/>
        <v/>
      </c>
      <c r="AG118" s="10" t="str">
        <f t="shared" si="36"/>
        <v/>
      </c>
      <c r="AH118" s="10" t="str">
        <f t="shared" si="37"/>
        <v/>
      </c>
      <c r="AI118" s="10" t="str">
        <f t="shared" si="38"/>
        <v/>
      </c>
      <c r="AK118" s="10"/>
      <c r="AL118" s="10"/>
      <c r="AM118" s="10"/>
      <c r="AN118" s="10"/>
      <c r="AO118" s="10"/>
      <c r="AQ118" s="10"/>
      <c r="AR118" s="10"/>
      <c r="AS118" s="10"/>
      <c r="AT118" s="10"/>
      <c r="AU118" s="10"/>
      <c r="AW118" s="10" t="str">
        <f t="shared" si="45"/>
        <v/>
      </c>
      <c r="AX118" s="10" t="str">
        <f t="shared" si="39"/>
        <v/>
      </c>
      <c r="AY118" s="10" t="str">
        <f t="shared" si="40"/>
        <v/>
      </c>
      <c r="AZ118" s="10" t="str">
        <f t="shared" si="41"/>
        <v/>
      </c>
      <c r="BA118" s="10" t="str">
        <f t="shared" si="42"/>
        <v/>
      </c>
    </row>
    <row r="119" spans="6:53" x14ac:dyDescent="0.2">
      <c r="F119" s="10" t="str">
        <f t="shared" si="46"/>
        <v>2017/4/26</v>
      </c>
      <c r="G119" s="14">
        <v>42851</v>
      </c>
      <c r="H119" s="10">
        <v>6.2719094000000011</v>
      </c>
      <c r="I119" s="10">
        <v>-2.6555542000000001</v>
      </c>
      <c r="J119" s="10">
        <v>3.6163551999999979</v>
      </c>
      <c r="K119" s="10">
        <f t="shared" si="47"/>
        <v>443.81571930000001</v>
      </c>
      <c r="L119" s="10">
        <f t="shared" si="48"/>
        <v>-270.96775549999995</v>
      </c>
      <c r="M119" s="10">
        <f t="shared" si="49"/>
        <v>172.84796380000006</v>
      </c>
      <c r="N119" s="10">
        <v>6.8433164016828245</v>
      </c>
      <c r="O119" s="10">
        <v>6.426917270194985</v>
      </c>
      <c r="P119" s="10">
        <v>3112.7834087500009</v>
      </c>
      <c r="Y119" s="10" t="e">
        <f t="shared" si="43"/>
        <v>#N/A</v>
      </c>
      <c r="Z119" s="10" t="e">
        <f t="shared" si="31"/>
        <v>#N/A</v>
      </c>
      <c r="AA119" s="10" t="e">
        <f t="shared" si="32"/>
        <v>#N/A</v>
      </c>
      <c r="AB119" s="10" t="e">
        <f t="shared" si="33"/>
        <v>#N/A</v>
      </c>
      <c r="AC119" s="10" t="e">
        <f t="shared" si="34"/>
        <v>#N/A</v>
      </c>
      <c r="AE119" s="10" t="str">
        <f t="shared" si="44"/>
        <v/>
      </c>
      <c r="AF119" s="10" t="str">
        <f t="shared" si="35"/>
        <v/>
      </c>
      <c r="AG119" s="10" t="str">
        <f t="shared" si="36"/>
        <v/>
      </c>
      <c r="AH119" s="10" t="str">
        <f t="shared" si="37"/>
        <v/>
      </c>
      <c r="AI119" s="10" t="str">
        <f t="shared" si="38"/>
        <v/>
      </c>
      <c r="AK119" s="10"/>
      <c r="AL119" s="10"/>
      <c r="AM119" s="10"/>
      <c r="AN119" s="10"/>
      <c r="AO119" s="10"/>
      <c r="AQ119" s="10"/>
      <c r="AR119" s="10"/>
      <c r="AS119" s="10"/>
      <c r="AT119" s="10"/>
      <c r="AU119" s="10"/>
      <c r="AW119" s="10" t="str">
        <f t="shared" si="45"/>
        <v/>
      </c>
      <c r="AX119" s="10" t="str">
        <f t="shared" si="39"/>
        <v/>
      </c>
      <c r="AY119" s="10" t="str">
        <f t="shared" si="40"/>
        <v/>
      </c>
      <c r="AZ119" s="10" t="str">
        <f t="shared" si="41"/>
        <v/>
      </c>
      <c r="BA119" s="10" t="str">
        <f t="shared" si="42"/>
        <v/>
      </c>
    </row>
    <row r="120" spans="6:53" x14ac:dyDescent="0.2">
      <c r="F120" s="10" t="str">
        <f t="shared" si="46"/>
        <v>2017/4/27</v>
      </c>
      <c r="G120" s="14">
        <v>42852</v>
      </c>
      <c r="H120" s="10">
        <v>3.4636464999999994</v>
      </c>
      <c r="I120" s="10">
        <v>-2.1518998999999996</v>
      </c>
      <c r="J120" s="10">
        <v>1.3117466</v>
      </c>
      <c r="K120" s="10">
        <f t="shared" si="47"/>
        <v>447.27936579999999</v>
      </c>
      <c r="L120" s="10">
        <f t="shared" si="48"/>
        <v>-273.11965539999994</v>
      </c>
      <c r="M120" s="10">
        <f t="shared" si="49"/>
        <v>174.15971040000005</v>
      </c>
      <c r="N120" s="10">
        <v>6.867299050442794</v>
      </c>
      <c r="O120" s="10">
        <v>6.3920969359331483</v>
      </c>
      <c r="P120" s="10">
        <v>3115.1255358999992</v>
      </c>
      <c r="Y120" s="10" t="e">
        <f t="shared" si="43"/>
        <v>#N/A</v>
      </c>
      <c r="Z120" s="10" t="e">
        <f t="shared" si="31"/>
        <v>#N/A</v>
      </c>
      <c r="AA120" s="10" t="e">
        <f t="shared" si="32"/>
        <v>#N/A</v>
      </c>
      <c r="AB120" s="10" t="e">
        <f t="shared" si="33"/>
        <v>#N/A</v>
      </c>
      <c r="AC120" s="10" t="e">
        <f t="shared" si="34"/>
        <v>#N/A</v>
      </c>
      <c r="AE120" s="10" t="str">
        <f t="shared" si="44"/>
        <v/>
      </c>
      <c r="AF120" s="10" t="str">
        <f t="shared" si="35"/>
        <v/>
      </c>
      <c r="AG120" s="10" t="str">
        <f t="shared" si="36"/>
        <v/>
      </c>
      <c r="AH120" s="10" t="str">
        <f t="shared" si="37"/>
        <v/>
      </c>
      <c r="AI120" s="10" t="str">
        <f t="shared" si="38"/>
        <v/>
      </c>
      <c r="AK120" s="10"/>
      <c r="AL120" s="10"/>
      <c r="AM120" s="10"/>
      <c r="AN120" s="10"/>
      <c r="AO120" s="10"/>
      <c r="AQ120" s="10"/>
      <c r="AR120" s="10"/>
      <c r="AS120" s="10"/>
      <c r="AT120" s="10"/>
      <c r="AU120" s="10"/>
      <c r="AW120" s="10" t="str">
        <f t="shared" si="45"/>
        <v/>
      </c>
      <c r="AX120" s="10" t="str">
        <f t="shared" si="39"/>
        <v/>
      </c>
      <c r="AY120" s="10" t="str">
        <f t="shared" si="40"/>
        <v/>
      </c>
      <c r="AZ120" s="10" t="str">
        <f t="shared" si="41"/>
        <v/>
      </c>
      <c r="BA120" s="10" t="str">
        <f t="shared" si="42"/>
        <v/>
      </c>
    </row>
    <row r="121" spans="6:53" x14ac:dyDescent="0.2">
      <c r="F121" s="10" t="str">
        <f t="shared" si="46"/>
        <v>2017/4/28</v>
      </c>
      <c r="G121" s="14">
        <v>42853</v>
      </c>
      <c r="H121" s="10">
        <v>2.7337164999999994</v>
      </c>
      <c r="I121" s="10">
        <v>-2.5707093999999993</v>
      </c>
      <c r="J121" s="10">
        <v>0.16300709999999968</v>
      </c>
      <c r="K121" s="10">
        <f t="shared" si="47"/>
        <v>450.01308230000001</v>
      </c>
      <c r="L121" s="10">
        <f t="shared" si="48"/>
        <v>-275.69036479999994</v>
      </c>
      <c r="M121" s="10">
        <f t="shared" si="49"/>
        <v>174.32271750000004</v>
      </c>
      <c r="N121" s="10">
        <v>6.6679750028183644</v>
      </c>
      <c r="O121" s="10">
        <v>6.2607910863509773</v>
      </c>
      <c r="P121" s="10">
        <v>3116.5535985000001</v>
      </c>
      <c r="Y121" s="10" t="e">
        <f t="shared" si="43"/>
        <v>#N/A</v>
      </c>
      <c r="Z121" s="10" t="e">
        <f t="shared" si="31"/>
        <v>#N/A</v>
      </c>
      <c r="AA121" s="10" t="e">
        <f t="shared" si="32"/>
        <v>#N/A</v>
      </c>
      <c r="AB121" s="10" t="e">
        <f t="shared" si="33"/>
        <v>#N/A</v>
      </c>
      <c r="AC121" s="10" t="e">
        <f t="shared" si="34"/>
        <v>#N/A</v>
      </c>
      <c r="AE121" s="10" t="str">
        <f t="shared" si="44"/>
        <v/>
      </c>
      <c r="AF121" s="10" t="str">
        <f t="shared" si="35"/>
        <v/>
      </c>
      <c r="AG121" s="10" t="str">
        <f t="shared" si="36"/>
        <v/>
      </c>
      <c r="AH121" s="10" t="str">
        <f t="shared" si="37"/>
        <v/>
      </c>
      <c r="AI121" s="10" t="str">
        <f t="shared" si="38"/>
        <v/>
      </c>
      <c r="AK121" s="10"/>
      <c r="AL121" s="10"/>
      <c r="AM121" s="10"/>
      <c r="AN121" s="10"/>
      <c r="AO121" s="10"/>
      <c r="AQ121" s="10"/>
      <c r="AR121" s="10"/>
      <c r="AS121" s="10"/>
      <c r="AT121" s="10"/>
      <c r="AU121" s="10"/>
      <c r="AW121" s="10" t="str">
        <f t="shared" si="45"/>
        <v/>
      </c>
      <c r="AX121" s="10" t="str">
        <f t="shared" si="39"/>
        <v/>
      </c>
      <c r="AY121" s="10" t="str">
        <f t="shared" si="40"/>
        <v/>
      </c>
      <c r="AZ121" s="10" t="str">
        <f t="shared" si="41"/>
        <v/>
      </c>
      <c r="BA121" s="10" t="str">
        <f t="shared" si="42"/>
        <v/>
      </c>
    </row>
    <row r="122" spans="6:53" x14ac:dyDescent="0.2">
      <c r="F122" s="10" t="str">
        <f t="shared" si="46"/>
        <v>2017/5/1</v>
      </c>
      <c r="G122" s="14">
        <v>42856</v>
      </c>
      <c r="H122" s="10">
        <v>3.6805867999999999</v>
      </c>
      <c r="I122" s="10">
        <v>-2.0985921999999997</v>
      </c>
      <c r="J122" s="10">
        <v>1.5819945999999996</v>
      </c>
      <c r="K122" s="10">
        <f t="shared" si="47"/>
        <v>453.69366910000002</v>
      </c>
      <c r="L122" s="10">
        <f t="shared" si="48"/>
        <v>-277.78895699999993</v>
      </c>
      <c r="M122" s="10">
        <f t="shared" si="49"/>
        <v>175.90471210000004</v>
      </c>
      <c r="N122" s="10">
        <v>6.8678594325693991</v>
      </c>
      <c r="O122" s="10">
        <v>6.3953821727019502</v>
      </c>
      <c r="P122" s="10">
        <v>3109.4477131000008</v>
      </c>
      <c r="Y122" s="10" t="e">
        <f t="shared" si="43"/>
        <v>#N/A</v>
      </c>
      <c r="Z122" s="10" t="e">
        <f t="shared" si="31"/>
        <v>#N/A</v>
      </c>
      <c r="AA122" s="10" t="e">
        <f t="shared" si="32"/>
        <v>#N/A</v>
      </c>
      <c r="AB122" s="10" t="e">
        <f t="shared" si="33"/>
        <v>#N/A</v>
      </c>
      <c r="AC122" s="10" t="e">
        <f t="shared" si="34"/>
        <v>#N/A</v>
      </c>
      <c r="AE122" s="10" t="str">
        <f t="shared" si="44"/>
        <v/>
      </c>
      <c r="AF122" s="10" t="str">
        <f t="shared" si="35"/>
        <v/>
      </c>
      <c r="AG122" s="10" t="str">
        <f t="shared" si="36"/>
        <v/>
      </c>
      <c r="AH122" s="10" t="str">
        <f t="shared" si="37"/>
        <v/>
      </c>
      <c r="AI122" s="10" t="str">
        <f t="shared" si="38"/>
        <v/>
      </c>
      <c r="AK122" s="10"/>
      <c r="AL122" s="10"/>
      <c r="AM122" s="10"/>
      <c r="AN122" s="10"/>
      <c r="AO122" s="10"/>
      <c r="AQ122" s="10"/>
      <c r="AR122" s="10"/>
      <c r="AS122" s="10"/>
      <c r="AT122" s="10"/>
      <c r="AU122" s="10"/>
      <c r="AW122" s="10" t="str">
        <f t="shared" si="45"/>
        <v/>
      </c>
      <c r="AX122" s="10" t="str">
        <f t="shared" si="39"/>
        <v/>
      </c>
      <c r="AY122" s="10" t="str">
        <f t="shared" si="40"/>
        <v/>
      </c>
      <c r="AZ122" s="10" t="str">
        <f t="shared" si="41"/>
        <v/>
      </c>
      <c r="BA122" s="10" t="str">
        <f t="shared" si="42"/>
        <v/>
      </c>
    </row>
    <row r="123" spans="6:53" x14ac:dyDescent="0.2">
      <c r="F123" s="10" t="str">
        <f t="shared" si="46"/>
        <v>2017/5/2</v>
      </c>
      <c r="G123" s="14">
        <v>42857</v>
      </c>
      <c r="H123" s="10">
        <v>5.2908011000000004</v>
      </c>
      <c r="I123" s="10">
        <v>-7.5051780999999984</v>
      </c>
      <c r="J123" s="10">
        <v>-2.2143770000000007</v>
      </c>
      <c r="K123" s="10">
        <f t="shared" si="47"/>
        <v>458.98447020000003</v>
      </c>
      <c r="L123" s="10">
        <f t="shared" si="48"/>
        <v>-285.29413509999995</v>
      </c>
      <c r="M123" s="10">
        <f t="shared" si="49"/>
        <v>173.69033510000003</v>
      </c>
      <c r="N123" s="10">
        <v>7.0140111124860294</v>
      </c>
      <c r="O123" s="10">
        <v>6.5188969359331477</v>
      </c>
      <c r="P123" s="10">
        <v>3120.2818259700002</v>
      </c>
      <c r="Y123" s="10" t="e">
        <f t="shared" si="43"/>
        <v>#N/A</v>
      </c>
      <c r="Z123" s="10" t="e">
        <f t="shared" si="31"/>
        <v>#N/A</v>
      </c>
      <c r="AA123" s="10" t="e">
        <f t="shared" si="32"/>
        <v>#N/A</v>
      </c>
      <c r="AB123" s="10" t="e">
        <f t="shared" si="33"/>
        <v>#N/A</v>
      </c>
      <c r="AC123" s="10" t="e">
        <f t="shared" si="34"/>
        <v>#N/A</v>
      </c>
      <c r="AE123" s="10" t="str">
        <f t="shared" si="44"/>
        <v/>
      </c>
      <c r="AF123" s="10" t="str">
        <f t="shared" si="35"/>
        <v/>
      </c>
      <c r="AG123" s="10" t="str">
        <f t="shared" si="36"/>
        <v/>
      </c>
      <c r="AH123" s="10" t="str">
        <f t="shared" si="37"/>
        <v/>
      </c>
      <c r="AI123" s="10" t="str">
        <f t="shared" si="38"/>
        <v/>
      </c>
      <c r="AK123" s="10"/>
      <c r="AL123" s="10"/>
      <c r="AM123" s="10"/>
      <c r="AN123" s="10"/>
      <c r="AO123" s="10"/>
      <c r="AQ123" s="10"/>
      <c r="AR123" s="10"/>
      <c r="AS123" s="10"/>
      <c r="AT123" s="10"/>
      <c r="AU123" s="10"/>
      <c r="AW123" s="10" t="str">
        <f t="shared" si="45"/>
        <v/>
      </c>
      <c r="AX123" s="10" t="str">
        <f t="shared" si="39"/>
        <v/>
      </c>
      <c r="AY123" s="10" t="str">
        <f t="shared" si="40"/>
        <v/>
      </c>
      <c r="AZ123" s="10" t="str">
        <f t="shared" si="41"/>
        <v/>
      </c>
      <c r="BA123" s="10" t="str">
        <f t="shared" si="42"/>
        <v/>
      </c>
    </row>
    <row r="124" spans="6:53" x14ac:dyDescent="0.2">
      <c r="F124" s="10" t="str">
        <f t="shared" si="46"/>
        <v>2017/5/3</v>
      </c>
      <c r="G124" s="14">
        <v>42858</v>
      </c>
      <c r="H124" s="10">
        <v>3.7937276999999998</v>
      </c>
      <c r="I124" s="10">
        <v>-4.8211385000000018</v>
      </c>
      <c r="J124" s="10">
        <v>-1.0274108</v>
      </c>
      <c r="K124" s="10">
        <f t="shared" si="47"/>
        <v>462.77819790000001</v>
      </c>
      <c r="L124" s="10">
        <f t="shared" si="48"/>
        <v>-290.11527359999997</v>
      </c>
      <c r="M124" s="10">
        <f t="shared" si="49"/>
        <v>172.66292430000001</v>
      </c>
      <c r="N124" s="10">
        <v>6.7920828088558087</v>
      </c>
      <c r="O124" s="10">
        <v>6.2909052228412232</v>
      </c>
      <c r="P124" s="10">
        <v>3117.9764729999997</v>
      </c>
      <c r="Y124" s="10" t="e">
        <f t="shared" si="43"/>
        <v>#N/A</v>
      </c>
      <c r="Z124" s="10" t="e">
        <f t="shared" si="31"/>
        <v>#N/A</v>
      </c>
      <c r="AA124" s="10" t="e">
        <f t="shared" si="32"/>
        <v>#N/A</v>
      </c>
      <c r="AB124" s="10" t="e">
        <f t="shared" si="33"/>
        <v>#N/A</v>
      </c>
      <c r="AC124" s="10" t="e">
        <f t="shared" si="34"/>
        <v>#N/A</v>
      </c>
      <c r="AE124" s="10" t="str">
        <f t="shared" si="44"/>
        <v/>
      </c>
      <c r="AF124" s="10" t="str">
        <f t="shared" si="35"/>
        <v/>
      </c>
      <c r="AG124" s="10" t="str">
        <f t="shared" si="36"/>
        <v/>
      </c>
      <c r="AH124" s="10" t="str">
        <f t="shared" si="37"/>
        <v/>
      </c>
      <c r="AI124" s="10" t="str">
        <f t="shared" si="38"/>
        <v/>
      </c>
      <c r="AK124" s="10"/>
      <c r="AL124" s="10"/>
      <c r="AM124" s="10"/>
      <c r="AN124" s="10"/>
      <c r="AO124" s="10"/>
      <c r="AQ124" s="10"/>
      <c r="AR124" s="10"/>
      <c r="AS124" s="10"/>
      <c r="AT124" s="10"/>
      <c r="AU124" s="10"/>
      <c r="AW124" s="10" t="str">
        <f t="shared" si="45"/>
        <v/>
      </c>
      <c r="AX124" s="10" t="str">
        <f t="shared" si="39"/>
        <v/>
      </c>
      <c r="AY124" s="10" t="str">
        <f t="shared" si="40"/>
        <v/>
      </c>
      <c r="AZ124" s="10" t="str">
        <f t="shared" si="41"/>
        <v/>
      </c>
      <c r="BA124" s="10" t="str">
        <f t="shared" si="42"/>
        <v/>
      </c>
    </row>
    <row r="125" spans="6:53" x14ac:dyDescent="0.2">
      <c r="F125" s="10" t="str">
        <f t="shared" si="46"/>
        <v>2017/5/4</v>
      </c>
      <c r="G125" s="14">
        <v>42859</v>
      </c>
      <c r="H125" s="10">
        <v>4.2344212000000008</v>
      </c>
      <c r="I125" s="10">
        <v>-3.5826992999999998</v>
      </c>
      <c r="J125" s="10">
        <v>0.6517218999999993</v>
      </c>
      <c r="K125" s="10">
        <f t="shared" si="47"/>
        <v>467.01261909999999</v>
      </c>
      <c r="L125" s="10">
        <f t="shared" si="48"/>
        <v>-293.69797289999997</v>
      </c>
      <c r="M125" s="10">
        <f t="shared" si="49"/>
        <v>173.31464620000003</v>
      </c>
      <c r="N125" s="10">
        <v>6.8379637692101873</v>
      </c>
      <c r="O125" s="10">
        <v>6.2392747910863529</v>
      </c>
      <c r="P125" s="10">
        <v>3110.5430672749994</v>
      </c>
      <c r="Y125" s="10" t="e">
        <f t="shared" si="43"/>
        <v>#N/A</v>
      </c>
      <c r="Z125" s="10" t="e">
        <f t="shared" si="31"/>
        <v>#N/A</v>
      </c>
      <c r="AA125" s="10" t="e">
        <f t="shared" si="32"/>
        <v>#N/A</v>
      </c>
      <c r="AB125" s="10" t="e">
        <f t="shared" si="33"/>
        <v>#N/A</v>
      </c>
      <c r="AC125" s="10" t="e">
        <f t="shared" si="34"/>
        <v>#N/A</v>
      </c>
      <c r="AE125" s="10" t="str">
        <f t="shared" si="44"/>
        <v/>
      </c>
      <c r="AF125" s="10" t="str">
        <f t="shared" si="35"/>
        <v/>
      </c>
      <c r="AG125" s="10" t="str">
        <f t="shared" si="36"/>
        <v/>
      </c>
      <c r="AH125" s="10" t="str">
        <f t="shared" si="37"/>
        <v/>
      </c>
      <c r="AI125" s="10" t="str">
        <f t="shared" si="38"/>
        <v/>
      </c>
      <c r="AK125" s="10"/>
      <c r="AL125" s="10"/>
      <c r="AM125" s="10"/>
      <c r="AN125" s="10"/>
      <c r="AO125" s="10"/>
      <c r="AQ125" s="10"/>
      <c r="AR125" s="10"/>
      <c r="AS125" s="10"/>
      <c r="AT125" s="10"/>
      <c r="AU125" s="10"/>
      <c r="AW125" s="10" t="str">
        <f t="shared" si="45"/>
        <v/>
      </c>
      <c r="AX125" s="10" t="str">
        <f t="shared" si="39"/>
        <v/>
      </c>
      <c r="AY125" s="10" t="str">
        <f t="shared" si="40"/>
        <v/>
      </c>
      <c r="AZ125" s="10" t="str">
        <f t="shared" si="41"/>
        <v/>
      </c>
      <c r="BA125" s="10" t="str">
        <f t="shared" si="42"/>
        <v/>
      </c>
    </row>
    <row r="126" spans="6:53" x14ac:dyDescent="0.2">
      <c r="F126" s="10" t="str">
        <f t="shared" si="46"/>
        <v>2017/5/5</v>
      </c>
      <c r="G126" s="14">
        <v>42860</v>
      </c>
      <c r="H126" s="10">
        <v>4.9630388999999999</v>
      </c>
      <c r="I126" s="10">
        <v>-3.0892381000000002</v>
      </c>
      <c r="J126" s="10">
        <v>1.8738007999999997</v>
      </c>
      <c r="K126" s="10">
        <f t="shared" si="47"/>
        <v>471.97565800000001</v>
      </c>
      <c r="L126" s="10">
        <f t="shared" si="48"/>
        <v>-296.78721099999996</v>
      </c>
      <c r="M126" s="10">
        <f t="shared" si="49"/>
        <v>175.18844700000002</v>
      </c>
      <c r="N126" s="10">
        <v>7.3740218930983801</v>
      </c>
      <c r="O126" s="10">
        <v>6.7615238857938742</v>
      </c>
      <c r="P126" s="10">
        <v>3111.4856735500007</v>
      </c>
      <c r="Y126" s="10" t="e">
        <f t="shared" si="43"/>
        <v>#N/A</v>
      </c>
      <c r="Z126" s="10" t="e">
        <f t="shared" si="31"/>
        <v>#N/A</v>
      </c>
      <c r="AA126" s="10" t="e">
        <f t="shared" si="32"/>
        <v>#N/A</v>
      </c>
      <c r="AB126" s="10" t="e">
        <f t="shared" si="33"/>
        <v>#N/A</v>
      </c>
      <c r="AC126" s="10" t="e">
        <f t="shared" si="34"/>
        <v>#N/A</v>
      </c>
      <c r="AE126" s="10" t="str">
        <f t="shared" si="44"/>
        <v/>
      </c>
      <c r="AF126" s="10" t="str">
        <f t="shared" si="35"/>
        <v/>
      </c>
      <c r="AG126" s="10" t="str">
        <f t="shared" si="36"/>
        <v/>
      </c>
      <c r="AH126" s="10" t="str">
        <f t="shared" si="37"/>
        <v/>
      </c>
      <c r="AI126" s="10" t="str">
        <f t="shared" si="38"/>
        <v/>
      </c>
      <c r="AK126" s="10"/>
      <c r="AL126" s="10"/>
      <c r="AM126" s="10"/>
      <c r="AN126" s="10"/>
      <c r="AO126" s="10"/>
      <c r="AQ126" s="10"/>
      <c r="AR126" s="10"/>
      <c r="AS126" s="10"/>
      <c r="AT126" s="10"/>
      <c r="AU126" s="10"/>
      <c r="AW126" s="10" t="str">
        <f t="shared" si="45"/>
        <v/>
      </c>
      <c r="AX126" s="10" t="str">
        <f t="shared" si="39"/>
        <v/>
      </c>
      <c r="AY126" s="10" t="str">
        <f t="shared" si="40"/>
        <v/>
      </c>
      <c r="AZ126" s="10" t="str">
        <f t="shared" si="41"/>
        <v/>
      </c>
      <c r="BA126" s="10" t="str">
        <f t="shared" si="42"/>
        <v/>
      </c>
    </row>
    <row r="127" spans="6:53" x14ac:dyDescent="0.2">
      <c r="F127" s="10" t="str">
        <f t="shared" si="46"/>
        <v>2017/5/8</v>
      </c>
      <c r="G127" s="14">
        <v>42863</v>
      </c>
      <c r="H127" s="10">
        <v>3.1632255999999987</v>
      </c>
      <c r="I127" s="10">
        <v>-2.7096568000000003</v>
      </c>
      <c r="J127" s="10">
        <v>0.45356879999999983</v>
      </c>
      <c r="K127" s="10">
        <f t="shared" si="47"/>
        <v>475.13888359999999</v>
      </c>
      <c r="L127" s="10">
        <f t="shared" si="48"/>
        <v>-299.49686779999996</v>
      </c>
      <c r="M127" s="10">
        <f t="shared" si="49"/>
        <v>175.64201580000002</v>
      </c>
      <c r="N127" s="10">
        <v>7.1889085139420228</v>
      </c>
      <c r="O127" s="10">
        <v>6.5675367688022286</v>
      </c>
      <c r="P127" s="10">
        <v>3128.4436788249996</v>
      </c>
      <c r="Y127" s="10" t="e">
        <f t="shared" si="43"/>
        <v>#N/A</v>
      </c>
      <c r="Z127" s="10" t="e">
        <f t="shared" si="31"/>
        <v>#N/A</v>
      </c>
      <c r="AA127" s="10" t="e">
        <f t="shared" si="32"/>
        <v>#N/A</v>
      </c>
      <c r="AB127" s="10" t="e">
        <f t="shared" si="33"/>
        <v>#N/A</v>
      </c>
      <c r="AC127" s="10" t="e">
        <f t="shared" si="34"/>
        <v>#N/A</v>
      </c>
      <c r="AE127" s="10" t="str">
        <f t="shared" si="44"/>
        <v/>
      </c>
      <c r="AF127" s="10" t="str">
        <f t="shared" si="35"/>
        <v/>
      </c>
      <c r="AG127" s="10" t="str">
        <f t="shared" si="36"/>
        <v/>
      </c>
      <c r="AH127" s="10" t="str">
        <f t="shared" si="37"/>
        <v/>
      </c>
      <c r="AI127" s="10" t="str">
        <f t="shared" si="38"/>
        <v/>
      </c>
      <c r="AK127" s="10"/>
      <c r="AL127" s="10"/>
      <c r="AM127" s="10"/>
      <c r="AN127" s="10"/>
      <c r="AO127" s="10"/>
      <c r="AQ127" s="10"/>
      <c r="AR127" s="10"/>
      <c r="AS127" s="10"/>
      <c r="AT127" s="10"/>
      <c r="AU127" s="10"/>
      <c r="AW127" s="10" t="str">
        <f t="shared" si="45"/>
        <v/>
      </c>
      <c r="AX127" s="10" t="str">
        <f t="shared" si="39"/>
        <v/>
      </c>
      <c r="AY127" s="10" t="str">
        <f t="shared" si="40"/>
        <v/>
      </c>
      <c r="AZ127" s="10" t="str">
        <f t="shared" si="41"/>
        <v/>
      </c>
      <c r="BA127" s="10" t="str">
        <f t="shared" si="42"/>
        <v/>
      </c>
    </row>
    <row r="128" spans="6:53" x14ac:dyDescent="0.2">
      <c r="F128" s="10" t="str">
        <f t="shared" si="46"/>
        <v>2017/5/9</v>
      </c>
      <c r="G128" s="14">
        <v>42864</v>
      </c>
      <c r="H128" s="10">
        <v>6.4184225000000019</v>
      </c>
      <c r="I128" s="10">
        <v>-3.6193398999999995</v>
      </c>
      <c r="J128" s="10">
        <v>2.7990826000000006</v>
      </c>
      <c r="K128" s="10">
        <f t="shared" si="47"/>
        <v>481.55730610000001</v>
      </c>
      <c r="L128" s="10">
        <f t="shared" si="48"/>
        <v>-303.11620769999996</v>
      </c>
      <c r="M128" s="10">
        <f t="shared" si="49"/>
        <v>178.44109840000002</v>
      </c>
      <c r="N128" s="10">
        <v>7.0913053686247958</v>
      </c>
      <c r="O128" s="10">
        <v>6.4839582172701951</v>
      </c>
      <c r="P128" s="10">
        <v>3123.9239683000001</v>
      </c>
      <c r="Y128" s="10" t="e">
        <f t="shared" si="43"/>
        <v>#N/A</v>
      </c>
      <c r="Z128" s="10" t="e">
        <f t="shared" si="31"/>
        <v>#N/A</v>
      </c>
      <c r="AA128" s="10" t="e">
        <f t="shared" si="32"/>
        <v>#N/A</v>
      </c>
      <c r="AB128" s="10" t="e">
        <f t="shared" si="33"/>
        <v>#N/A</v>
      </c>
      <c r="AC128" s="10" t="e">
        <f t="shared" si="34"/>
        <v>#N/A</v>
      </c>
      <c r="AE128" s="10" t="str">
        <f t="shared" si="44"/>
        <v/>
      </c>
      <c r="AF128" s="10" t="str">
        <f t="shared" si="35"/>
        <v/>
      </c>
      <c r="AG128" s="10" t="str">
        <f t="shared" si="36"/>
        <v/>
      </c>
      <c r="AH128" s="10" t="str">
        <f t="shared" si="37"/>
        <v/>
      </c>
      <c r="AI128" s="10" t="str">
        <f t="shared" si="38"/>
        <v/>
      </c>
      <c r="AK128" s="10"/>
      <c r="AL128" s="10"/>
      <c r="AM128" s="10"/>
      <c r="AN128" s="10"/>
      <c r="AO128" s="10"/>
      <c r="AQ128" s="10"/>
      <c r="AR128" s="10"/>
      <c r="AS128" s="10"/>
      <c r="AT128" s="10"/>
      <c r="AU128" s="10"/>
      <c r="AW128" s="10" t="str">
        <f t="shared" si="45"/>
        <v/>
      </c>
      <c r="AX128" s="10" t="str">
        <f t="shared" si="39"/>
        <v/>
      </c>
      <c r="AY128" s="10" t="str">
        <f t="shared" si="40"/>
        <v/>
      </c>
      <c r="AZ128" s="10" t="str">
        <f t="shared" si="41"/>
        <v/>
      </c>
      <c r="BA128" s="10" t="str">
        <f t="shared" si="42"/>
        <v/>
      </c>
    </row>
    <row r="129" spans="6:53" x14ac:dyDescent="0.2">
      <c r="F129" s="10" t="str">
        <f t="shared" si="46"/>
        <v>2017/5/10</v>
      </c>
      <c r="G129" s="14">
        <v>42865</v>
      </c>
      <c r="H129" s="10">
        <v>4.2502554999999997</v>
      </c>
      <c r="I129" s="10">
        <v>-4.2568979999999996</v>
      </c>
      <c r="J129" s="10">
        <v>-6.6424999999997033E-3</v>
      </c>
      <c r="K129" s="10">
        <f t="shared" si="47"/>
        <v>485.80756159999999</v>
      </c>
      <c r="L129" s="10">
        <f t="shared" si="48"/>
        <v>-307.37310569999994</v>
      </c>
      <c r="M129" s="10">
        <f t="shared" si="49"/>
        <v>178.43445590000002</v>
      </c>
      <c r="N129" s="10">
        <v>7.3548174271851421</v>
      </c>
      <c r="O129" s="10">
        <v>6.7433089136490265</v>
      </c>
      <c r="P129" s="10">
        <v>3123.4535245100005</v>
      </c>
      <c r="Y129" s="10" t="e">
        <f t="shared" si="43"/>
        <v>#N/A</v>
      </c>
      <c r="Z129" s="10" t="e">
        <f t="shared" si="31"/>
        <v>#N/A</v>
      </c>
      <c r="AA129" s="10" t="e">
        <f t="shared" si="32"/>
        <v>#N/A</v>
      </c>
      <c r="AB129" s="10" t="e">
        <f t="shared" si="33"/>
        <v>#N/A</v>
      </c>
      <c r="AC129" s="10" t="e">
        <f t="shared" si="34"/>
        <v>#N/A</v>
      </c>
      <c r="AE129" s="10" t="str">
        <f t="shared" si="44"/>
        <v/>
      </c>
      <c r="AF129" s="10" t="str">
        <f t="shared" si="35"/>
        <v/>
      </c>
      <c r="AG129" s="10" t="str">
        <f t="shared" si="36"/>
        <v/>
      </c>
      <c r="AH129" s="10" t="str">
        <f t="shared" si="37"/>
        <v/>
      </c>
      <c r="AI129" s="10" t="str">
        <f t="shared" si="38"/>
        <v/>
      </c>
      <c r="AK129" s="10"/>
      <c r="AL129" s="10"/>
      <c r="AM129" s="10"/>
      <c r="AN129" s="10"/>
      <c r="AO129" s="10"/>
      <c r="AQ129" s="10"/>
      <c r="AR129" s="10"/>
      <c r="AS129" s="10"/>
      <c r="AT129" s="10"/>
      <c r="AU129" s="10"/>
      <c r="AW129" s="10" t="str">
        <f t="shared" si="45"/>
        <v/>
      </c>
      <c r="AX129" s="10" t="str">
        <f t="shared" si="39"/>
        <v/>
      </c>
      <c r="AY129" s="10" t="str">
        <f t="shared" si="40"/>
        <v/>
      </c>
      <c r="AZ129" s="10" t="str">
        <f t="shared" si="41"/>
        <v/>
      </c>
      <c r="BA129" s="10" t="str">
        <f t="shared" si="42"/>
        <v/>
      </c>
    </row>
    <row r="130" spans="6:53" x14ac:dyDescent="0.2">
      <c r="F130" s="10" t="str">
        <f t="shared" si="46"/>
        <v>2017/5/11</v>
      </c>
      <c r="G130" s="14">
        <v>42866</v>
      </c>
      <c r="H130" s="10">
        <v>5.2080944999999996</v>
      </c>
      <c r="I130" s="10">
        <v>-3.0232186999999997</v>
      </c>
      <c r="J130" s="10">
        <v>2.1848758000000004</v>
      </c>
      <c r="K130" s="10">
        <f t="shared" si="47"/>
        <v>491.0156561</v>
      </c>
      <c r="L130" s="10">
        <f t="shared" si="48"/>
        <v>-310.39632439999991</v>
      </c>
      <c r="M130" s="10">
        <f t="shared" si="49"/>
        <v>180.61933170000003</v>
      </c>
      <c r="N130" s="10">
        <v>7.2181932365231498</v>
      </c>
      <c r="O130" s="10">
        <v>6.639686629526464</v>
      </c>
      <c r="P130" s="10">
        <v>3130.9688484000003</v>
      </c>
      <c r="Y130" s="10" t="e">
        <f t="shared" si="43"/>
        <v>#N/A</v>
      </c>
      <c r="Z130" s="10" t="e">
        <f t="shared" si="31"/>
        <v>#N/A</v>
      </c>
      <c r="AA130" s="10" t="e">
        <f t="shared" si="32"/>
        <v>#N/A</v>
      </c>
      <c r="AB130" s="10" t="e">
        <f t="shared" si="33"/>
        <v>#N/A</v>
      </c>
      <c r="AC130" s="10" t="e">
        <f t="shared" si="34"/>
        <v>#N/A</v>
      </c>
      <c r="AE130" s="10" t="str">
        <f t="shared" si="44"/>
        <v/>
      </c>
      <c r="AF130" s="10" t="str">
        <f t="shared" si="35"/>
        <v/>
      </c>
      <c r="AG130" s="10" t="str">
        <f t="shared" si="36"/>
        <v/>
      </c>
      <c r="AH130" s="10" t="str">
        <f t="shared" si="37"/>
        <v/>
      </c>
      <c r="AI130" s="10" t="str">
        <f t="shared" si="38"/>
        <v/>
      </c>
      <c r="AK130" s="10"/>
      <c r="AL130" s="10"/>
      <c r="AM130" s="10"/>
      <c r="AN130" s="10"/>
      <c r="AO130" s="10"/>
      <c r="AQ130" s="10"/>
      <c r="AR130" s="10"/>
      <c r="AS130" s="10"/>
      <c r="AT130" s="10"/>
      <c r="AU130" s="10"/>
      <c r="AW130" s="10" t="str">
        <f t="shared" si="45"/>
        <v/>
      </c>
      <c r="AX130" s="10" t="str">
        <f t="shared" si="39"/>
        <v/>
      </c>
      <c r="AY130" s="10" t="str">
        <f t="shared" si="40"/>
        <v/>
      </c>
      <c r="AZ130" s="10" t="str">
        <f t="shared" si="41"/>
        <v/>
      </c>
      <c r="BA130" s="10" t="str">
        <f t="shared" si="42"/>
        <v/>
      </c>
    </row>
    <row r="131" spans="6:53" x14ac:dyDescent="0.2">
      <c r="F131" s="10" t="str">
        <f t="shared" si="46"/>
        <v>2017/5/12</v>
      </c>
      <c r="G131" s="14">
        <v>42867</v>
      </c>
      <c r="H131" s="10">
        <v>3.0530156000000002</v>
      </c>
      <c r="I131" s="10">
        <v>-3.4219658000000006</v>
      </c>
      <c r="J131" s="10">
        <v>-0.36895020000000045</v>
      </c>
      <c r="K131" s="10">
        <f t="shared" si="47"/>
        <v>494.06867169999998</v>
      </c>
      <c r="L131" s="10">
        <f t="shared" si="48"/>
        <v>-313.81829019999992</v>
      </c>
      <c r="M131" s="10">
        <f t="shared" si="49"/>
        <v>180.25038150000003</v>
      </c>
      <c r="N131" s="10">
        <v>7.3023166372057817</v>
      </c>
      <c r="O131" s="10">
        <v>6.8100947075208893</v>
      </c>
      <c r="P131" s="10">
        <v>3128.9414504000006</v>
      </c>
      <c r="Y131" s="10" t="e">
        <f t="shared" si="43"/>
        <v>#N/A</v>
      </c>
      <c r="Z131" s="10" t="e">
        <f t="shared" si="31"/>
        <v>#N/A</v>
      </c>
      <c r="AA131" s="10" t="e">
        <f t="shared" si="32"/>
        <v>#N/A</v>
      </c>
      <c r="AB131" s="10" t="e">
        <f t="shared" si="33"/>
        <v>#N/A</v>
      </c>
      <c r="AC131" s="10" t="e">
        <f t="shared" si="34"/>
        <v>#N/A</v>
      </c>
      <c r="AE131" s="10" t="str">
        <f t="shared" si="44"/>
        <v/>
      </c>
      <c r="AF131" s="10" t="str">
        <f t="shared" si="35"/>
        <v/>
      </c>
      <c r="AG131" s="10" t="str">
        <f t="shared" si="36"/>
        <v/>
      </c>
      <c r="AH131" s="10" t="str">
        <f t="shared" si="37"/>
        <v/>
      </c>
      <c r="AI131" s="10" t="str">
        <f t="shared" si="38"/>
        <v/>
      </c>
      <c r="AK131" s="10"/>
      <c r="AL131" s="10"/>
      <c r="AM131" s="10"/>
      <c r="AN131" s="10"/>
      <c r="AO131" s="10"/>
      <c r="AQ131" s="10"/>
      <c r="AR131" s="10"/>
      <c r="AS131" s="10"/>
      <c r="AT131" s="10"/>
      <c r="AU131" s="10"/>
      <c r="AW131" s="10" t="str">
        <f t="shared" si="45"/>
        <v/>
      </c>
      <c r="AX131" s="10" t="str">
        <f t="shared" si="39"/>
        <v/>
      </c>
      <c r="AY131" s="10" t="str">
        <f t="shared" si="40"/>
        <v/>
      </c>
      <c r="AZ131" s="10" t="str">
        <f t="shared" si="41"/>
        <v/>
      </c>
      <c r="BA131" s="10" t="str">
        <f t="shared" si="42"/>
        <v/>
      </c>
    </row>
    <row r="132" spans="6:53" x14ac:dyDescent="0.2">
      <c r="F132" s="10" t="str">
        <f t="shared" si="46"/>
        <v>2017/5/15</v>
      </c>
      <c r="G132" s="14">
        <v>42870</v>
      </c>
      <c r="H132" s="10">
        <v>4.3218274000000001</v>
      </c>
      <c r="I132" s="10">
        <v>-1.9702049999999998</v>
      </c>
      <c r="J132" s="10">
        <v>2.3516224000000001</v>
      </c>
      <c r="K132" s="10">
        <f t="shared" si="47"/>
        <v>498.3904991</v>
      </c>
      <c r="L132" s="10">
        <f t="shared" si="48"/>
        <v>-315.78849519999994</v>
      </c>
      <c r="M132" s="10">
        <f t="shared" si="49"/>
        <v>182.60200390000003</v>
      </c>
      <c r="N132" s="10">
        <v>7.7985402107113844</v>
      </c>
      <c r="O132" s="10">
        <v>7.3282980501392778</v>
      </c>
      <c r="P132" s="10">
        <v>3130.3207748000009</v>
      </c>
      <c r="Y132" s="10" t="e">
        <f t="shared" si="43"/>
        <v>#N/A</v>
      </c>
      <c r="Z132" s="10" t="e">
        <f t="shared" si="31"/>
        <v>#N/A</v>
      </c>
      <c r="AA132" s="10" t="e">
        <f t="shared" si="32"/>
        <v>#N/A</v>
      </c>
      <c r="AB132" s="10" t="e">
        <f t="shared" si="33"/>
        <v>#N/A</v>
      </c>
      <c r="AC132" s="10" t="e">
        <f t="shared" si="34"/>
        <v>#N/A</v>
      </c>
      <c r="AE132" s="10" t="str">
        <f t="shared" si="44"/>
        <v/>
      </c>
      <c r="AF132" s="10" t="str">
        <f t="shared" si="35"/>
        <v/>
      </c>
      <c r="AG132" s="10" t="str">
        <f t="shared" si="36"/>
        <v/>
      </c>
      <c r="AH132" s="10" t="str">
        <f t="shared" si="37"/>
        <v/>
      </c>
      <c r="AI132" s="10" t="str">
        <f t="shared" si="38"/>
        <v/>
      </c>
      <c r="AK132" s="10"/>
      <c r="AL132" s="10"/>
      <c r="AM132" s="10"/>
      <c r="AN132" s="10"/>
      <c r="AO132" s="10"/>
      <c r="AQ132" s="10"/>
      <c r="AR132" s="10"/>
      <c r="AS132" s="10"/>
      <c r="AT132" s="10"/>
      <c r="AU132" s="10"/>
      <c r="AW132" s="10" t="str">
        <f t="shared" si="45"/>
        <v/>
      </c>
      <c r="AX132" s="10" t="str">
        <f t="shared" si="39"/>
        <v/>
      </c>
      <c r="AY132" s="10" t="str">
        <f t="shared" si="40"/>
        <v/>
      </c>
      <c r="AZ132" s="10" t="str">
        <f t="shared" si="41"/>
        <v/>
      </c>
      <c r="BA132" s="10" t="str">
        <f t="shared" si="42"/>
        <v/>
      </c>
    </row>
    <row r="133" spans="6:53" x14ac:dyDescent="0.2">
      <c r="F133" s="10" t="str">
        <f t="shared" si="46"/>
        <v>2017/5/16</v>
      </c>
      <c r="G133" s="14">
        <v>42871</v>
      </c>
      <c r="H133" s="10">
        <v>4.8924413000000007</v>
      </c>
      <c r="I133" s="10">
        <v>-3.0961517999999995</v>
      </c>
      <c r="J133" s="10">
        <v>1.7962895000000001</v>
      </c>
      <c r="K133" s="10">
        <f t="shared" si="47"/>
        <v>503.28294039999997</v>
      </c>
      <c r="L133" s="10">
        <f t="shared" si="48"/>
        <v>-318.88464699999992</v>
      </c>
      <c r="M133" s="10">
        <f t="shared" si="49"/>
        <v>184.39829340000003</v>
      </c>
      <c r="N133" s="10">
        <v>7.9667356905954447</v>
      </c>
      <c r="O133" s="10">
        <v>7.5463036211699182</v>
      </c>
      <c r="P133" s="10">
        <v>3146.8650584000002</v>
      </c>
      <c r="Y133" s="10" t="e">
        <f t="shared" si="43"/>
        <v>#N/A</v>
      </c>
      <c r="Z133" s="10" t="e">
        <f t="shared" si="31"/>
        <v>#N/A</v>
      </c>
      <c r="AA133" s="10" t="e">
        <f t="shared" si="32"/>
        <v>#N/A</v>
      </c>
      <c r="AB133" s="10" t="e">
        <f t="shared" si="33"/>
        <v>#N/A</v>
      </c>
      <c r="AC133" s="10" t="e">
        <f t="shared" si="34"/>
        <v>#N/A</v>
      </c>
      <c r="AE133" s="10" t="str">
        <f t="shared" si="44"/>
        <v/>
      </c>
      <c r="AF133" s="10" t="str">
        <f t="shared" si="35"/>
        <v/>
      </c>
      <c r="AG133" s="10" t="str">
        <f t="shared" si="36"/>
        <v/>
      </c>
      <c r="AH133" s="10" t="str">
        <f t="shared" si="37"/>
        <v/>
      </c>
      <c r="AI133" s="10" t="str">
        <f t="shared" si="38"/>
        <v/>
      </c>
      <c r="AK133" s="10"/>
      <c r="AL133" s="10"/>
      <c r="AM133" s="10"/>
      <c r="AN133" s="10"/>
      <c r="AO133" s="10"/>
      <c r="AQ133" s="10"/>
      <c r="AR133" s="10"/>
      <c r="AS133" s="10"/>
      <c r="AT133" s="10"/>
      <c r="AU133" s="10"/>
      <c r="AW133" s="10" t="str">
        <f t="shared" si="45"/>
        <v/>
      </c>
      <c r="AX133" s="10" t="str">
        <f t="shared" si="39"/>
        <v/>
      </c>
      <c r="AY133" s="10" t="str">
        <f t="shared" si="40"/>
        <v/>
      </c>
      <c r="AZ133" s="10" t="str">
        <f t="shared" si="41"/>
        <v/>
      </c>
      <c r="BA133" s="10" t="str">
        <f t="shared" si="42"/>
        <v/>
      </c>
    </row>
    <row r="134" spans="6:53" x14ac:dyDescent="0.2">
      <c r="F134" s="10" t="str">
        <f t="shared" si="46"/>
        <v>2017/5/17</v>
      </c>
      <c r="G134" s="14">
        <v>42872</v>
      </c>
      <c r="H134" s="10">
        <v>3.909724199999999</v>
      </c>
      <c r="I134" s="10">
        <v>-6.0874153</v>
      </c>
      <c r="J134" s="10">
        <v>-2.1776911000000005</v>
      </c>
      <c r="K134" s="10">
        <f t="shared" si="47"/>
        <v>507.19266459999994</v>
      </c>
      <c r="L134" s="10">
        <f t="shared" si="48"/>
        <v>-324.97206229999989</v>
      </c>
      <c r="M134" s="10">
        <f t="shared" si="49"/>
        <v>182.22060230000002</v>
      </c>
      <c r="N134" s="10">
        <v>6.8742293042376543</v>
      </c>
      <c r="O134" s="10">
        <v>6.6798484679665746</v>
      </c>
      <c r="P134" s="10">
        <v>3152.8868800999985</v>
      </c>
      <c r="Y134" s="10" t="e">
        <f t="shared" si="43"/>
        <v>#N/A</v>
      </c>
      <c r="Z134" s="10" t="e">
        <f t="shared" si="31"/>
        <v>#N/A</v>
      </c>
      <c r="AA134" s="10" t="e">
        <f t="shared" si="32"/>
        <v>#N/A</v>
      </c>
      <c r="AB134" s="10" t="e">
        <f t="shared" si="33"/>
        <v>#N/A</v>
      </c>
      <c r="AC134" s="10" t="e">
        <f t="shared" si="34"/>
        <v>#N/A</v>
      </c>
      <c r="AE134" s="10" t="str">
        <f t="shared" si="44"/>
        <v/>
      </c>
      <c r="AF134" s="10" t="str">
        <f t="shared" si="35"/>
        <v/>
      </c>
      <c r="AG134" s="10" t="str">
        <f t="shared" si="36"/>
        <v/>
      </c>
      <c r="AH134" s="10" t="str">
        <f t="shared" si="37"/>
        <v/>
      </c>
      <c r="AI134" s="10" t="str">
        <f t="shared" si="38"/>
        <v/>
      </c>
      <c r="AK134" s="10"/>
      <c r="AL134" s="10"/>
      <c r="AM134" s="10"/>
      <c r="AN134" s="10"/>
      <c r="AO134" s="10"/>
      <c r="AQ134" s="10"/>
      <c r="AR134" s="10"/>
      <c r="AS134" s="10"/>
      <c r="AT134" s="10"/>
      <c r="AU134" s="10"/>
      <c r="AW134" s="10" t="str">
        <f t="shared" si="45"/>
        <v/>
      </c>
      <c r="AX134" s="10" t="str">
        <f t="shared" si="39"/>
        <v/>
      </c>
      <c r="AY134" s="10" t="str">
        <f t="shared" si="40"/>
        <v/>
      </c>
      <c r="AZ134" s="10" t="str">
        <f t="shared" si="41"/>
        <v/>
      </c>
      <c r="BA134" s="10" t="str">
        <f t="shared" si="42"/>
        <v/>
      </c>
    </row>
    <row r="135" spans="6:53" x14ac:dyDescent="0.2">
      <c r="F135" s="10" t="str">
        <f t="shared" si="46"/>
        <v>2017/5/18</v>
      </c>
      <c r="G135" s="14">
        <v>42873</v>
      </c>
      <c r="H135" s="10">
        <v>4.7583495999999998</v>
      </c>
      <c r="I135" s="10">
        <v>-3.5233046999999997</v>
      </c>
      <c r="J135" s="10">
        <v>1.2350449000000003</v>
      </c>
      <c r="K135" s="10">
        <f t="shared" si="47"/>
        <v>511.95101419999992</v>
      </c>
      <c r="L135" s="10">
        <f t="shared" si="48"/>
        <v>-328.49536699999987</v>
      </c>
      <c r="M135" s="10">
        <f t="shared" si="49"/>
        <v>183.45564720000002</v>
      </c>
      <c r="N135" s="10">
        <v>6.7782413801025925</v>
      </c>
      <c r="O135" s="10">
        <v>6.484643732590528</v>
      </c>
      <c r="P135" s="10">
        <v>3119.3657827000015</v>
      </c>
      <c r="Y135" s="10" t="e">
        <f t="shared" si="43"/>
        <v>#N/A</v>
      </c>
      <c r="Z135" s="10" t="e">
        <f t="shared" si="31"/>
        <v>#N/A</v>
      </c>
      <c r="AA135" s="10" t="e">
        <f t="shared" si="32"/>
        <v>#N/A</v>
      </c>
      <c r="AB135" s="10" t="e">
        <f t="shared" si="33"/>
        <v>#N/A</v>
      </c>
      <c r="AC135" s="10" t="e">
        <f t="shared" si="34"/>
        <v>#N/A</v>
      </c>
      <c r="AE135" s="10" t="str">
        <f t="shared" si="44"/>
        <v/>
      </c>
      <c r="AF135" s="10" t="str">
        <f t="shared" si="35"/>
        <v/>
      </c>
      <c r="AG135" s="10" t="str">
        <f t="shared" si="36"/>
        <v/>
      </c>
      <c r="AH135" s="10" t="str">
        <f t="shared" si="37"/>
        <v/>
      </c>
      <c r="AI135" s="10" t="str">
        <f t="shared" si="38"/>
        <v/>
      </c>
      <c r="AK135" s="10"/>
      <c r="AL135" s="10"/>
      <c r="AM135" s="10"/>
      <c r="AN135" s="10"/>
      <c r="AO135" s="10"/>
      <c r="AQ135" s="10"/>
      <c r="AR135" s="10"/>
      <c r="AS135" s="10"/>
      <c r="AT135" s="10"/>
      <c r="AU135" s="10"/>
      <c r="AW135" s="10" t="str">
        <f t="shared" si="45"/>
        <v/>
      </c>
      <c r="AX135" s="10" t="str">
        <f t="shared" si="39"/>
        <v/>
      </c>
      <c r="AY135" s="10" t="str">
        <f t="shared" si="40"/>
        <v/>
      </c>
      <c r="AZ135" s="10" t="str">
        <f t="shared" si="41"/>
        <v/>
      </c>
      <c r="BA135" s="10" t="str">
        <f t="shared" si="42"/>
        <v/>
      </c>
    </row>
    <row r="136" spans="6:53" x14ac:dyDescent="0.2">
      <c r="F136" s="10" t="str">
        <f t="shared" si="46"/>
        <v>2017/5/19</v>
      </c>
      <c r="G136" s="14">
        <v>42874</v>
      </c>
      <c r="H136" s="10">
        <v>3.8917280000000001</v>
      </c>
      <c r="I136" s="10">
        <v>-7.895061199999998</v>
      </c>
      <c r="J136" s="10">
        <v>-4.0033331999999993</v>
      </c>
      <c r="K136" s="10">
        <f t="shared" si="47"/>
        <v>515.84274219999986</v>
      </c>
      <c r="L136" s="10">
        <f t="shared" si="48"/>
        <v>-336.39042819999986</v>
      </c>
      <c r="M136" s="10">
        <f t="shared" si="49"/>
        <v>179.45231400000003</v>
      </c>
      <c r="N136" s="10">
        <v>7.5043574782132092</v>
      </c>
      <c r="O136" s="10">
        <v>7.2240384401114257</v>
      </c>
      <c r="P136" s="10">
        <v>3118.2530319000011</v>
      </c>
      <c r="Y136" s="10" t="e">
        <f t="shared" si="43"/>
        <v>#N/A</v>
      </c>
      <c r="Z136" s="10" t="e">
        <f t="shared" si="31"/>
        <v>#N/A</v>
      </c>
      <c r="AA136" s="10" t="e">
        <f t="shared" si="32"/>
        <v>#N/A</v>
      </c>
      <c r="AB136" s="10" t="e">
        <f t="shared" si="33"/>
        <v>#N/A</v>
      </c>
      <c r="AC136" s="10" t="e">
        <f t="shared" si="34"/>
        <v>#N/A</v>
      </c>
      <c r="AE136" s="10" t="str">
        <f t="shared" si="44"/>
        <v/>
      </c>
      <c r="AF136" s="10" t="str">
        <f t="shared" si="35"/>
        <v/>
      </c>
      <c r="AG136" s="10" t="str">
        <f t="shared" si="36"/>
        <v/>
      </c>
      <c r="AH136" s="10" t="str">
        <f t="shared" si="37"/>
        <v/>
      </c>
      <c r="AI136" s="10" t="str">
        <f t="shared" si="38"/>
        <v/>
      </c>
      <c r="AK136" s="10"/>
      <c r="AL136" s="10"/>
      <c r="AM136" s="10"/>
      <c r="AN136" s="10"/>
      <c r="AO136" s="10"/>
      <c r="AQ136" s="10"/>
      <c r="AR136" s="10"/>
      <c r="AS136" s="10"/>
      <c r="AT136" s="10"/>
      <c r="AU136" s="10"/>
      <c r="AW136" s="10" t="str">
        <f t="shared" si="45"/>
        <v/>
      </c>
      <c r="AX136" s="10" t="str">
        <f t="shared" si="39"/>
        <v/>
      </c>
      <c r="AY136" s="10" t="str">
        <f t="shared" si="40"/>
        <v/>
      </c>
      <c r="AZ136" s="10" t="str">
        <f t="shared" si="41"/>
        <v/>
      </c>
      <c r="BA136" s="10" t="str">
        <f t="shared" si="42"/>
        <v/>
      </c>
    </row>
    <row r="137" spans="6:53" x14ac:dyDescent="0.2">
      <c r="F137" s="10" t="str">
        <f t="shared" si="46"/>
        <v>2017/5/22</v>
      </c>
      <c r="G137" s="14">
        <v>42877</v>
      </c>
      <c r="H137" s="10">
        <v>7.4276654999999998</v>
      </c>
      <c r="I137" s="10">
        <v>-1.8408588999999997</v>
      </c>
      <c r="J137" s="10">
        <v>5.586806600000001</v>
      </c>
      <c r="K137" s="10">
        <f t="shared" si="47"/>
        <v>523.27040769999985</v>
      </c>
      <c r="L137" s="10">
        <f t="shared" si="48"/>
        <v>-338.23128709999986</v>
      </c>
      <c r="M137" s="10">
        <f t="shared" si="49"/>
        <v>185.03912060000002</v>
      </c>
      <c r="N137" s="10">
        <v>7.9376187628473351</v>
      </c>
      <c r="O137" s="10">
        <v>7.6165410863509706</v>
      </c>
      <c r="P137" s="10">
        <v>3135.1732324999994</v>
      </c>
      <c r="Y137" s="10" t="e">
        <f t="shared" si="43"/>
        <v>#N/A</v>
      </c>
      <c r="Z137" s="10" t="e">
        <f t="shared" si="31"/>
        <v>#N/A</v>
      </c>
      <c r="AA137" s="10" t="e">
        <f t="shared" si="32"/>
        <v>#N/A</v>
      </c>
      <c r="AB137" s="10" t="e">
        <f t="shared" si="33"/>
        <v>#N/A</v>
      </c>
      <c r="AC137" s="10" t="e">
        <f t="shared" si="34"/>
        <v>#N/A</v>
      </c>
      <c r="AE137" s="10" t="str">
        <f t="shared" si="44"/>
        <v/>
      </c>
      <c r="AF137" s="10" t="str">
        <f t="shared" si="35"/>
        <v/>
      </c>
      <c r="AG137" s="10" t="str">
        <f t="shared" si="36"/>
        <v/>
      </c>
      <c r="AH137" s="10" t="str">
        <f t="shared" si="37"/>
        <v/>
      </c>
      <c r="AI137" s="10" t="str">
        <f t="shared" si="38"/>
        <v/>
      </c>
      <c r="AK137" s="10"/>
      <c r="AL137" s="10"/>
      <c r="AM137" s="10"/>
      <c r="AN137" s="10"/>
      <c r="AO137" s="10"/>
      <c r="AQ137" s="10"/>
      <c r="AR137" s="10"/>
      <c r="AS137" s="10"/>
      <c r="AT137" s="10"/>
      <c r="AU137" s="10"/>
      <c r="AW137" s="10" t="str">
        <f t="shared" si="45"/>
        <v/>
      </c>
      <c r="AX137" s="10" t="str">
        <f t="shared" si="39"/>
        <v/>
      </c>
      <c r="AY137" s="10" t="str">
        <f t="shared" si="40"/>
        <v/>
      </c>
      <c r="AZ137" s="10" t="str">
        <f t="shared" si="41"/>
        <v/>
      </c>
      <c r="BA137" s="10" t="str">
        <f t="shared" si="42"/>
        <v/>
      </c>
    </row>
    <row r="138" spans="6:53" x14ac:dyDescent="0.2">
      <c r="F138" s="10" t="str">
        <f t="shared" si="46"/>
        <v>2017/5/23</v>
      </c>
      <c r="G138" s="14">
        <v>42878</v>
      </c>
      <c r="H138" s="10">
        <v>3.8777904999999993</v>
      </c>
      <c r="I138" s="10">
        <v>-3.4579233999999999</v>
      </c>
      <c r="J138" s="10">
        <v>0.41986709999999988</v>
      </c>
      <c r="K138" s="10">
        <f t="shared" si="47"/>
        <v>527.1481981999998</v>
      </c>
      <c r="L138" s="10">
        <f t="shared" si="48"/>
        <v>-341.68921049999989</v>
      </c>
      <c r="M138" s="10">
        <f t="shared" si="49"/>
        <v>185.45898770000002</v>
      </c>
      <c r="N138" s="10">
        <v>7.9428346574519262</v>
      </c>
      <c r="O138" s="10">
        <v>7.5874228412256226</v>
      </c>
      <c r="P138" s="10">
        <v>3152.7540962499997</v>
      </c>
      <c r="Y138" s="10" t="e">
        <f t="shared" si="43"/>
        <v>#N/A</v>
      </c>
      <c r="Z138" s="10" t="e">
        <f t="shared" si="31"/>
        <v>#N/A</v>
      </c>
      <c r="AA138" s="10" t="e">
        <f t="shared" si="32"/>
        <v>#N/A</v>
      </c>
      <c r="AB138" s="10" t="e">
        <f t="shared" si="33"/>
        <v>#N/A</v>
      </c>
      <c r="AC138" s="10" t="e">
        <f t="shared" si="34"/>
        <v>#N/A</v>
      </c>
      <c r="AE138" s="10" t="str">
        <f t="shared" si="44"/>
        <v/>
      </c>
      <c r="AF138" s="10" t="str">
        <f t="shared" si="35"/>
        <v/>
      </c>
      <c r="AG138" s="10" t="str">
        <f t="shared" si="36"/>
        <v/>
      </c>
      <c r="AH138" s="10" t="str">
        <f t="shared" si="37"/>
        <v/>
      </c>
      <c r="AI138" s="10" t="str">
        <f t="shared" si="38"/>
        <v/>
      </c>
      <c r="AK138" s="10"/>
      <c r="AL138" s="10"/>
      <c r="AM138" s="10"/>
      <c r="AN138" s="10"/>
      <c r="AO138" s="10"/>
      <c r="AQ138" s="10"/>
      <c r="AR138" s="10"/>
      <c r="AS138" s="10"/>
      <c r="AT138" s="10"/>
      <c r="AU138" s="10"/>
      <c r="AW138" s="10" t="str">
        <f t="shared" si="45"/>
        <v/>
      </c>
      <c r="AX138" s="10" t="str">
        <f t="shared" si="39"/>
        <v/>
      </c>
      <c r="AY138" s="10" t="str">
        <f t="shared" si="40"/>
        <v/>
      </c>
      <c r="AZ138" s="10" t="str">
        <f t="shared" si="41"/>
        <v/>
      </c>
      <c r="BA138" s="10" t="str">
        <f t="shared" si="42"/>
        <v/>
      </c>
    </row>
    <row r="139" spans="6:53" x14ac:dyDescent="0.2">
      <c r="F139" s="10" t="str">
        <f t="shared" si="46"/>
        <v>2017/5/24</v>
      </c>
      <c r="G139" s="14">
        <v>42879</v>
      </c>
      <c r="H139" s="10">
        <v>6.2402218000000014</v>
      </c>
      <c r="I139" s="10">
        <v>-2.7134060999999994</v>
      </c>
      <c r="J139" s="10">
        <v>3.5268157000000007</v>
      </c>
      <c r="K139" s="10">
        <f t="shared" si="47"/>
        <v>533.38841999999977</v>
      </c>
      <c r="L139" s="10">
        <f t="shared" si="48"/>
        <v>-344.40261659999987</v>
      </c>
      <c r="M139" s="10">
        <f t="shared" si="49"/>
        <v>188.98580340000004</v>
      </c>
      <c r="N139" s="10">
        <v>8.1492928461593674</v>
      </c>
      <c r="O139" s="10">
        <v>7.7217142061281336</v>
      </c>
      <c r="P139" s="10">
        <v>3153.5386522000013</v>
      </c>
      <c r="Y139" s="10" t="e">
        <f t="shared" si="43"/>
        <v>#N/A</v>
      </c>
      <c r="Z139" s="10" t="e">
        <f t="shared" ref="Z139:Z202" si="50">IF($W$5=1,IF(AL139="",NA(),AL139),IF($W$5=2,IF(AF139="",NA(),AF139),IF($W$5=3,IF(AX139="",NA(),AX139),IF($W$5=4,IF(AR139="",NA(),AR139)))))</f>
        <v>#N/A</v>
      </c>
      <c r="AA139" s="10" t="e">
        <f t="shared" ref="AA139:AA202" si="51">IF($W$5=1,IF(AM139="",NA(),AM139),IF($W$5=2,IF(AG139="",NA(),AG139),IF($W$5=3,IF(AY139="",NA(),AY139),IF($W$5=4,IF(AS139="",NA(),AS139)))))</f>
        <v>#N/A</v>
      </c>
      <c r="AB139" s="10" t="e">
        <f t="shared" ref="AB139:AB202" si="52">IF($W$5=1,IF(AN139="",NA(),AN139),IF($W$5=2,IF(AH139="",NA(),AH139),IF($W$5=3,IF(AZ139="",NA(),AZ139),IF($W$5=4,IF(AT139="",NA(),AT139)))))</f>
        <v>#N/A</v>
      </c>
      <c r="AC139" s="10" t="e">
        <f t="shared" ref="AC139:AC202" si="53">IF($W$5=1,IF(AO139="",NA(),AO139),IF($W$5=2,IF(AI139="",NA(),AI139),IF($W$5=3,IF(BA139="",NA(),BA139),IF($W$5=4,IF(AU139="",NA(),AU139)))))</f>
        <v>#N/A</v>
      </c>
      <c r="AE139" s="10" t="str">
        <f t="shared" si="44"/>
        <v/>
      </c>
      <c r="AF139" s="10" t="str">
        <f t="shared" ref="AF139:AF202" si="54">IF(AL139="","",AL139/AR139*100)</f>
        <v/>
      </c>
      <c r="AG139" s="10" t="str">
        <f t="shared" ref="AG139:AG202" si="55">IF(AM139="","",AM139/AS139*100)</f>
        <v/>
      </c>
      <c r="AH139" s="10" t="str">
        <f t="shared" ref="AH139:AH202" si="56">IF(AN139="","",AN139/AT139*100)</f>
        <v/>
      </c>
      <c r="AI139" s="10" t="str">
        <f t="shared" ref="AI139:AI202" si="57">IF(AO139="","",AO139/AU139*100)</f>
        <v/>
      </c>
      <c r="AK139" s="10"/>
      <c r="AL139" s="10"/>
      <c r="AM139" s="10"/>
      <c r="AN139" s="10"/>
      <c r="AO139" s="10"/>
      <c r="AQ139" s="10"/>
      <c r="AR139" s="10"/>
      <c r="AS139" s="10"/>
      <c r="AT139" s="10"/>
      <c r="AU139" s="10"/>
      <c r="AW139" s="10" t="str">
        <f t="shared" si="45"/>
        <v/>
      </c>
      <c r="AX139" s="10" t="str">
        <f t="shared" ref="AX139:AX202" si="58">IF(AL$11="","",100+AF139)</f>
        <v/>
      </c>
      <c r="AY139" s="10" t="str">
        <f t="shared" ref="AY139:AY202" si="59">IF(AM$11="","",100+AG139)</f>
        <v/>
      </c>
      <c r="AZ139" s="10" t="str">
        <f t="shared" ref="AZ139:AZ202" si="60">IF(AN$11="","",100+AH139)</f>
        <v/>
      </c>
      <c r="BA139" s="10" t="str">
        <f t="shared" ref="BA139:BA202" si="61">IF(AO$11="","",100+AI139)</f>
        <v/>
      </c>
    </row>
    <row r="140" spans="6:53" x14ac:dyDescent="0.2">
      <c r="F140" s="10" t="str">
        <f t="shared" si="46"/>
        <v>2017/5/25</v>
      </c>
      <c r="G140" s="14">
        <v>42880</v>
      </c>
      <c r="H140" s="10">
        <v>5.4975909000000005</v>
      </c>
      <c r="I140" s="10">
        <v>-1.6750266</v>
      </c>
      <c r="J140" s="10">
        <v>3.8225643000000002</v>
      </c>
      <c r="K140" s="10">
        <f t="shared" si="47"/>
        <v>538.88601089999975</v>
      </c>
      <c r="L140" s="10">
        <f t="shared" si="48"/>
        <v>-346.0776431999999</v>
      </c>
      <c r="M140" s="10">
        <f t="shared" si="49"/>
        <v>192.80836770000005</v>
      </c>
      <c r="N140" s="10">
        <v>8.4919538694287677</v>
      </c>
      <c r="O140" s="10">
        <v>8.0323838440111395</v>
      </c>
      <c r="P140" s="10">
        <v>3161.7321878000002</v>
      </c>
      <c r="Y140" s="10" t="e">
        <f t="shared" ref="Y140:Y203" si="62">IF($W$5=1,IF(AK140="",NA(),AK140),IF($W$5=2,IF(AE140="",NA(),AE140),IF($W$5=3,IF(AW140="",NA(),AW140),IF($W$5=4,IF(AQ140="",NA(),AQ140)))))</f>
        <v>#N/A</v>
      </c>
      <c r="Z140" s="10" t="e">
        <f t="shared" si="50"/>
        <v>#N/A</v>
      </c>
      <c r="AA140" s="10" t="e">
        <f t="shared" si="51"/>
        <v>#N/A</v>
      </c>
      <c r="AB140" s="10" t="e">
        <f t="shared" si="52"/>
        <v>#N/A</v>
      </c>
      <c r="AC140" s="10" t="e">
        <f t="shared" si="53"/>
        <v>#N/A</v>
      </c>
      <c r="AE140" s="10" t="str">
        <f t="shared" ref="AE140:AE203" si="63">IF(AK140="","",AK140/AQ140*100)</f>
        <v/>
      </c>
      <c r="AF140" s="10" t="str">
        <f t="shared" si="54"/>
        <v/>
      </c>
      <c r="AG140" s="10" t="str">
        <f t="shared" si="55"/>
        <v/>
      </c>
      <c r="AH140" s="10" t="str">
        <f t="shared" si="56"/>
        <v/>
      </c>
      <c r="AI140" s="10" t="str">
        <f t="shared" si="57"/>
        <v/>
      </c>
      <c r="AK140" s="10"/>
      <c r="AL140" s="10"/>
      <c r="AM140" s="10"/>
      <c r="AN140" s="10"/>
      <c r="AO140" s="10"/>
      <c r="AQ140" s="10"/>
      <c r="AR140" s="10"/>
      <c r="AS140" s="10"/>
      <c r="AT140" s="10"/>
      <c r="AU140" s="10"/>
      <c r="AW140" s="10" t="str">
        <f t="shared" ref="AW140:AW203" si="64">IF(AK$11="","",100+AE140)</f>
        <v/>
      </c>
      <c r="AX140" s="10" t="str">
        <f t="shared" si="58"/>
        <v/>
      </c>
      <c r="AY140" s="10" t="str">
        <f t="shared" si="59"/>
        <v/>
      </c>
      <c r="AZ140" s="10" t="str">
        <f t="shared" si="60"/>
        <v/>
      </c>
      <c r="BA140" s="10" t="str">
        <f t="shared" si="61"/>
        <v/>
      </c>
    </row>
    <row r="141" spans="6:53" x14ac:dyDescent="0.2">
      <c r="F141" s="10" t="str">
        <f t="shared" si="46"/>
        <v>2017/5/26</v>
      </c>
      <c r="G141" s="14">
        <v>42881</v>
      </c>
      <c r="H141" s="10">
        <v>5.5813755</v>
      </c>
      <c r="I141" s="10">
        <v>-1.5679915</v>
      </c>
      <c r="J141" s="10">
        <v>4.0133840000000021</v>
      </c>
      <c r="K141" s="10">
        <f t="shared" si="47"/>
        <v>544.46738639999978</v>
      </c>
      <c r="L141" s="10">
        <f t="shared" si="48"/>
        <v>-347.6456346999999</v>
      </c>
      <c r="M141" s="10">
        <f t="shared" si="49"/>
        <v>196.82175170000005</v>
      </c>
      <c r="N141" s="10">
        <v>8.4674933713983602</v>
      </c>
      <c r="O141" s="10">
        <v>7.9917922005571</v>
      </c>
      <c r="P141" s="10">
        <v>3179.1475948199991</v>
      </c>
      <c r="Y141" s="10" t="e">
        <f t="shared" si="62"/>
        <v>#N/A</v>
      </c>
      <c r="Z141" s="10" t="e">
        <f t="shared" si="50"/>
        <v>#N/A</v>
      </c>
      <c r="AA141" s="10" t="e">
        <f t="shared" si="51"/>
        <v>#N/A</v>
      </c>
      <c r="AB141" s="10" t="e">
        <f t="shared" si="52"/>
        <v>#N/A</v>
      </c>
      <c r="AC141" s="10" t="e">
        <f t="shared" si="53"/>
        <v>#N/A</v>
      </c>
      <c r="AE141" s="10" t="str">
        <f t="shared" si="63"/>
        <v/>
      </c>
      <c r="AF141" s="10" t="str">
        <f t="shared" si="54"/>
        <v/>
      </c>
      <c r="AG141" s="10" t="str">
        <f t="shared" si="55"/>
        <v/>
      </c>
      <c r="AH141" s="10" t="str">
        <f t="shared" si="56"/>
        <v/>
      </c>
      <c r="AI141" s="10" t="str">
        <f t="shared" si="57"/>
        <v/>
      </c>
      <c r="AK141" s="10"/>
      <c r="AL141" s="10"/>
      <c r="AM141" s="10"/>
      <c r="AN141" s="10"/>
      <c r="AO141" s="10"/>
      <c r="AQ141" s="10"/>
      <c r="AR141" s="10"/>
      <c r="AS141" s="10"/>
      <c r="AT141" s="10"/>
      <c r="AU141" s="10"/>
      <c r="AW141" s="10" t="str">
        <f t="shared" si="64"/>
        <v/>
      </c>
      <c r="AX141" s="10" t="str">
        <f t="shared" si="58"/>
        <v/>
      </c>
      <c r="AY141" s="10" t="str">
        <f t="shared" si="59"/>
        <v/>
      </c>
      <c r="AZ141" s="10" t="str">
        <f t="shared" si="60"/>
        <v/>
      </c>
      <c r="BA141" s="10" t="str">
        <f t="shared" si="61"/>
        <v/>
      </c>
    </row>
    <row r="142" spans="6:53" x14ac:dyDescent="0.2">
      <c r="F142" s="10" t="str">
        <f t="shared" si="46"/>
        <v>2017/5/29</v>
      </c>
      <c r="G142" s="14">
        <v>42884</v>
      </c>
      <c r="H142" s="10">
        <v>0.23309470000000002</v>
      </c>
      <c r="I142" s="10">
        <v>-0.16149249999999998</v>
      </c>
      <c r="J142" s="10">
        <v>7.1602200000000005E-2</v>
      </c>
      <c r="K142" s="10">
        <f t="shared" si="47"/>
        <v>544.70048109999982</v>
      </c>
      <c r="L142" s="10">
        <f t="shared" si="48"/>
        <v>-347.80712719999991</v>
      </c>
      <c r="M142" s="10">
        <f t="shared" si="49"/>
        <v>196.89335390000005</v>
      </c>
      <c r="N142" s="10">
        <v>8.4088723805815455</v>
      </c>
      <c r="O142" s="10">
        <v>7.929854363974</v>
      </c>
      <c r="P142" s="10">
        <v>3177.7773999000001</v>
      </c>
      <c r="Y142" s="10" t="e">
        <f t="shared" si="62"/>
        <v>#N/A</v>
      </c>
      <c r="Z142" s="10" t="e">
        <f t="shared" si="50"/>
        <v>#N/A</v>
      </c>
      <c r="AA142" s="10" t="e">
        <f t="shared" si="51"/>
        <v>#N/A</v>
      </c>
      <c r="AB142" s="10" t="e">
        <f t="shared" si="52"/>
        <v>#N/A</v>
      </c>
      <c r="AC142" s="10" t="e">
        <f t="shared" si="53"/>
        <v>#N/A</v>
      </c>
      <c r="AE142" s="10" t="str">
        <f t="shared" si="63"/>
        <v/>
      </c>
      <c r="AF142" s="10" t="str">
        <f t="shared" si="54"/>
        <v/>
      </c>
      <c r="AG142" s="10" t="str">
        <f t="shared" si="55"/>
        <v/>
      </c>
      <c r="AH142" s="10" t="str">
        <f t="shared" si="56"/>
        <v/>
      </c>
      <c r="AI142" s="10" t="str">
        <f t="shared" si="57"/>
        <v/>
      </c>
      <c r="AK142" s="10"/>
      <c r="AL142" s="10"/>
      <c r="AM142" s="10"/>
      <c r="AN142" s="10"/>
      <c r="AO142" s="10"/>
      <c r="AQ142" s="10"/>
      <c r="AR142" s="10"/>
      <c r="AS142" s="10"/>
      <c r="AT142" s="10"/>
      <c r="AU142" s="10"/>
      <c r="AW142" s="10" t="str">
        <f t="shared" si="64"/>
        <v/>
      </c>
      <c r="AX142" s="10" t="str">
        <f t="shared" si="58"/>
        <v/>
      </c>
      <c r="AY142" s="10" t="str">
        <f t="shared" si="59"/>
        <v/>
      </c>
      <c r="AZ142" s="10" t="str">
        <f t="shared" si="60"/>
        <v/>
      </c>
      <c r="BA142" s="10" t="str">
        <f t="shared" si="61"/>
        <v/>
      </c>
    </row>
    <row r="143" spans="6:53" x14ac:dyDescent="0.2">
      <c r="F143" s="10" t="str">
        <f t="shared" si="46"/>
        <v>2017/5/30</v>
      </c>
      <c r="G143" s="14">
        <v>42885</v>
      </c>
      <c r="H143" s="10">
        <v>6.4855703999999994</v>
      </c>
      <c r="I143" s="10">
        <v>-1.1249643000000003</v>
      </c>
      <c r="J143" s="10">
        <v>5.3606061000000009</v>
      </c>
      <c r="K143" s="10">
        <f t="shared" si="47"/>
        <v>551.18605149999985</v>
      </c>
      <c r="L143" s="10">
        <f t="shared" si="48"/>
        <v>-348.9320914999999</v>
      </c>
      <c r="M143" s="10">
        <f t="shared" si="49"/>
        <v>202.25396000000006</v>
      </c>
      <c r="N143" s="10">
        <v>8.3577627023824341</v>
      </c>
      <c r="O143" s="10">
        <v>7.8294839368616529</v>
      </c>
      <c r="P143" s="10">
        <v>3179.7085640999999</v>
      </c>
      <c r="Y143" s="10" t="e">
        <f t="shared" si="62"/>
        <v>#N/A</v>
      </c>
      <c r="Z143" s="10" t="e">
        <f t="shared" si="50"/>
        <v>#N/A</v>
      </c>
      <c r="AA143" s="10" t="e">
        <f t="shared" si="51"/>
        <v>#N/A</v>
      </c>
      <c r="AB143" s="10" t="e">
        <f t="shared" si="52"/>
        <v>#N/A</v>
      </c>
      <c r="AC143" s="10" t="e">
        <f t="shared" si="53"/>
        <v>#N/A</v>
      </c>
      <c r="AE143" s="10" t="str">
        <f t="shared" si="63"/>
        <v/>
      </c>
      <c r="AF143" s="10" t="str">
        <f t="shared" si="54"/>
        <v/>
      </c>
      <c r="AG143" s="10" t="str">
        <f t="shared" si="55"/>
        <v/>
      </c>
      <c r="AH143" s="10" t="str">
        <f t="shared" si="56"/>
        <v/>
      </c>
      <c r="AI143" s="10" t="str">
        <f t="shared" si="57"/>
        <v/>
      </c>
      <c r="AK143" s="10"/>
      <c r="AL143" s="10"/>
      <c r="AM143" s="10"/>
      <c r="AN143" s="10"/>
      <c r="AO143" s="10"/>
      <c r="AQ143" s="10"/>
      <c r="AR143" s="10"/>
      <c r="AS143" s="10"/>
      <c r="AT143" s="10"/>
      <c r="AU143" s="10"/>
      <c r="AW143" s="10" t="str">
        <f t="shared" si="64"/>
        <v/>
      </c>
      <c r="AX143" s="10" t="str">
        <f t="shared" si="58"/>
        <v/>
      </c>
      <c r="AY143" s="10" t="str">
        <f t="shared" si="59"/>
        <v/>
      </c>
      <c r="AZ143" s="10" t="str">
        <f t="shared" si="60"/>
        <v/>
      </c>
      <c r="BA143" s="10" t="str">
        <f t="shared" si="61"/>
        <v/>
      </c>
    </row>
    <row r="144" spans="6:53" x14ac:dyDescent="0.2">
      <c r="F144" s="10" t="str">
        <f t="shared" si="46"/>
        <v>2017/5/31</v>
      </c>
      <c r="G144" s="14">
        <v>42886</v>
      </c>
      <c r="H144" s="10">
        <v>4.1117279</v>
      </c>
      <c r="I144" s="10">
        <v>-4.7312301999999997</v>
      </c>
      <c r="J144" s="10">
        <v>-0.61950229999999962</v>
      </c>
      <c r="K144" s="10">
        <f t="shared" si="47"/>
        <v>555.29777939999985</v>
      </c>
      <c r="L144" s="10">
        <f t="shared" si="48"/>
        <v>-353.66332169999993</v>
      </c>
      <c r="M144" s="10">
        <f t="shared" si="49"/>
        <v>201.63445770000007</v>
      </c>
      <c r="N144" s="10">
        <v>8.3526434838493451</v>
      </c>
      <c r="O144" s="10">
        <v>7.8565902506963781</v>
      </c>
      <c r="P144" s="10">
        <v>3180.8087778999989</v>
      </c>
      <c r="Y144" s="10" t="e">
        <f t="shared" si="62"/>
        <v>#N/A</v>
      </c>
      <c r="Z144" s="10" t="e">
        <f t="shared" si="50"/>
        <v>#N/A</v>
      </c>
      <c r="AA144" s="10" t="e">
        <f t="shared" si="51"/>
        <v>#N/A</v>
      </c>
      <c r="AB144" s="10" t="e">
        <f t="shared" si="52"/>
        <v>#N/A</v>
      </c>
      <c r="AC144" s="10" t="e">
        <f t="shared" si="53"/>
        <v>#N/A</v>
      </c>
      <c r="AE144" s="10" t="str">
        <f t="shared" si="63"/>
        <v/>
      </c>
      <c r="AF144" s="10" t="str">
        <f t="shared" si="54"/>
        <v/>
      </c>
      <c r="AG144" s="10" t="str">
        <f t="shared" si="55"/>
        <v/>
      </c>
      <c r="AH144" s="10" t="str">
        <f t="shared" si="56"/>
        <v/>
      </c>
      <c r="AI144" s="10" t="str">
        <f t="shared" si="57"/>
        <v/>
      </c>
      <c r="AK144" s="10"/>
      <c r="AL144" s="10"/>
      <c r="AM144" s="10"/>
      <c r="AN144" s="10"/>
      <c r="AO144" s="10"/>
      <c r="AQ144" s="10"/>
      <c r="AR144" s="10"/>
      <c r="AS144" s="10"/>
      <c r="AT144" s="10"/>
      <c r="AU144" s="10"/>
      <c r="AW144" s="10" t="str">
        <f t="shared" si="64"/>
        <v/>
      </c>
      <c r="AX144" s="10" t="str">
        <f t="shared" si="58"/>
        <v/>
      </c>
      <c r="AY144" s="10" t="str">
        <f t="shared" si="59"/>
        <v/>
      </c>
      <c r="AZ144" s="10" t="str">
        <f t="shared" si="60"/>
        <v/>
      </c>
      <c r="BA144" s="10" t="str">
        <f t="shared" si="61"/>
        <v/>
      </c>
    </row>
    <row r="145" spans="6:53" x14ac:dyDescent="0.2">
      <c r="F145" s="10" t="str">
        <f t="shared" si="46"/>
        <v>2017/6/1</v>
      </c>
      <c r="G145" s="14">
        <v>42887</v>
      </c>
      <c r="H145" s="10">
        <v>4.2443423999999998</v>
      </c>
      <c r="I145" s="10">
        <v>-2.6310543999999996</v>
      </c>
      <c r="J145" s="10">
        <v>1.6132880000000003</v>
      </c>
      <c r="K145" s="10">
        <f t="shared" si="47"/>
        <v>559.5421217999999</v>
      </c>
      <c r="L145" s="10">
        <f t="shared" si="48"/>
        <v>-356.29437609999991</v>
      </c>
      <c r="M145" s="10">
        <f t="shared" si="49"/>
        <v>203.24774570000008</v>
      </c>
      <c r="N145" s="10">
        <v>9.0494930107259179</v>
      </c>
      <c r="O145" s="10">
        <v>8.4206590529247869</v>
      </c>
      <c r="P145" s="10">
        <v>3180.0936262</v>
      </c>
      <c r="Y145" s="10" t="e">
        <f t="shared" si="62"/>
        <v>#N/A</v>
      </c>
      <c r="Z145" s="10" t="e">
        <f t="shared" si="50"/>
        <v>#N/A</v>
      </c>
      <c r="AA145" s="10" t="e">
        <f t="shared" si="51"/>
        <v>#N/A</v>
      </c>
      <c r="AB145" s="10" t="e">
        <f t="shared" si="52"/>
        <v>#N/A</v>
      </c>
      <c r="AC145" s="10" t="e">
        <f t="shared" si="53"/>
        <v>#N/A</v>
      </c>
      <c r="AE145" s="10" t="str">
        <f t="shared" si="63"/>
        <v/>
      </c>
      <c r="AF145" s="10" t="str">
        <f t="shared" si="54"/>
        <v/>
      </c>
      <c r="AG145" s="10" t="str">
        <f t="shared" si="55"/>
        <v/>
      </c>
      <c r="AH145" s="10" t="str">
        <f t="shared" si="56"/>
        <v/>
      </c>
      <c r="AI145" s="10" t="str">
        <f t="shared" si="57"/>
        <v/>
      </c>
      <c r="AK145" s="10"/>
      <c r="AL145" s="10"/>
      <c r="AM145" s="10"/>
      <c r="AN145" s="10"/>
      <c r="AO145" s="10"/>
      <c r="AQ145" s="10"/>
      <c r="AR145" s="10"/>
      <c r="AS145" s="10"/>
      <c r="AT145" s="10"/>
      <c r="AU145" s="10"/>
      <c r="AW145" s="10" t="str">
        <f t="shared" si="64"/>
        <v/>
      </c>
      <c r="AX145" s="10" t="str">
        <f t="shared" si="58"/>
        <v/>
      </c>
      <c r="AY145" s="10" t="str">
        <f t="shared" si="59"/>
        <v/>
      </c>
      <c r="AZ145" s="10" t="str">
        <f t="shared" si="60"/>
        <v/>
      </c>
      <c r="BA145" s="10" t="str">
        <f t="shared" si="61"/>
        <v/>
      </c>
    </row>
    <row r="146" spans="6:53" x14ac:dyDescent="0.2">
      <c r="F146" s="10" t="str">
        <f t="shared" si="46"/>
        <v>2017/6/2</v>
      </c>
      <c r="G146" s="14">
        <v>42888</v>
      </c>
      <c r="H146" s="10">
        <v>6.6316628999999985</v>
      </c>
      <c r="I146" s="10">
        <v>-6.3617979000000009</v>
      </c>
      <c r="J146" s="10">
        <v>0.26986499999999969</v>
      </c>
      <c r="K146" s="10">
        <f t="shared" si="47"/>
        <v>566.17378469999994</v>
      </c>
      <c r="L146" s="10">
        <f t="shared" si="48"/>
        <v>-362.65617399999991</v>
      </c>
      <c r="M146" s="10">
        <f t="shared" si="49"/>
        <v>203.51761070000009</v>
      </c>
      <c r="N146" s="10">
        <v>9.7401959851732318</v>
      </c>
      <c r="O146" s="10">
        <v>9.0327225626740972</v>
      </c>
      <c r="P146" s="10">
        <v>3201.1582938000006</v>
      </c>
      <c r="Y146" s="10" t="e">
        <f t="shared" si="62"/>
        <v>#N/A</v>
      </c>
      <c r="Z146" s="10" t="e">
        <f t="shared" si="50"/>
        <v>#N/A</v>
      </c>
      <c r="AA146" s="10" t="e">
        <f t="shared" si="51"/>
        <v>#N/A</v>
      </c>
      <c r="AB146" s="10" t="e">
        <f t="shared" si="52"/>
        <v>#N/A</v>
      </c>
      <c r="AC146" s="10" t="e">
        <f t="shared" si="53"/>
        <v>#N/A</v>
      </c>
      <c r="AE146" s="10" t="str">
        <f t="shared" si="63"/>
        <v/>
      </c>
      <c r="AF146" s="10" t="str">
        <f t="shared" si="54"/>
        <v/>
      </c>
      <c r="AG146" s="10" t="str">
        <f t="shared" si="55"/>
        <v/>
      </c>
      <c r="AH146" s="10" t="str">
        <f t="shared" si="56"/>
        <v/>
      </c>
      <c r="AI146" s="10" t="str">
        <f t="shared" si="57"/>
        <v/>
      </c>
      <c r="AK146" s="10"/>
      <c r="AL146" s="10"/>
      <c r="AM146" s="10"/>
      <c r="AN146" s="10"/>
      <c r="AO146" s="10"/>
      <c r="AQ146" s="10"/>
      <c r="AR146" s="10"/>
      <c r="AS146" s="10"/>
      <c r="AT146" s="10"/>
      <c r="AU146" s="10"/>
      <c r="AW146" s="10" t="str">
        <f t="shared" si="64"/>
        <v/>
      </c>
      <c r="AX146" s="10" t="str">
        <f t="shared" si="58"/>
        <v/>
      </c>
      <c r="AY146" s="10" t="str">
        <f t="shared" si="59"/>
        <v/>
      </c>
      <c r="AZ146" s="10" t="str">
        <f t="shared" si="60"/>
        <v/>
      </c>
      <c r="BA146" s="10" t="str">
        <f t="shared" si="61"/>
        <v/>
      </c>
    </row>
    <row r="147" spans="6:53" x14ac:dyDescent="0.2">
      <c r="F147" s="10" t="str">
        <f t="shared" si="46"/>
        <v>2017/6/5</v>
      </c>
      <c r="G147" s="14">
        <v>42891</v>
      </c>
      <c r="H147" s="10">
        <v>4.3320717999999996</v>
      </c>
      <c r="I147" s="10">
        <v>-2.8770003000000002</v>
      </c>
      <c r="J147" s="10">
        <v>1.4550715000000001</v>
      </c>
      <c r="K147" s="10">
        <f t="shared" si="47"/>
        <v>570.50585649999994</v>
      </c>
      <c r="L147" s="10">
        <f t="shared" si="48"/>
        <v>-365.53317429999993</v>
      </c>
      <c r="M147" s="10">
        <f t="shared" si="49"/>
        <v>204.97268220000009</v>
      </c>
      <c r="N147" s="10">
        <v>9.5494056357053605</v>
      </c>
      <c r="O147" s="10">
        <v>8.8698889972144812</v>
      </c>
      <c r="P147" s="10">
        <v>3219.9523902000005</v>
      </c>
      <c r="Y147" s="10" t="e">
        <f t="shared" si="62"/>
        <v>#N/A</v>
      </c>
      <c r="Z147" s="10" t="e">
        <f t="shared" si="50"/>
        <v>#N/A</v>
      </c>
      <c r="AA147" s="10" t="e">
        <f t="shared" si="51"/>
        <v>#N/A</v>
      </c>
      <c r="AB147" s="10" t="e">
        <f t="shared" si="52"/>
        <v>#N/A</v>
      </c>
      <c r="AC147" s="10" t="e">
        <f t="shared" si="53"/>
        <v>#N/A</v>
      </c>
      <c r="AE147" s="10" t="str">
        <f t="shared" si="63"/>
        <v/>
      </c>
      <c r="AF147" s="10" t="str">
        <f t="shared" si="54"/>
        <v/>
      </c>
      <c r="AG147" s="10" t="str">
        <f t="shared" si="55"/>
        <v/>
      </c>
      <c r="AH147" s="10" t="str">
        <f t="shared" si="56"/>
        <v/>
      </c>
      <c r="AI147" s="10" t="str">
        <f t="shared" si="57"/>
        <v/>
      </c>
      <c r="AK147" s="10"/>
      <c r="AL147" s="10"/>
      <c r="AM147" s="10"/>
      <c r="AN147" s="10"/>
      <c r="AO147" s="10"/>
      <c r="AQ147" s="10"/>
      <c r="AR147" s="10"/>
      <c r="AS147" s="10"/>
      <c r="AT147" s="10"/>
      <c r="AU147" s="10"/>
      <c r="AW147" s="10" t="str">
        <f t="shared" si="64"/>
        <v/>
      </c>
      <c r="AX147" s="10" t="str">
        <f t="shared" si="58"/>
        <v/>
      </c>
      <c r="AY147" s="10" t="str">
        <f t="shared" si="59"/>
        <v/>
      </c>
      <c r="AZ147" s="10" t="str">
        <f t="shared" si="60"/>
        <v/>
      </c>
      <c r="BA147" s="10" t="str">
        <f t="shared" si="61"/>
        <v/>
      </c>
    </row>
    <row r="148" spans="6:53" x14ac:dyDescent="0.2">
      <c r="F148" s="10" t="str">
        <f t="shared" si="46"/>
        <v>2017/6/6</v>
      </c>
      <c r="G148" s="14">
        <v>42892</v>
      </c>
      <c r="H148" s="10">
        <v>5.3037070000000002</v>
      </c>
      <c r="I148" s="10">
        <v>-3.1354421000000006</v>
      </c>
      <c r="J148" s="10">
        <v>2.1682649000000001</v>
      </c>
      <c r="K148" s="10">
        <f t="shared" si="47"/>
        <v>575.80956349999997</v>
      </c>
      <c r="L148" s="10">
        <f t="shared" si="48"/>
        <v>-368.66861639999991</v>
      </c>
      <c r="M148" s="10">
        <f t="shared" si="49"/>
        <v>207.14094710000009</v>
      </c>
      <c r="N148" s="10">
        <v>9.4152183693445632</v>
      </c>
      <c r="O148" s="10">
        <v>8.8480150417827303</v>
      </c>
      <c r="P148" s="10">
        <v>3218.0356024700004</v>
      </c>
      <c r="Y148" s="10" t="e">
        <f t="shared" si="62"/>
        <v>#N/A</v>
      </c>
      <c r="Z148" s="10" t="e">
        <f t="shared" si="50"/>
        <v>#N/A</v>
      </c>
      <c r="AA148" s="10" t="e">
        <f t="shared" si="51"/>
        <v>#N/A</v>
      </c>
      <c r="AB148" s="10" t="e">
        <f t="shared" si="52"/>
        <v>#N/A</v>
      </c>
      <c r="AC148" s="10" t="e">
        <f t="shared" si="53"/>
        <v>#N/A</v>
      </c>
      <c r="AE148" s="10" t="str">
        <f t="shared" si="63"/>
        <v/>
      </c>
      <c r="AF148" s="10" t="str">
        <f t="shared" si="54"/>
        <v/>
      </c>
      <c r="AG148" s="10" t="str">
        <f t="shared" si="55"/>
        <v/>
      </c>
      <c r="AH148" s="10" t="str">
        <f t="shared" si="56"/>
        <v/>
      </c>
      <c r="AI148" s="10" t="str">
        <f t="shared" si="57"/>
        <v/>
      </c>
      <c r="AK148" s="10"/>
      <c r="AL148" s="10"/>
      <c r="AM148" s="10"/>
      <c r="AN148" s="10"/>
      <c r="AO148" s="10"/>
      <c r="AQ148" s="10"/>
      <c r="AR148" s="10"/>
      <c r="AS148" s="10"/>
      <c r="AT148" s="10"/>
      <c r="AU148" s="10"/>
      <c r="AW148" s="10" t="str">
        <f t="shared" si="64"/>
        <v/>
      </c>
      <c r="AX148" s="10" t="str">
        <f t="shared" si="58"/>
        <v/>
      </c>
      <c r="AY148" s="10" t="str">
        <f t="shared" si="59"/>
        <v/>
      </c>
      <c r="AZ148" s="10" t="str">
        <f t="shared" si="60"/>
        <v/>
      </c>
      <c r="BA148" s="10" t="str">
        <f t="shared" si="61"/>
        <v/>
      </c>
    </row>
    <row r="149" spans="6:53" x14ac:dyDescent="0.2">
      <c r="F149" s="10" t="str">
        <f t="shared" si="46"/>
        <v>2017/6/7</v>
      </c>
      <c r="G149" s="14">
        <v>42893</v>
      </c>
      <c r="H149" s="10">
        <v>7.1550098999999978</v>
      </c>
      <c r="I149" s="10">
        <v>-2.8290297999999994</v>
      </c>
      <c r="J149" s="10">
        <v>4.3259801000000007</v>
      </c>
      <c r="K149" s="10">
        <f t="shared" si="47"/>
        <v>582.96457339999995</v>
      </c>
      <c r="L149" s="10">
        <f t="shared" si="48"/>
        <v>-371.49764619999991</v>
      </c>
      <c r="M149" s="10">
        <f t="shared" si="49"/>
        <v>211.4669272000001</v>
      </c>
      <c r="N149" s="10">
        <v>9.4415578084184197</v>
      </c>
      <c r="O149" s="10">
        <v>8.7955495821727006</v>
      </c>
      <c r="P149" s="10">
        <v>3215.0327500500002</v>
      </c>
      <c r="Y149" s="10" t="e">
        <f t="shared" si="62"/>
        <v>#N/A</v>
      </c>
      <c r="Z149" s="10" t="e">
        <f t="shared" si="50"/>
        <v>#N/A</v>
      </c>
      <c r="AA149" s="10" t="e">
        <f t="shared" si="51"/>
        <v>#N/A</v>
      </c>
      <c r="AB149" s="10" t="e">
        <f t="shared" si="52"/>
        <v>#N/A</v>
      </c>
      <c r="AC149" s="10" t="e">
        <f t="shared" si="53"/>
        <v>#N/A</v>
      </c>
      <c r="AE149" s="10" t="str">
        <f t="shared" si="63"/>
        <v/>
      </c>
      <c r="AF149" s="10" t="str">
        <f t="shared" si="54"/>
        <v/>
      </c>
      <c r="AG149" s="10" t="str">
        <f t="shared" si="55"/>
        <v/>
      </c>
      <c r="AH149" s="10" t="str">
        <f t="shared" si="56"/>
        <v/>
      </c>
      <c r="AI149" s="10" t="str">
        <f t="shared" si="57"/>
        <v/>
      </c>
      <c r="AK149" s="10"/>
      <c r="AL149" s="10"/>
      <c r="AM149" s="10"/>
      <c r="AN149" s="10"/>
      <c r="AO149" s="10"/>
      <c r="AQ149" s="10"/>
      <c r="AR149" s="10"/>
      <c r="AS149" s="10"/>
      <c r="AT149" s="10"/>
      <c r="AU149" s="10"/>
      <c r="AW149" s="10" t="str">
        <f t="shared" si="64"/>
        <v/>
      </c>
      <c r="AX149" s="10" t="str">
        <f t="shared" si="58"/>
        <v/>
      </c>
      <c r="AY149" s="10" t="str">
        <f t="shared" si="59"/>
        <v/>
      </c>
      <c r="AZ149" s="10" t="str">
        <f t="shared" si="60"/>
        <v/>
      </c>
      <c r="BA149" s="10" t="str">
        <f t="shared" si="61"/>
        <v/>
      </c>
    </row>
    <row r="150" spans="6:53" x14ac:dyDescent="0.2">
      <c r="F150" s="10" t="str">
        <f t="shared" si="46"/>
        <v>2017/6/8</v>
      </c>
      <c r="G150" s="14">
        <v>42894</v>
      </c>
      <c r="H150" s="10">
        <v>9.2787621000000016</v>
      </c>
      <c r="I150" s="10">
        <v>-2.0720449000000003</v>
      </c>
      <c r="J150" s="10">
        <v>7.2067171999999999</v>
      </c>
      <c r="K150" s="10">
        <f t="shared" si="47"/>
        <v>592.24333549999994</v>
      </c>
      <c r="L150" s="10">
        <f t="shared" si="48"/>
        <v>-373.56969109999989</v>
      </c>
      <c r="M150" s="10">
        <f t="shared" si="49"/>
        <v>218.67364440000011</v>
      </c>
      <c r="N150" s="10">
        <v>9.449897454292925</v>
      </c>
      <c r="O150" s="10">
        <v>8.8020891364902472</v>
      </c>
      <c r="P150" s="10">
        <v>3219.7599383000002</v>
      </c>
      <c r="Y150" s="10" t="e">
        <f t="shared" si="62"/>
        <v>#N/A</v>
      </c>
      <c r="Z150" s="10" t="e">
        <f t="shared" si="50"/>
        <v>#N/A</v>
      </c>
      <c r="AA150" s="10" t="e">
        <f t="shared" si="51"/>
        <v>#N/A</v>
      </c>
      <c r="AB150" s="10" t="e">
        <f t="shared" si="52"/>
        <v>#N/A</v>
      </c>
      <c r="AC150" s="10" t="e">
        <f t="shared" si="53"/>
        <v>#N/A</v>
      </c>
      <c r="AE150" s="10" t="str">
        <f t="shared" si="63"/>
        <v/>
      </c>
      <c r="AF150" s="10" t="str">
        <f t="shared" si="54"/>
        <v/>
      </c>
      <c r="AG150" s="10" t="str">
        <f t="shared" si="55"/>
        <v/>
      </c>
      <c r="AH150" s="10" t="str">
        <f t="shared" si="56"/>
        <v/>
      </c>
      <c r="AI150" s="10" t="str">
        <f t="shared" si="57"/>
        <v/>
      </c>
      <c r="AK150" s="10"/>
      <c r="AL150" s="10"/>
      <c r="AM150" s="10"/>
      <c r="AN150" s="10"/>
      <c r="AO150" s="10"/>
      <c r="AQ150" s="10"/>
      <c r="AR150" s="10"/>
      <c r="AS150" s="10"/>
      <c r="AT150" s="10"/>
      <c r="AU150" s="10"/>
      <c r="AW150" s="10" t="str">
        <f t="shared" si="64"/>
        <v/>
      </c>
      <c r="AX150" s="10" t="str">
        <f t="shared" si="58"/>
        <v/>
      </c>
      <c r="AY150" s="10" t="str">
        <f t="shared" si="59"/>
        <v/>
      </c>
      <c r="AZ150" s="10" t="str">
        <f t="shared" si="60"/>
        <v/>
      </c>
      <c r="BA150" s="10" t="str">
        <f t="shared" si="61"/>
        <v/>
      </c>
    </row>
    <row r="151" spans="6:53" x14ac:dyDescent="0.2">
      <c r="F151" s="10" t="str">
        <f t="shared" si="46"/>
        <v>2017/6/9</v>
      </c>
      <c r="G151" s="14">
        <v>42895</v>
      </c>
      <c r="H151" s="10">
        <v>7.0909034000000002</v>
      </c>
      <c r="I151" s="10">
        <v>-3.2785903000000003</v>
      </c>
      <c r="J151" s="10">
        <v>3.8123130999999995</v>
      </c>
      <c r="K151" s="10">
        <f t="shared" si="47"/>
        <v>599.33423889999995</v>
      </c>
      <c r="L151" s="10">
        <f t="shared" si="48"/>
        <v>-376.84828139999991</v>
      </c>
      <c r="M151" s="10">
        <f t="shared" si="49"/>
        <v>222.48595750000013</v>
      </c>
      <c r="N151" s="10">
        <v>9.2878583331877724</v>
      </c>
      <c r="O151" s="10">
        <v>8.7694445682451327</v>
      </c>
      <c r="P151" s="10">
        <v>3227.4779959000002</v>
      </c>
      <c r="Y151" s="10" t="e">
        <f t="shared" si="62"/>
        <v>#N/A</v>
      </c>
      <c r="Z151" s="10" t="e">
        <f t="shared" si="50"/>
        <v>#N/A</v>
      </c>
      <c r="AA151" s="10" t="e">
        <f t="shared" si="51"/>
        <v>#N/A</v>
      </c>
      <c r="AB151" s="10" t="e">
        <f t="shared" si="52"/>
        <v>#N/A</v>
      </c>
      <c r="AC151" s="10" t="e">
        <f t="shared" si="53"/>
        <v>#N/A</v>
      </c>
      <c r="AE151" s="10" t="str">
        <f t="shared" si="63"/>
        <v/>
      </c>
      <c r="AF151" s="10" t="str">
        <f t="shared" si="54"/>
        <v/>
      </c>
      <c r="AG151" s="10" t="str">
        <f t="shared" si="55"/>
        <v/>
      </c>
      <c r="AH151" s="10" t="str">
        <f t="shared" si="56"/>
        <v/>
      </c>
      <c r="AI151" s="10" t="str">
        <f t="shared" si="57"/>
        <v/>
      </c>
      <c r="AK151" s="10"/>
      <c r="AL151" s="10"/>
      <c r="AM151" s="10"/>
      <c r="AN151" s="10"/>
      <c r="AO151" s="10"/>
      <c r="AQ151" s="10"/>
      <c r="AR151" s="10"/>
      <c r="AS151" s="10"/>
      <c r="AT151" s="10"/>
      <c r="AU151" s="10"/>
      <c r="AW151" s="10" t="str">
        <f t="shared" si="64"/>
        <v/>
      </c>
      <c r="AX151" s="10" t="str">
        <f t="shared" si="58"/>
        <v/>
      </c>
      <c r="AY151" s="10" t="str">
        <f t="shared" si="59"/>
        <v/>
      </c>
      <c r="AZ151" s="10" t="str">
        <f t="shared" si="60"/>
        <v/>
      </c>
      <c r="BA151" s="10" t="str">
        <f t="shared" si="61"/>
        <v/>
      </c>
    </row>
    <row r="152" spans="6:53" x14ac:dyDescent="0.2">
      <c r="F152" s="10" t="str">
        <f t="shared" si="46"/>
        <v>2017/6/12</v>
      </c>
      <c r="G152" s="14">
        <v>42898</v>
      </c>
      <c r="H152" s="10">
        <v>6.8431894999999985</v>
      </c>
      <c r="I152" s="10">
        <v>-1.9243044000000002</v>
      </c>
      <c r="J152" s="10">
        <v>4.9188850999999998</v>
      </c>
      <c r="K152" s="10">
        <f t="shared" si="47"/>
        <v>606.17742839999994</v>
      </c>
      <c r="L152" s="10">
        <f t="shared" si="48"/>
        <v>-378.77258579999989</v>
      </c>
      <c r="M152" s="10">
        <f t="shared" si="49"/>
        <v>227.40484260000014</v>
      </c>
      <c r="N152" s="10">
        <v>9.137566004225544</v>
      </c>
      <c r="O152" s="10">
        <v>8.528162674094709</v>
      </c>
      <c r="P152" s="10">
        <v>3228.2554780999972</v>
      </c>
      <c r="Y152" s="10" t="e">
        <f t="shared" si="62"/>
        <v>#N/A</v>
      </c>
      <c r="Z152" s="10" t="e">
        <f t="shared" si="50"/>
        <v>#N/A</v>
      </c>
      <c r="AA152" s="10" t="e">
        <f t="shared" si="51"/>
        <v>#N/A</v>
      </c>
      <c r="AB152" s="10" t="e">
        <f t="shared" si="52"/>
        <v>#N/A</v>
      </c>
      <c r="AC152" s="10" t="e">
        <f t="shared" si="53"/>
        <v>#N/A</v>
      </c>
      <c r="AE152" s="10" t="str">
        <f t="shared" si="63"/>
        <v/>
      </c>
      <c r="AF152" s="10" t="str">
        <f t="shared" si="54"/>
        <v/>
      </c>
      <c r="AG152" s="10" t="str">
        <f t="shared" si="55"/>
        <v/>
      </c>
      <c r="AH152" s="10" t="str">
        <f t="shared" si="56"/>
        <v/>
      </c>
      <c r="AI152" s="10" t="str">
        <f t="shared" si="57"/>
        <v/>
      </c>
      <c r="AK152" s="10"/>
      <c r="AL152" s="10"/>
      <c r="AM152" s="10"/>
      <c r="AN152" s="10"/>
      <c r="AO152" s="10"/>
      <c r="AQ152" s="10"/>
      <c r="AR152" s="10"/>
      <c r="AS152" s="10"/>
      <c r="AT152" s="10"/>
      <c r="AU152" s="10"/>
      <c r="AW152" s="10" t="str">
        <f t="shared" si="64"/>
        <v/>
      </c>
      <c r="AX152" s="10" t="str">
        <f t="shared" si="58"/>
        <v/>
      </c>
      <c r="AY152" s="10" t="str">
        <f t="shared" si="59"/>
        <v/>
      </c>
      <c r="AZ152" s="10" t="str">
        <f t="shared" si="60"/>
        <v/>
      </c>
      <c r="BA152" s="10" t="str">
        <f t="shared" si="61"/>
        <v/>
      </c>
    </row>
    <row r="153" spans="6:53" x14ac:dyDescent="0.2">
      <c r="F153" s="10" t="str">
        <f t="shared" si="46"/>
        <v>2017/6/13</v>
      </c>
      <c r="G153" s="14">
        <v>42899</v>
      </c>
      <c r="H153" s="10">
        <v>12.605093999999996</v>
      </c>
      <c r="I153" s="10">
        <v>-1.0975301999999998</v>
      </c>
      <c r="J153" s="10">
        <v>11.5075638</v>
      </c>
      <c r="K153" s="10">
        <f t="shared" si="47"/>
        <v>618.78252239999995</v>
      </c>
      <c r="L153" s="10">
        <f t="shared" si="48"/>
        <v>-379.87011599999988</v>
      </c>
      <c r="M153" s="10">
        <f t="shared" si="49"/>
        <v>238.91240640000012</v>
      </c>
      <c r="N153" s="10">
        <v>9.6177586780227067</v>
      </c>
      <c r="O153" s="10">
        <v>9.023535933147631</v>
      </c>
      <c r="P153" s="10">
        <v>3228.6100023000022</v>
      </c>
      <c r="Y153" s="10" t="e">
        <f t="shared" si="62"/>
        <v>#N/A</v>
      </c>
      <c r="Z153" s="10" t="e">
        <f t="shared" si="50"/>
        <v>#N/A</v>
      </c>
      <c r="AA153" s="10" t="e">
        <f t="shared" si="51"/>
        <v>#N/A</v>
      </c>
      <c r="AB153" s="10" t="e">
        <f t="shared" si="52"/>
        <v>#N/A</v>
      </c>
      <c r="AC153" s="10" t="e">
        <f t="shared" si="53"/>
        <v>#N/A</v>
      </c>
      <c r="AE153" s="10" t="str">
        <f t="shared" si="63"/>
        <v/>
      </c>
      <c r="AF153" s="10" t="str">
        <f t="shared" si="54"/>
        <v/>
      </c>
      <c r="AG153" s="10" t="str">
        <f t="shared" si="55"/>
        <v/>
      </c>
      <c r="AH153" s="10" t="str">
        <f t="shared" si="56"/>
        <v/>
      </c>
      <c r="AI153" s="10" t="str">
        <f t="shared" si="57"/>
        <v/>
      </c>
      <c r="AK153" s="10"/>
      <c r="AL153" s="10"/>
      <c r="AM153" s="10"/>
      <c r="AN153" s="10"/>
      <c r="AO153" s="10"/>
      <c r="AQ153" s="10"/>
      <c r="AR153" s="10"/>
      <c r="AS153" s="10"/>
      <c r="AT153" s="10"/>
      <c r="AU153" s="10"/>
      <c r="AW153" s="10" t="str">
        <f t="shared" si="64"/>
        <v/>
      </c>
      <c r="AX153" s="10" t="str">
        <f t="shared" si="58"/>
        <v/>
      </c>
      <c r="AY153" s="10" t="str">
        <f t="shared" si="59"/>
        <v/>
      </c>
      <c r="AZ153" s="10" t="str">
        <f t="shared" si="60"/>
        <v/>
      </c>
      <c r="BA153" s="10" t="str">
        <f t="shared" si="61"/>
        <v/>
      </c>
    </row>
    <row r="154" spans="6:53" x14ac:dyDescent="0.2">
      <c r="F154" s="10" t="str">
        <f t="shared" si="46"/>
        <v>2017/6/14</v>
      </c>
      <c r="G154" s="14">
        <v>42900</v>
      </c>
      <c r="H154" s="10">
        <v>4.6149932999999992</v>
      </c>
      <c r="I154" s="10">
        <v>-3.1551437999999994</v>
      </c>
      <c r="J154" s="10">
        <v>1.4598495000000002</v>
      </c>
      <c r="K154" s="10">
        <f t="shared" si="47"/>
        <v>623.39751569999999</v>
      </c>
      <c r="L154" s="10">
        <f t="shared" si="48"/>
        <v>-383.0252597999999</v>
      </c>
      <c r="M154" s="10">
        <f t="shared" si="49"/>
        <v>240.37225590000011</v>
      </c>
      <c r="N154" s="10">
        <v>9.6198524186639887</v>
      </c>
      <c r="O154" s="10">
        <v>9.0303885793871856</v>
      </c>
      <c r="P154" s="10">
        <v>3254.7075576999982</v>
      </c>
      <c r="Y154" s="10" t="e">
        <f t="shared" si="62"/>
        <v>#N/A</v>
      </c>
      <c r="Z154" s="10" t="e">
        <f t="shared" si="50"/>
        <v>#N/A</v>
      </c>
      <c r="AA154" s="10" t="e">
        <f t="shared" si="51"/>
        <v>#N/A</v>
      </c>
      <c r="AB154" s="10" t="e">
        <f t="shared" si="52"/>
        <v>#N/A</v>
      </c>
      <c r="AC154" s="10" t="e">
        <f t="shared" si="53"/>
        <v>#N/A</v>
      </c>
      <c r="AE154" s="10" t="str">
        <f t="shared" si="63"/>
        <v/>
      </c>
      <c r="AF154" s="10" t="str">
        <f t="shared" si="54"/>
        <v/>
      </c>
      <c r="AG154" s="10" t="str">
        <f t="shared" si="55"/>
        <v/>
      </c>
      <c r="AH154" s="10" t="str">
        <f t="shared" si="56"/>
        <v/>
      </c>
      <c r="AI154" s="10" t="str">
        <f t="shared" si="57"/>
        <v/>
      </c>
      <c r="AK154" s="10"/>
      <c r="AL154" s="10"/>
      <c r="AM154" s="10"/>
      <c r="AN154" s="10"/>
      <c r="AO154" s="10"/>
      <c r="AQ154" s="10"/>
      <c r="AR154" s="10"/>
      <c r="AS154" s="10"/>
      <c r="AT154" s="10"/>
      <c r="AU154" s="10"/>
      <c r="AW154" s="10" t="str">
        <f t="shared" si="64"/>
        <v/>
      </c>
      <c r="AX154" s="10" t="str">
        <f t="shared" si="58"/>
        <v/>
      </c>
      <c r="AY154" s="10" t="str">
        <f t="shared" si="59"/>
        <v/>
      </c>
      <c r="AZ154" s="10" t="str">
        <f t="shared" si="60"/>
        <v/>
      </c>
      <c r="BA154" s="10" t="str">
        <f t="shared" si="61"/>
        <v/>
      </c>
    </row>
    <row r="155" spans="6:53" x14ac:dyDescent="0.2">
      <c r="F155" s="10" t="str">
        <f t="shared" si="46"/>
        <v>2017/6/15</v>
      </c>
      <c r="G155" s="14">
        <v>42901</v>
      </c>
      <c r="H155" s="10">
        <v>6.7761240000000011</v>
      </c>
      <c r="I155" s="10">
        <v>-7.7640312999999992</v>
      </c>
      <c r="J155" s="10">
        <v>-0.98790729999999949</v>
      </c>
      <c r="K155" s="10">
        <f t="shared" si="47"/>
        <v>630.17363969999997</v>
      </c>
      <c r="L155" s="10">
        <f t="shared" si="48"/>
        <v>-390.7892910999999</v>
      </c>
      <c r="M155" s="10">
        <f t="shared" si="49"/>
        <v>239.38434860000012</v>
      </c>
      <c r="N155" s="10">
        <v>8.9622781094883948</v>
      </c>
      <c r="O155" s="10">
        <v>8.2774136490250712</v>
      </c>
      <c r="P155" s="10">
        <v>3255.6230996999998</v>
      </c>
      <c r="Y155" s="10" t="e">
        <f t="shared" si="62"/>
        <v>#N/A</v>
      </c>
      <c r="Z155" s="10" t="e">
        <f t="shared" si="50"/>
        <v>#N/A</v>
      </c>
      <c r="AA155" s="10" t="e">
        <f t="shared" si="51"/>
        <v>#N/A</v>
      </c>
      <c r="AB155" s="10" t="e">
        <f t="shared" si="52"/>
        <v>#N/A</v>
      </c>
      <c r="AC155" s="10" t="e">
        <f t="shared" si="53"/>
        <v>#N/A</v>
      </c>
      <c r="AE155" s="10" t="str">
        <f t="shared" si="63"/>
        <v/>
      </c>
      <c r="AF155" s="10" t="str">
        <f t="shared" si="54"/>
        <v/>
      </c>
      <c r="AG155" s="10" t="str">
        <f t="shared" si="55"/>
        <v/>
      </c>
      <c r="AH155" s="10" t="str">
        <f t="shared" si="56"/>
        <v/>
      </c>
      <c r="AI155" s="10" t="str">
        <f t="shared" si="57"/>
        <v/>
      </c>
      <c r="AK155" s="10"/>
      <c r="AL155" s="10"/>
      <c r="AM155" s="10"/>
      <c r="AN155" s="10"/>
      <c r="AO155" s="10"/>
      <c r="AQ155" s="10"/>
      <c r="AR155" s="10"/>
      <c r="AS155" s="10"/>
      <c r="AT155" s="10"/>
      <c r="AU155" s="10"/>
      <c r="AW155" s="10" t="str">
        <f t="shared" si="64"/>
        <v/>
      </c>
      <c r="AX155" s="10" t="str">
        <f t="shared" si="58"/>
        <v/>
      </c>
      <c r="AY155" s="10" t="str">
        <f t="shared" si="59"/>
        <v/>
      </c>
      <c r="AZ155" s="10" t="str">
        <f t="shared" si="60"/>
        <v/>
      </c>
      <c r="BA155" s="10" t="str">
        <f t="shared" si="61"/>
        <v/>
      </c>
    </row>
    <row r="156" spans="6:53" x14ac:dyDescent="0.2">
      <c r="F156" s="10" t="str">
        <f t="shared" si="46"/>
        <v>2017/6/16</v>
      </c>
      <c r="G156" s="14">
        <v>42902</v>
      </c>
      <c r="H156" s="10">
        <v>6.886130999999998</v>
      </c>
      <c r="I156" s="10">
        <v>-5.6889604000000009</v>
      </c>
      <c r="J156" s="10">
        <v>1.1971705999999991</v>
      </c>
      <c r="K156" s="10">
        <f t="shared" si="47"/>
        <v>637.05977069999994</v>
      </c>
      <c r="L156" s="10">
        <f t="shared" si="48"/>
        <v>-396.47825149999989</v>
      </c>
      <c r="M156" s="10">
        <f t="shared" si="49"/>
        <v>240.58151920000012</v>
      </c>
      <c r="N156" s="10">
        <v>9.1661327704682751</v>
      </c>
      <c r="O156" s="10">
        <v>8.535385793871864</v>
      </c>
      <c r="P156" s="10">
        <v>3235.4175395999991</v>
      </c>
      <c r="Y156" s="10" t="e">
        <f t="shared" si="62"/>
        <v>#N/A</v>
      </c>
      <c r="Z156" s="10" t="e">
        <f t="shared" si="50"/>
        <v>#N/A</v>
      </c>
      <c r="AA156" s="10" t="e">
        <f t="shared" si="51"/>
        <v>#N/A</v>
      </c>
      <c r="AB156" s="10" t="e">
        <f t="shared" si="52"/>
        <v>#N/A</v>
      </c>
      <c r="AC156" s="10" t="e">
        <f t="shared" si="53"/>
        <v>#N/A</v>
      </c>
      <c r="AE156" s="10" t="str">
        <f t="shared" si="63"/>
        <v/>
      </c>
      <c r="AF156" s="10" t="str">
        <f t="shared" si="54"/>
        <v/>
      </c>
      <c r="AG156" s="10" t="str">
        <f t="shared" si="55"/>
        <v/>
      </c>
      <c r="AH156" s="10" t="str">
        <f t="shared" si="56"/>
        <v/>
      </c>
      <c r="AI156" s="10" t="str">
        <f t="shared" si="57"/>
        <v/>
      </c>
      <c r="AK156" s="10"/>
      <c r="AL156" s="10"/>
      <c r="AM156" s="10"/>
      <c r="AN156" s="10"/>
      <c r="AO156" s="10"/>
      <c r="AQ156" s="10"/>
      <c r="AR156" s="10"/>
      <c r="AS156" s="10"/>
      <c r="AT156" s="10"/>
      <c r="AU156" s="10"/>
      <c r="AW156" s="10" t="str">
        <f t="shared" si="64"/>
        <v/>
      </c>
      <c r="AX156" s="10" t="str">
        <f t="shared" si="58"/>
        <v/>
      </c>
      <c r="AY156" s="10" t="str">
        <f t="shared" si="59"/>
        <v/>
      </c>
      <c r="AZ156" s="10" t="str">
        <f t="shared" si="60"/>
        <v/>
      </c>
      <c r="BA156" s="10" t="str">
        <f t="shared" si="61"/>
        <v/>
      </c>
    </row>
    <row r="157" spans="6:53" x14ac:dyDescent="0.2">
      <c r="F157" s="10" t="str">
        <f t="shared" si="46"/>
        <v>2017/6/19</v>
      </c>
      <c r="G157" s="14">
        <v>42905</v>
      </c>
      <c r="H157" s="10">
        <v>3.8383275000000001</v>
      </c>
      <c r="I157" s="10">
        <v>-9.2408974999999955</v>
      </c>
      <c r="J157" s="10">
        <v>-5.4025699999999999</v>
      </c>
      <c r="K157" s="10">
        <f t="shared" si="47"/>
        <v>640.89809819999994</v>
      </c>
      <c r="L157" s="10">
        <f t="shared" si="48"/>
        <v>-405.7191489999999</v>
      </c>
      <c r="M157" s="10">
        <f t="shared" si="49"/>
        <v>235.17894920000012</v>
      </c>
      <c r="N157" s="10">
        <v>9.7388120366600859</v>
      </c>
      <c r="O157" s="10">
        <v>8.9985197771587746</v>
      </c>
      <c r="P157" s="10">
        <v>3240.2895793000012</v>
      </c>
      <c r="Y157" s="10" t="e">
        <f t="shared" si="62"/>
        <v>#N/A</v>
      </c>
      <c r="Z157" s="10" t="e">
        <f t="shared" si="50"/>
        <v>#N/A</v>
      </c>
      <c r="AA157" s="10" t="e">
        <f t="shared" si="51"/>
        <v>#N/A</v>
      </c>
      <c r="AB157" s="10" t="e">
        <f t="shared" si="52"/>
        <v>#N/A</v>
      </c>
      <c r="AC157" s="10" t="e">
        <f t="shared" si="53"/>
        <v>#N/A</v>
      </c>
      <c r="AE157" s="10" t="str">
        <f t="shared" si="63"/>
        <v/>
      </c>
      <c r="AF157" s="10" t="str">
        <f t="shared" si="54"/>
        <v/>
      </c>
      <c r="AG157" s="10" t="str">
        <f t="shared" si="55"/>
        <v/>
      </c>
      <c r="AH157" s="10" t="str">
        <f t="shared" si="56"/>
        <v/>
      </c>
      <c r="AI157" s="10" t="str">
        <f t="shared" si="57"/>
        <v/>
      </c>
      <c r="AK157" s="10"/>
      <c r="AL157" s="10"/>
      <c r="AM157" s="10"/>
      <c r="AN157" s="10"/>
      <c r="AO157" s="10"/>
      <c r="AQ157" s="10"/>
      <c r="AR157" s="10"/>
      <c r="AS157" s="10"/>
      <c r="AT157" s="10"/>
      <c r="AU157" s="10"/>
      <c r="AW157" s="10" t="str">
        <f t="shared" si="64"/>
        <v/>
      </c>
      <c r="AX157" s="10" t="str">
        <f t="shared" si="58"/>
        <v/>
      </c>
      <c r="AY157" s="10" t="str">
        <f t="shared" si="59"/>
        <v/>
      </c>
      <c r="AZ157" s="10" t="str">
        <f t="shared" si="60"/>
        <v/>
      </c>
      <c r="BA157" s="10" t="str">
        <f t="shared" si="61"/>
        <v/>
      </c>
    </row>
    <row r="158" spans="6:53" x14ac:dyDescent="0.2">
      <c r="F158" s="10" t="str">
        <f t="shared" si="46"/>
        <v>2017/6/20</v>
      </c>
      <c r="G158" s="14">
        <v>42906</v>
      </c>
      <c r="H158" s="10">
        <v>10.231736900000001</v>
      </c>
      <c r="I158" s="10">
        <v>-4.7501129000000013</v>
      </c>
      <c r="J158" s="10">
        <v>5.4816240000000009</v>
      </c>
      <c r="K158" s="10">
        <f t="shared" si="47"/>
        <v>651.12983509999992</v>
      </c>
      <c r="L158" s="10">
        <f t="shared" si="48"/>
        <v>-410.46926189999988</v>
      </c>
      <c r="M158" s="10">
        <f t="shared" si="49"/>
        <v>240.66057320000013</v>
      </c>
      <c r="N158" s="10">
        <v>9.1456563619493654</v>
      </c>
      <c r="O158" s="10">
        <v>8.395184679665741</v>
      </c>
      <c r="P158" s="10">
        <v>3250.3158697999988</v>
      </c>
      <c r="Y158" s="10" t="e">
        <f t="shared" si="62"/>
        <v>#N/A</v>
      </c>
      <c r="Z158" s="10" t="e">
        <f t="shared" si="50"/>
        <v>#N/A</v>
      </c>
      <c r="AA158" s="10" t="e">
        <f t="shared" si="51"/>
        <v>#N/A</v>
      </c>
      <c r="AB158" s="10" t="e">
        <f t="shared" si="52"/>
        <v>#N/A</v>
      </c>
      <c r="AC158" s="10" t="e">
        <f t="shared" si="53"/>
        <v>#N/A</v>
      </c>
      <c r="AE158" s="10" t="str">
        <f t="shared" si="63"/>
        <v/>
      </c>
      <c r="AF158" s="10" t="str">
        <f t="shared" si="54"/>
        <v/>
      </c>
      <c r="AG158" s="10" t="str">
        <f t="shared" si="55"/>
        <v/>
      </c>
      <c r="AH158" s="10" t="str">
        <f t="shared" si="56"/>
        <v/>
      </c>
      <c r="AI158" s="10" t="str">
        <f t="shared" si="57"/>
        <v/>
      </c>
      <c r="AK158" s="10"/>
      <c r="AL158" s="10"/>
      <c r="AM158" s="10"/>
      <c r="AN158" s="10"/>
      <c r="AO158" s="10"/>
      <c r="AQ158" s="10"/>
      <c r="AR158" s="10"/>
      <c r="AS158" s="10"/>
      <c r="AT158" s="10"/>
      <c r="AU158" s="10"/>
      <c r="AW158" s="10" t="str">
        <f t="shared" si="64"/>
        <v/>
      </c>
      <c r="AX158" s="10" t="str">
        <f t="shared" si="58"/>
        <v/>
      </c>
      <c r="AY158" s="10" t="str">
        <f t="shared" si="59"/>
        <v/>
      </c>
      <c r="AZ158" s="10" t="str">
        <f t="shared" si="60"/>
        <v/>
      </c>
      <c r="BA158" s="10" t="str">
        <f t="shared" si="61"/>
        <v/>
      </c>
    </row>
    <row r="159" spans="6:53" x14ac:dyDescent="0.2">
      <c r="F159" s="10" t="str">
        <f t="shared" si="46"/>
        <v>2017/6/21</v>
      </c>
      <c r="G159" s="14">
        <v>42907</v>
      </c>
      <c r="H159" s="10">
        <v>3.9185596</v>
      </c>
      <c r="I159" s="10">
        <v>-3.4958532999999998</v>
      </c>
      <c r="J159" s="10">
        <v>0.42270630000000031</v>
      </c>
      <c r="K159" s="10">
        <f t="shared" si="47"/>
        <v>655.0483946999999</v>
      </c>
      <c r="L159" s="10">
        <f t="shared" si="48"/>
        <v>-413.9651151999999</v>
      </c>
      <c r="M159" s="10">
        <f t="shared" si="49"/>
        <v>241.08327950000012</v>
      </c>
      <c r="N159" s="10">
        <v>9.0726552029896759</v>
      </c>
      <c r="O159" s="10">
        <v>8.2780200557103019</v>
      </c>
      <c r="P159" s="10">
        <v>3234.7440079000016</v>
      </c>
      <c r="Y159" s="10" t="e">
        <f t="shared" si="62"/>
        <v>#N/A</v>
      </c>
      <c r="Z159" s="10" t="e">
        <f t="shared" si="50"/>
        <v>#N/A</v>
      </c>
      <c r="AA159" s="10" t="e">
        <f t="shared" si="51"/>
        <v>#N/A</v>
      </c>
      <c r="AB159" s="10" t="e">
        <f t="shared" si="52"/>
        <v>#N/A</v>
      </c>
      <c r="AC159" s="10" t="e">
        <f t="shared" si="53"/>
        <v>#N/A</v>
      </c>
      <c r="AE159" s="10" t="str">
        <f t="shared" si="63"/>
        <v/>
      </c>
      <c r="AF159" s="10" t="str">
        <f t="shared" si="54"/>
        <v/>
      </c>
      <c r="AG159" s="10" t="str">
        <f t="shared" si="55"/>
        <v/>
      </c>
      <c r="AH159" s="10" t="str">
        <f t="shared" si="56"/>
        <v/>
      </c>
      <c r="AI159" s="10" t="str">
        <f t="shared" si="57"/>
        <v/>
      </c>
      <c r="AK159" s="10"/>
      <c r="AL159" s="10"/>
      <c r="AM159" s="10"/>
      <c r="AN159" s="10"/>
      <c r="AO159" s="10"/>
      <c r="AQ159" s="10"/>
      <c r="AR159" s="10"/>
      <c r="AS159" s="10"/>
      <c r="AT159" s="10"/>
      <c r="AU159" s="10"/>
      <c r="AW159" s="10" t="str">
        <f t="shared" si="64"/>
        <v/>
      </c>
      <c r="AX159" s="10" t="str">
        <f t="shared" si="58"/>
        <v/>
      </c>
      <c r="AY159" s="10" t="str">
        <f t="shared" si="59"/>
        <v/>
      </c>
      <c r="AZ159" s="10" t="str">
        <f t="shared" si="60"/>
        <v/>
      </c>
      <c r="BA159" s="10" t="str">
        <f t="shared" si="61"/>
        <v/>
      </c>
    </row>
    <row r="160" spans="6:53" x14ac:dyDescent="0.2">
      <c r="F160" s="10" t="str">
        <f t="shared" si="46"/>
        <v>2017/6/22</v>
      </c>
      <c r="G160" s="14">
        <v>42908</v>
      </c>
      <c r="H160" s="10">
        <v>4.6156321000000009</v>
      </c>
      <c r="I160" s="10">
        <v>-4.8367878000000015</v>
      </c>
      <c r="J160" s="10">
        <v>-0.22115569999999984</v>
      </c>
      <c r="K160" s="10">
        <f t="shared" si="47"/>
        <v>659.66402679999987</v>
      </c>
      <c r="L160" s="10">
        <f t="shared" si="48"/>
        <v>-418.80190299999992</v>
      </c>
      <c r="M160" s="10">
        <f t="shared" si="49"/>
        <v>240.86212380000012</v>
      </c>
      <c r="N160" s="10">
        <v>9.1915947244613303</v>
      </c>
      <c r="O160" s="10">
        <v>8.4771239554317575</v>
      </c>
      <c r="P160" s="10">
        <v>3229.2771243000007</v>
      </c>
      <c r="Y160" s="10" t="e">
        <f t="shared" si="62"/>
        <v>#N/A</v>
      </c>
      <c r="Z160" s="10" t="e">
        <f t="shared" si="50"/>
        <v>#N/A</v>
      </c>
      <c r="AA160" s="10" t="e">
        <f t="shared" si="51"/>
        <v>#N/A</v>
      </c>
      <c r="AB160" s="10" t="e">
        <f t="shared" si="52"/>
        <v>#N/A</v>
      </c>
      <c r="AC160" s="10" t="e">
        <f t="shared" si="53"/>
        <v>#N/A</v>
      </c>
      <c r="AE160" s="10" t="str">
        <f t="shared" si="63"/>
        <v/>
      </c>
      <c r="AF160" s="10" t="str">
        <f t="shared" si="54"/>
        <v/>
      </c>
      <c r="AG160" s="10" t="str">
        <f t="shared" si="55"/>
        <v/>
      </c>
      <c r="AH160" s="10" t="str">
        <f t="shared" si="56"/>
        <v/>
      </c>
      <c r="AI160" s="10" t="str">
        <f t="shared" si="57"/>
        <v/>
      </c>
      <c r="AK160" s="10"/>
      <c r="AL160" s="10"/>
      <c r="AM160" s="10"/>
      <c r="AN160" s="10"/>
      <c r="AO160" s="10"/>
      <c r="AQ160" s="10"/>
      <c r="AR160" s="10"/>
      <c r="AS160" s="10"/>
      <c r="AT160" s="10"/>
      <c r="AU160" s="10"/>
      <c r="AW160" s="10" t="str">
        <f t="shared" si="64"/>
        <v/>
      </c>
      <c r="AX160" s="10" t="str">
        <f t="shared" si="58"/>
        <v/>
      </c>
      <c r="AY160" s="10" t="str">
        <f t="shared" si="59"/>
        <v/>
      </c>
      <c r="AZ160" s="10" t="str">
        <f t="shared" si="60"/>
        <v/>
      </c>
      <c r="BA160" s="10" t="str">
        <f t="shared" si="61"/>
        <v/>
      </c>
    </row>
    <row r="161" spans="6:53" x14ac:dyDescent="0.2">
      <c r="F161" s="10" t="str">
        <f t="shared" si="46"/>
        <v>2017/6/23</v>
      </c>
      <c r="G161" s="14">
        <v>42909</v>
      </c>
      <c r="H161" s="10">
        <v>4.6639499000000013</v>
      </c>
      <c r="I161" s="10">
        <v>-2.8422200000000002</v>
      </c>
      <c r="J161" s="10">
        <v>1.8217298999999998</v>
      </c>
      <c r="K161" s="10">
        <f t="shared" si="47"/>
        <v>664.32797669999991</v>
      </c>
      <c r="L161" s="10">
        <f t="shared" si="48"/>
        <v>-421.64412299999992</v>
      </c>
      <c r="M161" s="10">
        <f t="shared" si="49"/>
        <v>242.68385370000013</v>
      </c>
      <c r="N161" s="10">
        <v>9.4365728898111012</v>
      </c>
      <c r="O161" s="10">
        <v>8.7684732590529233</v>
      </c>
      <c r="P161" s="10">
        <v>3232.6202163000003</v>
      </c>
      <c r="Y161" s="10" t="e">
        <f t="shared" si="62"/>
        <v>#N/A</v>
      </c>
      <c r="Z161" s="10" t="e">
        <f t="shared" si="50"/>
        <v>#N/A</v>
      </c>
      <c r="AA161" s="10" t="e">
        <f t="shared" si="51"/>
        <v>#N/A</v>
      </c>
      <c r="AB161" s="10" t="e">
        <f t="shared" si="52"/>
        <v>#N/A</v>
      </c>
      <c r="AC161" s="10" t="e">
        <f t="shared" si="53"/>
        <v>#N/A</v>
      </c>
      <c r="AE161" s="10" t="str">
        <f t="shared" si="63"/>
        <v/>
      </c>
      <c r="AF161" s="10" t="str">
        <f t="shared" si="54"/>
        <v/>
      </c>
      <c r="AG161" s="10" t="str">
        <f t="shared" si="55"/>
        <v/>
      </c>
      <c r="AH161" s="10" t="str">
        <f t="shared" si="56"/>
        <v/>
      </c>
      <c r="AI161" s="10" t="str">
        <f t="shared" si="57"/>
        <v/>
      </c>
      <c r="AK161" s="10"/>
      <c r="AL161" s="10"/>
      <c r="AM161" s="10"/>
      <c r="AN161" s="10"/>
      <c r="AO161" s="10"/>
      <c r="AQ161" s="10"/>
      <c r="AR161" s="10"/>
      <c r="AS161" s="10"/>
      <c r="AT161" s="10"/>
      <c r="AU161" s="10"/>
      <c r="AW161" s="10" t="str">
        <f t="shared" si="64"/>
        <v/>
      </c>
      <c r="AX161" s="10" t="str">
        <f t="shared" si="58"/>
        <v/>
      </c>
      <c r="AY161" s="10" t="str">
        <f t="shared" si="59"/>
        <v/>
      </c>
      <c r="AZ161" s="10" t="str">
        <f t="shared" si="60"/>
        <v/>
      </c>
      <c r="BA161" s="10" t="str">
        <f t="shared" si="61"/>
        <v/>
      </c>
    </row>
    <row r="162" spans="6:53" x14ac:dyDescent="0.2">
      <c r="F162" s="10" t="str">
        <f t="shared" si="46"/>
        <v>2017/6/26</v>
      </c>
      <c r="G162" s="14">
        <v>42912</v>
      </c>
      <c r="H162" s="10">
        <v>3.3805527000000009</v>
      </c>
      <c r="I162" s="10">
        <v>-3.5955326000000003</v>
      </c>
      <c r="J162" s="10">
        <v>-0.2149798999999995</v>
      </c>
      <c r="K162" s="10">
        <f t="shared" si="47"/>
        <v>667.70852939999986</v>
      </c>
      <c r="L162" s="10">
        <f t="shared" si="48"/>
        <v>-425.23965559999994</v>
      </c>
      <c r="M162" s="10">
        <f t="shared" si="49"/>
        <v>242.46887380000013</v>
      </c>
      <c r="N162" s="10">
        <v>9.5957869677437024</v>
      </c>
      <c r="O162" s="10">
        <v>8.979328133704735</v>
      </c>
      <c r="P162" s="10">
        <v>3240.2183359999995</v>
      </c>
      <c r="Y162" s="10" t="e">
        <f t="shared" si="62"/>
        <v>#N/A</v>
      </c>
      <c r="Z162" s="10" t="e">
        <f t="shared" si="50"/>
        <v>#N/A</v>
      </c>
      <c r="AA162" s="10" t="e">
        <f t="shared" si="51"/>
        <v>#N/A</v>
      </c>
      <c r="AB162" s="10" t="e">
        <f t="shared" si="52"/>
        <v>#N/A</v>
      </c>
      <c r="AC162" s="10" t="e">
        <f t="shared" si="53"/>
        <v>#N/A</v>
      </c>
      <c r="AE162" s="10" t="str">
        <f t="shared" si="63"/>
        <v/>
      </c>
      <c r="AF162" s="10" t="str">
        <f t="shared" si="54"/>
        <v/>
      </c>
      <c r="AG162" s="10" t="str">
        <f t="shared" si="55"/>
        <v/>
      </c>
      <c r="AH162" s="10" t="str">
        <f t="shared" si="56"/>
        <v/>
      </c>
      <c r="AI162" s="10" t="str">
        <f t="shared" si="57"/>
        <v/>
      </c>
      <c r="AK162" s="10"/>
      <c r="AL162" s="10"/>
      <c r="AM162" s="10"/>
      <c r="AN162" s="10"/>
      <c r="AO162" s="10"/>
      <c r="AQ162" s="10"/>
      <c r="AR162" s="10"/>
      <c r="AS162" s="10"/>
      <c r="AT162" s="10"/>
      <c r="AU162" s="10"/>
      <c r="AW162" s="10" t="str">
        <f t="shared" si="64"/>
        <v/>
      </c>
      <c r="AX162" s="10" t="str">
        <f t="shared" si="58"/>
        <v/>
      </c>
      <c r="AY162" s="10" t="str">
        <f t="shared" si="59"/>
        <v/>
      </c>
      <c r="AZ162" s="10" t="str">
        <f t="shared" si="60"/>
        <v/>
      </c>
      <c r="BA162" s="10" t="str">
        <f t="shared" si="61"/>
        <v/>
      </c>
    </row>
    <row r="163" spans="6:53" x14ac:dyDescent="0.2">
      <c r="F163" s="10" t="str">
        <f t="shared" si="46"/>
        <v>2017/6/27</v>
      </c>
      <c r="G163" s="14">
        <v>42913</v>
      </c>
      <c r="H163" s="10">
        <v>5.4213626999999986</v>
      </c>
      <c r="I163" s="10">
        <v>-4.5893421000000005</v>
      </c>
      <c r="J163" s="10">
        <v>0.83202059999999989</v>
      </c>
      <c r="K163" s="10">
        <f t="shared" si="47"/>
        <v>673.12989209999989</v>
      </c>
      <c r="L163" s="10">
        <f t="shared" si="48"/>
        <v>-429.82899769999995</v>
      </c>
      <c r="M163" s="10">
        <f t="shared" si="49"/>
        <v>243.30089440000012</v>
      </c>
      <c r="N163" s="10">
        <v>9.0265181435953625</v>
      </c>
      <c r="O163" s="10">
        <v>8.5945075208913675</v>
      </c>
      <c r="P163" s="10">
        <v>3244.7238736999989</v>
      </c>
      <c r="Y163" s="10" t="e">
        <f t="shared" si="62"/>
        <v>#N/A</v>
      </c>
      <c r="Z163" s="10" t="e">
        <f t="shared" si="50"/>
        <v>#N/A</v>
      </c>
      <c r="AA163" s="10" t="e">
        <f t="shared" si="51"/>
        <v>#N/A</v>
      </c>
      <c r="AB163" s="10" t="e">
        <f t="shared" si="52"/>
        <v>#N/A</v>
      </c>
      <c r="AC163" s="10" t="e">
        <f t="shared" si="53"/>
        <v>#N/A</v>
      </c>
      <c r="AE163" s="10" t="str">
        <f t="shared" si="63"/>
        <v/>
      </c>
      <c r="AF163" s="10" t="str">
        <f t="shared" si="54"/>
        <v/>
      </c>
      <c r="AG163" s="10" t="str">
        <f t="shared" si="55"/>
        <v/>
      </c>
      <c r="AH163" s="10" t="str">
        <f t="shared" si="56"/>
        <v/>
      </c>
      <c r="AI163" s="10" t="str">
        <f t="shared" si="57"/>
        <v/>
      </c>
      <c r="AK163" s="10"/>
      <c r="AL163" s="10"/>
      <c r="AM163" s="10"/>
      <c r="AN163" s="10"/>
      <c r="AO163" s="10"/>
      <c r="AQ163" s="10"/>
      <c r="AR163" s="10"/>
      <c r="AS163" s="10"/>
      <c r="AT163" s="10"/>
      <c r="AU163" s="10"/>
      <c r="AW163" s="10" t="str">
        <f t="shared" si="64"/>
        <v/>
      </c>
      <c r="AX163" s="10" t="str">
        <f t="shared" si="58"/>
        <v/>
      </c>
      <c r="AY163" s="10" t="str">
        <f t="shared" si="59"/>
        <v/>
      </c>
      <c r="AZ163" s="10" t="str">
        <f t="shared" si="60"/>
        <v/>
      </c>
      <c r="BA163" s="10" t="str">
        <f t="shared" si="61"/>
        <v/>
      </c>
    </row>
    <row r="164" spans="6:53" x14ac:dyDescent="0.2">
      <c r="F164" s="10" t="str">
        <f t="shared" si="46"/>
        <v>2017/6/28</v>
      </c>
      <c r="G164" s="14">
        <v>42914</v>
      </c>
      <c r="H164" s="10">
        <v>4.9888303999999994</v>
      </c>
      <c r="I164" s="10">
        <v>-5.6068068000000002</v>
      </c>
      <c r="J164" s="10">
        <v>-0.61797640000000098</v>
      </c>
      <c r="K164" s="10">
        <f t="shared" si="47"/>
        <v>678.11872249999988</v>
      </c>
      <c r="L164" s="10">
        <f t="shared" si="48"/>
        <v>-435.43580449999996</v>
      </c>
      <c r="M164" s="10">
        <f t="shared" si="49"/>
        <v>242.68291800000011</v>
      </c>
      <c r="N164" s="10">
        <v>9.734525666943604</v>
      </c>
      <c r="O164" s="10">
        <v>9.1867150417827279</v>
      </c>
      <c r="P164" s="10">
        <v>3227.6932487999998</v>
      </c>
      <c r="Y164" s="10" t="e">
        <f t="shared" si="62"/>
        <v>#N/A</v>
      </c>
      <c r="Z164" s="10" t="e">
        <f t="shared" si="50"/>
        <v>#N/A</v>
      </c>
      <c r="AA164" s="10" t="e">
        <f t="shared" si="51"/>
        <v>#N/A</v>
      </c>
      <c r="AB164" s="10" t="e">
        <f t="shared" si="52"/>
        <v>#N/A</v>
      </c>
      <c r="AC164" s="10" t="e">
        <f t="shared" si="53"/>
        <v>#N/A</v>
      </c>
      <c r="AE164" s="10" t="str">
        <f t="shared" si="63"/>
        <v/>
      </c>
      <c r="AF164" s="10" t="str">
        <f t="shared" si="54"/>
        <v/>
      </c>
      <c r="AG164" s="10" t="str">
        <f t="shared" si="55"/>
        <v/>
      </c>
      <c r="AH164" s="10" t="str">
        <f t="shared" si="56"/>
        <v/>
      </c>
      <c r="AI164" s="10" t="str">
        <f t="shared" si="57"/>
        <v/>
      </c>
      <c r="AK164" s="10"/>
      <c r="AL164" s="10"/>
      <c r="AM164" s="10"/>
      <c r="AN164" s="10"/>
      <c r="AO164" s="10"/>
      <c r="AQ164" s="10"/>
      <c r="AR164" s="10"/>
      <c r="AS164" s="10"/>
      <c r="AT164" s="10"/>
      <c r="AU164" s="10"/>
      <c r="AW164" s="10" t="str">
        <f t="shared" si="64"/>
        <v/>
      </c>
      <c r="AX164" s="10" t="str">
        <f t="shared" si="58"/>
        <v/>
      </c>
      <c r="AY164" s="10" t="str">
        <f t="shared" si="59"/>
        <v/>
      </c>
      <c r="AZ164" s="10" t="str">
        <f t="shared" si="60"/>
        <v/>
      </c>
      <c r="BA164" s="10" t="str">
        <f t="shared" si="61"/>
        <v/>
      </c>
    </row>
    <row r="165" spans="6:53" x14ac:dyDescent="0.2">
      <c r="F165" s="10" t="str">
        <f t="shared" si="46"/>
        <v>2017/6/29</v>
      </c>
      <c r="G165" s="14">
        <v>42915</v>
      </c>
      <c r="H165" s="10">
        <v>6.1308102</v>
      </c>
      <c r="I165" s="10">
        <v>-5.9802276000000001</v>
      </c>
      <c r="J165" s="10">
        <v>0.15058259999999987</v>
      </c>
      <c r="K165" s="10">
        <f t="shared" si="47"/>
        <v>684.24953269999992</v>
      </c>
      <c r="L165" s="10">
        <f t="shared" si="48"/>
        <v>-441.41603209999994</v>
      </c>
      <c r="M165" s="10">
        <f t="shared" si="49"/>
        <v>242.83350060000012</v>
      </c>
      <c r="N165" s="10">
        <v>9.0076153672137558</v>
      </c>
      <c r="O165" s="10">
        <v>8.5719183844011138</v>
      </c>
      <c r="P165" s="10">
        <v>3247.276777</v>
      </c>
      <c r="Y165" s="10" t="e">
        <f t="shared" si="62"/>
        <v>#N/A</v>
      </c>
      <c r="Z165" s="10" t="e">
        <f t="shared" si="50"/>
        <v>#N/A</v>
      </c>
      <c r="AA165" s="10" t="e">
        <f t="shared" si="51"/>
        <v>#N/A</v>
      </c>
      <c r="AB165" s="10" t="e">
        <f t="shared" si="52"/>
        <v>#N/A</v>
      </c>
      <c r="AC165" s="10" t="e">
        <f t="shared" si="53"/>
        <v>#N/A</v>
      </c>
      <c r="AE165" s="10" t="str">
        <f t="shared" si="63"/>
        <v/>
      </c>
      <c r="AF165" s="10" t="str">
        <f t="shared" si="54"/>
        <v/>
      </c>
      <c r="AG165" s="10" t="str">
        <f t="shared" si="55"/>
        <v/>
      </c>
      <c r="AH165" s="10" t="str">
        <f t="shared" si="56"/>
        <v/>
      </c>
      <c r="AI165" s="10" t="str">
        <f t="shared" si="57"/>
        <v/>
      </c>
      <c r="AK165" s="10"/>
      <c r="AL165" s="10"/>
      <c r="AM165" s="10"/>
      <c r="AN165" s="10"/>
      <c r="AO165" s="10"/>
      <c r="AQ165" s="10"/>
      <c r="AR165" s="10"/>
      <c r="AS165" s="10"/>
      <c r="AT165" s="10"/>
      <c r="AU165" s="10"/>
      <c r="AW165" s="10" t="str">
        <f t="shared" si="64"/>
        <v/>
      </c>
      <c r="AX165" s="10" t="str">
        <f t="shared" si="58"/>
        <v/>
      </c>
      <c r="AY165" s="10" t="str">
        <f t="shared" si="59"/>
        <v/>
      </c>
      <c r="AZ165" s="10" t="str">
        <f t="shared" si="60"/>
        <v/>
      </c>
      <c r="BA165" s="10" t="str">
        <f t="shared" si="61"/>
        <v/>
      </c>
    </row>
    <row r="166" spans="6:53" x14ac:dyDescent="0.2">
      <c r="F166" s="10" t="str">
        <f t="shared" ref="F166:F229" si="65">IF($G166="","",YEAR($G166)&amp;"/"&amp;MONTH($G166)&amp;"/"&amp;DAY($G166))</f>
        <v>2017/6/30</v>
      </c>
      <c r="G166" s="14">
        <v>42916</v>
      </c>
      <c r="H166" s="10">
        <v>3.9472732999999991</v>
      </c>
      <c r="I166" s="10">
        <v>-5.6727123000000006</v>
      </c>
      <c r="J166" s="10">
        <v>-1.7254390000000004</v>
      </c>
      <c r="K166" s="10">
        <f t="shared" si="47"/>
        <v>688.19680599999992</v>
      </c>
      <c r="L166" s="10">
        <f t="shared" si="48"/>
        <v>-447.08874439999994</v>
      </c>
      <c r="M166" s="10">
        <f t="shared" si="49"/>
        <v>241.10806160000013</v>
      </c>
      <c r="N166" s="10">
        <v>9.0340508432170488</v>
      </c>
      <c r="O166" s="10">
        <v>8.6145167130919251</v>
      </c>
      <c r="P166" s="10">
        <v>3226.7494723999989</v>
      </c>
      <c r="Y166" s="10" t="e">
        <f t="shared" si="62"/>
        <v>#N/A</v>
      </c>
      <c r="Z166" s="10" t="e">
        <f t="shared" si="50"/>
        <v>#N/A</v>
      </c>
      <c r="AA166" s="10" t="e">
        <f t="shared" si="51"/>
        <v>#N/A</v>
      </c>
      <c r="AB166" s="10" t="e">
        <f t="shared" si="52"/>
        <v>#N/A</v>
      </c>
      <c r="AC166" s="10" t="e">
        <f t="shared" si="53"/>
        <v>#N/A</v>
      </c>
      <c r="AE166" s="10" t="str">
        <f t="shared" si="63"/>
        <v/>
      </c>
      <c r="AF166" s="10" t="str">
        <f t="shared" si="54"/>
        <v/>
      </c>
      <c r="AG166" s="10" t="str">
        <f t="shared" si="55"/>
        <v/>
      </c>
      <c r="AH166" s="10" t="str">
        <f t="shared" si="56"/>
        <v/>
      </c>
      <c r="AI166" s="10" t="str">
        <f t="shared" si="57"/>
        <v/>
      </c>
      <c r="AK166" s="10"/>
      <c r="AL166" s="10"/>
      <c r="AM166" s="10"/>
      <c r="AN166" s="10"/>
      <c r="AO166" s="10"/>
      <c r="AQ166" s="10"/>
      <c r="AR166" s="10"/>
      <c r="AS166" s="10"/>
      <c r="AT166" s="10"/>
      <c r="AU166" s="10"/>
      <c r="AW166" s="10" t="str">
        <f t="shared" si="64"/>
        <v/>
      </c>
      <c r="AX166" s="10" t="str">
        <f t="shared" si="58"/>
        <v/>
      </c>
      <c r="AY166" s="10" t="str">
        <f t="shared" si="59"/>
        <v/>
      </c>
      <c r="AZ166" s="10" t="str">
        <f t="shared" si="60"/>
        <v/>
      </c>
      <c r="BA166" s="10" t="str">
        <f t="shared" si="61"/>
        <v/>
      </c>
    </row>
    <row r="167" spans="6:53" x14ac:dyDescent="0.2">
      <c r="F167" s="10" t="str">
        <f t="shared" si="65"/>
        <v>2017/7/3</v>
      </c>
      <c r="G167" s="14">
        <v>42919</v>
      </c>
      <c r="H167" s="10">
        <v>3.0688911000000001</v>
      </c>
      <c r="I167" s="10">
        <v>-3.8683404000000006</v>
      </c>
      <c r="J167" s="10">
        <v>-0.79944930000000003</v>
      </c>
      <c r="K167" s="10">
        <f t="shared" ref="K167:K230" si="66">IF($H167="","",K166+H167)</f>
        <v>691.2656970999999</v>
      </c>
      <c r="L167" s="10">
        <f t="shared" ref="L167:L230" si="67">IF($I167="","",L166+I167)</f>
        <v>-450.95708479999996</v>
      </c>
      <c r="M167" s="10">
        <f t="shared" ref="M167:M230" si="68">IF($J167="","",M166+J167)</f>
        <v>240.30861230000014</v>
      </c>
      <c r="N167" s="10">
        <v>9.1005399218284779</v>
      </c>
      <c r="O167" s="10">
        <v>8.6772934540389937</v>
      </c>
      <c r="P167" s="10">
        <v>3226.4708132999999</v>
      </c>
      <c r="Y167" s="10" t="e">
        <f t="shared" si="62"/>
        <v>#N/A</v>
      </c>
      <c r="Z167" s="10" t="e">
        <f t="shared" si="50"/>
        <v>#N/A</v>
      </c>
      <c r="AA167" s="10" t="e">
        <f t="shared" si="51"/>
        <v>#N/A</v>
      </c>
      <c r="AB167" s="10" t="e">
        <f t="shared" si="52"/>
        <v>#N/A</v>
      </c>
      <c r="AC167" s="10" t="e">
        <f t="shared" si="53"/>
        <v>#N/A</v>
      </c>
      <c r="AE167" s="10" t="str">
        <f t="shared" si="63"/>
        <v/>
      </c>
      <c r="AF167" s="10" t="str">
        <f t="shared" si="54"/>
        <v/>
      </c>
      <c r="AG167" s="10" t="str">
        <f t="shared" si="55"/>
        <v/>
      </c>
      <c r="AH167" s="10" t="str">
        <f t="shared" si="56"/>
        <v/>
      </c>
      <c r="AI167" s="10" t="str">
        <f t="shared" si="57"/>
        <v/>
      </c>
      <c r="AK167" s="10"/>
      <c r="AL167" s="10"/>
      <c r="AM167" s="10"/>
      <c r="AN167" s="10"/>
      <c r="AO167" s="10"/>
      <c r="AQ167" s="10"/>
      <c r="AR167" s="10"/>
      <c r="AS167" s="10"/>
      <c r="AT167" s="10"/>
      <c r="AU167" s="10"/>
      <c r="AW167" s="10" t="str">
        <f t="shared" si="64"/>
        <v/>
      </c>
      <c r="AX167" s="10" t="str">
        <f t="shared" si="58"/>
        <v/>
      </c>
      <c r="AY167" s="10" t="str">
        <f t="shared" si="59"/>
        <v/>
      </c>
      <c r="AZ167" s="10" t="str">
        <f t="shared" si="60"/>
        <v/>
      </c>
      <c r="BA167" s="10" t="str">
        <f t="shared" si="61"/>
        <v/>
      </c>
    </row>
    <row r="168" spans="6:53" x14ac:dyDescent="0.2">
      <c r="F168" s="10" t="str">
        <f t="shared" si="65"/>
        <v>2017/7/4</v>
      </c>
      <c r="G168" s="14">
        <v>42920</v>
      </c>
      <c r="H168" s="10">
        <v>1.6622372999999995</v>
      </c>
      <c r="I168" s="10">
        <v>-0.34525549999999994</v>
      </c>
      <c r="J168" s="10">
        <v>1.3169817999999998</v>
      </c>
      <c r="K168" s="10">
        <f t="shared" si="66"/>
        <v>692.92793439999991</v>
      </c>
      <c r="L168" s="10">
        <f t="shared" si="67"/>
        <v>-451.30234029999997</v>
      </c>
      <c r="M168" s="10">
        <f t="shared" si="68"/>
        <v>241.62559410000014</v>
      </c>
      <c r="N168" s="10">
        <v>9.080907328157048</v>
      </c>
      <c r="O168" s="10">
        <v>8.560860863509749</v>
      </c>
      <c r="P168" s="10">
        <v>3226.7381368499987</v>
      </c>
      <c r="Y168" s="10" t="e">
        <f t="shared" si="62"/>
        <v>#N/A</v>
      </c>
      <c r="Z168" s="10" t="e">
        <f t="shared" si="50"/>
        <v>#N/A</v>
      </c>
      <c r="AA168" s="10" t="e">
        <f t="shared" si="51"/>
        <v>#N/A</v>
      </c>
      <c r="AB168" s="10" t="e">
        <f t="shared" si="52"/>
        <v>#N/A</v>
      </c>
      <c r="AC168" s="10" t="e">
        <f t="shared" si="53"/>
        <v>#N/A</v>
      </c>
      <c r="AE168" s="10" t="str">
        <f t="shared" si="63"/>
        <v/>
      </c>
      <c r="AF168" s="10" t="str">
        <f t="shared" si="54"/>
        <v/>
      </c>
      <c r="AG168" s="10" t="str">
        <f t="shared" si="55"/>
        <v/>
      </c>
      <c r="AH168" s="10" t="str">
        <f t="shared" si="56"/>
        <v/>
      </c>
      <c r="AI168" s="10" t="str">
        <f t="shared" si="57"/>
        <v/>
      </c>
      <c r="AK168" s="10"/>
      <c r="AL168" s="10"/>
      <c r="AM168" s="10"/>
      <c r="AN168" s="10"/>
      <c r="AO168" s="10"/>
      <c r="AQ168" s="10"/>
      <c r="AR168" s="10"/>
      <c r="AS168" s="10"/>
      <c r="AT168" s="10"/>
      <c r="AU168" s="10"/>
      <c r="AW168" s="10" t="str">
        <f t="shared" si="64"/>
        <v/>
      </c>
      <c r="AX168" s="10" t="str">
        <f t="shared" si="58"/>
        <v/>
      </c>
      <c r="AY168" s="10" t="str">
        <f t="shared" si="59"/>
        <v/>
      </c>
      <c r="AZ168" s="10" t="str">
        <f t="shared" si="60"/>
        <v/>
      </c>
      <c r="BA168" s="10" t="str">
        <f t="shared" si="61"/>
        <v/>
      </c>
    </row>
    <row r="169" spans="6:53" x14ac:dyDescent="0.2">
      <c r="F169" s="10" t="str">
        <f t="shared" si="65"/>
        <v>2017/7/5</v>
      </c>
      <c r="G169" s="14">
        <v>42921</v>
      </c>
      <c r="H169" s="10">
        <v>6.6242786999999996</v>
      </c>
      <c r="I169" s="10">
        <v>-3.397777</v>
      </c>
      <c r="J169" s="10">
        <v>3.2265017000000009</v>
      </c>
      <c r="K169" s="10">
        <f t="shared" si="66"/>
        <v>699.5522130999999</v>
      </c>
      <c r="L169" s="10">
        <f t="shared" si="67"/>
        <v>-454.70011729999999</v>
      </c>
      <c r="M169" s="10">
        <f t="shared" si="68"/>
        <v>244.85209580000014</v>
      </c>
      <c r="N169" s="10">
        <v>9.138468132072445</v>
      </c>
      <c r="O169" s="10">
        <v>8.5786621169916444</v>
      </c>
      <c r="P169" s="10">
        <v>3228.7215563999989</v>
      </c>
      <c r="Y169" s="10" t="e">
        <f t="shared" si="62"/>
        <v>#N/A</v>
      </c>
      <c r="Z169" s="10" t="e">
        <f t="shared" si="50"/>
        <v>#N/A</v>
      </c>
      <c r="AA169" s="10" t="e">
        <f t="shared" si="51"/>
        <v>#N/A</v>
      </c>
      <c r="AB169" s="10" t="e">
        <f t="shared" si="52"/>
        <v>#N/A</v>
      </c>
      <c r="AC169" s="10" t="e">
        <f t="shared" si="53"/>
        <v>#N/A</v>
      </c>
      <c r="AE169" s="10" t="str">
        <f t="shared" si="63"/>
        <v/>
      </c>
      <c r="AF169" s="10" t="str">
        <f t="shared" si="54"/>
        <v/>
      </c>
      <c r="AG169" s="10" t="str">
        <f t="shared" si="55"/>
        <v/>
      </c>
      <c r="AH169" s="10" t="str">
        <f t="shared" si="56"/>
        <v/>
      </c>
      <c r="AI169" s="10" t="str">
        <f t="shared" si="57"/>
        <v/>
      </c>
      <c r="AK169" s="10"/>
      <c r="AL169" s="10"/>
      <c r="AM169" s="10"/>
      <c r="AN169" s="10"/>
      <c r="AO169" s="10"/>
      <c r="AQ169" s="10"/>
      <c r="AR169" s="10"/>
      <c r="AS169" s="10"/>
      <c r="AT169" s="10"/>
      <c r="AU169" s="10"/>
      <c r="AW169" s="10" t="str">
        <f t="shared" si="64"/>
        <v/>
      </c>
      <c r="AX169" s="10" t="str">
        <f t="shared" si="58"/>
        <v/>
      </c>
      <c r="AY169" s="10" t="str">
        <f t="shared" si="59"/>
        <v/>
      </c>
      <c r="AZ169" s="10" t="str">
        <f t="shared" si="60"/>
        <v/>
      </c>
      <c r="BA169" s="10" t="str">
        <f t="shared" si="61"/>
        <v/>
      </c>
    </row>
    <row r="170" spans="6:53" x14ac:dyDescent="0.2">
      <c r="F170" s="10" t="str">
        <f t="shared" si="65"/>
        <v>2017/7/6</v>
      </c>
      <c r="G170" s="14">
        <v>42922</v>
      </c>
      <c r="H170" s="10">
        <v>3.8234357000000001</v>
      </c>
      <c r="I170" s="10">
        <v>-3.7237551999999998</v>
      </c>
      <c r="J170" s="10">
        <v>9.9680499999999672E-2</v>
      </c>
      <c r="K170" s="10">
        <f t="shared" si="66"/>
        <v>703.37564879999991</v>
      </c>
      <c r="L170" s="10">
        <f t="shared" si="67"/>
        <v>-458.42387250000002</v>
      </c>
      <c r="M170" s="10">
        <f t="shared" si="68"/>
        <v>244.95177630000015</v>
      </c>
      <c r="N170" s="10">
        <v>8.4007103368187082</v>
      </c>
      <c r="O170" s="10">
        <v>8.0026348189415035</v>
      </c>
      <c r="P170" s="10">
        <v>3230.1869480000005</v>
      </c>
      <c r="Y170" s="10" t="e">
        <f t="shared" si="62"/>
        <v>#N/A</v>
      </c>
      <c r="Z170" s="10" t="e">
        <f t="shared" si="50"/>
        <v>#N/A</v>
      </c>
      <c r="AA170" s="10" t="e">
        <f t="shared" si="51"/>
        <v>#N/A</v>
      </c>
      <c r="AB170" s="10" t="e">
        <f t="shared" si="52"/>
        <v>#N/A</v>
      </c>
      <c r="AC170" s="10" t="e">
        <f t="shared" si="53"/>
        <v>#N/A</v>
      </c>
      <c r="AE170" s="10" t="str">
        <f t="shared" si="63"/>
        <v/>
      </c>
      <c r="AF170" s="10" t="str">
        <f t="shared" si="54"/>
        <v/>
      </c>
      <c r="AG170" s="10" t="str">
        <f t="shared" si="55"/>
        <v/>
      </c>
      <c r="AH170" s="10" t="str">
        <f t="shared" si="56"/>
        <v/>
      </c>
      <c r="AI170" s="10" t="str">
        <f t="shared" si="57"/>
        <v/>
      </c>
      <c r="AK170" s="10"/>
      <c r="AL170" s="10"/>
      <c r="AM170" s="10"/>
      <c r="AN170" s="10"/>
      <c r="AO170" s="10"/>
      <c r="AQ170" s="10"/>
      <c r="AR170" s="10"/>
      <c r="AS170" s="10"/>
      <c r="AT170" s="10"/>
      <c r="AU170" s="10"/>
      <c r="AW170" s="10" t="str">
        <f t="shared" si="64"/>
        <v/>
      </c>
      <c r="AX170" s="10" t="str">
        <f t="shared" si="58"/>
        <v/>
      </c>
      <c r="AY170" s="10" t="str">
        <f t="shared" si="59"/>
        <v/>
      </c>
      <c r="AZ170" s="10" t="str">
        <f t="shared" si="60"/>
        <v/>
      </c>
      <c r="BA170" s="10" t="str">
        <f t="shared" si="61"/>
        <v/>
      </c>
    </row>
    <row r="171" spans="6:53" x14ac:dyDescent="0.2">
      <c r="F171" s="10" t="str">
        <f t="shared" si="65"/>
        <v>2017/7/7</v>
      </c>
      <c r="G171" s="14">
        <v>42923</v>
      </c>
      <c r="H171" s="10">
        <v>5.2645273999999995</v>
      </c>
      <c r="I171" s="10">
        <v>-2.2811254999999995</v>
      </c>
      <c r="J171" s="10">
        <v>2.9834019000000009</v>
      </c>
      <c r="K171" s="10">
        <f t="shared" si="66"/>
        <v>708.64017619999993</v>
      </c>
      <c r="L171" s="10">
        <f t="shared" si="67"/>
        <v>-460.70499799999999</v>
      </c>
      <c r="M171" s="10">
        <f t="shared" si="68"/>
        <v>247.93517820000014</v>
      </c>
      <c r="N171" s="10">
        <v>8.6866857160886735</v>
      </c>
      <c r="O171" s="10">
        <v>8.1563757660167155</v>
      </c>
      <c r="P171" s="10">
        <v>3206.1885417000008</v>
      </c>
      <c r="Y171" s="10" t="e">
        <f t="shared" si="62"/>
        <v>#N/A</v>
      </c>
      <c r="Z171" s="10" t="e">
        <f t="shared" si="50"/>
        <v>#N/A</v>
      </c>
      <c r="AA171" s="10" t="e">
        <f t="shared" si="51"/>
        <v>#N/A</v>
      </c>
      <c r="AB171" s="10" t="e">
        <f t="shared" si="52"/>
        <v>#N/A</v>
      </c>
      <c r="AC171" s="10" t="e">
        <f t="shared" si="53"/>
        <v>#N/A</v>
      </c>
      <c r="AE171" s="10" t="str">
        <f t="shared" si="63"/>
        <v/>
      </c>
      <c r="AF171" s="10" t="str">
        <f t="shared" si="54"/>
        <v/>
      </c>
      <c r="AG171" s="10" t="str">
        <f t="shared" si="55"/>
        <v/>
      </c>
      <c r="AH171" s="10" t="str">
        <f t="shared" si="56"/>
        <v/>
      </c>
      <c r="AI171" s="10" t="str">
        <f t="shared" si="57"/>
        <v/>
      </c>
      <c r="AK171" s="10"/>
      <c r="AL171" s="10"/>
      <c r="AM171" s="10"/>
      <c r="AN171" s="10"/>
      <c r="AO171" s="10"/>
      <c r="AQ171" s="10"/>
      <c r="AR171" s="10"/>
      <c r="AS171" s="10"/>
      <c r="AT171" s="10"/>
      <c r="AU171" s="10"/>
      <c r="AW171" s="10" t="str">
        <f t="shared" si="64"/>
        <v/>
      </c>
      <c r="AX171" s="10" t="str">
        <f t="shared" si="58"/>
        <v/>
      </c>
      <c r="AY171" s="10" t="str">
        <f t="shared" si="59"/>
        <v/>
      </c>
      <c r="AZ171" s="10" t="str">
        <f t="shared" si="60"/>
        <v/>
      </c>
      <c r="BA171" s="10" t="str">
        <f t="shared" si="61"/>
        <v/>
      </c>
    </row>
    <row r="172" spans="6:53" x14ac:dyDescent="0.2">
      <c r="F172" s="10" t="str">
        <f t="shared" si="65"/>
        <v>2017/7/10</v>
      </c>
      <c r="G172" s="14">
        <v>42926</v>
      </c>
      <c r="H172" s="10">
        <v>3.7489542</v>
      </c>
      <c r="I172" s="10">
        <v>-2.7241298999999994</v>
      </c>
      <c r="J172" s="10">
        <v>1.0248242999999997</v>
      </c>
      <c r="K172" s="10">
        <f t="shared" si="66"/>
        <v>712.38913039999989</v>
      </c>
      <c r="L172" s="10">
        <f t="shared" si="67"/>
        <v>-463.42912789999997</v>
      </c>
      <c r="M172" s="10">
        <f t="shared" si="68"/>
        <v>248.96000250000014</v>
      </c>
      <c r="N172" s="10">
        <v>8.8601398586630626</v>
      </c>
      <c r="O172" s="10">
        <v>8.3434584958217322</v>
      </c>
      <c r="P172" s="10">
        <v>3216.867262499999</v>
      </c>
      <c r="Y172" s="10" t="e">
        <f t="shared" si="62"/>
        <v>#N/A</v>
      </c>
      <c r="Z172" s="10" t="e">
        <f t="shared" si="50"/>
        <v>#N/A</v>
      </c>
      <c r="AA172" s="10" t="e">
        <f t="shared" si="51"/>
        <v>#N/A</v>
      </c>
      <c r="AB172" s="10" t="e">
        <f t="shared" si="52"/>
        <v>#N/A</v>
      </c>
      <c r="AC172" s="10" t="e">
        <f t="shared" si="53"/>
        <v>#N/A</v>
      </c>
      <c r="AE172" s="10" t="str">
        <f t="shared" si="63"/>
        <v/>
      </c>
      <c r="AF172" s="10" t="str">
        <f t="shared" si="54"/>
        <v/>
      </c>
      <c r="AG172" s="10" t="str">
        <f t="shared" si="55"/>
        <v/>
      </c>
      <c r="AH172" s="10" t="str">
        <f t="shared" si="56"/>
        <v/>
      </c>
      <c r="AI172" s="10" t="str">
        <f t="shared" si="57"/>
        <v/>
      </c>
      <c r="AK172" s="10"/>
      <c r="AL172" s="10"/>
      <c r="AM172" s="10"/>
      <c r="AN172" s="10"/>
      <c r="AO172" s="10"/>
      <c r="AQ172" s="10"/>
      <c r="AR172" s="10"/>
      <c r="AS172" s="10"/>
      <c r="AT172" s="10"/>
      <c r="AU172" s="10"/>
      <c r="AW172" s="10" t="str">
        <f t="shared" si="64"/>
        <v/>
      </c>
      <c r="AX172" s="10" t="str">
        <f t="shared" si="58"/>
        <v/>
      </c>
      <c r="AY172" s="10" t="str">
        <f t="shared" si="59"/>
        <v/>
      </c>
      <c r="AZ172" s="10" t="str">
        <f t="shared" si="60"/>
        <v/>
      </c>
      <c r="BA172" s="10" t="str">
        <f t="shared" si="61"/>
        <v/>
      </c>
    </row>
    <row r="173" spans="6:53" x14ac:dyDescent="0.2">
      <c r="F173" s="10" t="str">
        <f t="shared" si="65"/>
        <v>2017/7/11</v>
      </c>
      <c r="G173" s="14">
        <v>42927</v>
      </c>
      <c r="H173" s="10">
        <v>3.8881036</v>
      </c>
      <c r="I173" s="10">
        <v>-2.7530609000000008</v>
      </c>
      <c r="J173" s="10">
        <v>1.1350426999999996</v>
      </c>
      <c r="K173" s="10">
        <f t="shared" si="66"/>
        <v>716.27723399999991</v>
      </c>
      <c r="L173" s="10">
        <f t="shared" si="67"/>
        <v>-466.18218879999995</v>
      </c>
      <c r="M173" s="10">
        <f t="shared" si="68"/>
        <v>250.09504520000013</v>
      </c>
      <c r="N173" s="10">
        <v>9.0330180951371428</v>
      </c>
      <c r="O173" s="10">
        <v>8.505406406685232</v>
      </c>
      <c r="P173" s="10">
        <v>3222.8550724000011</v>
      </c>
      <c r="Y173" s="10" t="e">
        <f t="shared" si="62"/>
        <v>#N/A</v>
      </c>
      <c r="Z173" s="10" t="e">
        <f t="shared" si="50"/>
        <v>#N/A</v>
      </c>
      <c r="AA173" s="10" t="e">
        <f t="shared" si="51"/>
        <v>#N/A</v>
      </c>
      <c r="AB173" s="10" t="e">
        <f t="shared" si="52"/>
        <v>#N/A</v>
      </c>
      <c r="AC173" s="10" t="e">
        <f t="shared" si="53"/>
        <v>#N/A</v>
      </c>
      <c r="AE173" s="10" t="str">
        <f t="shared" si="63"/>
        <v/>
      </c>
      <c r="AF173" s="10" t="str">
        <f t="shared" si="54"/>
        <v/>
      </c>
      <c r="AG173" s="10" t="str">
        <f t="shared" si="55"/>
        <v/>
      </c>
      <c r="AH173" s="10" t="str">
        <f t="shared" si="56"/>
        <v/>
      </c>
      <c r="AI173" s="10" t="str">
        <f t="shared" si="57"/>
        <v/>
      </c>
      <c r="AK173" s="10"/>
      <c r="AL173" s="10"/>
      <c r="AM173" s="10"/>
      <c r="AN173" s="10"/>
      <c r="AO173" s="10"/>
      <c r="AQ173" s="10"/>
      <c r="AR173" s="10"/>
      <c r="AS173" s="10"/>
      <c r="AT173" s="10"/>
      <c r="AU173" s="10"/>
      <c r="AW173" s="10" t="str">
        <f t="shared" si="64"/>
        <v/>
      </c>
      <c r="AX173" s="10" t="str">
        <f t="shared" si="58"/>
        <v/>
      </c>
      <c r="AY173" s="10" t="str">
        <f t="shared" si="59"/>
        <v/>
      </c>
      <c r="AZ173" s="10" t="str">
        <f t="shared" si="60"/>
        <v/>
      </c>
      <c r="BA173" s="10" t="str">
        <f t="shared" si="61"/>
        <v/>
      </c>
    </row>
    <row r="174" spans="6:53" x14ac:dyDescent="0.2">
      <c r="F174" s="10" t="str">
        <f t="shared" si="65"/>
        <v>2017/7/12</v>
      </c>
      <c r="G174" s="14">
        <v>42928</v>
      </c>
      <c r="H174" s="10">
        <v>4.3493520999999999</v>
      </c>
      <c r="I174" s="10">
        <v>-2.7749579999999998</v>
      </c>
      <c r="J174" s="10">
        <v>1.5743940999999999</v>
      </c>
      <c r="K174" s="10">
        <f t="shared" si="66"/>
        <v>720.62658609999994</v>
      </c>
      <c r="L174" s="10">
        <f t="shared" si="67"/>
        <v>-468.95714679999998</v>
      </c>
      <c r="M174" s="10">
        <f t="shared" si="68"/>
        <v>251.66943930000014</v>
      </c>
      <c r="N174" s="10">
        <v>9.8552814350700757</v>
      </c>
      <c r="O174" s="10">
        <v>9.2952713091922021</v>
      </c>
      <c r="P174" s="10">
        <v>3228.6218197999992</v>
      </c>
      <c r="Y174" s="10" t="e">
        <f t="shared" si="62"/>
        <v>#N/A</v>
      </c>
      <c r="Z174" s="10" t="e">
        <f t="shared" si="50"/>
        <v>#N/A</v>
      </c>
      <c r="AA174" s="10" t="e">
        <f t="shared" si="51"/>
        <v>#N/A</v>
      </c>
      <c r="AB174" s="10" t="e">
        <f t="shared" si="52"/>
        <v>#N/A</v>
      </c>
      <c r="AC174" s="10" t="e">
        <f t="shared" si="53"/>
        <v>#N/A</v>
      </c>
      <c r="AE174" s="10" t="str">
        <f t="shared" si="63"/>
        <v/>
      </c>
      <c r="AF174" s="10" t="str">
        <f t="shared" si="54"/>
        <v/>
      </c>
      <c r="AG174" s="10" t="str">
        <f t="shared" si="55"/>
        <v/>
      </c>
      <c r="AH174" s="10" t="str">
        <f t="shared" si="56"/>
        <v/>
      </c>
      <c r="AI174" s="10" t="str">
        <f t="shared" si="57"/>
        <v/>
      </c>
      <c r="AK174" s="10"/>
      <c r="AL174" s="10"/>
      <c r="AM174" s="10"/>
      <c r="AN174" s="10"/>
      <c r="AO174" s="10"/>
      <c r="AQ174" s="10"/>
      <c r="AR174" s="10"/>
      <c r="AS174" s="10"/>
      <c r="AT174" s="10"/>
      <c r="AU174" s="10"/>
      <c r="AW174" s="10" t="str">
        <f t="shared" si="64"/>
        <v/>
      </c>
      <c r="AX174" s="10" t="str">
        <f t="shared" si="58"/>
        <v/>
      </c>
      <c r="AY174" s="10" t="str">
        <f t="shared" si="59"/>
        <v/>
      </c>
      <c r="AZ174" s="10" t="str">
        <f t="shared" si="60"/>
        <v/>
      </c>
      <c r="BA174" s="10" t="str">
        <f t="shared" si="61"/>
        <v/>
      </c>
    </row>
    <row r="175" spans="6:53" x14ac:dyDescent="0.2">
      <c r="F175" s="10" t="str">
        <f t="shared" si="65"/>
        <v>2017/7/13</v>
      </c>
      <c r="G175" s="14">
        <v>42929</v>
      </c>
      <c r="H175" s="10">
        <v>4.7340461999999999</v>
      </c>
      <c r="I175" s="10">
        <v>-1.8438804999999998</v>
      </c>
      <c r="J175" s="10">
        <v>2.8901656999999998</v>
      </c>
      <c r="K175" s="10">
        <f t="shared" si="66"/>
        <v>725.36063229999991</v>
      </c>
      <c r="L175" s="10">
        <f t="shared" si="67"/>
        <v>-470.80102729999999</v>
      </c>
      <c r="M175" s="10">
        <f t="shared" si="68"/>
        <v>254.55960500000015</v>
      </c>
      <c r="N175" s="10">
        <v>10.006554341644039</v>
      </c>
      <c r="O175" s="10">
        <v>9.4306849582172738</v>
      </c>
      <c r="P175" s="10">
        <v>3252.9991199999995</v>
      </c>
      <c r="Y175" s="10" t="e">
        <f t="shared" si="62"/>
        <v>#N/A</v>
      </c>
      <c r="Z175" s="10" t="e">
        <f t="shared" si="50"/>
        <v>#N/A</v>
      </c>
      <c r="AA175" s="10" t="e">
        <f t="shared" si="51"/>
        <v>#N/A</v>
      </c>
      <c r="AB175" s="10" t="e">
        <f t="shared" si="52"/>
        <v>#N/A</v>
      </c>
      <c r="AC175" s="10" t="e">
        <f t="shared" si="53"/>
        <v>#N/A</v>
      </c>
      <c r="AE175" s="10" t="str">
        <f t="shared" si="63"/>
        <v/>
      </c>
      <c r="AF175" s="10" t="str">
        <f t="shared" si="54"/>
        <v/>
      </c>
      <c r="AG175" s="10" t="str">
        <f t="shared" si="55"/>
        <v/>
      </c>
      <c r="AH175" s="10" t="str">
        <f t="shared" si="56"/>
        <v/>
      </c>
      <c r="AI175" s="10" t="str">
        <f t="shared" si="57"/>
        <v/>
      </c>
      <c r="AK175" s="10"/>
      <c r="AL175" s="10"/>
      <c r="AM175" s="10"/>
      <c r="AN175" s="10"/>
      <c r="AO175" s="10"/>
      <c r="AQ175" s="10"/>
      <c r="AR175" s="10"/>
      <c r="AS175" s="10"/>
      <c r="AT175" s="10"/>
      <c r="AU175" s="10"/>
      <c r="AW175" s="10" t="str">
        <f t="shared" si="64"/>
        <v/>
      </c>
      <c r="AX175" s="10" t="str">
        <f t="shared" si="58"/>
        <v/>
      </c>
      <c r="AY175" s="10" t="str">
        <f t="shared" si="59"/>
        <v/>
      </c>
      <c r="AZ175" s="10" t="str">
        <f t="shared" si="60"/>
        <v/>
      </c>
      <c r="BA175" s="10" t="str">
        <f t="shared" si="61"/>
        <v/>
      </c>
    </row>
    <row r="176" spans="6:53" x14ac:dyDescent="0.2">
      <c r="F176" s="10" t="str">
        <f t="shared" si="65"/>
        <v>2017/7/14</v>
      </c>
      <c r="G176" s="14">
        <v>42930</v>
      </c>
      <c r="H176" s="10">
        <v>4.9029901000000002</v>
      </c>
      <c r="I176" s="10">
        <v>-2.5897752999999999</v>
      </c>
      <c r="J176" s="10">
        <v>2.3132147999999995</v>
      </c>
      <c r="K176" s="10">
        <f t="shared" si="66"/>
        <v>730.26362239999992</v>
      </c>
      <c r="L176" s="10">
        <f t="shared" si="67"/>
        <v>-473.39080259999997</v>
      </c>
      <c r="M176" s="10">
        <f t="shared" si="68"/>
        <v>256.87281980000017</v>
      </c>
      <c r="N176" s="10">
        <v>10.61132653995865</v>
      </c>
      <c r="O176" s="10">
        <v>10.055836211699168</v>
      </c>
      <c r="P176" s="10">
        <v>3259.6603879000013</v>
      </c>
      <c r="Y176" s="10" t="e">
        <f t="shared" si="62"/>
        <v>#N/A</v>
      </c>
      <c r="Z176" s="10" t="e">
        <f t="shared" si="50"/>
        <v>#N/A</v>
      </c>
      <c r="AA176" s="10" t="e">
        <f t="shared" si="51"/>
        <v>#N/A</v>
      </c>
      <c r="AB176" s="10" t="e">
        <f t="shared" si="52"/>
        <v>#N/A</v>
      </c>
      <c r="AC176" s="10" t="e">
        <f t="shared" si="53"/>
        <v>#N/A</v>
      </c>
      <c r="AE176" s="10" t="str">
        <f t="shared" si="63"/>
        <v/>
      </c>
      <c r="AF176" s="10" t="str">
        <f t="shared" si="54"/>
        <v/>
      </c>
      <c r="AG176" s="10" t="str">
        <f t="shared" si="55"/>
        <v/>
      </c>
      <c r="AH176" s="10" t="str">
        <f t="shared" si="56"/>
        <v/>
      </c>
      <c r="AI176" s="10" t="str">
        <f t="shared" si="57"/>
        <v/>
      </c>
      <c r="AK176" s="10"/>
      <c r="AL176" s="10"/>
      <c r="AM176" s="10"/>
      <c r="AN176" s="10"/>
      <c r="AO176" s="10"/>
      <c r="AQ176" s="10"/>
      <c r="AR176" s="10"/>
      <c r="AS176" s="10"/>
      <c r="AT176" s="10"/>
      <c r="AU176" s="10"/>
      <c r="AW176" s="10" t="str">
        <f t="shared" si="64"/>
        <v/>
      </c>
      <c r="AX176" s="10" t="str">
        <f t="shared" si="58"/>
        <v/>
      </c>
      <c r="AY176" s="10" t="str">
        <f t="shared" si="59"/>
        <v/>
      </c>
      <c r="AZ176" s="10" t="str">
        <f t="shared" si="60"/>
        <v/>
      </c>
      <c r="BA176" s="10" t="str">
        <f t="shared" si="61"/>
        <v/>
      </c>
    </row>
    <row r="177" spans="6:53" x14ac:dyDescent="0.2">
      <c r="F177" s="10" t="str">
        <f t="shared" si="65"/>
        <v>2017/7/17</v>
      </c>
      <c r="G177" s="14">
        <v>42933</v>
      </c>
      <c r="H177" s="10">
        <v>3.7312034999999995</v>
      </c>
      <c r="I177" s="10">
        <v>-1.3428422</v>
      </c>
      <c r="J177" s="10">
        <v>2.3883612999999997</v>
      </c>
      <c r="K177" s="10">
        <f t="shared" si="66"/>
        <v>733.99482589999991</v>
      </c>
      <c r="L177" s="10">
        <f t="shared" si="67"/>
        <v>-474.73364479999998</v>
      </c>
      <c r="M177" s="10">
        <f t="shared" si="68"/>
        <v>259.26118110000016</v>
      </c>
      <c r="N177" s="10">
        <v>10.60566549885232</v>
      </c>
      <c r="O177" s="10">
        <v>10.057403342618384</v>
      </c>
      <c r="P177" s="10">
        <v>3278.9913078000004</v>
      </c>
      <c r="Y177" s="10" t="e">
        <f t="shared" si="62"/>
        <v>#N/A</v>
      </c>
      <c r="Z177" s="10" t="e">
        <f t="shared" si="50"/>
        <v>#N/A</v>
      </c>
      <c r="AA177" s="10" t="e">
        <f t="shared" si="51"/>
        <v>#N/A</v>
      </c>
      <c r="AB177" s="10" t="e">
        <f t="shared" si="52"/>
        <v>#N/A</v>
      </c>
      <c r="AC177" s="10" t="e">
        <f t="shared" si="53"/>
        <v>#N/A</v>
      </c>
      <c r="AE177" s="10" t="str">
        <f t="shared" si="63"/>
        <v/>
      </c>
      <c r="AF177" s="10" t="str">
        <f t="shared" si="54"/>
        <v/>
      </c>
      <c r="AG177" s="10" t="str">
        <f t="shared" si="55"/>
        <v/>
      </c>
      <c r="AH177" s="10" t="str">
        <f t="shared" si="56"/>
        <v/>
      </c>
      <c r="AI177" s="10" t="str">
        <f t="shared" si="57"/>
        <v/>
      </c>
      <c r="AK177" s="10"/>
      <c r="AL177" s="10"/>
      <c r="AM177" s="10"/>
      <c r="AN177" s="10"/>
      <c r="AO177" s="10"/>
      <c r="AQ177" s="10"/>
      <c r="AR177" s="10"/>
      <c r="AS177" s="10"/>
      <c r="AT177" s="10"/>
      <c r="AU177" s="10"/>
      <c r="AW177" s="10" t="str">
        <f t="shared" si="64"/>
        <v/>
      </c>
      <c r="AX177" s="10" t="str">
        <f t="shared" si="58"/>
        <v/>
      </c>
      <c r="AY177" s="10" t="str">
        <f t="shared" si="59"/>
        <v/>
      </c>
      <c r="AZ177" s="10" t="str">
        <f t="shared" si="60"/>
        <v/>
      </c>
      <c r="BA177" s="10" t="str">
        <f t="shared" si="61"/>
        <v/>
      </c>
    </row>
    <row r="178" spans="6:53" x14ac:dyDescent="0.2">
      <c r="F178" s="10" t="str">
        <f t="shared" si="65"/>
        <v>2017/7/18</v>
      </c>
      <c r="G178" s="14">
        <v>42934</v>
      </c>
      <c r="H178" s="10">
        <v>4.0949162999999986</v>
      </c>
      <c r="I178" s="10">
        <v>-6.0027540000000013</v>
      </c>
      <c r="J178" s="10">
        <v>-1.9078377</v>
      </c>
      <c r="K178" s="10">
        <f t="shared" si="66"/>
        <v>738.08974219999993</v>
      </c>
      <c r="L178" s="10">
        <f t="shared" si="67"/>
        <v>-480.73639879999996</v>
      </c>
      <c r="M178" s="10">
        <f t="shared" si="68"/>
        <v>257.35334340000014</v>
      </c>
      <c r="N178" s="10">
        <v>10.717356633772336</v>
      </c>
      <c r="O178" s="10">
        <v>10.18796155988858</v>
      </c>
      <c r="P178" s="10">
        <v>3281.6843106500005</v>
      </c>
      <c r="Y178" s="10" t="e">
        <f t="shared" si="62"/>
        <v>#N/A</v>
      </c>
      <c r="Z178" s="10" t="e">
        <f t="shared" si="50"/>
        <v>#N/A</v>
      </c>
      <c r="AA178" s="10" t="e">
        <f t="shared" si="51"/>
        <v>#N/A</v>
      </c>
      <c r="AB178" s="10" t="e">
        <f t="shared" si="52"/>
        <v>#N/A</v>
      </c>
      <c r="AC178" s="10" t="e">
        <f t="shared" si="53"/>
        <v>#N/A</v>
      </c>
      <c r="AE178" s="10" t="str">
        <f t="shared" si="63"/>
        <v/>
      </c>
      <c r="AF178" s="10" t="str">
        <f t="shared" si="54"/>
        <v/>
      </c>
      <c r="AG178" s="10" t="str">
        <f t="shared" si="55"/>
        <v/>
      </c>
      <c r="AH178" s="10" t="str">
        <f t="shared" si="56"/>
        <v/>
      </c>
      <c r="AI178" s="10" t="str">
        <f t="shared" si="57"/>
        <v/>
      </c>
      <c r="AK178" s="10"/>
      <c r="AL178" s="10"/>
      <c r="AM178" s="10"/>
      <c r="AN178" s="10"/>
      <c r="AO178" s="10"/>
      <c r="AQ178" s="10"/>
      <c r="AR178" s="10"/>
      <c r="AS178" s="10"/>
      <c r="AT178" s="10"/>
      <c r="AU178" s="10"/>
      <c r="AW178" s="10" t="str">
        <f t="shared" si="64"/>
        <v/>
      </c>
      <c r="AX178" s="10" t="str">
        <f t="shared" si="58"/>
        <v/>
      </c>
      <c r="AY178" s="10" t="str">
        <f t="shared" si="59"/>
        <v/>
      </c>
      <c r="AZ178" s="10" t="str">
        <f t="shared" si="60"/>
        <v/>
      </c>
      <c r="BA178" s="10" t="str">
        <f t="shared" si="61"/>
        <v/>
      </c>
    </row>
    <row r="179" spans="6:53" x14ac:dyDescent="0.2">
      <c r="F179" s="10" t="str">
        <f t="shared" si="65"/>
        <v>2017/7/19</v>
      </c>
      <c r="G179" s="14">
        <v>42935</v>
      </c>
      <c r="H179" s="10">
        <v>4.350284900000001</v>
      </c>
      <c r="I179" s="10">
        <v>-2.5749493999999999</v>
      </c>
      <c r="J179" s="10">
        <v>1.7753355000000002</v>
      </c>
      <c r="K179" s="10">
        <f t="shared" si="66"/>
        <v>742.44002709999995</v>
      </c>
      <c r="L179" s="10">
        <f t="shared" si="67"/>
        <v>-483.31134819999994</v>
      </c>
      <c r="M179" s="10">
        <f t="shared" si="68"/>
        <v>259.12867890000012</v>
      </c>
      <c r="N179" s="10">
        <v>11.250550411156373</v>
      </c>
      <c r="O179" s="10">
        <v>10.678971587743735</v>
      </c>
      <c r="P179" s="10">
        <v>3282.6962965999987</v>
      </c>
      <c r="Y179" s="10" t="e">
        <f t="shared" si="62"/>
        <v>#N/A</v>
      </c>
      <c r="Z179" s="10" t="e">
        <f t="shared" si="50"/>
        <v>#N/A</v>
      </c>
      <c r="AA179" s="10" t="e">
        <f t="shared" si="51"/>
        <v>#N/A</v>
      </c>
      <c r="AB179" s="10" t="e">
        <f t="shared" si="52"/>
        <v>#N/A</v>
      </c>
      <c r="AC179" s="10" t="e">
        <f t="shared" si="53"/>
        <v>#N/A</v>
      </c>
      <c r="AE179" s="10" t="str">
        <f t="shared" si="63"/>
        <v/>
      </c>
      <c r="AF179" s="10" t="str">
        <f t="shared" si="54"/>
        <v/>
      </c>
      <c r="AG179" s="10" t="str">
        <f t="shared" si="55"/>
        <v/>
      </c>
      <c r="AH179" s="10" t="str">
        <f t="shared" si="56"/>
        <v/>
      </c>
      <c r="AI179" s="10" t="str">
        <f t="shared" si="57"/>
        <v/>
      </c>
      <c r="AK179" s="10"/>
      <c r="AL179" s="10"/>
      <c r="AM179" s="10"/>
      <c r="AN179" s="10"/>
      <c r="AO179" s="10"/>
      <c r="AQ179" s="10"/>
      <c r="AR179" s="10"/>
      <c r="AS179" s="10"/>
      <c r="AT179" s="10"/>
      <c r="AU179" s="10"/>
      <c r="AW179" s="10" t="str">
        <f t="shared" si="64"/>
        <v/>
      </c>
      <c r="AX179" s="10" t="str">
        <f t="shared" si="58"/>
        <v/>
      </c>
      <c r="AY179" s="10" t="str">
        <f t="shared" si="59"/>
        <v/>
      </c>
      <c r="AZ179" s="10" t="str">
        <f t="shared" si="60"/>
        <v/>
      </c>
      <c r="BA179" s="10" t="str">
        <f t="shared" si="61"/>
        <v/>
      </c>
    </row>
    <row r="180" spans="6:53" x14ac:dyDescent="0.2">
      <c r="F180" s="10" t="str">
        <f t="shared" si="65"/>
        <v>2017/7/20</v>
      </c>
      <c r="G180" s="14">
        <v>42936</v>
      </c>
      <c r="H180" s="10">
        <v>3.4888977000000003</v>
      </c>
      <c r="I180" s="10">
        <v>-2.9172965</v>
      </c>
      <c r="J180" s="10">
        <v>0.5716011999999997</v>
      </c>
      <c r="K180" s="10">
        <f t="shared" si="66"/>
        <v>745.9289248</v>
      </c>
      <c r="L180" s="10">
        <f t="shared" si="67"/>
        <v>-486.22864469999996</v>
      </c>
      <c r="M180" s="10">
        <f t="shared" si="68"/>
        <v>259.7002801000001</v>
      </c>
      <c r="N180" s="10">
        <v>11.427370479169801</v>
      </c>
      <c r="O180" s="10">
        <v>10.887323119777159</v>
      </c>
      <c r="P180" s="10">
        <v>3299.9489602000003</v>
      </c>
      <c r="Y180" s="10" t="e">
        <f t="shared" si="62"/>
        <v>#N/A</v>
      </c>
      <c r="Z180" s="10" t="e">
        <f t="shared" si="50"/>
        <v>#N/A</v>
      </c>
      <c r="AA180" s="10" t="e">
        <f t="shared" si="51"/>
        <v>#N/A</v>
      </c>
      <c r="AB180" s="10" t="e">
        <f t="shared" si="52"/>
        <v>#N/A</v>
      </c>
      <c r="AC180" s="10" t="e">
        <f t="shared" si="53"/>
        <v>#N/A</v>
      </c>
      <c r="AE180" s="10" t="str">
        <f t="shared" si="63"/>
        <v/>
      </c>
      <c r="AF180" s="10" t="str">
        <f t="shared" si="54"/>
        <v/>
      </c>
      <c r="AG180" s="10" t="str">
        <f t="shared" si="55"/>
        <v/>
      </c>
      <c r="AH180" s="10" t="str">
        <f t="shared" si="56"/>
        <v/>
      </c>
      <c r="AI180" s="10" t="str">
        <f t="shared" si="57"/>
        <v/>
      </c>
      <c r="AK180" s="10"/>
      <c r="AL180" s="10"/>
      <c r="AM180" s="10"/>
      <c r="AN180" s="10"/>
      <c r="AO180" s="10"/>
      <c r="AQ180" s="10"/>
      <c r="AR180" s="10"/>
      <c r="AS180" s="10"/>
      <c r="AT180" s="10"/>
      <c r="AU180" s="10"/>
      <c r="AW180" s="10" t="str">
        <f t="shared" si="64"/>
        <v/>
      </c>
      <c r="AX180" s="10" t="str">
        <f t="shared" si="58"/>
        <v/>
      </c>
      <c r="AY180" s="10" t="str">
        <f t="shared" si="59"/>
        <v/>
      </c>
      <c r="AZ180" s="10" t="str">
        <f t="shared" si="60"/>
        <v/>
      </c>
      <c r="BA180" s="10" t="str">
        <f t="shared" si="61"/>
        <v/>
      </c>
    </row>
    <row r="181" spans="6:53" x14ac:dyDescent="0.2">
      <c r="F181" s="10" t="str">
        <f t="shared" si="65"/>
        <v>2017/7/21</v>
      </c>
      <c r="G181" s="14">
        <v>42937</v>
      </c>
      <c r="H181" s="10">
        <v>7.3629188000000001</v>
      </c>
      <c r="I181" s="10">
        <v>-3.9844273999999991</v>
      </c>
      <c r="J181" s="10">
        <v>3.3784913999999993</v>
      </c>
      <c r="K181" s="10">
        <f t="shared" si="66"/>
        <v>753.29184359999999</v>
      </c>
      <c r="L181" s="10">
        <f t="shared" si="67"/>
        <v>-490.21307209999998</v>
      </c>
      <c r="M181" s="10">
        <f t="shared" si="68"/>
        <v>263.07877150000007</v>
      </c>
      <c r="N181" s="10">
        <v>11.33566955485855</v>
      </c>
      <c r="O181" s="10">
        <v>10.765546239554315</v>
      </c>
      <c r="P181" s="10">
        <v>3305.1724797999991</v>
      </c>
      <c r="Y181" s="10" t="e">
        <f t="shared" si="62"/>
        <v>#N/A</v>
      </c>
      <c r="Z181" s="10" t="e">
        <f t="shared" si="50"/>
        <v>#N/A</v>
      </c>
      <c r="AA181" s="10" t="e">
        <f t="shared" si="51"/>
        <v>#N/A</v>
      </c>
      <c r="AB181" s="10" t="e">
        <f t="shared" si="52"/>
        <v>#N/A</v>
      </c>
      <c r="AC181" s="10" t="e">
        <f t="shared" si="53"/>
        <v>#N/A</v>
      </c>
      <c r="AE181" s="10" t="str">
        <f t="shared" si="63"/>
        <v/>
      </c>
      <c r="AF181" s="10" t="str">
        <f t="shared" si="54"/>
        <v/>
      </c>
      <c r="AG181" s="10" t="str">
        <f t="shared" si="55"/>
        <v/>
      </c>
      <c r="AH181" s="10" t="str">
        <f t="shared" si="56"/>
        <v/>
      </c>
      <c r="AI181" s="10" t="str">
        <f t="shared" si="57"/>
        <v/>
      </c>
      <c r="AK181" s="10"/>
      <c r="AL181" s="10"/>
      <c r="AM181" s="10"/>
      <c r="AN181" s="10"/>
      <c r="AO181" s="10"/>
      <c r="AQ181" s="10"/>
      <c r="AR181" s="10"/>
      <c r="AS181" s="10"/>
      <c r="AT181" s="10"/>
      <c r="AU181" s="10"/>
      <c r="AW181" s="10" t="str">
        <f t="shared" si="64"/>
        <v/>
      </c>
      <c r="AX181" s="10" t="str">
        <f t="shared" si="58"/>
        <v/>
      </c>
      <c r="AY181" s="10" t="str">
        <f t="shared" si="59"/>
        <v/>
      </c>
      <c r="AZ181" s="10" t="str">
        <f t="shared" si="60"/>
        <v/>
      </c>
      <c r="BA181" s="10" t="str">
        <f t="shared" si="61"/>
        <v/>
      </c>
    </row>
    <row r="182" spans="6:53" x14ac:dyDescent="0.2">
      <c r="F182" s="10" t="str">
        <f t="shared" si="65"/>
        <v>2017/7/24</v>
      </c>
      <c r="G182" s="14">
        <v>42940</v>
      </c>
      <c r="H182" s="10">
        <v>6.0729414999999989</v>
      </c>
      <c r="I182" s="10">
        <v>-4.6150769</v>
      </c>
      <c r="J182" s="10">
        <v>1.4578646000000015</v>
      </c>
      <c r="K182" s="10">
        <f t="shared" si="66"/>
        <v>759.36478509999995</v>
      </c>
      <c r="L182" s="10">
        <f t="shared" si="67"/>
        <v>-494.828149</v>
      </c>
      <c r="M182" s="10">
        <f t="shared" si="68"/>
        <v>264.53663610000007</v>
      </c>
      <c r="N182" s="10">
        <v>11.276161786879188</v>
      </c>
      <c r="O182" s="10">
        <v>10.698544011142065</v>
      </c>
      <c r="P182" s="10">
        <v>3305.6151855999992</v>
      </c>
      <c r="Y182" s="10" t="e">
        <f t="shared" si="62"/>
        <v>#N/A</v>
      </c>
      <c r="Z182" s="10" t="e">
        <f t="shared" si="50"/>
        <v>#N/A</v>
      </c>
      <c r="AA182" s="10" t="e">
        <f t="shared" si="51"/>
        <v>#N/A</v>
      </c>
      <c r="AB182" s="10" t="e">
        <f t="shared" si="52"/>
        <v>#N/A</v>
      </c>
      <c r="AC182" s="10" t="e">
        <f t="shared" si="53"/>
        <v>#N/A</v>
      </c>
      <c r="AE182" s="10" t="str">
        <f t="shared" si="63"/>
        <v/>
      </c>
      <c r="AF182" s="10" t="str">
        <f t="shared" si="54"/>
        <v/>
      </c>
      <c r="AG182" s="10" t="str">
        <f t="shared" si="55"/>
        <v/>
      </c>
      <c r="AH182" s="10" t="str">
        <f t="shared" si="56"/>
        <v/>
      </c>
      <c r="AI182" s="10" t="str">
        <f t="shared" si="57"/>
        <v/>
      </c>
      <c r="AK182" s="10"/>
      <c r="AL182" s="10"/>
      <c r="AM182" s="10"/>
      <c r="AN182" s="10"/>
      <c r="AO182" s="10"/>
      <c r="AQ182" s="10"/>
      <c r="AR182" s="10"/>
      <c r="AS182" s="10"/>
      <c r="AT182" s="10"/>
      <c r="AU182" s="10"/>
      <c r="AW182" s="10" t="str">
        <f t="shared" si="64"/>
        <v/>
      </c>
      <c r="AX182" s="10" t="str">
        <f t="shared" si="58"/>
        <v/>
      </c>
      <c r="AY182" s="10" t="str">
        <f t="shared" si="59"/>
        <v/>
      </c>
      <c r="AZ182" s="10" t="str">
        <f t="shared" si="60"/>
        <v/>
      </c>
      <c r="BA182" s="10" t="str">
        <f t="shared" si="61"/>
        <v/>
      </c>
    </row>
    <row r="183" spans="6:53" x14ac:dyDescent="0.2">
      <c r="F183" s="10" t="str">
        <f t="shared" si="65"/>
        <v>2017/7/25</v>
      </c>
      <c r="G183" s="14">
        <v>42941</v>
      </c>
      <c r="H183" s="10">
        <v>3.6272704</v>
      </c>
      <c r="I183" s="10">
        <v>-5.3947519999999995</v>
      </c>
      <c r="J183" s="10">
        <v>-1.7674815999999991</v>
      </c>
      <c r="K183" s="10">
        <f t="shared" si="66"/>
        <v>762.99205549999999</v>
      </c>
      <c r="L183" s="10">
        <f t="shared" si="67"/>
        <v>-500.22290099999998</v>
      </c>
      <c r="M183" s="10">
        <f t="shared" si="68"/>
        <v>262.76915450000007</v>
      </c>
      <c r="N183" s="10">
        <v>11.391354434022945</v>
      </c>
      <c r="O183" s="10">
        <v>10.858271309192201</v>
      </c>
      <c r="P183" s="10">
        <v>3305.4216958000006</v>
      </c>
      <c r="Y183" s="10" t="e">
        <f t="shared" si="62"/>
        <v>#N/A</v>
      </c>
      <c r="Z183" s="10" t="e">
        <f t="shared" si="50"/>
        <v>#N/A</v>
      </c>
      <c r="AA183" s="10" t="e">
        <f t="shared" si="51"/>
        <v>#N/A</v>
      </c>
      <c r="AB183" s="10" t="e">
        <f t="shared" si="52"/>
        <v>#N/A</v>
      </c>
      <c r="AC183" s="10" t="e">
        <f t="shared" si="53"/>
        <v>#N/A</v>
      </c>
      <c r="AE183" s="10" t="str">
        <f t="shared" si="63"/>
        <v/>
      </c>
      <c r="AF183" s="10" t="str">
        <f t="shared" si="54"/>
        <v/>
      </c>
      <c r="AG183" s="10" t="str">
        <f t="shared" si="55"/>
        <v/>
      </c>
      <c r="AH183" s="10" t="str">
        <f t="shared" si="56"/>
        <v/>
      </c>
      <c r="AI183" s="10" t="str">
        <f t="shared" si="57"/>
        <v/>
      </c>
      <c r="AK183" s="10"/>
      <c r="AL183" s="10"/>
      <c r="AM183" s="10"/>
      <c r="AN183" s="10"/>
      <c r="AO183" s="10"/>
      <c r="AQ183" s="10"/>
      <c r="AR183" s="10"/>
      <c r="AS183" s="10"/>
      <c r="AT183" s="10"/>
      <c r="AU183" s="10"/>
      <c r="AW183" s="10" t="str">
        <f t="shared" si="64"/>
        <v/>
      </c>
      <c r="AX183" s="10" t="str">
        <f t="shared" si="58"/>
        <v/>
      </c>
      <c r="AY183" s="10" t="str">
        <f t="shared" si="59"/>
        <v/>
      </c>
      <c r="AZ183" s="10" t="str">
        <f t="shared" si="60"/>
        <v/>
      </c>
      <c r="BA183" s="10" t="str">
        <f t="shared" si="61"/>
        <v/>
      </c>
    </row>
    <row r="184" spans="6:53" x14ac:dyDescent="0.2">
      <c r="F184" s="10" t="str">
        <f t="shared" si="65"/>
        <v>2017/7/26</v>
      </c>
      <c r="G184" s="14">
        <v>42942</v>
      </c>
      <c r="H184" s="10">
        <v>4.5325355999999992</v>
      </c>
      <c r="I184" s="10">
        <v>-3.2819364999999991</v>
      </c>
      <c r="J184" s="10">
        <v>1.2505991000000003</v>
      </c>
      <c r="K184" s="10">
        <f t="shared" si="66"/>
        <v>767.52459109999995</v>
      </c>
      <c r="L184" s="10">
        <f t="shared" si="67"/>
        <v>-503.50483749999995</v>
      </c>
      <c r="M184" s="10">
        <f t="shared" si="68"/>
        <v>264.01975360000006</v>
      </c>
      <c r="N184" s="10">
        <v>11.516029196520321</v>
      </c>
      <c r="O184" s="10">
        <v>10.952782451253482</v>
      </c>
      <c r="P184" s="10">
        <v>3307.6470841</v>
      </c>
      <c r="Y184" s="10" t="e">
        <f t="shared" si="62"/>
        <v>#N/A</v>
      </c>
      <c r="Z184" s="10" t="e">
        <f t="shared" si="50"/>
        <v>#N/A</v>
      </c>
      <c r="AA184" s="10" t="e">
        <f t="shared" si="51"/>
        <v>#N/A</v>
      </c>
      <c r="AB184" s="10" t="e">
        <f t="shared" si="52"/>
        <v>#N/A</v>
      </c>
      <c r="AC184" s="10" t="e">
        <f t="shared" si="53"/>
        <v>#N/A</v>
      </c>
      <c r="AE184" s="10" t="str">
        <f t="shared" si="63"/>
        <v/>
      </c>
      <c r="AF184" s="10" t="str">
        <f t="shared" si="54"/>
        <v/>
      </c>
      <c r="AG184" s="10" t="str">
        <f t="shared" si="55"/>
        <v/>
      </c>
      <c r="AH184" s="10" t="str">
        <f t="shared" si="56"/>
        <v/>
      </c>
      <c r="AI184" s="10" t="str">
        <f t="shared" si="57"/>
        <v/>
      </c>
      <c r="AK184" s="10"/>
      <c r="AL184" s="10"/>
      <c r="AM184" s="10"/>
      <c r="AN184" s="10"/>
      <c r="AO184" s="10"/>
      <c r="AQ184" s="10"/>
      <c r="AR184" s="10"/>
      <c r="AS184" s="10"/>
      <c r="AT184" s="10"/>
      <c r="AU184" s="10"/>
      <c r="AW184" s="10" t="str">
        <f t="shared" si="64"/>
        <v/>
      </c>
      <c r="AX184" s="10" t="str">
        <f t="shared" si="58"/>
        <v/>
      </c>
      <c r="AY184" s="10" t="str">
        <f t="shared" si="59"/>
        <v/>
      </c>
      <c r="AZ184" s="10" t="str">
        <f t="shared" si="60"/>
        <v/>
      </c>
      <c r="BA184" s="10" t="str">
        <f t="shared" si="61"/>
        <v/>
      </c>
    </row>
    <row r="185" spans="6:53" x14ac:dyDescent="0.2">
      <c r="F185" s="10" t="str">
        <f t="shared" si="65"/>
        <v>2017/7/27</v>
      </c>
      <c r="G185" s="14">
        <v>42943</v>
      </c>
      <c r="H185" s="10">
        <v>4.3566696000000018</v>
      </c>
      <c r="I185" s="10">
        <v>-3.9077350999999996</v>
      </c>
      <c r="J185" s="10">
        <v>0.44893450000000035</v>
      </c>
      <c r="K185" s="10">
        <f t="shared" si="66"/>
        <v>771.88126069999998</v>
      </c>
      <c r="L185" s="10">
        <f t="shared" si="67"/>
        <v>-507.41257259999998</v>
      </c>
      <c r="M185" s="10">
        <f t="shared" si="68"/>
        <v>264.46868810000007</v>
      </c>
      <c r="N185" s="10">
        <v>11.440184584908419</v>
      </c>
      <c r="O185" s="10">
        <v>10.966100835654595</v>
      </c>
      <c r="P185" s="10">
        <v>3312.0040703999998</v>
      </c>
      <c r="Y185" s="10" t="e">
        <f t="shared" si="62"/>
        <v>#N/A</v>
      </c>
      <c r="Z185" s="10" t="e">
        <f t="shared" si="50"/>
        <v>#N/A</v>
      </c>
      <c r="AA185" s="10" t="e">
        <f t="shared" si="51"/>
        <v>#N/A</v>
      </c>
      <c r="AB185" s="10" t="e">
        <f t="shared" si="52"/>
        <v>#N/A</v>
      </c>
      <c r="AC185" s="10" t="e">
        <f t="shared" si="53"/>
        <v>#N/A</v>
      </c>
      <c r="AE185" s="10" t="str">
        <f t="shared" si="63"/>
        <v/>
      </c>
      <c r="AF185" s="10" t="str">
        <f t="shared" si="54"/>
        <v/>
      </c>
      <c r="AG185" s="10" t="str">
        <f t="shared" si="55"/>
        <v/>
      </c>
      <c r="AH185" s="10" t="str">
        <f t="shared" si="56"/>
        <v/>
      </c>
      <c r="AI185" s="10" t="str">
        <f t="shared" si="57"/>
        <v/>
      </c>
      <c r="AK185" s="10"/>
      <c r="AL185" s="10"/>
      <c r="AM185" s="10"/>
      <c r="AN185" s="10"/>
      <c r="AO185" s="10"/>
      <c r="AQ185" s="10"/>
      <c r="AR185" s="10"/>
      <c r="AS185" s="10"/>
      <c r="AT185" s="10"/>
      <c r="AU185" s="10"/>
      <c r="AW185" s="10" t="str">
        <f t="shared" si="64"/>
        <v/>
      </c>
      <c r="AX185" s="10" t="str">
        <f t="shared" si="58"/>
        <v/>
      </c>
      <c r="AY185" s="10" t="str">
        <f t="shared" si="59"/>
        <v/>
      </c>
      <c r="AZ185" s="10" t="str">
        <f t="shared" si="60"/>
        <v/>
      </c>
      <c r="BA185" s="10" t="str">
        <f t="shared" si="61"/>
        <v/>
      </c>
    </row>
    <row r="186" spans="6:53" x14ac:dyDescent="0.2">
      <c r="F186" s="10" t="str">
        <f t="shared" si="65"/>
        <v>2017/7/28</v>
      </c>
      <c r="G186" s="14">
        <v>42944</v>
      </c>
      <c r="H186" s="10">
        <v>4.2686636</v>
      </c>
      <c r="I186" s="10">
        <v>-2.7815158000000002</v>
      </c>
      <c r="J186" s="10">
        <v>1.4871477999999998</v>
      </c>
      <c r="K186" s="10">
        <f t="shared" si="66"/>
        <v>776.14992429999995</v>
      </c>
      <c r="L186" s="10">
        <f t="shared" si="67"/>
        <v>-510.1940884</v>
      </c>
      <c r="M186" s="10">
        <f t="shared" si="68"/>
        <v>265.95583590000007</v>
      </c>
      <c r="N186" s="10">
        <v>11.403652711275335</v>
      </c>
      <c r="O186" s="10">
        <v>10.957517827298053</v>
      </c>
      <c r="P186" s="10">
        <v>3310.6994148999997</v>
      </c>
      <c r="Y186" s="10" t="e">
        <f t="shared" si="62"/>
        <v>#N/A</v>
      </c>
      <c r="Z186" s="10" t="e">
        <f t="shared" si="50"/>
        <v>#N/A</v>
      </c>
      <c r="AA186" s="10" t="e">
        <f t="shared" si="51"/>
        <v>#N/A</v>
      </c>
      <c r="AB186" s="10" t="e">
        <f t="shared" si="52"/>
        <v>#N/A</v>
      </c>
      <c r="AC186" s="10" t="e">
        <f t="shared" si="53"/>
        <v>#N/A</v>
      </c>
      <c r="AE186" s="10" t="str">
        <f t="shared" si="63"/>
        <v/>
      </c>
      <c r="AF186" s="10" t="str">
        <f t="shared" si="54"/>
        <v/>
      </c>
      <c r="AG186" s="10" t="str">
        <f t="shared" si="55"/>
        <v/>
      </c>
      <c r="AH186" s="10" t="str">
        <f t="shared" si="56"/>
        <v/>
      </c>
      <c r="AI186" s="10" t="str">
        <f t="shared" si="57"/>
        <v/>
      </c>
      <c r="AK186" s="10"/>
      <c r="AL186" s="10"/>
      <c r="AM186" s="10"/>
      <c r="AN186" s="10"/>
      <c r="AO186" s="10"/>
      <c r="AQ186" s="10"/>
      <c r="AR186" s="10"/>
      <c r="AS186" s="10"/>
      <c r="AT186" s="10"/>
      <c r="AU186" s="10"/>
      <c r="AW186" s="10" t="str">
        <f t="shared" si="64"/>
        <v/>
      </c>
      <c r="AX186" s="10" t="str">
        <f t="shared" si="58"/>
        <v/>
      </c>
      <c r="AY186" s="10" t="str">
        <f t="shared" si="59"/>
        <v/>
      </c>
      <c r="AZ186" s="10" t="str">
        <f t="shared" si="60"/>
        <v/>
      </c>
      <c r="BA186" s="10" t="str">
        <f t="shared" si="61"/>
        <v/>
      </c>
    </row>
    <row r="187" spans="6:53" x14ac:dyDescent="0.2">
      <c r="F187" s="10" t="str">
        <f t="shared" si="65"/>
        <v>2017/7/31</v>
      </c>
      <c r="G187" s="14">
        <v>42947</v>
      </c>
      <c r="H187" s="10">
        <v>5.0521017000000006</v>
      </c>
      <c r="I187" s="10">
        <v>-2.1876073000000003</v>
      </c>
      <c r="J187" s="10">
        <v>2.8644943999999999</v>
      </c>
      <c r="K187" s="10">
        <f t="shared" si="66"/>
        <v>781.20202599999993</v>
      </c>
      <c r="L187" s="10">
        <f t="shared" si="67"/>
        <v>-512.38169570000002</v>
      </c>
      <c r="M187" s="10">
        <f t="shared" si="68"/>
        <v>268.82033030000008</v>
      </c>
      <c r="N187" s="10">
        <v>11.460945848078438</v>
      </c>
      <c r="O187" s="10">
        <v>11.056481615598887</v>
      </c>
      <c r="P187" s="10">
        <v>3311.0523870999996</v>
      </c>
      <c r="Y187" s="10" t="e">
        <f t="shared" si="62"/>
        <v>#N/A</v>
      </c>
      <c r="Z187" s="10" t="e">
        <f t="shared" si="50"/>
        <v>#N/A</v>
      </c>
      <c r="AA187" s="10" t="e">
        <f t="shared" si="51"/>
        <v>#N/A</v>
      </c>
      <c r="AB187" s="10" t="e">
        <f t="shared" si="52"/>
        <v>#N/A</v>
      </c>
      <c r="AC187" s="10" t="e">
        <f t="shared" si="53"/>
        <v>#N/A</v>
      </c>
      <c r="AE187" s="10" t="str">
        <f t="shared" si="63"/>
        <v/>
      </c>
      <c r="AF187" s="10" t="str">
        <f t="shared" si="54"/>
        <v/>
      </c>
      <c r="AG187" s="10" t="str">
        <f t="shared" si="55"/>
        <v/>
      </c>
      <c r="AH187" s="10" t="str">
        <f t="shared" si="56"/>
        <v/>
      </c>
      <c r="AI187" s="10" t="str">
        <f t="shared" si="57"/>
        <v/>
      </c>
      <c r="AK187" s="10"/>
      <c r="AL187" s="10"/>
      <c r="AM187" s="10"/>
      <c r="AN187" s="10"/>
      <c r="AO187" s="10"/>
      <c r="AQ187" s="10"/>
      <c r="AR187" s="10"/>
      <c r="AS187" s="10"/>
      <c r="AT187" s="10"/>
      <c r="AU187" s="10"/>
      <c r="AW187" s="10" t="str">
        <f t="shared" si="64"/>
        <v/>
      </c>
      <c r="AX187" s="10" t="str">
        <f t="shared" si="58"/>
        <v/>
      </c>
      <c r="AY187" s="10" t="str">
        <f t="shared" si="59"/>
        <v/>
      </c>
      <c r="AZ187" s="10" t="str">
        <f t="shared" si="60"/>
        <v/>
      </c>
      <c r="BA187" s="10" t="str">
        <f t="shared" si="61"/>
        <v/>
      </c>
    </row>
    <row r="188" spans="6:53" x14ac:dyDescent="0.2">
      <c r="F188" s="10" t="str">
        <f t="shared" si="65"/>
        <v>2017/8/1</v>
      </c>
      <c r="G188" s="14">
        <v>42948</v>
      </c>
      <c r="H188" s="10">
        <v>5.8495845000000006</v>
      </c>
      <c r="I188" s="10">
        <v>-4.5270060999999995</v>
      </c>
      <c r="J188" s="10">
        <v>1.3225784</v>
      </c>
      <c r="K188" s="10">
        <f t="shared" si="66"/>
        <v>787.05161049999992</v>
      </c>
      <c r="L188" s="10">
        <f t="shared" si="67"/>
        <v>-516.90870180000002</v>
      </c>
      <c r="M188" s="10">
        <f t="shared" si="68"/>
        <v>270.14290870000008</v>
      </c>
      <c r="N188" s="10">
        <v>11.813027350324084</v>
      </c>
      <c r="O188" s="10">
        <v>11.389951392757659</v>
      </c>
      <c r="P188" s="10">
        <v>3315.7410455000004</v>
      </c>
      <c r="Y188" s="10" t="e">
        <f t="shared" si="62"/>
        <v>#N/A</v>
      </c>
      <c r="Z188" s="10" t="e">
        <f t="shared" si="50"/>
        <v>#N/A</v>
      </c>
      <c r="AA188" s="10" t="e">
        <f t="shared" si="51"/>
        <v>#N/A</v>
      </c>
      <c r="AB188" s="10" t="e">
        <f t="shared" si="52"/>
        <v>#N/A</v>
      </c>
      <c r="AC188" s="10" t="e">
        <f t="shared" si="53"/>
        <v>#N/A</v>
      </c>
      <c r="AE188" s="10" t="str">
        <f t="shared" si="63"/>
        <v/>
      </c>
      <c r="AF188" s="10" t="str">
        <f t="shared" si="54"/>
        <v/>
      </c>
      <c r="AG188" s="10" t="str">
        <f t="shared" si="55"/>
        <v/>
      </c>
      <c r="AH188" s="10" t="str">
        <f t="shared" si="56"/>
        <v/>
      </c>
      <c r="AI188" s="10" t="str">
        <f t="shared" si="57"/>
        <v/>
      </c>
      <c r="AK188" s="10"/>
      <c r="AL188" s="10"/>
      <c r="AM188" s="10"/>
      <c r="AN188" s="10"/>
      <c r="AO188" s="10"/>
      <c r="AQ188" s="10"/>
      <c r="AR188" s="10"/>
      <c r="AS188" s="10"/>
      <c r="AT188" s="10"/>
      <c r="AU188" s="10"/>
      <c r="AW188" s="10" t="str">
        <f t="shared" si="64"/>
        <v/>
      </c>
      <c r="AX188" s="10" t="str">
        <f t="shared" si="58"/>
        <v/>
      </c>
      <c r="AY188" s="10" t="str">
        <f t="shared" si="59"/>
        <v/>
      </c>
      <c r="AZ188" s="10" t="str">
        <f t="shared" si="60"/>
        <v/>
      </c>
      <c r="BA188" s="10" t="str">
        <f t="shared" si="61"/>
        <v/>
      </c>
    </row>
    <row r="189" spans="6:53" x14ac:dyDescent="0.2">
      <c r="F189" s="10" t="str">
        <f t="shared" si="65"/>
        <v>2017/8/2</v>
      </c>
      <c r="G189" s="14">
        <v>42949</v>
      </c>
      <c r="H189" s="10">
        <v>4.1601411000000015</v>
      </c>
      <c r="I189" s="10">
        <v>-3.5243222000000003</v>
      </c>
      <c r="J189" s="10">
        <v>0.63581889999999996</v>
      </c>
      <c r="K189" s="10">
        <f t="shared" si="66"/>
        <v>791.21175159999996</v>
      </c>
      <c r="L189" s="10">
        <f t="shared" si="67"/>
        <v>-520.43302400000005</v>
      </c>
      <c r="M189" s="10">
        <f t="shared" si="68"/>
        <v>270.77872760000008</v>
      </c>
      <c r="N189" s="10">
        <v>11.781946249502454</v>
      </c>
      <c r="O189" s="10">
        <v>11.35640919220055</v>
      </c>
      <c r="P189" s="10">
        <v>3330.5600412200001</v>
      </c>
      <c r="Y189" s="10" t="e">
        <f t="shared" si="62"/>
        <v>#N/A</v>
      </c>
      <c r="Z189" s="10" t="e">
        <f t="shared" si="50"/>
        <v>#N/A</v>
      </c>
      <c r="AA189" s="10" t="e">
        <f t="shared" si="51"/>
        <v>#N/A</v>
      </c>
      <c r="AB189" s="10" t="e">
        <f t="shared" si="52"/>
        <v>#N/A</v>
      </c>
      <c r="AC189" s="10" t="e">
        <f t="shared" si="53"/>
        <v>#N/A</v>
      </c>
      <c r="AE189" s="10" t="str">
        <f t="shared" si="63"/>
        <v/>
      </c>
      <c r="AF189" s="10" t="str">
        <f t="shared" si="54"/>
        <v/>
      </c>
      <c r="AG189" s="10" t="str">
        <f t="shared" si="55"/>
        <v/>
      </c>
      <c r="AH189" s="10" t="str">
        <f t="shared" si="56"/>
        <v/>
      </c>
      <c r="AI189" s="10" t="str">
        <f t="shared" si="57"/>
        <v/>
      </c>
      <c r="AK189" s="10"/>
      <c r="AL189" s="10"/>
      <c r="AM189" s="10"/>
      <c r="AN189" s="10"/>
      <c r="AO189" s="10"/>
      <c r="AQ189" s="10"/>
      <c r="AR189" s="10"/>
      <c r="AS189" s="10"/>
      <c r="AT189" s="10"/>
      <c r="AU189" s="10"/>
      <c r="AW189" s="10" t="str">
        <f t="shared" si="64"/>
        <v/>
      </c>
      <c r="AX189" s="10" t="str">
        <f t="shared" si="58"/>
        <v/>
      </c>
      <c r="AY189" s="10" t="str">
        <f t="shared" si="59"/>
        <v/>
      </c>
      <c r="AZ189" s="10" t="str">
        <f t="shared" si="60"/>
        <v/>
      </c>
      <c r="BA189" s="10" t="str">
        <f t="shared" si="61"/>
        <v/>
      </c>
    </row>
    <row r="190" spans="6:53" x14ac:dyDescent="0.2">
      <c r="F190" s="10" t="str">
        <f t="shared" si="65"/>
        <v>2017/8/3</v>
      </c>
      <c r="G190" s="14">
        <v>42950</v>
      </c>
      <c r="H190" s="10">
        <v>6.5029915000000011</v>
      </c>
      <c r="I190" s="10">
        <v>-2.5256416000000002</v>
      </c>
      <c r="J190" s="10">
        <v>3.9773498999999992</v>
      </c>
      <c r="K190" s="10">
        <f t="shared" si="66"/>
        <v>797.71474309999996</v>
      </c>
      <c r="L190" s="10">
        <f t="shared" si="67"/>
        <v>-522.95866560000002</v>
      </c>
      <c r="M190" s="10">
        <f t="shared" si="68"/>
        <v>274.75607750000006</v>
      </c>
      <c r="N190" s="10">
        <v>11.636072298972474</v>
      </c>
      <c r="O190" s="10">
        <v>11.175327298050142</v>
      </c>
      <c r="P190" s="10">
        <v>3325.0545605000007</v>
      </c>
      <c r="Y190" s="10" t="e">
        <f t="shared" si="62"/>
        <v>#N/A</v>
      </c>
      <c r="Z190" s="10" t="e">
        <f t="shared" si="50"/>
        <v>#N/A</v>
      </c>
      <c r="AA190" s="10" t="e">
        <f t="shared" si="51"/>
        <v>#N/A</v>
      </c>
      <c r="AB190" s="10" t="e">
        <f t="shared" si="52"/>
        <v>#N/A</v>
      </c>
      <c r="AC190" s="10" t="e">
        <f t="shared" si="53"/>
        <v>#N/A</v>
      </c>
      <c r="AE190" s="10" t="str">
        <f t="shared" si="63"/>
        <v/>
      </c>
      <c r="AF190" s="10" t="str">
        <f t="shared" si="54"/>
        <v/>
      </c>
      <c r="AG190" s="10" t="str">
        <f t="shared" si="55"/>
        <v/>
      </c>
      <c r="AH190" s="10" t="str">
        <f t="shared" si="56"/>
        <v/>
      </c>
      <c r="AI190" s="10" t="str">
        <f t="shared" si="57"/>
        <v/>
      </c>
      <c r="AK190" s="10"/>
      <c r="AL190" s="10"/>
      <c r="AM190" s="10"/>
      <c r="AN190" s="10"/>
      <c r="AO190" s="10"/>
      <c r="AQ190" s="10"/>
      <c r="AR190" s="10"/>
      <c r="AS190" s="10"/>
      <c r="AT190" s="10"/>
      <c r="AU190" s="10"/>
      <c r="AW190" s="10" t="str">
        <f t="shared" si="64"/>
        <v/>
      </c>
      <c r="AX190" s="10" t="str">
        <f t="shared" si="58"/>
        <v/>
      </c>
      <c r="AY190" s="10" t="str">
        <f t="shared" si="59"/>
        <v/>
      </c>
      <c r="AZ190" s="10" t="str">
        <f t="shared" si="60"/>
        <v/>
      </c>
      <c r="BA190" s="10" t="str">
        <f t="shared" si="61"/>
        <v/>
      </c>
    </row>
    <row r="191" spans="6:53" x14ac:dyDescent="0.2">
      <c r="F191" s="10" t="str">
        <f t="shared" si="65"/>
        <v>2017/8/4</v>
      </c>
      <c r="G191" s="14">
        <v>42951</v>
      </c>
      <c r="H191" s="10">
        <v>3.3847071</v>
      </c>
      <c r="I191" s="10">
        <v>-2.4276073999999999</v>
      </c>
      <c r="J191" s="10">
        <v>0.95709970000000011</v>
      </c>
      <c r="K191" s="10">
        <f t="shared" si="66"/>
        <v>801.09945019999998</v>
      </c>
      <c r="L191" s="10">
        <f t="shared" si="67"/>
        <v>-525.38627300000007</v>
      </c>
      <c r="M191" s="10">
        <f t="shared" si="68"/>
        <v>275.71317720000008</v>
      </c>
      <c r="N191" s="10">
        <v>11.674740743510316</v>
      </c>
      <c r="O191" s="10">
        <v>11.142386350974929</v>
      </c>
      <c r="P191" s="10">
        <v>3324.3793122999991</v>
      </c>
      <c r="Y191" s="10" t="e">
        <f t="shared" si="62"/>
        <v>#N/A</v>
      </c>
      <c r="Z191" s="10" t="e">
        <f t="shared" si="50"/>
        <v>#N/A</v>
      </c>
      <c r="AA191" s="10" t="e">
        <f t="shared" si="51"/>
        <v>#N/A</v>
      </c>
      <c r="AB191" s="10" t="e">
        <f t="shared" si="52"/>
        <v>#N/A</v>
      </c>
      <c r="AC191" s="10" t="e">
        <f t="shared" si="53"/>
        <v>#N/A</v>
      </c>
      <c r="AE191" s="10" t="str">
        <f t="shared" si="63"/>
        <v/>
      </c>
      <c r="AF191" s="10" t="str">
        <f t="shared" si="54"/>
        <v/>
      </c>
      <c r="AG191" s="10" t="str">
        <f t="shared" si="55"/>
        <v/>
      </c>
      <c r="AH191" s="10" t="str">
        <f t="shared" si="56"/>
        <v/>
      </c>
      <c r="AI191" s="10" t="str">
        <f t="shared" si="57"/>
        <v/>
      </c>
      <c r="AK191" s="10"/>
      <c r="AL191" s="10"/>
      <c r="AM191" s="10"/>
      <c r="AN191" s="10"/>
      <c r="AO191" s="10"/>
      <c r="AQ191" s="10"/>
      <c r="AR191" s="10"/>
      <c r="AS191" s="10"/>
      <c r="AT191" s="10"/>
      <c r="AU191" s="10"/>
      <c r="AW191" s="10" t="str">
        <f t="shared" si="64"/>
        <v/>
      </c>
      <c r="AX191" s="10" t="str">
        <f t="shared" si="58"/>
        <v/>
      </c>
      <c r="AY191" s="10" t="str">
        <f t="shared" si="59"/>
        <v/>
      </c>
      <c r="AZ191" s="10" t="str">
        <f t="shared" si="60"/>
        <v/>
      </c>
      <c r="BA191" s="10" t="str">
        <f t="shared" si="61"/>
        <v/>
      </c>
    </row>
    <row r="192" spans="6:53" x14ac:dyDescent="0.2">
      <c r="F192" s="10" t="str">
        <f t="shared" si="65"/>
        <v>2017/8/7</v>
      </c>
      <c r="G192" s="14">
        <v>42954</v>
      </c>
      <c r="H192" s="10">
        <v>2.3340382000000002</v>
      </c>
      <c r="I192" s="10">
        <v>-2.8969333999999991</v>
      </c>
      <c r="J192" s="10">
        <v>-0.56289519999999993</v>
      </c>
      <c r="K192" s="10">
        <f t="shared" si="66"/>
        <v>803.43348839999999</v>
      </c>
      <c r="L192" s="10">
        <f t="shared" si="67"/>
        <v>-528.28320640000004</v>
      </c>
      <c r="M192" s="10">
        <f t="shared" si="68"/>
        <v>275.15028200000006</v>
      </c>
      <c r="N192" s="10">
        <v>11.887336012106816</v>
      </c>
      <c r="O192" s="10">
        <v>11.304509888579387</v>
      </c>
      <c r="P192" s="10">
        <v>3325.9542833000019</v>
      </c>
      <c r="Y192" s="10" t="e">
        <f t="shared" si="62"/>
        <v>#N/A</v>
      </c>
      <c r="Z192" s="10" t="e">
        <f t="shared" si="50"/>
        <v>#N/A</v>
      </c>
      <c r="AA192" s="10" t="e">
        <f t="shared" si="51"/>
        <v>#N/A</v>
      </c>
      <c r="AB192" s="10" t="e">
        <f t="shared" si="52"/>
        <v>#N/A</v>
      </c>
      <c r="AC192" s="10" t="e">
        <f t="shared" si="53"/>
        <v>#N/A</v>
      </c>
      <c r="AE192" s="10" t="str">
        <f t="shared" si="63"/>
        <v/>
      </c>
      <c r="AF192" s="10" t="str">
        <f t="shared" si="54"/>
        <v/>
      </c>
      <c r="AG192" s="10" t="str">
        <f t="shared" si="55"/>
        <v/>
      </c>
      <c r="AH192" s="10" t="str">
        <f t="shared" si="56"/>
        <v/>
      </c>
      <c r="AI192" s="10" t="str">
        <f t="shared" si="57"/>
        <v/>
      </c>
      <c r="AK192" s="10"/>
      <c r="AL192" s="10"/>
      <c r="AM192" s="10"/>
      <c r="AN192" s="10"/>
      <c r="AO192" s="10"/>
      <c r="AQ192" s="10"/>
      <c r="AR192" s="10"/>
      <c r="AS192" s="10"/>
      <c r="AT192" s="10"/>
      <c r="AU192" s="10"/>
      <c r="AW192" s="10" t="str">
        <f t="shared" si="64"/>
        <v/>
      </c>
      <c r="AX192" s="10" t="str">
        <f t="shared" si="58"/>
        <v/>
      </c>
      <c r="AY192" s="10" t="str">
        <f t="shared" si="59"/>
        <v/>
      </c>
      <c r="AZ192" s="10" t="str">
        <f t="shared" si="60"/>
        <v/>
      </c>
      <c r="BA192" s="10" t="str">
        <f t="shared" si="61"/>
        <v/>
      </c>
    </row>
    <row r="193" spans="6:53" x14ac:dyDescent="0.2">
      <c r="F193" s="10" t="str">
        <f t="shared" si="65"/>
        <v>2017/8/8</v>
      </c>
      <c r="G193" s="14">
        <v>42955</v>
      </c>
      <c r="H193" s="10">
        <v>5.6297429999999995</v>
      </c>
      <c r="I193" s="10">
        <v>-1.3869016000000001</v>
      </c>
      <c r="J193" s="10">
        <v>4.2428413999999997</v>
      </c>
      <c r="K193" s="10">
        <f t="shared" si="66"/>
        <v>809.06323139999995</v>
      </c>
      <c r="L193" s="10">
        <f t="shared" si="67"/>
        <v>-529.67010800000003</v>
      </c>
      <c r="M193" s="10">
        <f t="shared" si="68"/>
        <v>279.39312340000004</v>
      </c>
      <c r="N193" s="10">
        <v>11.660695231752596</v>
      </c>
      <c r="O193" s="10">
        <v>11.112986629526464</v>
      </c>
      <c r="P193" s="10">
        <v>3331.4061535000005</v>
      </c>
      <c r="Y193" s="10" t="e">
        <f t="shared" si="62"/>
        <v>#N/A</v>
      </c>
      <c r="Z193" s="10" t="e">
        <f t="shared" si="50"/>
        <v>#N/A</v>
      </c>
      <c r="AA193" s="10" t="e">
        <f t="shared" si="51"/>
        <v>#N/A</v>
      </c>
      <c r="AB193" s="10" t="e">
        <f t="shared" si="52"/>
        <v>#N/A</v>
      </c>
      <c r="AC193" s="10" t="e">
        <f t="shared" si="53"/>
        <v>#N/A</v>
      </c>
      <c r="AE193" s="10" t="str">
        <f t="shared" si="63"/>
        <v/>
      </c>
      <c r="AF193" s="10" t="str">
        <f t="shared" si="54"/>
        <v/>
      </c>
      <c r="AG193" s="10" t="str">
        <f t="shared" si="55"/>
        <v/>
      </c>
      <c r="AH193" s="10" t="str">
        <f t="shared" si="56"/>
        <v/>
      </c>
      <c r="AI193" s="10" t="str">
        <f t="shared" si="57"/>
        <v/>
      </c>
      <c r="AK193" s="10"/>
      <c r="AL193" s="10"/>
      <c r="AM193" s="10"/>
      <c r="AN193" s="10"/>
      <c r="AO193" s="10"/>
      <c r="AQ193" s="10"/>
      <c r="AR193" s="10"/>
      <c r="AS193" s="10"/>
      <c r="AT193" s="10"/>
      <c r="AU193" s="10"/>
      <c r="AW193" s="10" t="str">
        <f t="shared" si="64"/>
        <v/>
      </c>
      <c r="AX193" s="10" t="str">
        <f t="shared" si="58"/>
        <v/>
      </c>
      <c r="AY193" s="10" t="str">
        <f t="shared" si="59"/>
        <v/>
      </c>
      <c r="AZ193" s="10" t="str">
        <f t="shared" si="60"/>
        <v/>
      </c>
      <c r="BA193" s="10" t="str">
        <f t="shared" si="61"/>
        <v/>
      </c>
    </row>
    <row r="194" spans="6:53" x14ac:dyDescent="0.2">
      <c r="F194" s="10" t="str">
        <f t="shared" si="65"/>
        <v>2017/8/9</v>
      </c>
      <c r="G194" s="14">
        <v>42956</v>
      </c>
      <c r="H194" s="10">
        <v>2.8574043000000002</v>
      </c>
      <c r="I194" s="10">
        <v>-3.3464702999999996</v>
      </c>
      <c r="J194" s="10">
        <v>-0.48906599999999978</v>
      </c>
      <c r="K194" s="10">
        <f t="shared" si="66"/>
        <v>811.92063569999993</v>
      </c>
      <c r="L194" s="10">
        <f t="shared" si="67"/>
        <v>-533.01657829999999</v>
      </c>
      <c r="M194" s="10">
        <f t="shared" si="68"/>
        <v>278.90405740000006</v>
      </c>
      <c r="N194" s="10">
        <v>11.388965767514341</v>
      </c>
      <c r="O194" s="10">
        <v>10.820353760445681</v>
      </c>
      <c r="P194" s="10">
        <v>3328.7231045000017</v>
      </c>
      <c r="Y194" s="10" t="e">
        <f t="shared" si="62"/>
        <v>#N/A</v>
      </c>
      <c r="Z194" s="10" t="e">
        <f t="shared" si="50"/>
        <v>#N/A</v>
      </c>
      <c r="AA194" s="10" t="e">
        <f t="shared" si="51"/>
        <v>#N/A</v>
      </c>
      <c r="AB194" s="10" t="e">
        <f t="shared" si="52"/>
        <v>#N/A</v>
      </c>
      <c r="AC194" s="10" t="e">
        <f t="shared" si="53"/>
        <v>#N/A</v>
      </c>
      <c r="AE194" s="10" t="str">
        <f t="shared" si="63"/>
        <v/>
      </c>
      <c r="AF194" s="10" t="str">
        <f t="shared" si="54"/>
        <v/>
      </c>
      <c r="AG194" s="10" t="str">
        <f t="shared" si="55"/>
        <v/>
      </c>
      <c r="AH194" s="10" t="str">
        <f t="shared" si="56"/>
        <v/>
      </c>
      <c r="AI194" s="10" t="str">
        <f t="shared" si="57"/>
        <v/>
      </c>
      <c r="AK194" s="10"/>
      <c r="AL194" s="10"/>
      <c r="AM194" s="10"/>
      <c r="AN194" s="10"/>
      <c r="AO194" s="10"/>
      <c r="AQ194" s="10"/>
      <c r="AR194" s="10"/>
      <c r="AS194" s="10"/>
      <c r="AT194" s="10"/>
      <c r="AU194" s="10"/>
      <c r="AW194" s="10" t="str">
        <f t="shared" si="64"/>
        <v/>
      </c>
      <c r="AX194" s="10" t="str">
        <f t="shared" si="58"/>
        <v/>
      </c>
      <c r="AY194" s="10" t="str">
        <f t="shared" si="59"/>
        <v/>
      </c>
      <c r="AZ194" s="10" t="str">
        <f t="shared" si="60"/>
        <v/>
      </c>
      <c r="BA194" s="10" t="str">
        <f t="shared" si="61"/>
        <v/>
      </c>
    </row>
    <row r="195" spans="6:53" x14ac:dyDescent="0.2">
      <c r="F195" s="10" t="str">
        <f t="shared" si="65"/>
        <v>2017/8/10</v>
      </c>
      <c r="G195" s="14">
        <v>42957</v>
      </c>
      <c r="H195" s="10">
        <v>3.1182227</v>
      </c>
      <c r="I195" s="10">
        <v>-3.9971293000000006</v>
      </c>
      <c r="J195" s="10">
        <v>-0.8789066000000002</v>
      </c>
      <c r="K195" s="10">
        <f t="shared" si="66"/>
        <v>815.03885839999998</v>
      </c>
      <c r="L195" s="10">
        <f t="shared" si="67"/>
        <v>-537.01370759999998</v>
      </c>
      <c r="M195" s="10">
        <f t="shared" si="68"/>
        <v>278.02515080000006</v>
      </c>
      <c r="N195" s="10">
        <v>10.235674216615786</v>
      </c>
      <c r="O195" s="10">
        <v>9.8774749303621157</v>
      </c>
      <c r="P195" s="10">
        <v>3320.6272050000011</v>
      </c>
      <c r="Y195" s="10" t="e">
        <f t="shared" si="62"/>
        <v>#N/A</v>
      </c>
      <c r="Z195" s="10" t="e">
        <f t="shared" si="50"/>
        <v>#N/A</v>
      </c>
      <c r="AA195" s="10" t="e">
        <f t="shared" si="51"/>
        <v>#N/A</v>
      </c>
      <c r="AB195" s="10" t="e">
        <f t="shared" si="52"/>
        <v>#N/A</v>
      </c>
      <c r="AC195" s="10" t="e">
        <f t="shared" si="53"/>
        <v>#N/A</v>
      </c>
      <c r="AE195" s="10" t="str">
        <f t="shared" si="63"/>
        <v/>
      </c>
      <c r="AF195" s="10" t="str">
        <f t="shared" si="54"/>
        <v/>
      </c>
      <c r="AG195" s="10" t="str">
        <f t="shared" si="55"/>
        <v/>
      </c>
      <c r="AH195" s="10" t="str">
        <f t="shared" si="56"/>
        <v/>
      </c>
      <c r="AI195" s="10" t="str">
        <f t="shared" si="57"/>
        <v/>
      </c>
      <c r="AK195" s="10"/>
      <c r="AL195" s="10"/>
      <c r="AM195" s="10"/>
      <c r="AN195" s="10"/>
      <c r="AO195" s="10"/>
      <c r="AQ195" s="10"/>
      <c r="AR195" s="10"/>
      <c r="AS195" s="10"/>
      <c r="AT195" s="10"/>
      <c r="AU195" s="10"/>
      <c r="AW195" s="10" t="str">
        <f t="shared" si="64"/>
        <v/>
      </c>
      <c r="AX195" s="10" t="str">
        <f t="shared" si="58"/>
        <v/>
      </c>
      <c r="AY195" s="10" t="str">
        <f t="shared" si="59"/>
        <v/>
      </c>
      <c r="AZ195" s="10" t="str">
        <f t="shared" si="60"/>
        <v/>
      </c>
      <c r="BA195" s="10" t="str">
        <f t="shared" si="61"/>
        <v/>
      </c>
    </row>
    <row r="196" spans="6:53" x14ac:dyDescent="0.2">
      <c r="F196" s="10" t="str">
        <f t="shared" si="65"/>
        <v>2017/8/11</v>
      </c>
      <c r="G196" s="14">
        <v>42958</v>
      </c>
      <c r="H196" s="10">
        <v>2.1945414000000003</v>
      </c>
      <c r="I196" s="10">
        <v>-4.9972248999999991</v>
      </c>
      <c r="J196" s="10">
        <v>-2.8026835000000001</v>
      </c>
      <c r="K196" s="10">
        <f t="shared" si="66"/>
        <v>817.23339980000003</v>
      </c>
      <c r="L196" s="10">
        <f t="shared" si="67"/>
        <v>-542.01093249999997</v>
      </c>
      <c r="M196" s="10">
        <f t="shared" si="68"/>
        <v>275.22246730000006</v>
      </c>
      <c r="N196" s="10">
        <v>10.244570860628297</v>
      </c>
      <c r="O196" s="10">
        <v>9.8054750696378754</v>
      </c>
      <c r="P196" s="10">
        <v>3286.4225005000003</v>
      </c>
      <c r="Y196" s="10" t="e">
        <f t="shared" si="62"/>
        <v>#N/A</v>
      </c>
      <c r="Z196" s="10" t="e">
        <f t="shared" si="50"/>
        <v>#N/A</v>
      </c>
      <c r="AA196" s="10" t="e">
        <f t="shared" si="51"/>
        <v>#N/A</v>
      </c>
      <c r="AB196" s="10" t="e">
        <f t="shared" si="52"/>
        <v>#N/A</v>
      </c>
      <c r="AC196" s="10" t="e">
        <f t="shared" si="53"/>
        <v>#N/A</v>
      </c>
      <c r="AE196" s="10" t="str">
        <f t="shared" si="63"/>
        <v/>
      </c>
      <c r="AF196" s="10" t="str">
        <f t="shared" si="54"/>
        <v/>
      </c>
      <c r="AG196" s="10" t="str">
        <f t="shared" si="55"/>
        <v/>
      </c>
      <c r="AH196" s="10" t="str">
        <f t="shared" si="56"/>
        <v/>
      </c>
      <c r="AI196" s="10" t="str">
        <f t="shared" si="57"/>
        <v/>
      </c>
      <c r="AK196" s="10"/>
      <c r="AL196" s="10"/>
      <c r="AM196" s="10"/>
      <c r="AN196" s="10"/>
      <c r="AO196" s="10"/>
      <c r="AQ196" s="10"/>
      <c r="AR196" s="10"/>
      <c r="AS196" s="10"/>
      <c r="AT196" s="10"/>
      <c r="AU196" s="10"/>
      <c r="AW196" s="10" t="str">
        <f t="shared" si="64"/>
        <v/>
      </c>
      <c r="AX196" s="10" t="str">
        <f t="shared" si="58"/>
        <v/>
      </c>
      <c r="AY196" s="10" t="str">
        <f t="shared" si="59"/>
        <v/>
      </c>
      <c r="AZ196" s="10" t="str">
        <f t="shared" si="60"/>
        <v/>
      </c>
      <c r="BA196" s="10" t="str">
        <f t="shared" si="61"/>
        <v/>
      </c>
    </row>
    <row r="197" spans="6:53" x14ac:dyDescent="0.2">
      <c r="F197" s="10" t="str">
        <f t="shared" si="65"/>
        <v>2017/8/14</v>
      </c>
      <c r="G197" s="14">
        <v>42961</v>
      </c>
      <c r="H197" s="10">
        <v>5.3932994999999986</v>
      </c>
      <c r="I197" s="10">
        <v>-2.6490263000000001</v>
      </c>
      <c r="J197" s="10">
        <v>2.7442731999999994</v>
      </c>
      <c r="K197" s="10">
        <f t="shared" si="66"/>
        <v>822.62669930000004</v>
      </c>
      <c r="L197" s="10">
        <f t="shared" si="67"/>
        <v>-544.65995879999991</v>
      </c>
      <c r="M197" s="10">
        <f t="shared" si="68"/>
        <v>277.96674050000007</v>
      </c>
      <c r="N197" s="10">
        <v>10.994335320552132</v>
      </c>
      <c r="O197" s="10">
        <v>10.461128133704733</v>
      </c>
      <c r="P197" s="10">
        <v>3283.4262343500004</v>
      </c>
      <c r="Y197" s="10" t="e">
        <f t="shared" si="62"/>
        <v>#N/A</v>
      </c>
      <c r="Z197" s="10" t="e">
        <f t="shared" si="50"/>
        <v>#N/A</v>
      </c>
      <c r="AA197" s="10" t="e">
        <f t="shared" si="51"/>
        <v>#N/A</v>
      </c>
      <c r="AB197" s="10" t="e">
        <f t="shared" si="52"/>
        <v>#N/A</v>
      </c>
      <c r="AC197" s="10" t="e">
        <f t="shared" si="53"/>
        <v>#N/A</v>
      </c>
      <c r="AE197" s="10" t="str">
        <f t="shared" si="63"/>
        <v/>
      </c>
      <c r="AF197" s="10" t="str">
        <f t="shared" si="54"/>
        <v/>
      </c>
      <c r="AG197" s="10" t="str">
        <f t="shared" si="55"/>
        <v/>
      </c>
      <c r="AH197" s="10" t="str">
        <f t="shared" si="56"/>
        <v/>
      </c>
      <c r="AI197" s="10" t="str">
        <f t="shared" si="57"/>
        <v/>
      </c>
      <c r="AK197" s="10"/>
      <c r="AL197" s="10"/>
      <c r="AM197" s="10"/>
      <c r="AN197" s="10"/>
      <c r="AO197" s="10"/>
      <c r="AQ197" s="10"/>
      <c r="AR197" s="10"/>
      <c r="AS197" s="10"/>
      <c r="AT197" s="10"/>
      <c r="AU197" s="10"/>
      <c r="AW197" s="10" t="str">
        <f t="shared" si="64"/>
        <v/>
      </c>
      <c r="AX197" s="10" t="str">
        <f t="shared" si="58"/>
        <v/>
      </c>
      <c r="AY197" s="10" t="str">
        <f t="shared" si="59"/>
        <v/>
      </c>
      <c r="AZ197" s="10" t="str">
        <f t="shared" si="60"/>
        <v/>
      </c>
      <c r="BA197" s="10" t="str">
        <f t="shared" si="61"/>
        <v/>
      </c>
    </row>
    <row r="198" spans="6:53" x14ac:dyDescent="0.2">
      <c r="F198" s="10" t="str">
        <f t="shared" si="65"/>
        <v>2017/8/15</v>
      </c>
      <c r="G198" s="14">
        <v>42962</v>
      </c>
      <c r="H198" s="10">
        <v>4.8376453000000001</v>
      </c>
      <c r="I198" s="10">
        <v>-2.5678828999999999</v>
      </c>
      <c r="J198" s="10">
        <v>2.2697624000000021</v>
      </c>
      <c r="K198" s="10">
        <f t="shared" si="66"/>
        <v>827.4643446</v>
      </c>
      <c r="L198" s="10">
        <f t="shared" si="67"/>
        <v>-547.22784169999989</v>
      </c>
      <c r="M198" s="10">
        <f t="shared" si="68"/>
        <v>280.23650290000006</v>
      </c>
      <c r="N198" s="10">
        <v>10.86026013466013</v>
      </c>
      <c r="O198" s="10">
        <v>10.24723342618384</v>
      </c>
      <c r="P198" s="10">
        <v>3307.6753774000013</v>
      </c>
      <c r="Y198" s="10" t="e">
        <f t="shared" si="62"/>
        <v>#N/A</v>
      </c>
      <c r="Z198" s="10" t="e">
        <f t="shared" si="50"/>
        <v>#N/A</v>
      </c>
      <c r="AA198" s="10" t="e">
        <f t="shared" si="51"/>
        <v>#N/A</v>
      </c>
      <c r="AB198" s="10" t="e">
        <f t="shared" si="52"/>
        <v>#N/A</v>
      </c>
      <c r="AC198" s="10" t="e">
        <f t="shared" si="53"/>
        <v>#N/A</v>
      </c>
      <c r="AE198" s="10" t="str">
        <f t="shared" si="63"/>
        <v/>
      </c>
      <c r="AF198" s="10" t="str">
        <f t="shared" si="54"/>
        <v/>
      </c>
      <c r="AG198" s="10" t="str">
        <f t="shared" si="55"/>
        <v/>
      </c>
      <c r="AH198" s="10" t="str">
        <f t="shared" si="56"/>
        <v/>
      </c>
      <c r="AI198" s="10" t="str">
        <f t="shared" si="57"/>
        <v/>
      </c>
      <c r="AK198" s="10"/>
      <c r="AL198" s="10"/>
      <c r="AM198" s="10"/>
      <c r="AN198" s="10"/>
      <c r="AO198" s="10"/>
      <c r="AQ198" s="10"/>
      <c r="AR198" s="10"/>
      <c r="AS198" s="10"/>
      <c r="AT198" s="10"/>
      <c r="AU198" s="10"/>
      <c r="AW198" s="10" t="str">
        <f t="shared" si="64"/>
        <v/>
      </c>
      <c r="AX198" s="10" t="str">
        <f t="shared" si="58"/>
        <v/>
      </c>
      <c r="AY198" s="10" t="str">
        <f t="shared" si="59"/>
        <v/>
      </c>
      <c r="AZ198" s="10" t="str">
        <f t="shared" si="60"/>
        <v/>
      </c>
      <c r="BA198" s="10" t="str">
        <f t="shared" si="61"/>
        <v/>
      </c>
    </row>
    <row r="199" spans="6:53" x14ac:dyDescent="0.2">
      <c r="F199" s="10" t="str">
        <f t="shared" si="65"/>
        <v>2017/8/16</v>
      </c>
      <c r="G199" s="14">
        <v>42963</v>
      </c>
      <c r="H199" s="10">
        <v>5.3943099000000005</v>
      </c>
      <c r="I199" s="10">
        <v>-1.4049012999999997</v>
      </c>
      <c r="J199" s="10">
        <v>3.9894086000000017</v>
      </c>
      <c r="K199" s="10">
        <f t="shared" si="66"/>
        <v>832.85865450000006</v>
      </c>
      <c r="L199" s="10">
        <f t="shared" si="67"/>
        <v>-548.63274299999989</v>
      </c>
      <c r="M199" s="10">
        <f t="shared" si="68"/>
        <v>284.22591150000005</v>
      </c>
      <c r="N199" s="10">
        <v>11.164484636196493</v>
      </c>
      <c r="O199" s="10">
        <v>10.52103342618385</v>
      </c>
      <c r="P199" s="10">
        <v>3304.5087101000004</v>
      </c>
      <c r="Y199" s="10" t="e">
        <f t="shared" si="62"/>
        <v>#N/A</v>
      </c>
      <c r="Z199" s="10" t="e">
        <f t="shared" si="50"/>
        <v>#N/A</v>
      </c>
      <c r="AA199" s="10" t="e">
        <f t="shared" si="51"/>
        <v>#N/A</v>
      </c>
      <c r="AB199" s="10" t="e">
        <f t="shared" si="52"/>
        <v>#N/A</v>
      </c>
      <c r="AC199" s="10" t="e">
        <f t="shared" si="53"/>
        <v>#N/A</v>
      </c>
      <c r="AE199" s="10" t="str">
        <f t="shared" si="63"/>
        <v/>
      </c>
      <c r="AF199" s="10" t="str">
        <f t="shared" si="54"/>
        <v/>
      </c>
      <c r="AG199" s="10" t="str">
        <f t="shared" si="55"/>
        <v/>
      </c>
      <c r="AH199" s="10" t="str">
        <f t="shared" si="56"/>
        <v/>
      </c>
      <c r="AI199" s="10" t="str">
        <f t="shared" si="57"/>
        <v/>
      </c>
      <c r="AK199" s="10"/>
      <c r="AL199" s="10"/>
      <c r="AM199" s="10"/>
      <c r="AN199" s="10"/>
      <c r="AO199" s="10"/>
      <c r="AQ199" s="10"/>
      <c r="AR199" s="10"/>
      <c r="AS199" s="10"/>
      <c r="AT199" s="10"/>
      <c r="AU199" s="10"/>
      <c r="AW199" s="10" t="str">
        <f t="shared" si="64"/>
        <v/>
      </c>
      <c r="AX199" s="10" t="str">
        <f t="shared" si="58"/>
        <v/>
      </c>
      <c r="AY199" s="10" t="str">
        <f t="shared" si="59"/>
        <v/>
      </c>
      <c r="AZ199" s="10" t="str">
        <f t="shared" si="60"/>
        <v/>
      </c>
      <c r="BA199" s="10" t="str">
        <f t="shared" si="61"/>
        <v/>
      </c>
    </row>
    <row r="200" spans="6:53" x14ac:dyDescent="0.2">
      <c r="F200" s="10" t="str">
        <f t="shared" si="65"/>
        <v>2017/8/17</v>
      </c>
      <c r="G200" s="14">
        <v>42964</v>
      </c>
      <c r="H200" s="10">
        <v>2.7888803999999996</v>
      </c>
      <c r="I200" s="10">
        <v>-6.1913929999999979</v>
      </c>
      <c r="J200" s="10">
        <v>-3.4025125999999997</v>
      </c>
      <c r="K200" s="10">
        <f t="shared" si="66"/>
        <v>835.6475349000001</v>
      </c>
      <c r="L200" s="10">
        <f t="shared" si="67"/>
        <v>-554.82413599999984</v>
      </c>
      <c r="M200" s="10">
        <f t="shared" si="68"/>
        <v>280.82339890000003</v>
      </c>
      <c r="N200" s="10">
        <v>10.175775418699867</v>
      </c>
      <c r="O200" s="10">
        <v>9.8421105849582204</v>
      </c>
      <c r="P200" s="10">
        <v>3318.0726943000009</v>
      </c>
      <c r="Y200" s="10" t="e">
        <f t="shared" si="62"/>
        <v>#N/A</v>
      </c>
      <c r="Z200" s="10" t="e">
        <f t="shared" si="50"/>
        <v>#N/A</v>
      </c>
      <c r="AA200" s="10" t="e">
        <f t="shared" si="51"/>
        <v>#N/A</v>
      </c>
      <c r="AB200" s="10" t="e">
        <f t="shared" si="52"/>
        <v>#N/A</v>
      </c>
      <c r="AC200" s="10" t="e">
        <f t="shared" si="53"/>
        <v>#N/A</v>
      </c>
      <c r="AE200" s="10" t="str">
        <f t="shared" si="63"/>
        <v/>
      </c>
      <c r="AF200" s="10" t="str">
        <f t="shared" si="54"/>
        <v/>
      </c>
      <c r="AG200" s="10" t="str">
        <f t="shared" si="55"/>
        <v/>
      </c>
      <c r="AH200" s="10" t="str">
        <f t="shared" si="56"/>
        <v/>
      </c>
      <c r="AI200" s="10" t="str">
        <f t="shared" si="57"/>
        <v/>
      </c>
      <c r="AK200" s="10"/>
      <c r="AL200" s="10"/>
      <c r="AM200" s="10"/>
      <c r="AN200" s="10"/>
      <c r="AO200" s="10"/>
      <c r="AQ200" s="10"/>
      <c r="AR200" s="10"/>
      <c r="AS200" s="10"/>
      <c r="AT200" s="10"/>
      <c r="AU200" s="10"/>
      <c r="AW200" s="10" t="str">
        <f t="shared" si="64"/>
        <v/>
      </c>
      <c r="AX200" s="10" t="str">
        <f t="shared" si="58"/>
        <v/>
      </c>
      <c r="AY200" s="10" t="str">
        <f t="shared" si="59"/>
        <v/>
      </c>
      <c r="AZ200" s="10" t="str">
        <f t="shared" si="60"/>
        <v/>
      </c>
      <c r="BA200" s="10" t="str">
        <f t="shared" si="61"/>
        <v/>
      </c>
    </row>
    <row r="201" spans="6:53" x14ac:dyDescent="0.2">
      <c r="F201" s="10" t="str">
        <f t="shared" si="65"/>
        <v>2017/8/18</v>
      </c>
      <c r="G201" s="14">
        <v>42965</v>
      </c>
      <c r="H201" s="10">
        <v>3.0224998999999992</v>
      </c>
      <c r="I201" s="10">
        <v>-4.1654663999999997</v>
      </c>
      <c r="J201" s="10">
        <v>-1.1429665</v>
      </c>
      <c r="K201" s="10">
        <f t="shared" si="66"/>
        <v>838.67003480000005</v>
      </c>
      <c r="L201" s="10">
        <f t="shared" si="67"/>
        <v>-558.98960239999985</v>
      </c>
      <c r="M201" s="10">
        <f t="shared" si="68"/>
        <v>279.68043240000003</v>
      </c>
      <c r="N201" s="10">
        <v>10.081675174065269</v>
      </c>
      <c r="O201" s="10">
        <v>9.7685821727019544</v>
      </c>
      <c r="P201" s="10">
        <v>3284.9720908999993</v>
      </c>
      <c r="Y201" s="10" t="e">
        <f t="shared" si="62"/>
        <v>#N/A</v>
      </c>
      <c r="Z201" s="10" t="e">
        <f t="shared" si="50"/>
        <v>#N/A</v>
      </c>
      <c r="AA201" s="10" t="e">
        <f t="shared" si="51"/>
        <v>#N/A</v>
      </c>
      <c r="AB201" s="10" t="e">
        <f t="shared" si="52"/>
        <v>#N/A</v>
      </c>
      <c r="AC201" s="10" t="e">
        <f t="shared" si="53"/>
        <v>#N/A</v>
      </c>
      <c r="AE201" s="10" t="str">
        <f t="shared" si="63"/>
        <v/>
      </c>
      <c r="AF201" s="10" t="str">
        <f t="shared" si="54"/>
        <v/>
      </c>
      <c r="AG201" s="10" t="str">
        <f t="shared" si="55"/>
        <v/>
      </c>
      <c r="AH201" s="10" t="str">
        <f t="shared" si="56"/>
        <v/>
      </c>
      <c r="AI201" s="10" t="str">
        <f t="shared" si="57"/>
        <v/>
      </c>
      <c r="AK201" s="10"/>
      <c r="AL201" s="10"/>
      <c r="AM201" s="10"/>
      <c r="AN201" s="10"/>
      <c r="AO201" s="10"/>
      <c r="AQ201" s="10"/>
      <c r="AR201" s="10"/>
      <c r="AS201" s="10"/>
      <c r="AT201" s="10"/>
      <c r="AU201" s="10"/>
      <c r="AW201" s="10" t="str">
        <f t="shared" si="64"/>
        <v/>
      </c>
      <c r="AX201" s="10" t="str">
        <f t="shared" si="58"/>
        <v/>
      </c>
      <c r="AY201" s="10" t="str">
        <f t="shared" si="59"/>
        <v/>
      </c>
      <c r="AZ201" s="10" t="str">
        <f t="shared" si="60"/>
        <v/>
      </c>
      <c r="BA201" s="10" t="str">
        <f t="shared" si="61"/>
        <v/>
      </c>
    </row>
    <row r="202" spans="6:53" x14ac:dyDescent="0.2">
      <c r="F202" s="10" t="str">
        <f t="shared" si="65"/>
        <v>2017/8/21</v>
      </c>
      <c r="G202" s="14">
        <v>42968</v>
      </c>
      <c r="H202" s="10">
        <v>4.6444843000000002</v>
      </c>
      <c r="I202" s="10">
        <v>-4.0744680000000004</v>
      </c>
      <c r="J202" s="10">
        <v>0.57001629999999992</v>
      </c>
      <c r="K202" s="10">
        <f t="shared" si="66"/>
        <v>843.3145191000001</v>
      </c>
      <c r="L202" s="10">
        <f t="shared" si="67"/>
        <v>-563.06407039999988</v>
      </c>
      <c r="M202" s="10">
        <f t="shared" si="68"/>
        <v>280.25044870000005</v>
      </c>
      <c r="N202" s="10">
        <v>10.21457731044568</v>
      </c>
      <c r="O202" s="10">
        <v>9.9019047353760428</v>
      </c>
      <c r="P202" s="10">
        <v>3280.5538059999994</v>
      </c>
      <c r="Y202" s="10" t="e">
        <f t="shared" si="62"/>
        <v>#N/A</v>
      </c>
      <c r="Z202" s="10" t="e">
        <f t="shared" si="50"/>
        <v>#N/A</v>
      </c>
      <c r="AA202" s="10" t="e">
        <f t="shared" si="51"/>
        <v>#N/A</v>
      </c>
      <c r="AB202" s="10" t="e">
        <f t="shared" si="52"/>
        <v>#N/A</v>
      </c>
      <c r="AC202" s="10" t="e">
        <f t="shared" si="53"/>
        <v>#N/A</v>
      </c>
      <c r="AE202" s="10" t="str">
        <f t="shared" si="63"/>
        <v/>
      </c>
      <c r="AF202" s="10" t="str">
        <f t="shared" si="54"/>
        <v/>
      </c>
      <c r="AG202" s="10" t="str">
        <f t="shared" si="55"/>
        <v/>
      </c>
      <c r="AH202" s="10" t="str">
        <f t="shared" si="56"/>
        <v/>
      </c>
      <c r="AI202" s="10" t="str">
        <f t="shared" si="57"/>
        <v/>
      </c>
      <c r="AK202" s="10"/>
      <c r="AL202" s="10"/>
      <c r="AM202" s="10"/>
      <c r="AN202" s="10"/>
      <c r="AO202" s="10"/>
      <c r="AQ202" s="10"/>
      <c r="AR202" s="10"/>
      <c r="AS202" s="10"/>
      <c r="AT202" s="10"/>
      <c r="AU202" s="10"/>
      <c r="AW202" s="10" t="str">
        <f t="shared" si="64"/>
        <v/>
      </c>
      <c r="AX202" s="10" t="str">
        <f t="shared" si="58"/>
        <v/>
      </c>
      <c r="AY202" s="10" t="str">
        <f t="shared" si="59"/>
        <v/>
      </c>
      <c r="AZ202" s="10" t="str">
        <f t="shared" si="60"/>
        <v/>
      </c>
      <c r="BA202" s="10" t="str">
        <f t="shared" si="61"/>
        <v/>
      </c>
    </row>
    <row r="203" spans="6:53" x14ac:dyDescent="0.2">
      <c r="F203" s="10" t="str">
        <f t="shared" si="65"/>
        <v>2017/8/22</v>
      </c>
      <c r="G203" s="14">
        <v>42969</v>
      </c>
      <c r="H203" s="10">
        <v>6.6746332000000006</v>
      </c>
      <c r="I203" s="10">
        <v>-2.1478687999999995</v>
      </c>
      <c r="J203" s="10">
        <v>4.5267644000000002</v>
      </c>
      <c r="K203" s="10">
        <f t="shared" si="66"/>
        <v>849.98915230000011</v>
      </c>
      <c r="L203" s="10">
        <f t="shared" si="67"/>
        <v>-565.21193919999985</v>
      </c>
      <c r="M203" s="10">
        <f t="shared" si="68"/>
        <v>284.77721310000004</v>
      </c>
      <c r="N203" s="10">
        <v>10.863047824260331</v>
      </c>
      <c r="O203" s="10">
        <v>10.42291643454039</v>
      </c>
      <c r="P203" s="10">
        <v>3285.4428507999992</v>
      </c>
      <c r="Y203" s="10" t="e">
        <f t="shared" si="62"/>
        <v>#N/A</v>
      </c>
      <c r="Z203" s="10" t="e">
        <f t="shared" ref="Z203:Z266" si="69">IF($W$5=1,IF(AL203="",NA(),AL203),IF($W$5=2,IF(AF203="",NA(),AF203),IF($W$5=3,IF(AX203="",NA(),AX203),IF($W$5=4,IF(AR203="",NA(),AR203)))))</f>
        <v>#N/A</v>
      </c>
      <c r="AA203" s="10" t="e">
        <f t="shared" ref="AA203:AA266" si="70">IF($W$5=1,IF(AM203="",NA(),AM203),IF($W$5=2,IF(AG203="",NA(),AG203),IF($W$5=3,IF(AY203="",NA(),AY203),IF($W$5=4,IF(AS203="",NA(),AS203)))))</f>
        <v>#N/A</v>
      </c>
      <c r="AB203" s="10" t="e">
        <f t="shared" ref="AB203:AB266" si="71">IF($W$5=1,IF(AN203="",NA(),AN203),IF($W$5=2,IF(AH203="",NA(),AH203),IF($W$5=3,IF(AZ203="",NA(),AZ203),IF($W$5=4,IF(AT203="",NA(),AT203)))))</f>
        <v>#N/A</v>
      </c>
      <c r="AC203" s="10" t="e">
        <f t="shared" ref="AC203:AC266" si="72">IF($W$5=1,IF(AO203="",NA(),AO203),IF($W$5=2,IF(AI203="",NA(),AI203),IF($W$5=3,IF(BA203="",NA(),BA203),IF($W$5=4,IF(AU203="",NA(),AU203)))))</f>
        <v>#N/A</v>
      </c>
      <c r="AE203" s="10" t="str">
        <f t="shared" si="63"/>
        <v/>
      </c>
      <c r="AF203" s="10" t="str">
        <f t="shared" ref="AF203:AF266" si="73">IF(AL203="","",AL203/AR203*100)</f>
        <v/>
      </c>
      <c r="AG203" s="10" t="str">
        <f t="shared" ref="AG203:AG266" si="74">IF(AM203="","",AM203/AS203*100)</f>
        <v/>
      </c>
      <c r="AH203" s="10" t="str">
        <f t="shared" ref="AH203:AH266" si="75">IF(AN203="","",AN203/AT203*100)</f>
        <v/>
      </c>
      <c r="AI203" s="10" t="str">
        <f t="shared" ref="AI203:AI266" si="76">IF(AO203="","",AO203/AU203*100)</f>
        <v/>
      </c>
      <c r="AK203" s="10"/>
      <c r="AL203" s="10"/>
      <c r="AM203" s="10"/>
      <c r="AN203" s="10"/>
      <c r="AO203" s="10"/>
      <c r="AQ203" s="10"/>
      <c r="AR203" s="10"/>
      <c r="AS203" s="10"/>
      <c r="AT203" s="10"/>
      <c r="AU203" s="10"/>
      <c r="AW203" s="10" t="str">
        <f t="shared" si="64"/>
        <v/>
      </c>
      <c r="AX203" s="10" t="str">
        <f t="shared" ref="AX203:AX266" si="77">IF(AL$11="","",100+AF203)</f>
        <v/>
      </c>
      <c r="AY203" s="10" t="str">
        <f t="shared" ref="AY203:AY266" si="78">IF(AM$11="","",100+AG203)</f>
        <v/>
      </c>
      <c r="AZ203" s="10" t="str">
        <f t="shared" ref="AZ203:AZ266" si="79">IF(AN$11="","",100+AH203)</f>
        <v/>
      </c>
      <c r="BA203" s="10" t="str">
        <f t="shared" ref="BA203:BA266" si="80">IF(AO$11="","",100+AI203)</f>
        <v/>
      </c>
    </row>
    <row r="204" spans="6:53" x14ac:dyDescent="0.2">
      <c r="F204" s="10" t="str">
        <f t="shared" si="65"/>
        <v>2017/8/23</v>
      </c>
      <c r="G204" s="14">
        <v>42970</v>
      </c>
      <c r="H204" s="10">
        <v>6.528708700000001</v>
      </c>
      <c r="I204" s="10">
        <v>-2.1341014999999999</v>
      </c>
      <c r="J204" s="10">
        <v>4.3946072000000003</v>
      </c>
      <c r="K204" s="10">
        <f t="shared" si="66"/>
        <v>856.51786100000015</v>
      </c>
      <c r="L204" s="10">
        <f t="shared" si="67"/>
        <v>-567.34604069999989</v>
      </c>
      <c r="M204" s="10">
        <f t="shared" si="68"/>
        <v>289.17182030000004</v>
      </c>
      <c r="N204" s="10">
        <v>10.843850256119165</v>
      </c>
      <c r="O204" s="10">
        <v>10.470564484679663</v>
      </c>
      <c r="P204" s="10">
        <v>3308.6555329999992</v>
      </c>
      <c r="Y204" s="10" t="e">
        <f t="shared" ref="Y204:Y267" si="81">IF($W$5=1,IF(AK204="",NA(),AK204),IF($W$5=2,IF(AE204="",NA(),AE204),IF($W$5=3,IF(AW204="",NA(),AW204),IF($W$5=4,IF(AQ204="",NA(),AQ204)))))</f>
        <v>#N/A</v>
      </c>
      <c r="Z204" s="10" t="e">
        <f t="shared" si="69"/>
        <v>#N/A</v>
      </c>
      <c r="AA204" s="10" t="e">
        <f t="shared" si="70"/>
        <v>#N/A</v>
      </c>
      <c r="AB204" s="10" t="e">
        <f t="shared" si="71"/>
        <v>#N/A</v>
      </c>
      <c r="AC204" s="10" t="e">
        <f t="shared" si="72"/>
        <v>#N/A</v>
      </c>
      <c r="AE204" s="10" t="str">
        <f t="shared" ref="AE204:AE267" si="82">IF(AK204="","",AK204/AQ204*100)</f>
        <v/>
      </c>
      <c r="AF204" s="10" t="str">
        <f t="shared" si="73"/>
        <v/>
      </c>
      <c r="AG204" s="10" t="str">
        <f t="shared" si="74"/>
        <v/>
      </c>
      <c r="AH204" s="10" t="str">
        <f t="shared" si="75"/>
        <v/>
      </c>
      <c r="AI204" s="10" t="str">
        <f t="shared" si="76"/>
        <v/>
      </c>
      <c r="AK204" s="10"/>
      <c r="AL204" s="10"/>
      <c r="AM204" s="10"/>
      <c r="AN204" s="10"/>
      <c r="AO204" s="10"/>
      <c r="AQ204" s="10"/>
      <c r="AR204" s="10"/>
      <c r="AS204" s="10"/>
      <c r="AT204" s="10"/>
      <c r="AU204" s="10"/>
      <c r="AW204" s="10" t="str">
        <f t="shared" ref="AW204:AW267" si="83">IF(AK$11="","",100+AE204)</f>
        <v/>
      </c>
      <c r="AX204" s="10" t="str">
        <f t="shared" si="77"/>
        <v/>
      </c>
      <c r="AY204" s="10" t="str">
        <f t="shared" si="78"/>
        <v/>
      </c>
      <c r="AZ204" s="10" t="str">
        <f t="shared" si="79"/>
        <v/>
      </c>
      <c r="BA204" s="10" t="str">
        <f t="shared" si="80"/>
        <v/>
      </c>
    </row>
    <row r="205" spans="6:53" x14ac:dyDescent="0.2">
      <c r="F205" s="10" t="str">
        <f t="shared" si="65"/>
        <v>2017/8/24</v>
      </c>
      <c r="G205" s="14">
        <v>42971</v>
      </c>
      <c r="H205" s="10">
        <v>3.9719060000000002</v>
      </c>
      <c r="I205" s="10">
        <v>-2.1824361000000003</v>
      </c>
      <c r="J205" s="10">
        <v>1.7894698999999983</v>
      </c>
      <c r="K205" s="10">
        <f t="shared" si="66"/>
        <v>860.48976700000014</v>
      </c>
      <c r="L205" s="10">
        <f t="shared" si="67"/>
        <v>-569.52847679999991</v>
      </c>
      <c r="M205" s="10">
        <f t="shared" si="68"/>
        <v>290.96129020000001</v>
      </c>
      <c r="N205" s="10">
        <v>10.71735644932749</v>
      </c>
      <c r="O205" s="10">
        <v>10.411908913649025</v>
      </c>
      <c r="P205" s="10">
        <v>3312.5693628999989</v>
      </c>
      <c r="Y205" s="10" t="e">
        <f t="shared" si="81"/>
        <v>#N/A</v>
      </c>
      <c r="Z205" s="10" t="e">
        <f t="shared" si="69"/>
        <v>#N/A</v>
      </c>
      <c r="AA205" s="10" t="e">
        <f t="shared" si="70"/>
        <v>#N/A</v>
      </c>
      <c r="AB205" s="10" t="e">
        <f t="shared" si="71"/>
        <v>#N/A</v>
      </c>
      <c r="AC205" s="10" t="e">
        <f t="shared" si="72"/>
        <v>#N/A</v>
      </c>
      <c r="AE205" s="10" t="str">
        <f t="shared" si="82"/>
        <v/>
      </c>
      <c r="AF205" s="10" t="str">
        <f t="shared" si="73"/>
        <v/>
      </c>
      <c r="AG205" s="10" t="str">
        <f t="shared" si="74"/>
        <v/>
      </c>
      <c r="AH205" s="10" t="str">
        <f t="shared" si="75"/>
        <v/>
      </c>
      <c r="AI205" s="10" t="str">
        <f t="shared" si="76"/>
        <v/>
      </c>
      <c r="AK205" s="10"/>
      <c r="AL205" s="10"/>
      <c r="AM205" s="10"/>
      <c r="AN205" s="10"/>
      <c r="AO205" s="10"/>
      <c r="AQ205" s="10"/>
      <c r="AR205" s="10"/>
      <c r="AS205" s="10"/>
      <c r="AT205" s="10"/>
      <c r="AU205" s="10"/>
      <c r="AW205" s="10" t="str">
        <f t="shared" si="83"/>
        <v/>
      </c>
      <c r="AX205" s="10" t="str">
        <f t="shared" si="77"/>
        <v/>
      </c>
      <c r="AY205" s="10" t="str">
        <f t="shared" si="78"/>
        <v/>
      </c>
      <c r="AZ205" s="10" t="str">
        <f t="shared" si="79"/>
        <v/>
      </c>
      <c r="BA205" s="10" t="str">
        <f t="shared" si="80"/>
        <v/>
      </c>
    </row>
    <row r="206" spans="6:53" x14ac:dyDescent="0.2">
      <c r="F206" s="10" t="str">
        <f t="shared" si="65"/>
        <v>2017/8/25</v>
      </c>
      <c r="G206" s="14">
        <v>42972</v>
      </c>
      <c r="H206" s="10">
        <v>3.7517517000000007</v>
      </c>
      <c r="I206" s="10">
        <v>-1.5378633999999998</v>
      </c>
      <c r="J206" s="10">
        <v>2.2138883000000003</v>
      </c>
      <c r="K206" s="10">
        <f t="shared" si="66"/>
        <v>864.24151870000014</v>
      </c>
      <c r="L206" s="10">
        <f t="shared" si="67"/>
        <v>-571.0663401999999</v>
      </c>
      <c r="M206" s="10">
        <f t="shared" si="68"/>
        <v>293.17517850000002</v>
      </c>
      <c r="N206" s="10">
        <v>11.11909626607059</v>
      </c>
      <c r="O206" s="10">
        <v>10.858472144846788</v>
      </c>
      <c r="P206" s="10">
        <v>3310.3082475000006</v>
      </c>
      <c r="Y206" s="10" t="e">
        <f t="shared" si="81"/>
        <v>#N/A</v>
      </c>
      <c r="Z206" s="10" t="e">
        <f t="shared" si="69"/>
        <v>#N/A</v>
      </c>
      <c r="AA206" s="10" t="e">
        <f t="shared" si="70"/>
        <v>#N/A</v>
      </c>
      <c r="AB206" s="10" t="e">
        <f t="shared" si="71"/>
        <v>#N/A</v>
      </c>
      <c r="AC206" s="10" t="e">
        <f t="shared" si="72"/>
        <v>#N/A</v>
      </c>
      <c r="AE206" s="10" t="str">
        <f t="shared" si="82"/>
        <v/>
      </c>
      <c r="AF206" s="10" t="str">
        <f t="shared" si="73"/>
        <v/>
      </c>
      <c r="AG206" s="10" t="str">
        <f t="shared" si="74"/>
        <v/>
      </c>
      <c r="AH206" s="10" t="str">
        <f t="shared" si="75"/>
        <v/>
      </c>
      <c r="AI206" s="10" t="str">
        <f t="shared" si="76"/>
        <v/>
      </c>
      <c r="AK206" s="10"/>
      <c r="AL206" s="10"/>
      <c r="AM206" s="10"/>
      <c r="AN206" s="10"/>
      <c r="AO206" s="10"/>
      <c r="AQ206" s="10"/>
      <c r="AR206" s="10"/>
      <c r="AS206" s="10"/>
      <c r="AT206" s="10"/>
      <c r="AU206" s="10"/>
      <c r="AW206" s="10" t="str">
        <f t="shared" si="83"/>
        <v/>
      </c>
      <c r="AX206" s="10" t="str">
        <f t="shared" si="77"/>
        <v/>
      </c>
      <c r="AY206" s="10" t="str">
        <f t="shared" si="78"/>
        <v/>
      </c>
      <c r="AZ206" s="10" t="str">
        <f t="shared" si="79"/>
        <v/>
      </c>
      <c r="BA206" s="10" t="str">
        <f t="shared" si="80"/>
        <v/>
      </c>
    </row>
    <row r="207" spans="6:53" x14ac:dyDescent="0.2">
      <c r="F207" s="10" t="str">
        <f t="shared" si="65"/>
        <v>2017/8/28</v>
      </c>
      <c r="G207" s="14">
        <v>42975</v>
      </c>
      <c r="H207" s="10">
        <v>3.5981179000000001</v>
      </c>
      <c r="I207" s="10">
        <v>-1.5325399000000002</v>
      </c>
      <c r="J207" s="10">
        <v>2.0655780000000004</v>
      </c>
      <c r="K207" s="10">
        <f t="shared" si="66"/>
        <v>867.83963660000018</v>
      </c>
      <c r="L207" s="10">
        <f t="shared" si="67"/>
        <v>-572.59888009999986</v>
      </c>
      <c r="M207" s="10">
        <f t="shared" si="68"/>
        <v>295.24075650000003</v>
      </c>
      <c r="N207" s="10">
        <v>11.223107304279429</v>
      </c>
      <c r="O207" s="10">
        <v>11.015823398328688</v>
      </c>
      <c r="P207" s="10">
        <v>3323.5073142000006</v>
      </c>
      <c r="Y207" s="10" t="e">
        <f t="shared" si="81"/>
        <v>#N/A</v>
      </c>
      <c r="Z207" s="10" t="e">
        <f t="shared" si="69"/>
        <v>#N/A</v>
      </c>
      <c r="AA207" s="10" t="e">
        <f t="shared" si="70"/>
        <v>#N/A</v>
      </c>
      <c r="AB207" s="10" t="e">
        <f t="shared" si="71"/>
        <v>#N/A</v>
      </c>
      <c r="AC207" s="10" t="e">
        <f t="shared" si="72"/>
        <v>#N/A</v>
      </c>
      <c r="AE207" s="10" t="str">
        <f t="shared" si="82"/>
        <v/>
      </c>
      <c r="AF207" s="10" t="str">
        <f t="shared" si="73"/>
        <v/>
      </c>
      <c r="AG207" s="10" t="str">
        <f t="shared" si="74"/>
        <v/>
      </c>
      <c r="AH207" s="10" t="str">
        <f t="shared" si="75"/>
        <v/>
      </c>
      <c r="AI207" s="10" t="str">
        <f t="shared" si="76"/>
        <v/>
      </c>
      <c r="AK207" s="10"/>
      <c r="AL207" s="10"/>
      <c r="AM207" s="10"/>
      <c r="AN207" s="10"/>
      <c r="AO207" s="10"/>
      <c r="AQ207" s="10"/>
      <c r="AR207" s="10"/>
      <c r="AS207" s="10"/>
      <c r="AT207" s="10"/>
      <c r="AU207" s="10"/>
      <c r="AW207" s="10" t="str">
        <f t="shared" si="83"/>
        <v/>
      </c>
      <c r="AX207" s="10" t="str">
        <f t="shared" si="77"/>
        <v/>
      </c>
      <c r="AY207" s="10" t="str">
        <f t="shared" si="78"/>
        <v/>
      </c>
      <c r="AZ207" s="10" t="str">
        <f t="shared" si="79"/>
        <v/>
      </c>
      <c r="BA207" s="10" t="str">
        <f t="shared" si="80"/>
        <v/>
      </c>
    </row>
    <row r="208" spans="6:53" x14ac:dyDescent="0.2">
      <c r="F208" s="10" t="str">
        <f t="shared" si="65"/>
        <v>2017/8/29</v>
      </c>
      <c r="G208" s="14">
        <v>42976</v>
      </c>
      <c r="H208" s="10">
        <v>4.0642835000000002</v>
      </c>
      <c r="I208" s="10">
        <v>-2.9674883000000012</v>
      </c>
      <c r="J208" s="10">
        <v>1.0967951999999999</v>
      </c>
      <c r="K208" s="10">
        <f t="shared" si="66"/>
        <v>871.90392010000016</v>
      </c>
      <c r="L208" s="10">
        <f t="shared" si="67"/>
        <v>-575.56636839999987</v>
      </c>
      <c r="M208" s="10">
        <f t="shared" si="68"/>
        <v>296.33755170000001</v>
      </c>
      <c r="N208" s="10">
        <v>11.185097881462886</v>
      </c>
      <c r="O208" s="10">
        <v>10.98098941504178</v>
      </c>
      <c r="P208" s="10">
        <v>3331.6413663699991</v>
      </c>
      <c r="Y208" s="10" t="e">
        <f t="shared" si="81"/>
        <v>#N/A</v>
      </c>
      <c r="Z208" s="10" t="e">
        <f t="shared" si="69"/>
        <v>#N/A</v>
      </c>
      <c r="AA208" s="10" t="e">
        <f t="shared" si="70"/>
        <v>#N/A</v>
      </c>
      <c r="AB208" s="10" t="e">
        <f t="shared" si="71"/>
        <v>#N/A</v>
      </c>
      <c r="AC208" s="10" t="e">
        <f t="shared" si="72"/>
        <v>#N/A</v>
      </c>
      <c r="AE208" s="10" t="str">
        <f t="shared" si="82"/>
        <v/>
      </c>
      <c r="AF208" s="10" t="str">
        <f t="shared" si="73"/>
        <v/>
      </c>
      <c r="AG208" s="10" t="str">
        <f t="shared" si="74"/>
        <v/>
      </c>
      <c r="AH208" s="10" t="str">
        <f t="shared" si="75"/>
        <v/>
      </c>
      <c r="AI208" s="10" t="str">
        <f t="shared" si="76"/>
        <v/>
      </c>
      <c r="AK208" s="10"/>
      <c r="AL208" s="10"/>
      <c r="AM208" s="10"/>
      <c r="AN208" s="10"/>
      <c r="AO208" s="10"/>
      <c r="AQ208" s="10"/>
      <c r="AR208" s="10"/>
      <c r="AS208" s="10"/>
      <c r="AT208" s="10"/>
      <c r="AU208" s="10"/>
      <c r="AW208" s="10" t="str">
        <f t="shared" si="83"/>
        <v/>
      </c>
      <c r="AX208" s="10" t="str">
        <f t="shared" si="77"/>
        <v/>
      </c>
      <c r="AY208" s="10" t="str">
        <f t="shared" si="78"/>
        <v/>
      </c>
      <c r="AZ208" s="10" t="str">
        <f t="shared" si="79"/>
        <v/>
      </c>
      <c r="BA208" s="10" t="str">
        <f t="shared" si="80"/>
        <v/>
      </c>
    </row>
    <row r="209" spans="6:53" x14ac:dyDescent="0.2">
      <c r="F209" s="10" t="str">
        <f t="shared" si="65"/>
        <v>2017/8/30</v>
      </c>
      <c r="G209" s="14">
        <v>42977</v>
      </c>
      <c r="H209" s="10">
        <v>4.6903557999999999</v>
      </c>
      <c r="I209" s="10">
        <v>-3.0114509000000007</v>
      </c>
      <c r="J209" s="10">
        <v>1.6789049000000005</v>
      </c>
      <c r="K209" s="10">
        <f t="shared" si="66"/>
        <v>876.59427590000018</v>
      </c>
      <c r="L209" s="10">
        <f t="shared" si="67"/>
        <v>-578.57781929999987</v>
      </c>
      <c r="M209" s="10">
        <f t="shared" si="68"/>
        <v>298.01645660000003</v>
      </c>
      <c r="N209" s="10">
        <v>11.417951523749206</v>
      </c>
      <c r="O209" s="10">
        <v>11.099059052924785</v>
      </c>
      <c r="P209" s="10">
        <v>3328.7355597999986</v>
      </c>
      <c r="Y209" s="10" t="e">
        <f t="shared" si="81"/>
        <v>#N/A</v>
      </c>
      <c r="Z209" s="10" t="e">
        <f t="shared" si="69"/>
        <v>#N/A</v>
      </c>
      <c r="AA209" s="10" t="e">
        <f t="shared" si="70"/>
        <v>#N/A</v>
      </c>
      <c r="AB209" s="10" t="e">
        <f t="shared" si="71"/>
        <v>#N/A</v>
      </c>
      <c r="AC209" s="10" t="e">
        <f t="shared" si="72"/>
        <v>#N/A</v>
      </c>
      <c r="AE209" s="10" t="str">
        <f t="shared" si="82"/>
        <v/>
      </c>
      <c r="AF209" s="10" t="str">
        <f t="shared" si="73"/>
        <v/>
      </c>
      <c r="AG209" s="10" t="str">
        <f t="shared" si="74"/>
        <v/>
      </c>
      <c r="AH209" s="10" t="str">
        <f t="shared" si="75"/>
        <v/>
      </c>
      <c r="AI209" s="10" t="str">
        <f t="shared" si="76"/>
        <v/>
      </c>
      <c r="AK209" s="10"/>
      <c r="AL209" s="10"/>
      <c r="AM209" s="10"/>
      <c r="AN209" s="10"/>
      <c r="AO209" s="10"/>
      <c r="AQ209" s="10"/>
      <c r="AR209" s="10"/>
      <c r="AS209" s="10"/>
      <c r="AT209" s="10"/>
      <c r="AU209" s="10"/>
      <c r="AW209" s="10" t="str">
        <f t="shared" si="83"/>
        <v/>
      </c>
      <c r="AX209" s="10" t="str">
        <f t="shared" si="77"/>
        <v/>
      </c>
      <c r="AY209" s="10" t="str">
        <f t="shared" si="78"/>
        <v/>
      </c>
      <c r="AZ209" s="10" t="str">
        <f t="shared" si="79"/>
        <v/>
      </c>
      <c r="BA209" s="10" t="str">
        <f t="shared" si="80"/>
        <v/>
      </c>
    </row>
    <row r="210" spans="6:53" x14ac:dyDescent="0.2">
      <c r="F210" s="10" t="str">
        <f t="shared" si="65"/>
        <v>2017/8/31</v>
      </c>
      <c r="G210" s="14">
        <v>42978</v>
      </c>
      <c r="H210" s="10">
        <v>4.0892492000000003</v>
      </c>
      <c r="I210" s="10">
        <v>-6.5406253000000003</v>
      </c>
      <c r="J210" s="10">
        <v>-2.4513761000000032</v>
      </c>
      <c r="K210" s="10">
        <f t="shared" si="66"/>
        <v>880.68352510000022</v>
      </c>
      <c r="L210" s="10">
        <f t="shared" si="67"/>
        <v>-585.11844459999986</v>
      </c>
      <c r="M210" s="10">
        <f t="shared" si="68"/>
        <v>295.56508050000002</v>
      </c>
      <c r="N210" s="10">
        <v>12.047190059634413</v>
      </c>
      <c r="O210" s="10">
        <v>11.665116155988857</v>
      </c>
      <c r="P210" s="10">
        <v>3337.4263857999995</v>
      </c>
      <c r="Y210" s="10" t="e">
        <f t="shared" si="81"/>
        <v>#N/A</v>
      </c>
      <c r="Z210" s="10" t="e">
        <f t="shared" si="69"/>
        <v>#N/A</v>
      </c>
      <c r="AA210" s="10" t="e">
        <f t="shared" si="70"/>
        <v>#N/A</v>
      </c>
      <c r="AB210" s="10" t="e">
        <f t="shared" si="71"/>
        <v>#N/A</v>
      </c>
      <c r="AC210" s="10" t="e">
        <f t="shared" si="72"/>
        <v>#N/A</v>
      </c>
      <c r="AE210" s="10" t="str">
        <f t="shared" si="82"/>
        <v/>
      </c>
      <c r="AF210" s="10" t="str">
        <f t="shared" si="73"/>
        <v/>
      </c>
      <c r="AG210" s="10" t="str">
        <f t="shared" si="74"/>
        <v/>
      </c>
      <c r="AH210" s="10" t="str">
        <f t="shared" si="75"/>
        <v/>
      </c>
      <c r="AI210" s="10" t="str">
        <f t="shared" si="76"/>
        <v/>
      </c>
      <c r="AK210" s="10"/>
      <c r="AL210" s="10"/>
      <c r="AM210" s="10"/>
      <c r="AN210" s="10"/>
      <c r="AO210" s="10"/>
      <c r="AQ210" s="10"/>
      <c r="AR210" s="10"/>
      <c r="AS210" s="10"/>
      <c r="AT210" s="10"/>
      <c r="AU210" s="10"/>
      <c r="AW210" s="10" t="str">
        <f t="shared" si="83"/>
        <v/>
      </c>
      <c r="AX210" s="10" t="str">
        <f t="shared" si="77"/>
        <v/>
      </c>
      <c r="AY210" s="10" t="str">
        <f t="shared" si="78"/>
        <v/>
      </c>
      <c r="AZ210" s="10" t="str">
        <f t="shared" si="79"/>
        <v/>
      </c>
      <c r="BA210" s="10" t="str">
        <f t="shared" si="80"/>
        <v/>
      </c>
    </row>
    <row r="211" spans="6:53" x14ac:dyDescent="0.2">
      <c r="F211" s="10" t="str">
        <f t="shared" si="65"/>
        <v>2017/9/1</v>
      </c>
      <c r="G211" s="14">
        <v>42979</v>
      </c>
      <c r="H211" s="10">
        <v>3.7912514999999996</v>
      </c>
      <c r="I211" s="10">
        <v>-1.9866332</v>
      </c>
      <c r="J211" s="10">
        <v>1.8046182999999998</v>
      </c>
      <c r="K211" s="10">
        <f t="shared" si="66"/>
        <v>884.47477660000027</v>
      </c>
      <c r="L211" s="10">
        <f t="shared" si="67"/>
        <v>-587.10507779999989</v>
      </c>
      <c r="M211" s="10">
        <f t="shared" si="68"/>
        <v>297.36969880000004</v>
      </c>
      <c r="N211" s="10">
        <v>12.294141344319028</v>
      </c>
      <c r="O211" s="10">
        <v>11.964688997214486</v>
      </c>
      <c r="P211" s="10">
        <v>3353.7149278000006</v>
      </c>
      <c r="Y211" s="10" t="e">
        <f t="shared" si="81"/>
        <v>#N/A</v>
      </c>
      <c r="Z211" s="10" t="e">
        <f t="shared" si="69"/>
        <v>#N/A</v>
      </c>
      <c r="AA211" s="10" t="e">
        <f t="shared" si="70"/>
        <v>#N/A</v>
      </c>
      <c r="AB211" s="10" t="e">
        <f t="shared" si="71"/>
        <v>#N/A</v>
      </c>
      <c r="AC211" s="10" t="e">
        <f t="shared" si="72"/>
        <v>#N/A</v>
      </c>
      <c r="AE211" s="10" t="str">
        <f t="shared" si="82"/>
        <v/>
      </c>
      <c r="AF211" s="10" t="str">
        <f t="shared" si="73"/>
        <v/>
      </c>
      <c r="AG211" s="10" t="str">
        <f t="shared" si="74"/>
        <v/>
      </c>
      <c r="AH211" s="10" t="str">
        <f t="shared" si="75"/>
        <v/>
      </c>
      <c r="AI211" s="10" t="str">
        <f t="shared" si="76"/>
        <v/>
      </c>
      <c r="AK211" s="10"/>
      <c r="AL211" s="10"/>
      <c r="AM211" s="10"/>
      <c r="AN211" s="10"/>
      <c r="AO211" s="10"/>
      <c r="AQ211" s="10"/>
      <c r="AR211" s="10"/>
      <c r="AS211" s="10"/>
      <c r="AT211" s="10"/>
      <c r="AU211" s="10"/>
      <c r="AW211" s="10" t="str">
        <f t="shared" si="83"/>
        <v/>
      </c>
      <c r="AX211" s="10" t="str">
        <f t="shared" si="77"/>
        <v/>
      </c>
      <c r="AY211" s="10" t="str">
        <f t="shared" si="78"/>
        <v/>
      </c>
      <c r="AZ211" s="10" t="str">
        <f t="shared" si="79"/>
        <v/>
      </c>
      <c r="BA211" s="10" t="str">
        <f t="shared" si="80"/>
        <v/>
      </c>
    </row>
    <row r="212" spans="6:53" x14ac:dyDescent="0.2">
      <c r="F212" s="10" t="str">
        <f t="shared" si="65"/>
        <v>2017/9/4</v>
      </c>
      <c r="G212" s="14">
        <v>42982</v>
      </c>
      <c r="H212" s="10">
        <v>0.3071333</v>
      </c>
      <c r="I212" s="10">
        <v>-0.45801809999999993</v>
      </c>
      <c r="J212" s="10">
        <v>-0.15088480000000004</v>
      </c>
      <c r="K212" s="10">
        <f t="shared" si="66"/>
        <v>884.7819099000003</v>
      </c>
      <c r="L212" s="10">
        <f t="shared" si="67"/>
        <v>-587.56309589999989</v>
      </c>
      <c r="M212" s="10">
        <f t="shared" si="68"/>
        <v>297.21881400000007</v>
      </c>
      <c r="N212" s="10">
        <v>11.983588947217639</v>
      </c>
      <c r="O212" s="10">
        <v>11.727045682451251</v>
      </c>
      <c r="P212" s="10">
        <v>3361.4860008000014</v>
      </c>
      <c r="Y212" s="10" t="e">
        <f t="shared" si="81"/>
        <v>#N/A</v>
      </c>
      <c r="Z212" s="10" t="e">
        <f t="shared" si="69"/>
        <v>#N/A</v>
      </c>
      <c r="AA212" s="10" t="e">
        <f t="shared" si="70"/>
        <v>#N/A</v>
      </c>
      <c r="AB212" s="10" t="e">
        <f t="shared" si="71"/>
        <v>#N/A</v>
      </c>
      <c r="AC212" s="10" t="e">
        <f t="shared" si="72"/>
        <v>#N/A</v>
      </c>
      <c r="AE212" s="10" t="str">
        <f t="shared" si="82"/>
        <v/>
      </c>
      <c r="AF212" s="10" t="str">
        <f t="shared" si="73"/>
        <v/>
      </c>
      <c r="AG212" s="10" t="str">
        <f t="shared" si="74"/>
        <v/>
      </c>
      <c r="AH212" s="10" t="str">
        <f t="shared" si="75"/>
        <v/>
      </c>
      <c r="AI212" s="10" t="str">
        <f t="shared" si="76"/>
        <v/>
      </c>
      <c r="AK212" s="10"/>
      <c r="AL212" s="10"/>
      <c r="AM212" s="10"/>
      <c r="AN212" s="10"/>
      <c r="AO212" s="10"/>
      <c r="AQ212" s="10"/>
      <c r="AR212" s="10"/>
      <c r="AS212" s="10"/>
      <c r="AT212" s="10"/>
      <c r="AU212" s="10"/>
      <c r="AW212" s="10" t="str">
        <f t="shared" si="83"/>
        <v/>
      </c>
      <c r="AX212" s="10" t="str">
        <f t="shared" si="77"/>
        <v/>
      </c>
      <c r="AY212" s="10" t="str">
        <f t="shared" si="78"/>
        <v/>
      </c>
      <c r="AZ212" s="10" t="str">
        <f t="shared" si="79"/>
        <v/>
      </c>
      <c r="BA212" s="10" t="str">
        <f t="shared" si="80"/>
        <v/>
      </c>
    </row>
    <row r="213" spans="6:53" x14ac:dyDescent="0.2">
      <c r="F213" s="10" t="str">
        <f t="shared" si="65"/>
        <v>2017/9/5</v>
      </c>
      <c r="G213" s="14">
        <v>42983</v>
      </c>
      <c r="H213" s="10">
        <v>8.1177982000000029</v>
      </c>
      <c r="I213" s="10">
        <v>-3.8804773000000004</v>
      </c>
      <c r="J213" s="10">
        <v>4.2373209000000012</v>
      </c>
      <c r="K213" s="10">
        <f t="shared" si="66"/>
        <v>892.89970810000034</v>
      </c>
      <c r="L213" s="10">
        <f t="shared" si="67"/>
        <v>-591.44357319999995</v>
      </c>
      <c r="M213" s="10">
        <f t="shared" si="68"/>
        <v>301.45613490000005</v>
      </c>
      <c r="N213" s="10">
        <v>11.740100981528185</v>
      </c>
      <c r="O213" s="10">
        <v>11.570464066852365</v>
      </c>
      <c r="P213" s="10">
        <v>3354.5052548999993</v>
      </c>
      <c r="Y213" s="10" t="e">
        <f t="shared" si="81"/>
        <v>#N/A</v>
      </c>
      <c r="Z213" s="10" t="e">
        <f t="shared" si="69"/>
        <v>#N/A</v>
      </c>
      <c r="AA213" s="10" t="e">
        <f t="shared" si="70"/>
        <v>#N/A</v>
      </c>
      <c r="AB213" s="10" t="e">
        <f t="shared" si="71"/>
        <v>#N/A</v>
      </c>
      <c r="AC213" s="10" t="e">
        <f t="shared" si="72"/>
        <v>#N/A</v>
      </c>
      <c r="AE213" s="10" t="str">
        <f t="shared" si="82"/>
        <v/>
      </c>
      <c r="AF213" s="10" t="str">
        <f t="shared" si="73"/>
        <v/>
      </c>
      <c r="AG213" s="10" t="str">
        <f t="shared" si="74"/>
        <v/>
      </c>
      <c r="AH213" s="10" t="str">
        <f t="shared" si="75"/>
        <v/>
      </c>
      <c r="AI213" s="10" t="str">
        <f t="shared" si="76"/>
        <v/>
      </c>
      <c r="AK213" s="10"/>
      <c r="AL213" s="10"/>
      <c r="AM213" s="10"/>
      <c r="AN213" s="10"/>
      <c r="AO213" s="10"/>
      <c r="AQ213" s="10"/>
      <c r="AR213" s="10"/>
      <c r="AS213" s="10"/>
      <c r="AT213" s="10"/>
      <c r="AU213" s="10"/>
      <c r="AW213" s="10" t="str">
        <f t="shared" si="83"/>
        <v/>
      </c>
      <c r="AX213" s="10" t="str">
        <f t="shared" si="77"/>
        <v/>
      </c>
      <c r="AY213" s="10" t="str">
        <f t="shared" si="78"/>
        <v/>
      </c>
      <c r="AZ213" s="10" t="str">
        <f t="shared" si="79"/>
        <v/>
      </c>
      <c r="BA213" s="10" t="str">
        <f t="shared" si="80"/>
        <v/>
      </c>
    </row>
    <row r="214" spans="6:53" x14ac:dyDescent="0.2">
      <c r="F214" s="10" t="str">
        <f t="shared" si="65"/>
        <v>2017/9/6</v>
      </c>
      <c r="G214" s="14">
        <v>42984</v>
      </c>
      <c r="H214" s="10">
        <v>6.362475700000001</v>
      </c>
      <c r="I214" s="10">
        <v>-1.9141916000000003</v>
      </c>
      <c r="J214" s="10">
        <v>4.4482841000000004</v>
      </c>
      <c r="K214" s="10">
        <f t="shared" si="66"/>
        <v>899.26218380000034</v>
      </c>
      <c r="L214" s="10">
        <f t="shared" si="67"/>
        <v>-593.35776479999993</v>
      </c>
      <c r="M214" s="10">
        <f t="shared" si="68"/>
        <v>305.90441900000008</v>
      </c>
      <c r="N214" s="10">
        <v>12.024139557655708</v>
      </c>
      <c r="O214" s="10">
        <v>11.838281894150416</v>
      </c>
      <c r="P214" s="10">
        <v>3350.1816621000007</v>
      </c>
      <c r="Y214" s="10" t="e">
        <f t="shared" si="81"/>
        <v>#N/A</v>
      </c>
      <c r="Z214" s="10" t="e">
        <f t="shared" si="69"/>
        <v>#N/A</v>
      </c>
      <c r="AA214" s="10" t="e">
        <f t="shared" si="70"/>
        <v>#N/A</v>
      </c>
      <c r="AB214" s="10" t="e">
        <f t="shared" si="71"/>
        <v>#N/A</v>
      </c>
      <c r="AC214" s="10" t="e">
        <f t="shared" si="72"/>
        <v>#N/A</v>
      </c>
      <c r="AE214" s="10" t="str">
        <f t="shared" si="82"/>
        <v/>
      </c>
      <c r="AF214" s="10" t="str">
        <f t="shared" si="73"/>
        <v/>
      </c>
      <c r="AG214" s="10" t="str">
        <f t="shared" si="74"/>
        <v/>
      </c>
      <c r="AH214" s="10" t="str">
        <f t="shared" si="75"/>
        <v/>
      </c>
      <c r="AI214" s="10" t="str">
        <f t="shared" si="76"/>
        <v/>
      </c>
      <c r="AK214" s="10"/>
      <c r="AL214" s="10"/>
      <c r="AM214" s="10"/>
      <c r="AN214" s="10"/>
      <c r="AO214" s="10"/>
      <c r="AQ214" s="10"/>
      <c r="AR214" s="10"/>
      <c r="AS214" s="10"/>
      <c r="AT214" s="10"/>
      <c r="AU214" s="10"/>
      <c r="AW214" s="10" t="str">
        <f t="shared" si="83"/>
        <v/>
      </c>
      <c r="AX214" s="10" t="str">
        <f t="shared" si="77"/>
        <v/>
      </c>
      <c r="AY214" s="10" t="str">
        <f t="shared" si="78"/>
        <v/>
      </c>
      <c r="AZ214" s="10" t="str">
        <f t="shared" si="79"/>
        <v/>
      </c>
      <c r="BA214" s="10" t="str">
        <f t="shared" si="80"/>
        <v/>
      </c>
    </row>
    <row r="215" spans="6:53" x14ac:dyDescent="0.2">
      <c r="F215" s="10" t="str">
        <f t="shared" si="65"/>
        <v>2017/9/7</v>
      </c>
      <c r="G215" s="14">
        <v>42985</v>
      </c>
      <c r="H215" s="10">
        <v>6.3488609000000009</v>
      </c>
      <c r="I215" s="10">
        <v>-2.2090896</v>
      </c>
      <c r="J215" s="10">
        <v>4.1397713000000005</v>
      </c>
      <c r="K215" s="10">
        <f t="shared" si="66"/>
        <v>905.61104470000032</v>
      </c>
      <c r="L215" s="10">
        <f t="shared" si="67"/>
        <v>-595.5668543999999</v>
      </c>
      <c r="M215" s="10">
        <f t="shared" si="68"/>
        <v>310.04419030000008</v>
      </c>
      <c r="N215" s="10">
        <v>12.374281506401008</v>
      </c>
      <c r="O215" s="10">
        <v>12.231176323119769</v>
      </c>
      <c r="P215" s="10">
        <v>3362.7492690000004</v>
      </c>
      <c r="Y215" s="10" t="e">
        <f t="shared" si="81"/>
        <v>#N/A</v>
      </c>
      <c r="Z215" s="10" t="e">
        <f t="shared" si="69"/>
        <v>#N/A</v>
      </c>
      <c r="AA215" s="10" t="e">
        <f t="shared" si="70"/>
        <v>#N/A</v>
      </c>
      <c r="AB215" s="10" t="e">
        <f t="shared" si="71"/>
        <v>#N/A</v>
      </c>
      <c r="AC215" s="10" t="e">
        <f t="shared" si="72"/>
        <v>#N/A</v>
      </c>
      <c r="AE215" s="10" t="str">
        <f t="shared" si="82"/>
        <v/>
      </c>
      <c r="AF215" s="10" t="str">
        <f t="shared" si="73"/>
        <v/>
      </c>
      <c r="AG215" s="10" t="str">
        <f t="shared" si="74"/>
        <v/>
      </c>
      <c r="AH215" s="10" t="str">
        <f t="shared" si="75"/>
        <v/>
      </c>
      <c r="AI215" s="10" t="str">
        <f t="shared" si="76"/>
        <v/>
      </c>
      <c r="AK215" s="10"/>
      <c r="AL215" s="10"/>
      <c r="AM215" s="10"/>
      <c r="AN215" s="10"/>
      <c r="AO215" s="10"/>
      <c r="AQ215" s="10"/>
      <c r="AR215" s="10"/>
      <c r="AS215" s="10"/>
      <c r="AT215" s="10"/>
      <c r="AU215" s="10"/>
      <c r="AW215" s="10" t="str">
        <f t="shared" si="83"/>
        <v/>
      </c>
      <c r="AX215" s="10" t="str">
        <f t="shared" si="77"/>
        <v/>
      </c>
      <c r="AY215" s="10" t="str">
        <f t="shared" si="78"/>
        <v/>
      </c>
      <c r="AZ215" s="10" t="str">
        <f t="shared" si="79"/>
        <v/>
      </c>
      <c r="BA215" s="10" t="str">
        <f t="shared" si="80"/>
        <v/>
      </c>
    </row>
    <row r="216" spans="6:53" x14ac:dyDescent="0.2">
      <c r="F216" s="10" t="str">
        <f t="shared" si="65"/>
        <v>2017/9/8</v>
      </c>
      <c r="G216" s="14">
        <v>42986</v>
      </c>
      <c r="H216" s="10">
        <v>3.0787042000000002</v>
      </c>
      <c r="I216" s="10">
        <v>-5.1081789999999989</v>
      </c>
      <c r="J216" s="10">
        <v>-2.0294748</v>
      </c>
      <c r="K216" s="10">
        <f t="shared" si="66"/>
        <v>908.68974890000027</v>
      </c>
      <c r="L216" s="10">
        <f t="shared" si="67"/>
        <v>-600.67503339999985</v>
      </c>
      <c r="M216" s="10">
        <f t="shared" si="68"/>
        <v>308.01471550000008</v>
      </c>
      <c r="N216" s="10">
        <v>12.298552581799164</v>
      </c>
      <c r="O216" s="10">
        <v>12.194186629526463</v>
      </c>
      <c r="P216" s="10">
        <v>3375.5512993999992</v>
      </c>
      <c r="Y216" s="10" t="e">
        <f t="shared" si="81"/>
        <v>#N/A</v>
      </c>
      <c r="Z216" s="10" t="e">
        <f t="shared" si="69"/>
        <v>#N/A</v>
      </c>
      <c r="AA216" s="10" t="e">
        <f t="shared" si="70"/>
        <v>#N/A</v>
      </c>
      <c r="AB216" s="10" t="e">
        <f t="shared" si="71"/>
        <v>#N/A</v>
      </c>
      <c r="AC216" s="10" t="e">
        <f t="shared" si="72"/>
        <v>#N/A</v>
      </c>
      <c r="AE216" s="10" t="str">
        <f t="shared" si="82"/>
        <v/>
      </c>
      <c r="AF216" s="10" t="str">
        <f t="shared" si="73"/>
        <v/>
      </c>
      <c r="AG216" s="10" t="str">
        <f t="shared" si="74"/>
        <v/>
      </c>
      <c r="AH216" s="10" t="str">
        <f t="shared" si="75"/>
        <v/>
      </c>
      <c r="AI216" s="10" t="str">
        <f t="shared" si="76"/>
        <v/>
      </c>
      <c r="AK216" s="10"/>
      <c r="AL216" s="10"/>
      <c r="AM216" s="10"/>
      <c r="AN216" s="10"/>
      <c r="AO216" s="10"/>
      <c r="AQ216" s="10"/>
      <c r="AR216" s="10"/>
      <c r="AS216" s="10"/>
      <c r="AT216" s="10"/>
      <c r="AU216" s="10"/>
      <c r="AW216" s="10" t="str">
        <f t="shared" si="83"/>
        <v/>
      </c>
      <c r="AX216" s="10" t="str">
        <f t="shared" si="77"/>
        <v/>
      </c>
      <c r="AY216" s="10" t="str">
        <f t="shared" si="78"/>
        <v/>
      </c>
      <c r="AZ216" s="10" t="str">
        <f t="shared" si="79"/>
        <v/>
      </c>
      <c r="BA216" s="10" t="str">
        <f t="shared" si="80"/>
        <v/>
      </c>
    </row>
    <row r="217" spans="6:53" x14ac:dyDescent="0.2">
      <c r="F217" s="10" t="str">
        <f t="shared" si="65"/>
        <v>2017/9/11</v>
      </c>
      <c r="G217" s="14">
        <v>42989</v>
      </c>
      <c r="H217" s="10">
        <v>6.8476249999999999</v>
      </c>
      <c r="I217" s="10">
        <v>-2.5464305999999999</v>
      </c>
      <c r="J217" s="10">
        <v>4.3011944000000009</v>
      </c>
      <c r="K217" s="10">
        <f t="shared" si="66"/>
        <v>915.53737390000026</v>
      </c>
      <c r="L217" s="10">
        <f t="shared" si="67"/>
        <v>-603.22146399999986</v>
      </c>
      <c r="M217" s="10">
        <f t="shared" si="68"/>
        <v>312.31590990000007</v>
      </c>
      <c r="N217" s="10">
        <v>13.05094137573848</v>
      </c>
      <c r="O217" s="10">
        <v>12.774284679665744</v>
      </c>
      <c r="P217" s="10">
        <v>3371.3106126999996</v>
      </c>
      <c r="Y217" s="10" t="e">
        <f t="shared" si="81"/>
        <v>#N/A</v>
      </c>
      <c r="Z217" s="10" t="e">
        <f t="shared" si="69"/>
        <v>#N/A</v>
      </c>
      <c r="AA217" s="10" t="e">
        <f t="shared" si="70"/>
        <v>#N/A</v>
      </c>
      <c r="AB217" s="10" t="e">
        <f t="shared" si="71"/>
        <v>#N/A</v>
      </c>
      <c r="AC217" s="10" t="e">
        <f t="shared" si="72"/>
        <v>#N/A</v>
      </c>
      <c r="AE217" s="10" t="str">
        <f t="shared" si="82"/>
        <v/>
      </c>
      <c r="AF217" s="10" t="str">
        <f t="shared" si="73"/>
        <v/>
      </c>
      <c r="AG217" s="10" t="str">
        <f t="shared" si="74"/>
        <v/>
      </c>
      <c r="AH217" s="10" t="str">
        <f t="shared" si="75"/>
        <v/>
      </c>
      <c r="AI217" s="10" t="str">
        <f t="shared" si="76"/>
        <v/>
      </c>
      <c r="AK217" s="10"/>
      <c r="AL217" s="10"/>
      <c r="AM217" s="10"/>
      <c r="AN217" s="10"/>
      <c r="AO217" s="10"/>
      <c r="AQ217" s="10"/>
      <c r="AR217" s="10"/>
      <c r="AS217" s="10"/>
      <c r="AT217" s="10"/>
      <c r="AU217" s="10"/>
      <c r="AW217" s="10" t="str">
        <f t="shared" si="83"/>
        <v/>
      </c>
      <c r="AX217" s="10" t="str">
        <f t="shared" si="77"/>
        <v/>
      </c>
      <c r="AY217" s="10" t="str">
        <f t="shared" si="78"/>
        <v/>
      </c>
      <c r="AZ217" s="10" t="str">
        <f t="shared" si="79"/>
        <v/>
      </c>
      <c r="BA217" s="10" t="str">
        <f t="shared" si="80"/>
        <v/>
      </c>
    </row>
    <row r="218" spans="6:53" x14ac:dyDescent="0.2">
      <c r="F218" s="10" t="str">
        <f t="shared" si="65"/>
        <v>2017/9/12</v>
      </c>
      <c r="G218" s="14">
        <v>42990</v>
      </c>
      <c r="H218" s="10">
        <v>8.8958259999999996</v>
      </c>
      <c r="I218" s="10">
        <v>-1.9109048000000002</v>
      </c>
      <c r="J218" s="10">
        <v>6.9849211999999987</v>
      </c>
      <c r="K218" s="10">
        <f t="shared" si="66"/>
        <v>924.43319990000032</v>
      </c>
      <c r="L218" s="10">
        <f t="shared" si="67"/>
        <v>-605.13236879999988</v>
      </c>
      <c r="M218" s="10">
        <f t="shared" si="68"/>
        <v>319.30083110000004</v>
      </c>
      <c r="N218" s="10">
        <v>13.275875516638747</v>
      </c>
      <c r="O218" s="10">
        <v>12.958654874651819</v>
      </c>
      <c r="P218" s="10">
        <v>3398.6142825000002</v>
      </c>
      <c r="Y218" s="10" t="e">
        <f t="shared" si="81"/>
        <v>#N/A</v>
      </c>
      <c r="Z218" s="10" t="e">
        <f t="shared" si="69"/>
        <v>#N/A</v>
      </c>
      <c r="AA218" s="10" t="e">
        <f t="shared" si="70"/>
        <v>#N/A</v>
      </c>
      <c r="AB218" s="10" t="e">
        <f t="shared" si="71"/>
        <v>#N/A</v>
      </c>
      <c r="AC218" s="10" t="e">
        <f t="shared" si="72"/>
        <v>#N/A</v>
      </c>
      <c r="AE218" s="10" t="str">
        <f t="shared" si="82"/>
        <v/>
      </c>
      <c r="AF218" s="10" t="str">
        <f t="shared" si="73"/>
        <v/>
      </c>
      <c r="AG218" s="10" t="str">
        <f t="shared" si="74"/>
        <v/>
      </c>
      <c r="AH218" s="10" t="str">
        <f t="shared" si="75"/>
        <v/>
      </c>
      <c r="AI218" s="10" t="str">
        <f t="shared" si="76"/>
        <v/>
      </c>
      <c r="AK218" s="10"/>
      <c r="AL218" s="10"/>
      <c r="AM218" s="10"/>
      <c r="AN218" s="10"/>
      <c r="AO218" s="10"/>
      <c r="AQ218" s="10"/>
      <c r="AR218" s="10"/>
      <c r="AS218" s="10"/>
      <c r="AT218" s="10"/>
      <c r="AU218" s="10"/>
      <c r="AW218" s="10" t="str">
        <f t="shared" si="83"/>
        <v/>
      </c>
      <c r="AX218" s="10" t="str">
        <f t="shared" si="77"/>
        <v/>
      </c>
      <c r="AY218" s="10" t="str">
        <f t="shared" si="78"/>
        <v/>
      </c>
      <c r="AZ218" s="10" t="str">
        <f t="shared" si="79"/>
        <v/>
      </c>
      <c r="BA218" s="10" t="str">
        <f t="shared" si="80"/>
        <v/>
      </c>
    </row>
    <row r="219" spans="6:53" x14ac:dyDescent="0.2">
      <c r="F219" s="10" t="str">
        <f t="shared" si="65"/>
        <v>2017/9/13</v>
      </c>
      <c r="G219" s="14">
        <v>42991</v>
      </c>
      <c r="H219" s="10">
        <v>6.2365431000000005</v>
      </c>
      <c r="I219" s="10">
        <v>-5.187609300000001</v>
      </c>
      <c r="J219" s="10">
        <v>1.0489338000000001</v>
      </c>
      <c r="K219" s="10">
        <f t="shared" si="66"/>
        <v>930.66974300000027</v>
      </c>
      <c r="L219" s="10">
        <f t="shared" si="67"/>
        <v>-610.31997809999984</v>
      </c>
      <c r="M219" s="10">
        <f t="shared" si="68"/>
        <v>320.34976490000003</v>
      </c>
      <c r="N219" s="10">
        <v>13.078019991595378</v>
      </c>
      <c r="O219" s="10">
        <v>12.703760445682446</v>
      </c>
      <c r="P219" s="10">
        <v>3412.6039214999992</v>
      </c>
      <c r="Y219" s="10" t="e">
        <f t="shared" si="81"/>
        <v>#N/A</v>
      </c>
      <c r="Z219" s="10" t="e">
        <f t="shared" si="69"/>
        <v>#N/A</v>
      </c>
      <c r="AA219" s="10" t="e">
        <f t="shared" si="70"/>
        <v>#N/A</v>
      </c>
      <c r="AB219" s="10" t="e">
        <f t="shared" si="71"/>
        <v>#N/A</v>
      </c>
      <c r="AC219" s="10" t="e">
        <f t="shared" si="72"/>
        <v>#N/A</v>
      </c>
      <c r="AE219" s="10" t="str">
        <f t="shared" si="82"/>
        <v/>
      </c>
      <c r="AF219" s="10" t="str">
        <f t="shared" si="73"/>
        <v/>
      </c>
      <c r="AG219" s="10" t="str">
        <f t="shared" si="74"/>
        <v/>
      </c>
      <c r="AH219" s="10" t="str">
        <f t="shared" si="75"/>
        <v/>
      </c>
      <c r="AI219" s="10" t="str">
        <f t="shared" si="76"/>
        <v/>
      </c>
      <c r="AK219" s="10"/>
      <c r="AL219" s="10"/>
      <c r="AM219" s="10"/>
      <c r="AN219" s="10"/>
      <c r="AO219" s="10"/>
      <c r="AQ219" s="10"/>
      <c r="AR219" s="10"/>
      <c r="AS219" s="10"/>
      <c r="AT219" s="10"/>
      <c r="AU219" s="10"/>
      <c r="AW219" s="10" t="str">
        <f t="shared" si="83"/>
        <v/>
      </c>
      <c r="AX219" s="10" t="str">
        <f t="shared" si="77"/>
        <v/>
      </c>
      <c r="AY219" s="10" t="str">
        <f t="shared" si="78"/>
        <v/>
      </c>
      <c r="AZ219" s="10" t="str">
        <f t="shared" si="79"/>
        <v/>
      </c>
      <c r="BA219" s="10" t="str">
        <f t="shared" si="80"/>
        <v/>
      </c>
    </row>
    <row r="220" spans="6:53" x14ac:dyDescent="0.2">
      <c r="F220" s="10" t="str">
        <f t="shared" si="65"/>
        <v>2017/9/14</v>
      </c>
      <c r="G220" s="14">
        <v>42992</v>
      </c>
      <c r="H220" s="10">
        <v>4.5419570000000009</v>
      </c>
      <c r="I220" s="10">
        <v>-4.4548980000000009</v>
      </c>
      <c r="J220" s="10">
        <v>8.7058999999999595E-2</v>
      </c>
      <c r="K220" s="10">
        <f t="shared" si="66"/>
        <v>935.21170000000029</v>
      </c>
      <c r="L220" s="10">
        <f t="shared" si="67"/>
        <v>-614.7748760999998</v>
      </c>
      <c r="M220" s="10">
        <f t="shared" si="68"/>
        <v>320.43682390000004</v>
      </c>
      <c r="N220" s="10">
        <v>13.118716066970794</v>
      </c>
      <c r="O220" s="10">
        <v>12.797162116991643</v>
      </c>
      <c r="P220" s="10">
        <v>3408.7356411999999</v>
      </c>
      <c r="Y220" s="10" t="e">
        <f t="shared" si="81"/>
        <v>#N/A</v>
      </c>
      <c r="Z220" s="10" t="e">
        <f t="shared" si="69"/>
        <v>#N/A</v>
      </c>
      <c r="AA220" s="10" t="e">
        <f t="shared" si="70"/>
        <v>#N/A</v>
      </c>
      <c r="AB220" s="10" t="e">
        <f t="shared" si="71"/>
        <v>#N/A</v>
      </c>
      <c r="AC220" s="10" t="e">
        <f t="shared" si="72"/>
        <v>#N/A</v>
      </c>
      <c r="AE220" s="10" t="str">
        <f t="shared" si="82"/>
        <v/>
      </c>
      <c r="AF220" s="10" t="str">
        <f t="shared" si="73"/>
        <v/>
      </c>
      <c r="AG220" s="10" t="str">
        <f t="shared" si="74"/>
        <v/>
      </c>
      <c r="AH220" s="10" t="str">
        <f t="shared" si="75"/>
        <v/>
      </c>
      <c r="AI220" s="10" t="str">
        <f t="shared" si="76"/>
        <v/>
      </c>
      <c r="AK220" s="10"/>
      <c r="AL220" s="10"/>
      <c r="AM220" s="10"/>
      <c r="AN220" s="10"/>
      <c r="AO220" s="10"/>
      <c r="AQ220" s="10"/>
      <c r="AR220" s="10"/>
      <c r="AS220" s="10"/>
      <c r="AT220" s="10"/>
      <c r="AU220" s="10"/>
      <c r="AW220" s="10" t="str">
        <f t="shared" si="83"/>
        <v/>
      </c>
      <c r="AX220" s="10" t="str">
        <f t="shared" si="77"/>
        <v/>
      </c>
      <c r="AY220" s="10" t="str">
        <f t="shared" si="78"/>
        <v/>
      </c>
      <c r="AZ220" s="10" t="str">
        <f t="shared" si="79"/>
        <v/>
      </c>
      <c r="BA220" s="10" t="str">
        <f t="shared" si="80"/>
        <v/>
      </c>
    </row>
    <row r="221" spans="6:53" x14ac:dyDescent="0.2">
      <c r="F221" s="10" t="str">
        <f t="shared" si="65"/>
        <v>2017/9/15</v>
      </c>
      <c r="G221" s="14">
        <v>42993</v>
      </c>
      <c r="H221" s="10">
        <v>3.1861834000000004</v>
      </c>
      <c r="I221" s="10">
        <v>-11.968774999999999</v>
      </c>
      <c r="J221" s="10">
        <v>-8.7825915999999982</v>
      </c>
      <c r="K221" s="10">
        <f t="shared" si="66"/>
        <v>938.3978834000003</v>
      </c>
      <c r="L221" s="10">
        <f t="shared" si="67"/>
        <v>-626.74365109999985</v>
      </c>
      <c r="M221" s="10">
        <f t="shared" si="68"/>
        <v>311.65423230000005</v>
      </c>
      <c r="N221" s="10">
        <v>13.326213158781364</v>
      </c>
      <c r="O221" s="10">
        <v>12.997423119777165</v>
      </c>
      <c r="P221" s="10">
        <v>3409.6863797999977</v>
      </c>
      <c r="Y221" s="10" t="e">
        <f t="shared" si="81"/>
        <v>#N/A</v>
      </c>
      <c r="Z221" s="10" t="e">
        <f t="shared" si="69"/>
        <v>#N/A</v>
      </c>
      <c r="AA221" s="10" t="e">
        <f t="shared" si="70"/>
        <v>#N/A</v>
      </c>
      <c r="AB221" s="10" t="e">
        <f t="shared" si="71"/>
        <v>#N/A</v>
      </c>
      <c r="AC221" s="10" t="e">
        <f t="shared" si="72"/>
        <v>#N/A</v>
      </c>
      <c r="AE221" s="10" t="str">
        <f t="shared" si="82"/>
        <v/>
      </c>
      <c r="AF221" s="10" t="str">
        <f t="shared" si="73"/>
        <v/>
      </c>
      <c r="AG221" s="10" t="str">
        <f t="shared" si="74"/>
        <v/>
      </c>
      <c r="AH221" s="10" t="str">
        <f t="shared" si="75"/>
        <v/>
      </c>
      <c r="AI221" s="10" t="str">
        <f t="shared" si="76"/>
        <v/>
      </c>
      <c r="AK221" s="10"/>
      <c r="AL221" s="10"/>
      <c r="AM221" s="10"/>
      <c r="AN221" s="10"/>
      <c r="AO221" s="10"/>
      <c r="AQ221" s="10"/>
      <c r="AR221" s="10"/>
      <c r="AS221" s="10"/>
      <c r="AT221" s="10"/>
      <c r="AU221" s="10"/>
      <c r="AW221" s="10" t="str">
        <f t="shared" si="83"/>
        <v/>
      </c>
      <c r="AX221" s="10" t="str">
        <f t="shared" si="77"/>
        <v/>
      </c>
      <c r="AY221" s="10" t="str">
        <f t="shared" si="78"/>
        <v/>
      </c>
      <c r="AZ221" s="10" t="str">
        <f t="shared" si="79"/>
        <v/>
      </c>
      <c r="BA221" s="10" t="str">
        <f t="shared" si="80"/>
        <v/>
      </c>
    </row>
    <row r="222" spans="6:53" x14ac:dyDescent="0.2">
      <c r="F222" s="10" t="str">
        <f t="shared" si="65"/>
        <v>2017/9/18</v>
      </c>
      <c r="G222" s="14">
        <v>42996</v>
      </c>
      <c r="H222" s="10">
        <v>9.3087166000000021</v>
      </c>
      <c r="I222" s="10">
        <v>-2.0425458999999999</v>
      </c>
      <c r="J222" s="10">
        <v>7.2661707</v>
      </c>
      <c r="K222" s="10">
        <f t="shared" si="66"/>
        <v>947.70660000000032</v>
      </c>
      <c r="L222" s="10">
        <f t="shared" si="67"/>
        <v>-628.7861969999999</v>
      </c>
      <c r="M222" s="10">
        <f t="shared" si="68"/>
        <v>318.92040300000002</v>
      </c>
      <c r="N222" s="10">
        <v>13.525580980288227</v>
      </c>
      <c r="O222" s="10">
        <v>13.134135933147631</v>
      </c>
      <c r="P222" s="10">
        <v>3405.021915899998</v>
      </c>
      <c r="Y222" s="10" t="e">
        <f t="shared" si="81"/>
        <v>#N/A</v>
      </c>
      <c r="Z222" s="10" t="e">
        <f t="shared" si="69"/>
        <v>#N/A</v>
      </c>
      <c r="AA222" s="10" t="e">
        <f t="shared" si="70"/>
        <v>#N/A</v>
      </c>
      <c r="AB222" s="10" t="e">
        <f t="shared" si="71"/>
        <v>#N/A</v>
      </c>
      <c r="AC222" s="10" t="e">
        <f t="shared" si="72"/>
        <v>#N/A</v>
      </c>
      <c r="AE222" s="10" t="str">
        <f t="shared" si="82"/>
        <v/>
      </c>
      <c r="AF222" s="10" t="str">
        <f t="shared" si="73"/>
        <v/>
      </c>
      <c r="AG222" s="10" t="str">
        <f t="shared" si="74"/>
        <v/>
      </c>
      <c r="AH222" s="10" t="str">
        <f t="shared" si="75"/>
        <v/>
      </c>
      <c r="AI222" s="10" t="str">
        <f t="shared" si="76"/>
        <v/>
      </c>
      <c r="AK222" s="10"/>
      <c r="AL222" s="10"/>
      <c r="AM222" s="10"/>
      <c r="AN222" s="10"/>
      <c r="AO222" s="10"/>
      <c r="AQ222" s="10"/>
      <c r="AR222" s="10"/>
      <c r="AS222" s="10"/>
      <c r="AT222" s="10"/>
      <c r="AU222" s="10"/>
      <c r="AW222" s="10" t="str">
        <f t="shared" si="83"/>
        <v/>
      </c>
      <c r="AX222" s="10" t="str">
        <f t="shared" si="77"/>
        <v/>
      </c>
      <c r="AY222" s="10" t="str">
        <f t="shared" si="78"/>
        <v/>
      </c>
      <c r="AZ222" s="10" t="str">
        <f t="shared" si="79"/>
        <v/>
      </c>
      <c r="BA222" s="10" t="str">
        <f t="shared" si="80"/>
        <v/>
      </c>
    </row>
    <row r="223" spans="6:53" x14ac:dyDescent="0.2">
      <c r="F223" s="10" t="str">
        <f t="shared" si="65"/>
        <v>2017/9/19</v>
      </c>
      <c r="G223" s="14">
        <v>42997</v>
      </c>
      <c r="H223" s="10">
        <v>8.3367470000000008</v>
      </c>
      <c r="I223" s="10">
        <v>-3.3646678999999997</v>
      </c>
      <c r="J223" s="10">
        <v>4.9720791000000002</v>
      </c>
      <c r="K223" s="10">
        <f t="shared" si="66"/>
        <v>956.04334700000027</v>
      </c>
      <c r="L223" s="10">
        <f t="shared" si="67"/>
        <v>-632.15086489999987</v>
      </c>
      <c r="M223" s="10">
        <f t="shared" si="68"/>
        <v>323.8924821</v>
      </c>
      <c r="N223" s="10">
        <v>13.656477310097138</v>
      </c>
      <c r="O223" s="10">
        <v>13.2107208913649</v>
      </c>
      <c r="P223" s="10">
        <v>3416.3847885500013</v>
      </c>
      <c r="Y223" s="10" t="e">
        <f t="shared" si="81"/>
        <v>#N/A</v>
      </c>
      <c r="Z223" s="10" t="e">
        <f t="shared" si="69"/>
        <v>#N/A</v>
      </c>
      <c r="AA223" s="10" t="e">
        <f t="shared" si="70"/>
        <v>#N/A</v>
      </c>
      <c r="AB223" s="10" t="e">
        <f t="shared" si="71"/>
        <v>#N/A</v>
      </c>
      <c r="AC223" s="10" t="e">
        <f t="shared" si="72"/>
        <v>#N/A</v>
      </c>
      <c r="AE223" s="10" t="str">
        <f t="shared" si="82"/>
        <v/>
      </c>
      <c r="AF223" s="10" t="str">
        <f t="shared" si="73"/>
        <v/>
      </c>
      <c r="AG223" s="10" t="str">
        <f t="shared" si="74"/>
        <v/>
      </c>
      <c r="AH223" s="10" t="str">
        <f t="shared" si="75"/>
        <v/>
      </c>
      <c r="AI223" s="10" t="str">
        <f t="shared" si="76"/>
        <v/>
      </c>
      <c r="AK223" s="10"/>
      <c r="AL223" s="10"/>
      <c r="AM223" s="10"/>
      <c r="AN223" s="10"/>
      <c r="AO223" s="10"/>
      <c r="AQ223" s="10"/>
      <c r="AR223" s="10"/>
      <c r="AS223" s="10"/>
      <c r="AT223" s="10"/>
      <c r="AU223" s="10"/>
      <c r="AW223" s="10" t="str">
        <f t="shared" si="83"/>
        <v/>
      </c>
      <c r="AX223" s="10" t="str">
        <f t="shared" si="77"/>
        <v/>
      </c>
      <c r="AY223" s="10" t="str">
        <f t="shared" si="78"/>
        <v/>
      </c>
      <c r="AZ223" s="10" t="str">
        <f t="shared" si="79"/>
        <v/>
      </c>
      <c r="BA223" s="10" t="str">
        <f t="shared" si="80"/>
        <v/>
      </c>
    </row>
    <row r="224" spans="6:53" x14ac:dyDescent="0.2">
      <c r="F224" s="10" t="str">
        <f t="shared" si="65"/>
        <v>2017/9/20</v>
      </c>
      <c r="G224" s="14">
        <v>42998</v>
      </c>
      <c r="H224" s="10">
        <v>5.7451389999999991</v>
      </c>
      <c r="I224" s="10">
        <v>-4.7001754000000009</v>
      </c>
      <c r="J224" s="10">
        <v>1.0449636000000007</v>
      </c>
      <c r="K224" s="10">
        <f t="shared" si="66"/>
        <v>961.78848600000026</v>
      </c>
      <c r="L224" s="10">
        <f t="shared" si="67"/>
        <v>-636.85104029999991</v>
      </c>
      <c r="M224" s="10">
        <f t="shared" si="68"/>
        <v>324.93744570000001</v>
      </c>
      <c r="N224" s="10">
        <v>13.709524021360389</v>
      </c>
      <c r="O224" s="10">
        <v>13.367223119777162</v>
      </c>
      <c r="P224" s="10">
        <v>3425.1922209999993</v>
      </c>
      <c r="Y224" s="10" t="e">
        <f t="shared" si="81"/>
        <v>#N/A</v>
      </c>
      <c r="Z224" s="10" t="e">
        <f t="shared" si="69"/>
        <v>#N/A</v>
      </c>
      <c r="AA224" s="10" t="e">
        <f t="shared" si="70"/>
        <v>#N/A</v>
      </c>
      <c r="AB224" s="10" t="e">
        <f t="shared" si="71"/>
        <v>#N/A</v>
      </c>
      <c r="AC224" s="10" t="e">
        <f t="shared" si="72"/>
        <v>#N/A</v>
      </c>
      <c r="AE224" s="10" t="str">
        <f t="shared" si="82"/>
        <v/>
      </c>
      <c r="AF224" s="10" t="str">
        <f t="shared" si="73"/>
        <v/>
      </c>
      <c r="AG224" s="10" t="str">
        <f t="shared" si="74"/>
        <v/>
      </c>
      <c r="AH224" s="10" t="str">
        <f t="shared" si="75"/>
        <v/>
      </c>
      <c r="AI224" s="10" t="str">
        <f t="shared" si="76"/>
        <v/>
      </c>
      <c r="AK224" s="10"/>
      <c r="AL224" s="10"/>
      <c r="AM224" s="10"/>
      <c r="AN224" s="10"/>
      <c r="AO224" s="10"/>
      <c r="AQ224" s="10"/>
      <c r="AR224" s="10"/>
      <c r="AS224" s="10"/>
      <c r="AT224" s="10"/>
      <c r="AU224" s="10"/>
      <c r="AW224" s="10" t="str">
        <f t="shared" si="83"/>
        <v/>
      </c>
      <c r="AX224" s="10" t="str">
        <f t="shared" si="77"/>
        <v/>
      </c>
      <c r="AY224" s="10" t="str">
        <f t="shared" si="78"/>
        <v/>
      </c>
      <c r="AZ224" s="10" t="str">
        <f t="shared" si="79"/>
        <v/>
      </c>
      <c r="BA224" s="10" t="str">
        <f t="shared" si="80"/>
        <v/>
      </c>
    </row>
    <row r="225" spans="6:53" x14ac:dyDescent="0.2">
      <c r="F225" s="10" t="str">
        <f t="shared" si="65"/>
        <v>2017/9/21</v>
      </c>
      <c r="G225" s="14">
        <v>42999</v>
      </c>
      <c r="H225" s="10">
        <v>4.1648717000000008</v>
      </c>
      <c r="I225" s="10">
        <v>-4.2483487000000002</v>
      </c>
      <c r="J225" s="10">
        <v>-8.3476999999999565E-2</v>
      </c>
      <c r="K225" s="10">
        <f t="shared" si="66"/>
        <v>965.95335770000031</v>
      </c>
      <c r="L225" s="10">
        <f t="shared" si="67"/>
        <v>-641.09938899999986</v>
      </c>
      <c r="M225" s="10">
        <f t="shared" si="68"/>
        <v>324.8539687</v>
      </c>
      <c r="N225" s="10">
        <v>13.385652387424997</v>
      </c>
      <c r="O225" s="10">
        <v>12.999849303621168</v>
      </c>
      <c r="P225" s="10">
        <v>3425.8644897999993</v>
      </c>
      <c r="Y225" s="10" t="e">
        <f t="shared" si="81"/>
        <v>#N/A</v>
      </c>
      <c r="Z225" s="10" t="e">
        <f t="shared" si="69"/>
        <v>#N/A</v>
      </c>
      <c r="AA225" s="10" t="e">
        <f t="shared" si="70"/>
        <v>#N/A</v>
      </c>
      <c r="AB225" s="10" t="e">
        <f t="shared" si="71"/>
        <v>#N/A</v>
      </c>
      <c r="AC225" s="10" t="e">
        <f t="shared" si="72"/>
        <v>#N/A</v>
      </c>
      <c r="AE225" s="10" t="str">
        <f t="shared" si="82"/>
        <v/>
      </c>
      <c r="AF225" s="10" t="str">
        <f t="shared" si="73"/>
        <v/>
      </c>
      <c r="AG225" s="10" t="str">
        <f t="shared" si="74"/>
        <v/>
      </c>
      <c r="AH225" s="10" t="str">
        <f t="shared" si="75"/>
        <v/>
      </c>
      <c r="AI225" s="10" t="str">
        <f t="shared" si="76"/>
        <v/>
      </c>
      <c r="AK225" s="10"/>
      <c r="AL225" s="10"/>
      <c r="AM225" s="10"/>
      <c r="AN225" s="10"/>
      <c r="AO225" s="10"/>
      <c r="AQ225" s="10"/>
      <c r="AR225" s="10"/>
      <c r="AS225" s="10"/>
      <c r="AT225" s="10"/>
      <c r="AU225" s="10"/>
      <c r="AW225" s="10" t="str">
        <f t="shared" si="83"/>
        <v/>
      </c>
      <c r="AX225" s="10" t="str">
        <f t="shared" si="77"/>
        <v/>
      </c>
      <c r="AY225" s="10" t="str">
        <f t="shared" si="78"/>
        <v/>
      </c>
      <c r="AZ225" s="10" t="str">
        <f t="shared" si="79"/>
        <v/>
      </c>
      <c r="BA225" s="10" t="str">
        <f t="shared" si="80"/>
        <v/>
      </c>
    </row>
    <row r="226" spans="6:53" x14ac:dyDescent="0.2">
      <c r="F226" s="10" t="str">
        <f t="shared" si="65"/>
        <v>2017/9/22</v>
      </c>
      <c r="G226" s="14">
        <v>43000</v>
      </c>
      <c r="H226" s="10">
        <v>3.8587567999999992</v>
      </c>
      <c r="I226" s="10">
        <v>-4.5423185000000004</v>
      </c>
      <c r="J226" s="10">
        <v>-0.68356169999999983</v>
      </c>
      <c r="K226" s="10">
        <f t="shared" si="66"/>
        <v>969.81211450000035</v>
      </c>
      <c r="L226" s="10">
        <f t="shared" si="67"/>
        <v>-645.64170749999982</v>
      </c>
      <c r="M226" s="10">
        <f t="shared" si="68"/>
        <v>324.17040700000001</v>
      </c>
      <c r="N226" s="10">
        <v>13.408124607651793</v>
      </c>
      <c r="O226" s="10">
        <v>13.006818941504173</v>
      </c>
      <c r="P226" s="10">
        <v>3416.1216412000003</v>
      </c>
      <c r="Y226" s="10" t="e">
        <f t="shared" si="81"/>
        <v>#N/A</v>
      </c>
      <c r="Z226" s="10" t="e">
        <f t="shared" si="69"/>
        <v>#N/A</v>
      </c>
      <c r="AA226" s="10" t="e">
        <f t="shared" si="70"/>
        <v>#N/A</v>
      </c>
      <c r="AB226" s="10" t="e">
        <f t="shared" si="71"/>
        <v>#N/A</v>
      </c>
      <c r="AC226" s="10" t="e">
        <f t="shared" si="72"/>
        <v>#N/A</v>
      </c>
      <c r="AE226" s="10" t="str">
        <f t="shared" si="82"/>
        <v/>
      </c>
      <c r="AF226" s="10" t="str">
        <f t="shared" si="73"/>
        <v/>
      </c>
      <c r="AG226" s="10" t="str">
        <f t="shared" si="74"/>
        <v/>
      </c>
      <c r="AH226" s="10" t="str">
        <f t="shared" si="75"/>
        <v/>
      </c>
      <c r="AI226" s="10" t="str">
        <f t="shared" si="76"/>
        <v/>
      </c>
      <c r="AK226" s="10"/>
      <c r="AL226" s="10"/>
      <c r="AM226" s="10"/>
      <c r="AN226" s="10"/>
      <c r="AO226" s="10"/>
      <c r="AQ226" s="10"/>
      <c r="AR226" s="10"/>
      <c r="AS226" s="10"/>
      <c r="AT226" s="10"/>
      <c r="AU226" s="10"/>
      <c r="AW226" s="10" t="str">
        <f t="shared" si="83"/>
        <v/>
      </c>
      <c r="AX226" s="10" t="str">
        <f t="shared" si="77"/>
        <v/>
      </c>
      <c r="AY226" s="10" t="str">
        <f t="shared" si="78"/>
        <v/>
      </c>
      <c r="AZ226" s="10" t="str">
        <f t="shared" si="79"/>
        <v/>
      </c>
      <c r="BA226" s="10" t="str">
        <f t="shared" si="80"/>
        <v/>
      </c>
    </row>
    <row r="227" spans="6:53" x14ac:dyDescent="0.2">
      <c r="F227" s="10" t="str">
        <f t="shared" si="65"/>
        <v>2017/9/25</v>
      </c>
      <c r="G227" s="14">
        <v>43003</v>
      </c>
      <c r="H227" s="10">
        <v>5.1109188000000012</v>
      </c>
      <c r="I227" s="10">
        <v>-3.9749287</v>
      </c>
      <c r="J227" s="10">
        <v>1.1359900999999992</v>
      </c>
      <c r="K227" s="10">
        <f t="shared" si="66"/>
        <v>974.92303330000038</v>
      </c>
      <c r="L227" s="10">
        <f t="shared" si="67"/>
        <v>-649.61663619999979</v>
      </c>
      <c r="M227" s="10">
        <f t="shared" si="68"/>
        <v>325.30639710000003</v>
      </c>
      <c r="N227" s="10">
        <v>13.17464552881451</v>
      </c>
      <c r="O227" s="10">
        <v>12.785683844011139</v>
      </c>
      <c r="P227" s="10">
        <v>3415.4178124999989</v>
      </c>
      <c r="Y227" s="10" t="e">
        <f t="shared" si="81"/>
        <v>#N/A</v>
      </c>
      <c r="Z227" s="10" t="e">
        <f t="shared" si="69"/>
        <v>#N/A</v>
      </c>
      <c r="AA227" s="10" t="e">
        <f t="shared" si="70"/>
        <v>#N/A</v>
      </c>
      <c r="AB227" s="10" t="e">
        <f t="shared" si="71"/>
        <v>#N/A</v>
      </c>
      <c r="AC227" s="10" t="e">
        <f t="shared" si="72"/>
        <v>#N/A</v>
      </c>
      <c r="AE227" s="10" t="str">
        <f t="shared" si="82"/>
        <v/>
      </c>
      <c r="AF227" s="10" t="str">
        <f t="shared" si="73"/>
        <v/>
      </c>
      <c r="AG227" s="10" t="str">
        <f t="shared" si="74"/>
        <v/>
      </c>
      <c r="AH227" s="10" t="str">
        <f t="shared" si="75"/>
        <v/>
      </c>
      <c r="AI227" s="10" t="str">
        <f t="shared" si="76"/>
        <v/>
      </c>
      <c r="AK227" s="10"/>
      <c r="AL227" s="10"/>
      <c r="AM227" s="10"/>
      <c r="AN227" s="10"/>
      <c r="AO227" s="10"/>
      <c r="AQ227" s="10"/>
      <c r="AR227" s="10"/>
      <c r="AS227" s="10"/>
      <c r="AT227" s="10"/>
      <c r="AU227" s="10"/>
      <c r="AW227" s="10" t="str">
        <f t="shared" si="83"/>
        <v/>
      </c>
      <c r="AX227" s="10" t="str">
        <f t="shared" si="77"/>
        <v/>
      </c>
      <c r="AY227" s="10" t="str">
        <f t="shared" si="78"/>
        <v/>
      </c>
      <c r="AZ227" s="10" t="str">
        <f t="shared" si="79"/>
        <v/>
      </c>
      <c r="BA227" s="10" t="str">
        <f t="shared" si="80"/>
        <v/>
      </c>
    </row>
    <row r="228" spans="6:53" x14ac:dyDescent="0.2">
      <c r="F228" s="10" t="str">
        <f t="shared" si="65"/>
        <v>2017/9/26</v>
      </c>
      <c r="G228" s="14">
        <v>43004</v>
      </c>
      <c r="H228" s="10">
        <v>3.2713521000000001</v>
      </c>
      <c r="I228" s="10">
        <v>-3.5863856000000003</v>
      </c>
      <c r="J228" s="10">
        <v>-0.31503350000000008</v>
      </c>
      <c r="K228" s="10">
        <f t="shared" si="66"/>
        <v>978.19438540000033</v>
      </c>
      <c r="L228" s="10">
        <f t="shared" si="67"/>
        <v>-653.20302179999976</v>
      </c>
      <c r="M228" s="10">
        <f t="shared" si="68"/>
        <v>324.9913636</v>
      </c>
      <c r="N228" s="10">
        <v>13.037006624866946</v>
      </c>
      <c r="O228" s="10">
        <v>12.604666016713098</v>
      </c>
      <c r="P228" s="10">
        <v>3411.7769482999997</v>
      </c>
      <c r="Y228" s="10" t="e">
        <f t="shared" si="81"/>
        <v>#N/A</v>
      </c>
      <c r="Z228" s="10" t="e">
        <f t="shared" si="69"/>
        <v>#N/A</v>
      </c>
      <c r="AA228" s="10" t="e">
        <f t="shared" si="70"/>
        <v>#N/A</v>
      </c>
      <c r="AB228" s="10" t="e">
        <f t="shared" si="71"/>
        <v>#N/A</v>
      </c>
      <c r="AC228" s="10" t="e">
        <f t="shared" si="72"/>
        <v>#N/A</v>
      </c>
      <c r="AE228" s="10" t="str">
        <f t="shared" si="82"/>
        <v/>
      </c>
      <c r="AF228" s="10" t="str">
        <f t="shared" si="73"/>
        <v/>
      </c>
      <c r="AG228" s="10" t="str">
        <f t="shared" si="74"/>
        <v/>
      </c>
      <c r="AH228" s="10" t="str">
        <f t="shared" si="75"/>
        <v/>
      </c>
      <c r="AI228" s="10" t="str">
        <f t="shared" si="76"/>
        <v/>
      </c>
      <c r="AK228" s="10"/>
      <c r="AL228" s="10"/>
      <c r="AM228" s="10"/>
      <c r="AN228" s="10"/>
      <c r="AO228" s="10"/>
      <c r="AQ228" s="10"/>
      <c r="AR228" s="10"/>
      <c r="AS228" s="10"/>
      <c r="AT228" s="10"/>
      <c r="AU228" s="10"/>
      <c r="AW228" s="10" t="str">
        <f t="shared" si="83"/>
        <v/>
      </c>
      <c r="AX228" s="10" t="str">
        <f t="shared" si="77"/>
        <v/>
      </c>
      <c r="AY228" s="10" t="str">
        <f t="shared" si="78"/>
        <v/>
      </c>
      <c r="AZ228" s="10" t="str">
        <f t="shared" si="79"/>
        <v/>
      </c>
      <c r="BA228" s="10" t="str">
        <f t="shared" si="80"/>
        <v/>
      </c>
    </row>
    <row r="229" spans="6:53" x14ac:dyDescent="0.2">
      <c r="F229" s="10" t="str">
        <f t="shared" si="65"/>
        <v>2017/9/27</v>
      </c>
      <c r="G229" s="14">
        <v>43005</v>
      </c>
      <c r="H229" s="10">
        <v>4.966769199999999</v>
      </c>
      <c r="I229" s="10">
        <v>-3.6651221</v>
      </c>
      <c r="J229" s="10">
        <v>1.3016471000000001</v>
      </c>
      <c r="K229" s="10">
        <f t="shared" si="66"/>
        <v>983.16115460000037</v>
      </c>
      <c r="L229" s="10">
        <f t="shared" si="67"/>
        <v>-656.86814389999972</v>
      </c>
      <c r="M229" s="10">
        <f t="shared" si="68"/>
        <v>326.29301070000002</v>
      </c>
      <c r="N229" s="10">
        <v>13.233980017955396</v>
      </c>
      <c r="O229" s="10">
        <v>12.650186350974927</v>
      </c>
      <c r="P229" s="10">
        <v>3405.1408616000003</v>
      </c>
      <c r="Y229" s="10" t="e">
        <f t="shared" si="81"/>
        <v>#N/A</v>
      </c>
      <c r="Z229" s="10" t="e">
        <f t="shared" si="69"/>
        <v>#N/A</v>
      </c>
      <c r="AA229" s="10" t="e">
        <f t="shared" si="70"/>
        <v>#N/A</v>
      </c>
      <c r="AB229" s="10" t="e">
        <f t="shared" si="71"/>
        <v>#N/A</v>
      </c>
      <c r="AC229" s="10" t="e">
        <f t="shared" si="72"/>
        <v>#N/A</v>
      </c>
      <c r="AE229" s="10" t="str">
        <f t="shared" si="82"/>
        <v/>
      </c>
      <c r="AF229" s="10" t="str">
        <f t="shared" si="73"/>
        <v/>
      </c>
      <c r="AG229" s="10" t="str">
        <f t="shared" si="74"/>
        <v/>
      </c>
      <c r="AH229" s="10" t="str">
        <f t="shared" si="75"/>
        <v/>
      </c>
      <c r="AI229" s="10" t="str">
        <f t="shared" si="76"/>
        <v/>
      </c>
      <c r="AK229" s="10"/>
      <c r="AL229" s="10"/>
      <c r="AM229" s="10"/>
      <c r="AN229" s="10"/>
      <c r="AO229" s="10"/>
      <c r="AQ229" s="10"/>
      <c r="AR229" s="10"/>
      <c r="AS229" s="10"/>
      <c r="AT229" s="10"/>
      <c r="AU229" s="10"/>
      <c r="AW229" s="10" t="str">
        <f t="shared" si="83"/>
        <v/>
      </c>
      <c r="AX229" s="10" t="str">
        <f t="shared" si="77"/>
        <v/>
      </c>
      <c r="AY229" s="10" t="str">
        <f t="shared" si="78"/>
        <v/>
      </c>
      <c r="AZ229" s="10" t="str">
        <f t="shared" si="79"/>
        <v/>
      </c>
      <c r="BA229" s="10" t="str">
        <f t="shared" si="80"/>
        <v/>
      </c>
    </row>
    <row r="230" spans="6:53" x14ac:dyDescent="0.2">
      <c r="F230" s="10" t="str">
        <f t="shared" ref="F230:F293" si="84">IF($G230="","",YEAR($G230)&amp;"/"&amp;MONTH($G230)&amp;"/"&amp;DAY($G230))</f>
        <v>2017/9/28</v>
      </c>
      <c r="G230" s="14">
        <v>43006</v>
      </c>
      <c r="H230" s="10">
        <v>4.0098968000000008</v>
      </c>
      <c r="I230" s="10">
        <v>-4.4869860000000008</v>
      </c>
      <c r="J230" s="10">
        <v>-0.47708920000000021</v>
      </c>
      <c r="K230" s="10">
        <f t="shared" si="66"/>
        <v>987.17105140000035</v>
      </c>
      <c r="L230" s="10">
        <f t="shared" si="67"/>
        <v>-661.35512989999972</v>
      </c>
      <c r="M230" s="10">
        <f t="shared" si="68"/>
        <v>325.8159215</v>
      </c>
      <c r="N230" s="10">
        <v>13.432566445023403</v>
      </c>
      <c r="O230" s="10">
        <v>12.821439275766012</v>
      </c>
      <c r="P230" s="10">
        <v>3411.8106087000006</v>
      </c>
      <c r="Y230" s="10" t="e">
        <f t="shared" si="81"/>
        <v>#N/A</v>
      </c>
      <c r="Z230" s="10" t="e">
        <f t="shared" si="69"/>
        <v>#N/A</v>
      </c>
      <c r="AA230" s="10" t="e">
        <f t="shared" si="70"/>
        <v>#N/A</v>
      </c>
      <c r="AB230" s="10" t="e">
        <f t="shared" si="71"/>
        <v>#N/A</v>
      </c>
      <c r="AC230" s="10" t="e">
        <f t="shared" si="72"/>
        <v>#N/A</v>
      </c>
      <c r="AE230" s="10" t="str">
        <f t="shared" si="82"/>
        <v/>
      </c>
      <c r="AF230" s="10" t="str">
        <f t="shared" si="73"/>
        <v/>
      </c>
      <c r="AG230" s="10" t="str">
        <f t="shared" si="74"/>
        <v/>
      </c>
      <c r="AH230" s="10" t="str">
        <f t="shared" si="75"/>
        <v/>
      </c>
      <c r="AI230" s="10" t="str">
        <f t="shared" si="76"/>
        <v/>
      </c>
      <c r="AK230" s="10"/>
      <c r="AL230" s="10"/>
      <c r="AM230" s="10"/>
      <c r="AN230" s="10"/>
      <c r="AO230" s="10"/>
      <c r="AQ230" s="10"/>
      <c r="AR230" s="10"/>
      <c r="AS230" s="10"/>
      <c r="AT230" s="10"/>
      <c r="AU230" s="10"/>
      <c r="AW230" s="10" t="str">
        <f t="shared" si="83"/>
        <v/>
      </c>
      <c r="AX230" s="10" t="str">
        <f t="shared" si="77"/>
        <v/>
      </c>
      <c r="AY230" s="10" t="str">
        <f t="shared" si="78"/>
        <v/>
      </c>
      <c r="AZ230" s="10" t="str">
        <f t="shared" si="79"/>
        <v/>
      </c>
      <c r="BA230" s="10" t="str">
        <f t="shared" si="80"/>
        <v/>
      </c>
    </row>
    <row r="231" spans="6:53" x14ac:dyDescent="0.2">
      <c r="F231" s="10" t="str">
        <f t="shared" si="84"/>
        <v>2017/9/29</v>
      </c>
      <c r="G231" s="14">
        <v>43007</v>
      </c>
      <c r="H231" s="10">
        <v>5.6713944999999972</v>
      </c>
      <c r="I231" s="10">
        <v>-3.0170488000000004</v>
      </c>
      <c r="J231" s="10">
        <v>2.6543456999999981</v>
      </c>
      <c r="K231" s="10">
        <f t="shared" ref="K231:K294" si="85">IF($H231="","",K230+H231)</f>
        <v>992.84244590000037</v>
      </c>
      <c r="L231" s="10">
        <f t="shared" ref="L231:L294" si="86">IF($I231="","",L230+I231)</f>
        <v>-664.37217869999972</v>
      </c>
      <c r="M231" s="10">
        <f t="shared" ref="M231:M294" si="87">IF($J231="","",M230+J231)</f>
        <v>328.47026720000002</v>
      </c>
      <c r="N231" s="10">
        <v>13.816208679215805</v>
      </c>
      <c r="O231" s="10">
        <v>13.176590529247912</v>
      </c>
      <c r="P231" s="10">
        <v>3417.1684308999993</v>
      </c>
      <c r="Y231" s="10" t="e">
        <f t="shared" si="81"/>
        <v>#N/A</v>
      </c>
      <c r="Z231" s="10" t="e">
        <f t="shared" si="69"/>
        <v>#N/A</v>
      </c>
      <c r="AA231" s="10" t="e">
        <f t="shared" si="70"/>
        <v>#N/A</v>
      </c>
      <c r="AB231" s="10" t="e">
        <f t="shared" si="71"/>
        <v>#N/A</v>
      </c>
      <c r="AC231" s="10" t="e">
        <f t="shared" si="72"/>
        <v>#N/A</v>
      </c>
      <c r="AE231" s="10" t="str">
        <f t="shared" si="82"/>
        <v/>
      </c>
      <c r="AF231" s="10" t="str">
        <f t="shared" si="73"/>
        <v/>
      </c>
      <c r="AG231" s="10" t="str">
        <f t="shared" si="74"/>
        <v/>
      </c>
      <c r="AH231" s="10" t="str">
        <f t="shared" si="75"/>
        <v/>
      </c>
      <c r="AI231" s="10" t="str">
        <f t="shared" si="76"/>
        <v/>
      </c>
      <c r="AK231" s="10"/>
      <c r="AL231" s="10"/>
      <c r="AM231" s="10"/>
      <c r="AN231" s="10"/>
      <c r="AO231" s="10"/>
      <c r="AQ231" s="10"/>
      <c r="AR231" s="10"/>
      <c r="AS231" s="10"/>
      <c r="AT231" s="10"/>
      <c r="AU231" s="10"/>
      <c r="AW231" s="10" t="str">
        <f t="shared" si="83"/>
        <v/>
      </c>
      <c r="AX231" s="10" t="str">
        <f t="shared" si="77"/>
        <v/>
      </c>
      <c r="AY231" s="10" t="str">
        <f t="shared" si="78"/>
        <v/>
      </c>
      <c r="AZ231" s="10" t="str">
        <f t="shared" si="79"/>
        <v/>
      </c>
      <c r="BA231" s="10" t="str">
        <f t="shared" si="80"/>
        <v/>
      </c>
    </row>
    <row r="232" spans="6:53" x14ac:dyDescent="0.2">
      <c r="F232" s="10" t="str">
        <f t="shared" si="84"/>
        <v>2017/10/2</v>
      </c>
      <c r="G232" s="14">
        <v>43010</v>
      </c>
      <c r="H232" s="10">
        <v>3.7891719999999998</v>
      </c>
      <c r="I232" s="10">
        <v>-2.6925949000000005</v>
      </c>
      <c r="J232" s="10">
        <v>1.0965771</v>
      </c>
      <c r="K232" s="10">
        <f t="shared" si="85"/>
        <v>996.63161790000038</v>
      </c>
      <c r="L232" s="10">
        <f t="shared" si="86"/>
        <v>-667.06477359999974</v>
      </c>
      <c r="M232" s="10">
        <f t="shared" si="87"/>
        <v>329.56684430000001</v>
      </c>
      <c r="N232" s="10">
        <v>14.093240062093697</v>
      </c>
      <c r="O232" s="10">
        <v>13.365138161559893</v>
      </c>
      <c r="P232" s="10">
        <v>3430.6256786999993</v>
      </c>
      <c r="Y232" s="10" t="e">
        <f t="shared" si="81"/>
        <v>#N/A</v>
      </c>
      <c r="Z232" s="10" t="e">
        <f t="shared" si="69"/>
        <v>#N/A</v>
      </c>
      <c r="AA232" s="10" t="e">
        <f t="shared" si="70"/>
        <v>#N/A</v>
      </c>
      <c r="AB232" s="10" t="e">
        <f t="shared" si="71"/>
        <v>#N/A</v>
      </c>
      <c r="AC232" s="10" t="e">
        <f t="shared" si="72"/>
        <v>#N/A</v>
      </c>
      <c r="AE232" s="10" t="str">
        <f t="shared" si="82"/>
        <v/>
      </c>
      <c r="AF232" s="10" t="str">
        <f t="shared" si="73"/>
        <v/>
      </c>
      <c r="AG232" s="10" t="str">
        <f t="shared" si="74"/>
        <v/>
      </c>
      <c r="AH232" s="10" t="str">
        <f t="shared" si="75"/>
        <v/>
      </c>
      <c r="AI232" s="10" t="str">
        <f t="shared" si="76"/>
        <v/>
      </c>
      <c r="AK232" s="10"/>
      <c r="AL232" s="10"/>
      <c r="AM232" s="10"/>
      <c r="AN232" s="10"/>
      <c r="AO232" s="10"/>
      <c r="AQ232" s="10"/>
      <c r="AR232" s="10"/>
      <c r="AS232" s="10"/>
      <c r="AT232" s="10"/>
      <c r="AU232" s="10"/>
      <c r="AW232" s="10" t="str">
        <f t="shared" si="83"/>
        <v/>
      </c>
      <c r="AX232" s="10" t="str">
        <f t="shared" si="77"/>
        <v/>
      </c>
      <c r="AY232" s="10" t="str">
        <f t="shared" si="78"/>
        <v/>
      </c>
      <c r="AZ232" s="10" t="str">
        <f t="shared" si="79"/>
        <v/>
      </c>
      <c r="BA232" s="10" t="str">
        <f t="shared" si="80"/>
        <v/>
      </c>
    </row>
    <row r="233" spans="6:53" x14ac:dyDescent="0.2">
      <c r="F233" s="10" t="str">
        <f t="shared" si="84"/>
        <v>2017/10/3</v>
      </c>
      <c r="G233" s="14">
        <v>43011</v>
      </c>
      <c r="H233" s="10">
        <v>5.9879574000000009</v>
      </c>
      <c r="I233" s="10">
        <v>-3.0255107999999997</v>
      </c>
      <c r="J233" s="10">
        <v>2.9624465999999989</v>
      </c>
      <c r="K233" s="10">
        <f t="shared" si="85"/>
        <v>1002.6195753000004</v>
      </c>
      <c r="L233" s="10">
        <f t="shared" si="86"/>
        <v>-670.09028439999975</v>
      </c>
      <c r="M233" s="10">
        <f t="shared" si="87"/>
        <v>332.52929090000003</v>
      </c>
      <c r="N233" s="10">
        <v>14.491631888402683</v>
      </c>
      <c r="O233" s="10">
        <v>13.72253147632312</v>
      </c>
      <c r="P233" s="10">
        <v>3438.6237320666678</v>
      </c>
      <c r="Y233" s="10" t="e">
        <f t="shared" si="81"/>
        <v>#N/A</v>
      </c>
      <c r="Z233" s="10" t="e">
        <f t="shared" si="69"/>
        <v>#N/A</v>
      </c>
      <c r="AA233" s="10" t="e">
        <f t="shared" si="70"/>
        <v>#N/A</v>
      </c>
      <c r="AB233" s="10" t="e">
        <f t="shared" si="71"/>
        <v>#N/A</v>
      </c>
      <c r="AC233" s="10" t="e">
        <f t="shared" si="72"/>
        <v>#N/A</v>
      </c>
      <c r="AE233" s="10" t="str">
        <f t="shared" si="82"/>
        <v/>
      </c>
      <c r="AF233" s="10" t="str">
        <f t="shared" si="73"/>
        <v/>
      </c>
      <c r="AG233" s="10" t="str">
        <f t="shared" si="74"/>
        <v/>
      </c>
      <c r="AH233" s="10" t="str">
        <f t="shared" si="75"/>
        <v/>
      </c>
      <c r="AI233" s="10" t="str">
        <f t="shared" si="76"/>
        <v/>
      </c>
      <c r="AK233" s="10"/>
      <c r="AL233" s="10"/>
      <c r="AM233" s="10"/>
      <c r="AN233" s="10"/>
      <c r="AO233" s="10"/>
      <c r="AQ233" s="10"/>
      <c r="AR233" s="10"/>
      <c r="AS233" s="10"/>
      <c r="AT233" s="10"/>
      <c r="AU233" s="10"/>
      <c r="AW233" s="10" t="str">
        <f t="shared" si="83"/>
        <v/>
      </c>
      <c r="AX233" s="10" t="str">
        <f t="shared" si="77"/>
        <v/>
      </c>
      <c r="AY233" s="10" t="str">
        <f t="shared" si="78"/>
        <v/>
      </c>
      <c r="AZ233" s="10" t="str">
        <f t="shared" si="79"/>
        <v/>
      </c>
      <c r="BA233" s="10" t="str">
        <f t="shared" si="80"/>
        <v/>
      </c>
    </row>
    <row r="234" spans="6:53" x14ac:dyDescent="0.2">
      <c r="F234" s="10" t="str">
        <f t="shared" si="84"/>
        <v>2017/10/4</v>
      </c>
      <c r="G234" s="14">
        <v>43012</v>
      </c>
      <c r="H234" s="10">
        <v>3.3844674000000006</v>
      </c>
      <c r="I234" s="10">
        <v>-2.5981274999999999</v>
      </c>
      <c r="J234" s="10">
        <v>0.78633990000000009</v>
      </c>
      <c r="K234" s="10">
        <f t="shared" si="85"/>
        <v>1006.0040427000004</v>
      </c>
      <c r="L234" s="10">
        <f t="shared" si="86"/>
        <v>-672.68841189999978</v>
      </c>
      <c r="M234" s="10">
        <f t="shared" si="87"/>
        <v>333.31563080000001</v>
      </c>
      <c r="N234" s="10">
        <v>14.557465919019061</v>
      </c>
      <c r="O234" s="10">
        <v>13.800606685236763</v>
      </c>
      <c r="P234" s="10">
        <v>3452.6381358333333</v>
      </c>
      <c r="Y234" s="10" t="e">
        <f t="shared" si="81"/>
        <v>#N/A</v>
      </c>
      <c r="Z234" s="10" t="e">
        <f t="shared" si="69"/>
        <v>#N/A</v>
      </c>
      <c r="AA234" s="10" t="e">
        <f t="shared" si="70"/>
        <v>#N/A</v>
      </c>
      <c r="AB234" s="10" t="e">
        <f t="shared" si="71"/>
        <v>#N/A</v>
      </c>
      <c r="AC234" s="10" t="e">
        <f t="shared" si="72"/>
        <v>#N/A</v>
      </c>
      <c r="AE234" s="10" t="str">
        <f t="shared" si="82"/>
        <v/>
      </c>
      <c r="AF234" s="10" t="str">
        <f t="shared" si="73"/>
        <v/>
      </c>
      <c r="AG234" s="10" t="str">
        <f t="shared" si="74"/>
        <v/>
      </c>
      <c r="AH234" s="10" t="str">
        <f t="shared" si="75"/>
        <v/>
      </c>
      <c r="AI234" s="10" t="str">
        <f t="shared" si="76"/>
        <v/>
      </c>
      <c r="AK234" s="10"/>
      <c r="AL234" s="10"/>
      <c r="AM234" s="10"/>
      <c r="AN234" s="10"/>
      <c r="AO234" s="10"/>
      <c r="AQ234" s="10"/>
      <c r="AR234" s="10"/>
      <c r="AS234" s="10"/>
      <c r="AT234" s="10"/>
      <c r="AU234" s="10"/>
      <c r="AW234" s="10" t="str">
        <f t="shared" si="83"/>
        <v/>
      </c>
      <c r="AX234" s="10" t="str">
        <f t="shared" si="77"/>
        <v/>
      </c>
      <c r="AY234" s="10" t="str">
        <f t="shared" si="78"/>
        <v/>
      </c>
      <c r="AZ234" s="10" t="str">
        <f t="shared" si="79"/>
        <v/>
      </c>
      <c r="BA234" s="10" t="str">
        <f t="shared" si="80"/>
        <v/>
      </c>
    </row>
    <row r="235" spans="6:53" x14ac:dyDescent="0.2">
      <c r="F235" s="10" t="str">
        <f t="shared" si="84"/>
        <v>2017/10/5</v>
      </c>
      <c r="G235" s="14">
        <v>43013</v>
      </c>
      <c r="H235" s="10">
        <v>4.6791713000000001</v>
      </c>
      <c r="I235" s="10">
        <v>-3.5455653999999992</v>
      </c>
      <c r="J235" s="10">
        <v>1.1336059000000005</v>
      </c>
      <c r="K235" s="10">
        <f t="shared" si="85"/>
        <v>1010.6832140000004</v>
      </c>
      <c r="L235" s="10">
        <f t="shared" si="86"/>
        <v>-676.23397729999976</v>
      </c>
      <c r="M235" s="10">
        <f t="shared" si="87"/>
        <v>334.44923670000003</v>
      </c>
      <c r="N235" s="10">
        <v>14.872032253143452</v>
      </c>
      <c r="O235" s="10">
        <v>13.978280919220049</v>
      </c>
      <c r="P235" s="10">
        <v>3455.2868097299997</v>
      </c>
      <c r="Y235" s="10" t="e">
        <f t="shared" si="81"/>
        <v>#N/A</v>
      </c>
      <c r="Z235" s="10" t="e">
        <f t="shared" si="69"/>
        <v>#N/A</v>
      </c>
      <c r="AA235" s="10" t="e">
        <f t="shared" si="70"/>
        <v>#N/A</v>
      </c>
      <c r="AB235" s="10" t="e">
        <f t="shared" si="71"/>
        <v>#N/A</v>
      </c>
      <c r="AC235" s="10" t="e">
        <f t="shared" si="72"/>
        <v>#N/A</v>
      </c>
      <c r="AE235" s="10" t="str">
        <f t="shared" si="82"/>
        <v/>
      </c>
      <c r="AF235" s="10" t="str">
        <f t="shared" si="73"/>
        <v/>
      </c>
      <c r="AG235" s="10" t="str">
        <f t="shared" si="74"/>
        <v/>
      </c>
      <c r="AH235" s="10" t="str">
        <f t="shared" si="75"/>
        <v/>
      </c>
      <c r="AI235" s="10" t="str">
        <f t="shared" si="76"/>
        <v/>
      </c>
      <c r="AK235" s="10"/>
      <c r="AL235" s="10"/>
      <c r="AM235" s="10"/>
      <c r="AN235" s="10"/>
      <c r="AO235" s="10"/>
      <c r="AQ235" s="10"/>
      <c r="AR235" s="10"/>
      <c r="AS235" s="10"/>
      <c r="AT235" s="10"/>
      <c r="AU235" s="10"/>
      <c r="AW235" s="10" t="str">
        <f t="shared" si="83"/>
        <v/>
      </c>
      <c r="AX235" s="10" t="str">
        <f t="shared" si="77"/>
        <v/>
      </c>
      <c r="AY235" s="10" t="str">
        <f t="shared" si="78"/>
        <v/>
      </c>
      <c r="AZ235" s="10" t="str">
        <f t="shared" si="79"/>
        <v/>
      </c>
      <c r="BA235" s="10" t="str">
        <f t="shared" si="80"/>
        <v/>
      </c>
    </row>
    <row r="236" spans="6:53" x14ac:dyDescent="0.2">
      <c r="F236" s="10" t="str">
        <f t="shared" si="84"/>
        <v>2017/10/6</v>
      </c>
      <c r="G236" s="14">
        <v>43014</v>
      </c>
      <c r="H236" s="10">
        <v>4.4497869999999997</v>
      </c>
      <c r="I236" s="10">
        <v>-4.962283900000001</v>
      </c>
      <c r="J236" s="10">
        <v>-0.51249690000000014</v>
      </c>
      <c r="K236" s="10">
        <f t="shared" si="85"/>
        <v>1015.1330010000004</v>
      </c>
      <c r="L236" s="10">
        <f t="shared" si="86"/>
        <v>-681.19626119999975</v>
      </c>
      <c r="M236" s="10">
        <f t="shared" si="87"/>
        <v>333.93673980000005</v>
      </c>
      <c r="N236" s="10">
        <v>14.775337353229848</v>
      </c>
      <c r="O236" s="10">
        <v>13.852031894150418</v>
      </c>
      <c r="P236" s="10">
        <v>3465.4565233166668</v>
      </c>
      <c r="Y236" s="10" t="e">
        <f t="shared" si="81"/>
        <v>#N/A</v>
      </c>
      <c r="Z236" s="10" t="e">
        <f t="shared" si="69"/>
        <v>#N/A</v>
      </c>
      <c r="AA236" s="10" t="e">
        <f t="shared" si="70"/>
        <v>#N/A</v>
      </c>
      <c r="AB236" s="10" t="e">
        <f t="shared" si="71"/>
        <v>#N/A</v>
      </c>
      <c r="AC236" s="10" t="e">
        <f t="shared" si="72"/>
        <v>#N/A</v>
      </c>
      <c r="AE236" s="10" t="str">
        <f t="shared" si="82"/>
        <v/>
      </c>
      <c r="AF236" s="10" t="str">
        <f t="shared" si="73"/>
        <v/>
      </c>
      <c r="AG236" s="10" t="str">
        <f t="shared" si="74"/>
        <v/>
      </c>
      <c r="AH236" s="10" t="str">
        <f t="shared" si="75"/>
        <v/>
      </c>
      <c r="AI236" s="10" t="str">
        <f t="shared" si="76"/>
        <v/>
      </c>
      <c r="AK236" s="10"/>
      <c r="AL236" s="10"/>
      <c r="AM236" s="10"/>
      <c r="AN236" s="10"/>
      <c r="AO236" s="10"/>
      <c r="AQ236" s="10"/>
      <c r="AR236" s="10"/>
      <c r="AS236" s="10"/>
      <c r="AT236" s="10"/>
      <c r="AU236" s="10"/>
      <c r="AW236" s="10" t="str">
        <f t="shared" si="83"/>
        <v/>
      </c>
      <c r="AX236" s="10" t="str">
        <f t="shared" si="77"/>
        <v/>
      </c>
      <c r="AY236" s="10" t="str">
        <f t="shared" si="78"/>
        <v/>
      </c>
      <c r="AZ236" s="10" t="str">
        <f t="shared" si="79"/>
        <v/>
      </c>
      <c r="BA236" s="10" t="str">
        <f t="shared" si="80"/>
        <v/>
      </c>
    </row>
    <row r="237" spans="6:53" x14ac:dyDescent="0.2">
      <c r="F237" s="10" t="str">
        <f t="shared" si="84"/>
        <v>2017/10/9</v>
      </c>
      <c r="G237" s="14">
        <v>43017</v>
      </c>
      <c r="H237" s="10">
        <v>4.2368835999999988</v>
      </c>
      <c r="I237" s="10">
        <v>-0.94399480000000002</v>
      </c>
      <c r="J237" s="10">
        <v>3.2928888000000001</v>
      </c>
      <c r="K237" s="10">
        <f t="shared" si="85"/>
        <v>1019.3698846000004</v>
      </c>
      <c r="L237" s="10">
        <f t="shared" si="86"/>
        <v>-682.14025599999979</v>
      </c>
      <c r="M237" s="10">
        <f t="shared" si="87"/>
        <v>337.22962860000007</v>
      </c>
      <c r="N237" s="10">
        <v>14.735939102112614</v>
      </c>
      <c r="O237" s="10">
        <v>13.872851160631386</v>
      </c>
      <c r="P237" s="10">
        <v>3462.0772696833342</v>
      </c>
      <c r="Y237" s="10" t="e">
        <f t="shared" si="81"/>
        <v>#N/A</v>
      </c>
      <c r="Z237" s="10" t="e">
        <f t="shared" si="69"/>
        <v>#N/A</v>
      </c>
      <c r="AA237" s="10" t="e">
        <f t="shared" si="70"/>
        <v>#N/A</v>
      </c>
      <c r="AB237" s="10" t="e">
        <f t="shared" si="71"/>
        <v>#N/A</v>
      </c>
      <c r="AC237" s="10" t="e">
        <f t="shared" si="72"/>
        <v>#N/A</v>
      </c>
      <c r="AE237" s="10" t="str">
        <f t="shared" si="82"/>
        <v/>
      </c>
      <c r="AF237" s="10" t="str">
        <f t="shared" si="73"/>
        <v/>
      </c>
      <c r="AG237" s="10" t="str">
        <f t="shared" si="74"/>
        <v/>
      </c>
      <c r="AH237" s="10" t="str">
        <f t="shared" si="75"/>
        <v/>
      </c>
      <c r="AI237" s="10" t="str">
        <f t="shared" si="76"/>
        <v/>
      </c>
      <c r="AK237" s="10"/>
      <c r="AL237" s="10"/>
      <c r="AM237" s="10"/>
      <c r="AN237" s="10"/>
      <c r="AO237" s="10"/>
      <c r="AQ237" s="10"/>
      <c r="AR237" s="10"/>
      <c r="AS237" s="10"/>
      <c r="AT237" s="10"/>
      <c r="AU237" s="10"/>
      <c r="AW237" s="10" t="str">
        <f t="shared" si="83"/>
        <v/>
      </c>
      <c r="AX237" s="10" t="str">
        <f t="shared" si="77"/>
        <v/>
      </c>
      <c r="AY237" s="10" t="str">
        <f t="shared" si="78"/>
        <v/>
      </c>
      <c r="AZ237" s="10" t="str">
        <f t="shared" si="79"/>
        <v/>
      </c>
      <c r="BA237" s="10" t="str">
        <f t="shared" si="80"/>
        <v/>
      </c>
    </row>
    <row r="238" spans="6:53" x14ac:dyDescent="0.2">
      <c r="F238" s="10" t="str">
        <f t="shared" si="84"/>
        <v>2017/10/10</v>
      </c>
      <c r="G238" s="14">
        <v>43018</v>
      </c>
      <c r="H238" s="10">
        <v>4.9150031999999992</v>
      </c>
      <c r="I238" s="10">
        <v>-2.7472175999999995</v>
      </c>
      <c r="J238" s="10">
        <v>2.1677855999999989</v>
      </c>
      <c r="K238" s="10">
        <f t="shared" si="85"/>
        <v>1024.2848878000004</v>
      </c>
      <c r="L238" s="10">
        <f t="shared" si="86"/>
        <v>-684.88747359999979</v>
      </c>
      <c r="M238" s="10">
        <f t="shared" si="87"/>
        <v>339.39741420000007</v>
      </c>
      <c r="N238" s="10">
        <v>15.202946754793841</v>
      </c>
      <c r="O238" s="10">
        <v>14.329575023212623</v>
      </c>
      <c r="P238" s="10">
        <v>3464.1256420333334</v>
      </c>
      <c r="Y238" s="10" t="e">
        <f t="shared" si="81"/>
        <v>#N/A</v>
      </c>
      <c r="Z238" s="10" t="e">
        <f t="shared" si="69"/>
        <v>#N/A</v>
      </c>
      <c r="AA238" s="10" t="e">
        <f t="shared" si="70"/>
        <v>#N/A</v>
      </c>
      <c r="AB238" s="10" t="e">
        <f t="shared" si="71"/>
        <v>#N/A</v>
      </c>
      <c r="AC238" s="10" t="e">
        <f t="shared" si="72"/>
        <v>#N/A</v>
      </c>
      <c r="AE238" s="10" t="str">
        <f t="shared" si="82"/>
        <v/>
      </c>
      <c r="AF238" s="10" t="str">
        <f t="shared" si="73"/>
        <v/>
      </c>
      <c r="AG238" s="10" t="str">
        <f t="shared" si="74"/>
        <v/>
      </c>
      <c r="AH238" s="10" t="str">
        <f t="shared" si="75"/>
        <v/>
      </c>
      <c r="AI238" s="10" t="str">
        <f t="shared" si="76"/>
        <v/>
      </c>
      <c r="AK238" s="10"/>
      <c r="AL238" s="10"/>
      <c r="AM238" s="10"/>
      <c r="AN238" s="10"/>
      <c r="AO238" s="10"/>
      <c r="AQ238" s="10"/>
      <c r="AR238" s="10"/>
      <c r="AS238" s="10"/>
      <c r="AT238" s="10"/>
      <c r="AU238" s="10"/>
      <c r="AW238" s="10" t="str">
        <f t="shared" si="83"/>
        <v/>
      </c>
      <c r="AX238" s="10" t="str">
        <f t="shared" si="77"/>
        <v/>
      </c>
      <c r="AY238" s="10" t="str">
        <f t="shared" si="78"/>
        <v/>
      </c>
      <c r="AZ238" s="10" t="str">
        <f t="shared" si="79"/>
        <v/>
      </c>
      <c r="BA238" s="10" t="str">
        <f t="shared" si="80"/>
        <v/>
      </c>
    </row>
    <row r="239" spans="6:53" x14ac:dyDescent="0.2">
      <c r="F239" s="10" t="str">
        <f t="shared" si="84"/>
        <v>2017/10/11</v>
      </c>
      <c r="G239" s="14">
        <v>43019</v>
      </c>
      <c r="H239" s="10">
        <v>4.7619890999999992</v>
      </c>
      <c r="I239" s="10">
        <v>-2.8714631000000006</v>
      </c>
      <c r="J239" s="10">
        <v>1.8905259999999993</v>
      </c>
      <c r="K239" s="10">
        <f t="shared" si="85"/>
        <v>1029.0468769000004</v>
      </c>
      <c r="L239" s="10">
        <f t="shared" si="86"/>
        <v>-687.75893669999982</v>
      </c>
      <c r="M239" s="10">
        <f t="shared" si="87"/>
        <v>341.28794020000009</v>
      </c>
      <c r="N239" s="10">
        <v>15.398014134435474</v>
      </c>
      <c r="O239" s="10">
        <v>14.544893036211707</v>
      </c>
      <c r="P239" s="10">
        <v>3479.5592643666682</v>
      </c>
      <c r="Y239" s="10" t="e">
        <f t="shared" si="81"/>
        <v>#N/A</v>
      </c>
      <c r="Z239" s="10" t="e">
        <f t="shared" si="69"/>
        <v>#N/A</v>
      </c>
      <c r="AA239" s="10" t="e">
        <f t="shared" si="70"/>
        <v>#N/A</v>
      </c>
      <c r="AB239" s="10" t="e">
        <f t="shared" si="71"/>
        <v>#N/A</v>
      </c>
      <c r="AC239" s="10" t="e">
        <f t="shared" si="72"/>
        <v>#N/A</v>
      </c>
      <c r="AE239" s="10" t="str">
        <f t="shared" si="82"/>
        <v/>
      </c>
      <c r="AF239" s="10" t="str">
        <f t="shared" si="73"/>
        <v/>
      </c>
      <c r="AG239" s="10" t="str">
        <f t="shared" si="74"/>
        <v/>
      </c>
      <c r="AH239" s="10" t="str">
        <f t="shared" si="75"/>
        <v/>
      </c>
      <c r="AI239" s="10" t="str">
        <f t="shared" si="76"/>
        <v/>
      </c>
      <c r="AK239" s="10"/>
      <c r="AL239" s="10"/>
      <c r="AM239" s="10"/>
      <c r="AN239" s="10"/>
      <c r="AO239" s="10"/>
      <c r="AQ239" s="10"/>
      <c r="AR239" s="10"/>
      <c r="AS239" s="10"/>
      <c r="AT239" s="10"/>
      <c r="AU239" s="10"/>
      <c r="AW239" s="10" t="str">
        <f t="shared" si="83"/>
        <v/>
      </c>
      <c r="AX239" s="10" t="str">
        <f t="shared" si="77"/>
        <v/>
      </c>
      <c r="AY239" s="10" t="str">
        <f t="shared" si="78"/>
        <v/>
      </c>
      <c r="AZ239" s="10" t="str">
        <f t="shared" si="79"/>
        <v/>
      </c>
      <c r="BA239" s="10" t="str">
        <f t="shared" si="80"/>
        <v/>
      </c>
    </row>
    <row r="240" spans="6:53" x14ac:dyDescent="0.2">
      <c r="F240" s="10" t="str">
        <f t="shared" si="84"/>
        <v>2017/10/12</v>
      </c>
      <c r="G240" s="14">
        <v>43020</v>
      </c>
      <c r="H240" s="10">
        <v>7.6696802000000002</v>
      </c>
      <c r="I240" s="10">
        <v>-2.8098928000000001</v>
      </c>
      <c r="J240" s="10">
        <v>4.859787400000001</v>
      </c>
      <c r="K240" s="10">
        <f t="shared" si="85"/>
        <v>1036.7165571000003</v>
      </c>
      <c r="L240" s="10">
        <f t="shared" si="86"/>
        <v>-690.56882949999977</v>
      </c>
      <c r="M240" s="10">
        <f t="shared" si="87"/>
        <v>346.14772760000011</v>
      </c>
      <c r="N240" s="10">
        <v>15.425431673163393</v>
      </c>
      <c r="O240" s="10">
        <v>14.652952367688028</v>
      </c>
      <c r="P240" s="10">
        <v>3486.9036260000016</v>
      </c>
      <c r="Y240" s="10" t="e">
        <f t="shared" si="81"/>
        <v>#N/A</v>
      </c>
      <c r="Z240" s="10" t="e">
        <f t="shared" si="69"/>
        <v>#N/A</v>
      </c>
      <c r="AA240" s="10" t="e">
        <f t="shared" si="70"/>
        <v>#N/A</v>
      </c>
      <c r="AB240" s="10" t="e">
        <f t="shared" si="71"/>
        <v>#N/A</v>
      </c>
      <c r="AC240" s="10" t="e">
        <f t="shared" si="72"/>
        <v>#N/A</v>
      </c>
      <c r="AE240" s="10" t="str">
        <f t="shared" si="82"/>
        <v/>
      </c>
      <c r="AF240" s="10" t="str">
        <f t="shared" si="73"/>
        <v/>
      </c>
      <c r="AG240" s="10" t="str">
        <f t="shared" si="74"/>
        <v/>
      </c>
      <c r="AH240" s="10" t="str">
        <f t="shared" si="75"/>
        <v/>
      </c>
      <c r="AI240" s="10" t="str">
        <f t="shared" si="76"/>
        <v/>
      </c>
      <c r="AK240" s="10"/>
      <c r="AL240" s="10"/>
      <c r="AM240" s="10"/>
      <c r="AN240" s="10"/>
      <c r="AO240" s="10"/>
      <c r="AQ240" s="10"/>
      <c r="AR240" s="10"/>
      <c r="AS240" s="10"/>
      <c r="AT240" s="10"/>
      <c r="AU240" s="10"/>
      <c r="AW240" s="10" t="str">
        <f t="shared" si="83"/>
        <v/>
      </c>
      <c r="AX240" s="10" t="str">
        <f t="shared" si="77"/>
        <v/>
      </c>
      <c r="AY240" s="10" t="str">
        <f t="shared" si="78"/>
        <v/>
      </c>
      <c r="AZ240" s="10" t="str">
        <f t="shared" si="79"/>
        <v/>
      </c>
      <c r="BA240" s="10" t="str">
        <f t="shared" si="80"/>
        <v/>
      </c>
    </row>
    <row r="241" spans="6:53" x14ac:dyDescent="0.2">
      <c r="F241" s="10" t="str">
        <f t="shared" si="84"/>
        <v>2017/10/13</v>
      </c>
      <c r="G241" s="14">
        <v>43021</v>
      </c>
      <c r="H241" s="10">
        <v>4.4070372000000013</v>
      </c>
      <c r="I241" s="10">
        <v>-4.1382335000000001</v>
      </c>
      <c r="J241" s="10">
        <v>0.26880370000000003</v>
      </c>
      <c r="K241" s="10">
        <f t="shared" si="85"/>
        <v>1041.1235943000004</v>
      </c>
      <c r="L241" s="10">
        <f t="shared" si="86"/>
        <v>-694.70706299999972</v>
      </c>
      <c r="M241" s="10">
        <f t="shared" si="87"/>
        <v>346.41653130000009</v>
      </c>
      <c r="N241" s="10">
        <v>15.757255175663598</v>
      </c>
      <c r="O241" s="10">
        <v>14.911808635097495</v>
      </c>
      <c r="P241" s="10">
        <v>3492.450309899999</v>
      </c>
      <c r="Y241" s="10" t="e">
        <f t="shared" si="81"/>
        <v>#N/A</v>
      </c>
      <c r="Z241" s="10" t="e">
        <f t="shared" si="69"/>
        <v>#N/A</v>
      </c>
      <c r="AA241" s="10" t="e">
        <f t="shared" si="70"/>
        <v>#N/A</v>
      </c>
      <c r="AB241" s="10" t="e">
        <f t="shared" si="71"/>
        <v>#N/A</v>
      </c>
      <c r="AC241" s="10" t="e">
        <f t="shared" si="72"/>
        <v>#N/A</v>
      </c>
      <c r="AE241" s="10" t="str">
        <f t="shared" si="82"/>
        <v/>
      </c>
      <c r="AF241" s="10" t="str">
        <f t="shared" si="73"/>
        <v/>
      </c>
      <c r="AG241" s="10" t="str">
        <f t="shared" si="74"/>
        <v/>
      </c>
      <c r="AH241" s="10" t="str">
        <f t="shared" si="75"/>
        <v/>
      </c>
      <c r="AI241" s="10" t="str">
        <f t="shared" si="76"/>
        <v/>
      </c>
      <c r="AK241" s="10"/>
      <c r="AL241" s="10"/>
      <c r="AM241" s="10"/>
      <c r="AN241" s="10"/>
      <c r="AO241" s="10"/>
      <c r="AQ241" s="10"/>
      <c r="AR241" s="10"/>
      <c r="AS241" s="10"/>
      <c r="AT241" s="10"/>
      <c r="AU241" s="10"/>
      <c r="AW241" s="10" t="str">
        <f t="shared" si="83"/>
        <v/>
      </c>
      <c r="AX241" s="10" t="str">
        <f t="shared" si="77"/>
        <v/>
      </c>
      <c r="AY241" s="10" t="str">
        <f t="shared" si="78"/>
        <v/>
      </c>
      <c r="AZ241" s="10" t="str">
        <f t="shared" si="79"/>
        <v/>
      </c>
      <c r="BA241" s="10" t="str">
        <f t="shared" si="80"/>
        <v/>
      </c>
    </row>
    <row r="242" spans="6:53" x14ac:dyDescent="0.2">
      <c r="F242" s="10" t="str">
        <f t="shared" si="84"/>
        <v>2017/10/16</v>
      </c>
      <c r="G242" s="14">
        <v>43024</v>
      </c>
      <c r="H242" s="10">
        <v>6.5351711999999997</v>
      </c>
      <c r="I242" s="10">
        <v>-3.8221476000000001</v>
      </c>
      <c r="J242" s="10">
        <v>2.7130236000000001</v>
      </c>
      <c r="K242" s="10">
        <f t="shared" si="85"/>
        <v>1047.6587655000003</v>
      </c>
      <c r="L242" s="10">
        <f t="shared" si="86"/>
        <v>-698.52921059999971</v>
      </c>
      <c r="M242" s="10">
        <f t="shared" si="87"/>
        <v>349.12955490000007</v>
      </c>
      <c r="N242" s="10">
        <v>15.816121462777611</v>
      </c>
      <c r="O242" s="10">
        <v>14.904154317548754</v>
      </c>
      <c r="P242" s="10">
        <v>3502.6234821000003</v>
      </c>
      <c r="Y242" s="10" t="e">
        <f t="shared" si="81"/>
        <v>#N/A</v>
      </c>
      <c r="Z242" s="10" t="e">
        <f t="shared" si="69"/>
        <v>#N/A</v>
      </c>
      <c r="AA242" s="10" t="e">
        <f t="shared" si="70"/>
        <v>#N/A</v>
      </c>
      <c r="AB242" s="10" t="e">
        <f t="shared" si="71"/>
        <v>#N/A</v>
      </c>
      <c r="AC242" s="10" t="e">
        <f t="shared" si="72"/>
        <v>#N/A</v>
      </c>
      <c r="AE242" s="10" t="str">
        <f t="shared" si="82"/>
        <v/>
      </c>
      <c r="AF242" s="10" t="str">
        <f t="shared" si="73"/>
        <v/>
      </c>
      <c r="AG242" s="10" t="str">
        <f t="shared" si="74"/>
        <v/>
      </c>
      <c r="AH242" s="10" t="str">
        <f t="shared" si="75"/>
        <v/>
      </c>
      <c r="AI242" s="10" t="str">
        <f t="shared" si="76"/>
        <v/>
      </c>
      <c r="AK242" s="10"/>
      <c r="AL242" s="10"/>
      <c r="AM242" s="10"/>
      <c r="AN242" s="10"/>
      <c r="AO242" s="10"/>
      <c r="AQ242" s="10"/>
      <c r="AR242" s="10"/>
      <c r="AS242" s="10"/>
      <c r="AT242" s="10"/>
      <c r="AU242" s="10"/>
      <c r="AW242" s="10" t="str">
        <f t="shared" si="83"/>
        <v/>
      </c>
      <c r="AX242" s="10" t="str">
        <f t="shared" si="77"/>
        <v/>
      </c>
      <c r="AY242" s="10" t="str">
        <f t="shared" si="78"/>
        <v/>
      </c>
      <c r="AZ242" s="10" t="str">
        <f t="shared" si="79"/>
        <v/>
      </c>
      <c r="BA242" s="10" t="str">
        <f t="shared" si="80"/>
        <v/>
      </c>
    </row>
    <row r="243" spans="6:53" x14ac:dyDescent="0.2">
      <c r="F243" s="10" t="str">
        <f t="shared" si="84"/>
        <v>2017/10/17</v>
      </c>
      <c r="G243" s="14">
        <v>43025</v>
      </c>
      <c r="H243" s="10">
        <v>4.2841426</v>
      </c>
      <c r="I243" s="10">
        <v>-1.7946893999999998</v>
      </c>
      <c r="J243" s="10">
        <v>2.4894531999999998</v>
      </c>
      <c r="K243" s="10">
        <f t="shared" si="85"/>
        <v>1051.9429081000003</v>
      </c>
      <c r="L243" s="10">
        <f t="shared" si="86"/>
        <v>-700.32389999999975</v>
      </c>
      <c r="M243" s="10">
        <f t="shared" si="87"/>
        <v>351.61900810000009</v>
      </c>
      <c r="N243" s="10">
        <v>15.663573172395937</v>
      </c>
      <c r="O243" s="10">
        <v>14.687145125348193</v>
      </c>
      <c r="P243" s="10">
        <v>3506.2477223000014</v>
      </c>
      <c r="Y243" s="10" t="e">
        <f t="shared" si="81"/>
        <v>#N/A</v>
      </c>
      <c r="Z243" s="10" t="e">
        <f t="shared" si="69"/>
        <v>#N/A</v>
      </c>
      <c r="AA243" s="10" t="e">
        <f t="shared" si="70"/>
        <v>#N/A</v>
      </c>
      <c r="AB243" s="10" t="e">
        <f t="shared" si="71"/>
        <v>#N/A</v>
      </c>
      <c r="AC243" s="10" t="e">
        <f t="shared" si="72"/>
        <v>#N/A</v>
      </c>
      <c r="AE243" s="10" t="str">
        <f t="shared" si="82"/>
        <v/>
      </c>
      <c r="AF243" s="10" t="str">
        <f t="shared" si="73"/>
        <v/>
      </c>
      <c r="AG243" s="10" t="str">
        <f t="shared" si="74"/>
        <v/>
      </c>
      <c r="AH243" s="10" t="str">
        <f t="shared" si="75"/>
        <v/>
      </c>
      <c r="AI243" s="10" t="str">
        <f t="shared" si="76"/>
        <v/>
      </c>
      <c r="AK243" s="10"/>
      <c r="AL243" s="10"/>
      <c r="AM243" s="10"/>
      <c r="AN243" s="10"/>
      <c r="AO243" s="10"/>
      <c r="AQ243" s="10"/>
      <c r="AR243" s="10"/>
      <c r="AS243" s="10"/>
      <c r="AT243" s="10"/>
      <c r="AU243" s="10"/>
      <c r="AW243" s="10" t="str">
        <f t="shared" si="83"/>
        <v/>
      </c>
      <c r="AX243" s="10" t="str">
        <f t="shared" si="77"/>
        <v/>
      </c>
      <c r="AY243" s="10" t="str">
        <f t="shared" si="78"/>
        <v/>
      </c>
      <c r="AZ243" s="10" t="str">
        <f t="shared" si="79"/>
        <v/>
      </c>
      <c r="BA243" s="10" t="str">
        <f t="shared" si="80"/>
        <v/>
      </c>
    </row>
    <row r="244" spans="6:53" x14ac:dyDescent="0.2">
      <c r="F244" s="10" t="str">
        <f t="shared" si="84"/>
        <v>2017/10/18</v>
      </c>
      <c r="G244" s="14">
        <v>43026</v>
      </c>
      <c r="H244" s="10">
        <v>3.8657031999999991</v>
      </c>
      <c r="I244" s="10">
        <v>-3.8238124999999994</v>
      </c>
      <c r="J244" s="10">
        <v>4.1890699999999975E-2</v>
      </c>
      <c r="K244" s="10">
        <f t="shared" si="85"/>
        <v>1055.8086113000004</v>
      </c>
      <c r="L244" s="10">
        <f t="shared" si="86"/>
        <v>-704.14771249999978</v>
      </c>
      <c r="M244" s="10">
        <f t="shared" si="87"/>
        <v>351.6608988000001</v>
      </c>
      <c r="N244" s="10">
        <v>15.770785926053996</v>
      </c>
      <c r="O244" s="10">
        <v>14.814086908077991</v>
      </c>
      <c r="P244" s="10">
        <v>3504.4342162999992</v>
      </c>
      <c r="Y244" s="10" t="e">
        <f t="shared" si="81"/>
        <v>#N/A</v>
      </c>
      <c r="Z244" s="10" t="e">
        <f t="shared" si="69"/>
        <v>#N/A</v>
      </c>
      <c r="AA244" s="10" t="e">
        <f t="shared" si="70"/>
        <v>#N/A</v>
      </c>
      <c r="AB244" s="10" t="e">
        <f t="shared" si="71"/>
        <v>#N/A</v>
      </c>
      <c r="AC244" s="10" t="e">
        <f t="shared" si="72"/>
        <v>#N/A</v>
      </c>
      <c r="AE244" s="10" t="str">
        <f t="shared" si="82"/>
        <v/>
      </c>
      <c r="AF244" s="10" t="str">
        <f t="shared" si="73"/>
        <v/>
      </c>
      <c r="AG244" s="10" t="str">
        <f t="shared" si="74"/>
        <v/>
      </c>
      <c r="AH244" s="10" t="str">
        <f t="shared" si="75"/>
        <v/>
      </c>
      <c r="AI244" s="10" t="str">
        <f t="shared" si="76"/>
        <v/>
      </c>
      <c r="AK244" s="10"/>
      <c r="AL244" s="10"/>
      <c r="AM244" s="10"/>
      <c r="AN244" s="10"/>
      <c r="AO244" s="10"/>
      <c r="AQ244" s="10"/>
      <c r="AR244" s="10"/>
      <c r="AS244" s="10"/>
      <c r="AT244" s="10"/>
      <c r="AU244" s="10"/>
      <c r="AW244" s="10" t="str">
        <f t="shared" si="83"/>
        <v/>
      </c>
      <c r="AX244" s="10" t="str">
        <f t="shared" si="77"/>
        <v/>
      </c>
      <c r="AY244" s="10" t="str">
        <f t="shared" si="78"/>
        <v/>
      </c>
      <c r="AZ244" s="10" t="str">
        <f t="shared" si="79"/>
        <v/>
      </c>
      <c r="BA244" s="10" t="str">
        <f t="shared" si="80"/>
        <v/>
      </c>
    </row>
    <row r="245" spans="6:53" x14ac:dyDescent="0.2">
      <c r="F245" s="10" t="str">
        <f t="shared" si="84"/>
        <v>2017/10/19</v>
      </c>
      <c r="G245" s="14">
        <v>43027</v>
      </c>
      <c r="H245" s="10">
        <v>5.1257735000000002</v>
      </c>
      <c r="I245" s="10">
        <v>-2.5836130999999996</v>
      </c>
      <c r="J245" s="10">
        <v>2.5421604000000002</v>
      </c>
      <c r="K245" s="10">
        <f t="shared" si="85"/>
        <v>1060.9343848000003</v>
      </c>
      <c r="L245" s="10">
        <f t="shared" si="86"/>
        <v>-706.73132559999976</v>
      </c>
      <c r="M245" s="10">
        <f t="shared" si="87"/>
        <v>354.2030592000001</v>
      </c>
      <c r="N245" s="10">
        <v>15.704047919698475</v>
      </c>
      <c r="O245" s="10">
        <v>14.728622562674099</v>
      </c>
      <c r="P245" s="10">
        <v>3507.2832649000011</v>
      </c>
      <c r="Y245" s="10" t="e">
        <f t="shared" si="81"/>
        <v>#N/A</v>
      </c>
      <c r="Z245" s="10" t="e">
        <f t="shared" si="69"/>
        <v>#N/A</v>
      </c>
      <c r="AA245" s="10" t="e">
        <f t="shared" si="70"/>
        <v>#N/A</v>
      </c>
      <c r="AB245" s="10" t="e">
        <f t="shared" si="71"/>
        <v>#N/A</v>
      </c>
      <c r="AC245" s="10" t="e">
        <f t="shared" si="72"/>
        <v>#N/A</v>
      </c>
      <c r="AE245" s="10" t="str">
        <f t="shared" si="82"/>
        <v/>
      </c>
      <c r="AF245" s="10" t="str">
        <f t="shared" si="73"/>
        <v/>
      </c>
      <c r="AG245" s="10" t="str">
        <f t="shared" si="74"/>
        <v/>
      </c>
      <c r="AH245" s="10" t="str">
        <f t="shared" si="75"/>
        <v/>
      </c>
      <c r="AI245" s="10" t="str">
        <f t="shared" si="76"/>
        <v/>
      </c>
      <c r="AK245" s="10"/>
      <c r="AL245" s="10"/>
      <c r="AM245" s="10"/>
      <c r="AN245" s="10"/>
      <c r="AO245" s="10"/>
      <c r="AQ245" s="10"/>
      <c r="AR245" s="10"/>
      <c r="AS245" s="10"/>
      <c r="AT245" s="10"/>
      <c r="AU245" s="10"/>
      <c r="AW245" s="10" t="str">
        <f t="shared" si="83"/>
        <v/>
      </c>
      <c r="AX245" s="10" t="str">
        <f t="shared" si="77"/>
        <v/>
      </c>
      <c r="AY245" s="10" t="str">
        <f t="shared" si="78"/>
        <v/>
      </c>
      <c r="AZ245" s="10" t="str">
        <f t="shared" si="79"/>
        <v/>
      </c>
      <c r="BA245" s="10" t="str">
        <f t="shared" si="80"/>
        <v/>
      </c>
    </row>
    <row r="246" spans="6:53" x14ac:dyDescent="0.2">
      <c r="F246" s="10" t="str">
        <f t="shared" si="84"/>
        <v>2017/10/20</v>
      </c>
      <c r="G246" s="14">
        <v>43028</v>
      </c>
      <c r="H246" s="10">
        <v>7.8531782999999997</v>
      </c>
      <c r="I246" s="10">
        <v>-3.1220613000000004</v>
      </c>
      <c r="J246" s="10">
        <v>4.7311169999999976</v>
      </c>
      <c r="K246" s="10">
        <f t="shared" si="85"/>
        <v>1068.7875631000004</v>
      </c>
      <c r="L246" s="10">
        <f t="shared" si="86"/>
        <v>-709.8533868999998</v>
      </c>
      <c r="M246" s="10">
        <f t="shared" si="87"/>
        <v>358.93417620000008</v>
      </c>
      <c r="N246" s="10">
        <v>15.885979965055146</v>
      </c>
      <c r="O246" s="10">
        <v>14.816843454038997</v>
      </c>
      <c r="P246" s="10">
        <v>3508.8183594999996</v>
      </c>
      <c r="Y246" s="10" t="e">
        <f t="shared" si="81"/>
        <v>#N/A</v>
      </c>
      <c r="Z246" s="10" t="e">
        <f t="shared" si="69"/>
        <v>#N/A</v>
      </c>
      <c r="AA246" s="10" t="e">
        <f t="shared" si="70"/>
        <v>#N/A</v>
      </c>
      <c r="AB246" s="10" t="e">
        <f t="shared" si="71"/>
        <v>#N/A</v>
      </c>
      <c r="AC246" s="10" t="e">
        <f t="shared" si="72"/>
        <v>#N/A</v>
      </c>
      <c r="AE246" s="10" t="str">
        <f t="shared" si="82"/>
        <v/>
      </c>
      <c r="AF246" s="10" t="str">
        <f t="shared" si="73"/>
        <v/>
      </c>
      <c r="AG246" s="10" t="str">
        <f t="shared" si="74"/>
        <v/>
      </c>
      <c r="AH246" s="10" t="str">
        <f t="shared" si="75"/>
        <v/>
      </c>
      <c r="AI246" s="10" t="str">
        <f t="shared" si="76"/>
        <v/>
      </c>
      <c r="AK246" s="10"/>
      <c r="AL246" s="10"/>
      <c r="AM246" s="10"/>
      <c r="AN246" s="10"/>
      <c r="AO246" s="10"/>
      <c r="AQ246" s="10"/>
      <c r="AR246" s="10"/>
      <c r="AS246" s="10"/>
      <c r="AT246" s="10"/>
      <c r="AU246" s="10"/>
      <c r="AW246" s="10" t="str">
        <f t="shared" si="83"/>
        <v/>
      </c>
      <c r="AX246" s="10" t="str">
        <f t="shared" si="77"/>
        <v/>
      </c>
      <c r="AY246" s="10" t="str">
        <f t="shared" si="78"/>
        <v/>
      </c>
      <c r="AZ246" s="10" t="str">
        <f t="shared" si="79"/>
        <v/>
      </c>
      <c r="BA246" s="10" t="str">
        <f t="shared" si="80"/>
        <v/>
      </c>
    </row>
    <row r="247" spans="6:53" x14ac:dyDescent="0.2">
      <c r="F247" s="10" t="str">
        <f t="shared" si="84"/>
        <v>2017/10/23</v>
      </c>
      <c r="G247" s="14">
        <v>43031</v>
      </c>
      <c r="H247" s="10">
        <v>2.8718151999999999</v>
      </c>
      <c r="I247" s="10">
        <v>-2.7489852000000004</v>
      </c>
      <c r="J247" s="10">
        <v>0.12283000000000027</v>
      </c>
      <c r="K247" s="10">
        <f t="shared" si="85"/>
        <v>1071.6593783000003</v>
      </c>
      <c r="L247" s="10">
        <f t="shared" si="86"/>
        <v>-712.6023720999998</v>
      </c>
      <c r="M247" s="10">
        <f t="shared" si="87"/>
        <v>359.0570062000001</v>
      </c>
      <c r="N247" s="10">
        <v>15.587868300139064</v>
      </c>
      <c r="O247" s="10">
        <v>14.548643454038993</v>
      </c>
      <c r="P247" s="10">
        <v>3517.9079121000013</v>
      </c>
      <c r="Y247" s="10" t="e">
        <f t="shared" si="81"/>
        <v>#N/A</v>
      </c>
      <c r="Z247" s="10" t="e">
        <f t="shared" si="69"/>
        <v>#N/A</v>
      </c>
      <c r="AA247" s="10" t="e">
        <f t="shared" si="70"/>
        <v>#N/A</v>
      </c>
      <c r="AB247" s="10" t="e">
        <f t="shared" si="71"/>
        <v>#N/A</v>
      </c>
      <c r="AC247" s="10" t="e">
        <f t="shared" si="72"/>
        <v>#N/A</v>
      </c>
      <c r="AE247" s="10" t="str">
        <f t="shared" si="82"/>
        <v/>
      </c>
      <c r="AF247" s="10" t="str">
        <f t="shared" si="73"/>
        <v/>
      </c>
      <c r="AG247" s="10" t="str">
        <f t="shared" si="74"/>
        <v/>
      </c>
      <c r="AH247" s="10" t="str">
        <f t="shared" si="75"/>
        <v/>
      </c>
      <c r="AI247" s="10" t="str">
        <f t="shared" si="76"/>
        <v/>
      </c>
      <c r="AK247" s="10"/>
      <c r="AL247" s="10"/>
      <c r="AM247" s="10"/>
      <c r="AN247" s="10"/>
      <c r="AO247" s="10"/>
      <c r="AQ247" s="10"/>
      <c r="AR247" s="10"/>
      <c r="AS247" s="10"/>
      <c r="AT247" s="10"/>
      <c r="AU247" s="10"/>
      <c r="AW247" s="10" t="str">
        <f t="shared" si="83"/>
        <v/>
      </c>
      <c r="AX247" s="10" t="str">
        <f t="shared" si="77"/>
        <v/>
      </c>
      <c r="AY247" s="10" t="str">
        <f t="shared" si="78"/>
        <v/>
      </c>
      <c r="AZ247" s="10" t="str">
        <f t="shared" si="79"/>
        <v/>
      </c>
      <c r="BA247" s="10" t="str">
        <f t="shared" si="80"/>
        <v/>
      </c>
    </row>
    <row r="248" spans="6:53" x14ac:dyDescent="0.2">
      <c r="F248" s="10" t="str">
        <f t="shared" si="84"/>
        <v>2017/10/24</v>
      </c>
      <c r="G248" s="14">
        <v>43032</v>
      </c>
      <c r="H248" s="10">
        <v>6.9806730999999989</v>
      </c>
      <c r="I248" s="10">
        <v>-2.3172586000000002</v>
      </c>
      <c r="J248" s="10">
        <v>4.6634145000000018</v>
      </c>
      <c r="K248" s="10">
        <f t="shared" si="85"/>
        <v>1078.6400514000004</v>
      </c>
      <c r="L248" s="10">
        <f t="shared" si="86"/>
        <v>-714.91963069999974</v>
      </c>
      <c r="M248" s="10">
        <f t="shared" si="87"/>
        <v>363.72042070000009</v>
      </c>
      <c r="N248" s="10">
        <v>15.734776321838169</v>
      </c>
      <c r="O248" s="10">
        <v>14.619848189415039</v>
      </c>
      <c r="P248" s="10">
        <v>3510.5222026999995</v>
      </c>
      <c r="Y248" s="10" t="e">
        <f t="shared" si="81"/>
        <v>#N/A</v>
      </c>
      <c r="Z248" s="10" t="e">
        <f t="shared" si="69"/>
        <v>#N/A</v>
      </c>
      <c r="AA248" s="10" t="e">
        <f t="shared" si="70"/>
        <v>#N/A</v>
      </c>
      <c r="AB248" s="10" t="e">
        <f t="shared" si="71"/>
        <v>#N/A</v>
      </c>
      <c r="AC248" s="10" t="e">
        <f t="shared" si="72"/>
        <v>#N/A</v>
      </c>
      <c r="AE248" s="10" t="str">
        <f t="shared" si="82"/>
        <v/>
      </c>
      <c r="AF248" s="10" t="str">
        <f t="shared" si="73"/>
        <v/>
      </c>
      <c r="AG248" s="10" t="str">
        <f t="shared" si="74"/>
        <v/>
      </c>
      <c r="AH248" s="10" t="str">
        <f t="shared" si="75"/>
        <v/>
      </c>
      <c r="AI248" s="10" t="str">
        <f t="shared" si="76"/>
        <v/>
      </c>
      <c r="AK248" s="10"/>
      <c r="AL248" s="10"/>
      <c r="AM248" s="10"/>
      <c r="AN248" s="10"/>
      <c r="AO248" s="10"/>
      <c r="AQ248" s="10"/>
      <c r="AR248" s="10"/>
      <c r="AS248" s="10"/>
      <c r="AT248" s="10"/>
      <c r="AU248" s="10"/>
      <c r="AW248" s="10" t="str">
        <f t="shared" si="83"/>
        <v/>
      </c>
      <c r="AX248" s="10" t="str">
        <f t="shared" si="77"/>
        <v/>
      </c>
      <c r="AY248" s="10" t="str">
        <f t="shared" si="78"/>
        <v/>
      </c>
      <c r="AZ248" s="10" t="str">
        <f t="shared" si="79"/>
        <v/>
      </c>
      <c r="BA248" s="10" t="str">
        <f t="shared" si="80"/>
        <v/>
      </c>
    </row>
    <row r="249" spans="6:53" x14ac:dyDescent="0.2">
      <c r="F249" s="10" t="str">
        <f t="shared" si="84"/>
        <v>2017/10/25</v>
      </c>
      <c r="G249" s="14">
        <v>43033</v>
      </c>
      <c r="H249" s="10">
        <v>4.0645571</v>
      </c>
      <c r="I249" s="10">
        <v>-5.8006606999999999</v>
      </c>
      <c r="J249" s="10">
        <v>-1.7361035999999999</v>
      </c>
      <c r="K249" s="10">
        <f t="shared" si="85"/>
        <v>1082.7046085000004</v>
      </c>
      <c r="L249" s="10">
        <f t="shared" si="86"/>
        <v>-720.72029139999972</v>
      </c>
      <c r="M249" s="10">
        <f t="shared" si="87"/>
        <v>361.98431710000011</v>
      </c>
      <c r="N249" s="10">
        <v>15.313041764825407</v>
      </c>
      <c r="O249" s="10">
        <v>14.201963231197761</v>
      </c>
      <c r="P249" s="10">
        <v>3518.7749262999982</v>
      </c>
      <c r="Y249" s="10" t="e">
        <f t="shared" si="81"/>
        <v>#N/A</v>
      </c>
      <c r="Z249" s="10" t="e">
        <f t="shared" si="69"/>
        <v>#N/A</v>
      </c>
      <c r="AA249" s="10" t="e">
        <f t="shared" si="70"/>
        <v>#N/A</v>
      </c>
      <c r="AB249" s="10" t="e">
        <f t="shared" si="71"/>
        <v>#N/A</v>
      </c>
      <c r="AC249" s="10" t="e">
        <f t="shared" si="72"/>
        <v>#N/A</v>
      </c>
      <c r="AE249" s="10" t="str">
        <f t="shared" si="82"/>
        <v/>
      </c>
      <c r="AF249" s="10" t="str">
        <f t="shared" si="73"/>
        <v/>
      </c>
      <c r="AG249" s="10" t="str">
        <f t="shared" si="74"/>
        <v/>
      </c>
      <c r="AH249" s="10" t="str">
        <f t="shared" si="75"/>
        <v/>
      </c>
      <c r="AI249" s="10" t="str">
        <f t="shared" si="76"/>
        <v/>
      </c>
      <c r="AK249" s="10"/>
      <c r="AL249" s="10"/>
      <c r="AM249" s="10"/>
      <c r="AN249" s="10"/>
      <c r="AO249" s="10"/>
      <c r="AQ249" s="10"/>
      <c r="AR249" s="10"/>
      <c r="AS249" s="10"/>
      <c r="AT249" s="10"/>
      <c r="AU249" s="10"/>
      <c r="AW249" s="10" t="str">
        <f t="shared" si="83"/>
        <v/>
      </c>
      <c r="AX249" s="10" t="str">
        <f t="shared" si="77"/>
        <v/>
      </c>
      <c r="AY249" s="10" t="str">
        <f t="shared" si="78"/>
        <v/>
      </c>
      <c r="AZ249" s="10" t="str">
        <f t="shared" si="79"/>
        <v/>
      </c>
      <c r="BA249" s="10" t="str">
        <f t="shared" si="80"/>
        <v/>
      </c>
    </row>
    <row r="250" spans="6:53" x14ac:dyDescent="0.2">
      <c r="F250" s="10" t="str">
        <f t="shared" si="84"/>
        <v>2017/10/26</v>
      </c>
      <c r="G250" s="14">
        <v>43034</v>
      </c>
      <c r="H250" s="10">
        <v>4.8260080000000007</v>
      </c>
      <c r="I250" s="10">
        <v>-2.7002818</v>
      </c>
      <c r="J250" s="10">
        <v>2.1257261999999995</v>
      </c>
      <c r="K250" s="10">
        <f t="shared" si="85"/>
        <v>1087.5306165000004</v>
      </c>
      <c r="L250" s="10">
        <f t="shared" si="86"/>
        <v>-723.42057319999969</v>
      </c>
      <c r="M250" s="10">
        <f t="shared" si="87"/>
        <v>364.11004330000009</v>
      </c>
      <c r="N250" s="10">
        <v>15.326218323589995</v>
      </c>
      <c r="O250" s="10">
        <v>14.223920612813368</v>
      </c>
      <c r="P250" s="10">
        <v>3503.9597562999988</v>
      </c>
      <c r="Y250" s="10" t="e">
        <f t="shared" si="81"/>
        <v>#N/A</v>
      </c>
      <c r="Z250" s="10" t="e">
        <f t="shared" si="69"/>
        <v>#N/A</v>
      </c>
      <c r="AA250" s="10" t="e">
        <f t="shared" si="70"/>
        <v>#N/A</v>
      </c>
      <c r="AB250" s="10" t="e">
        <f t="shared" si="71"/>
        <v>#N/A</v>
      </c>
      <c r="AC250" s="10" t="e">
        <f t="shared" si="72"/>
        <v>#N/A</v>
      </c>
      <c r="AE250" s="10" t="str">
        <f t="shared" si="82"/>
        <v/>
      </c>
      <c r="AF250" s="10" t="str">
        <f t="shared" si="73"/>
        <v/>
      </c>
      <c r="AG250" s="10" t="str">
        <f t="shared" si="74"/>
        <v/>
      </c>
      <c r="AH250" s="10" t="str">
        <f t="shared" si="75"/>
        <v/>
      </c>
      <c r="AI250" s="10" t="str">
        <f t="shared" si="76"/>
        <v/>
      </c>
      <c r="AK250" s="10"/>
      <c r="AL250" s="10"/>
      <c r="AM250" s="10"/>
      <c r="AN250" s="10"/>
      <c r="AO250" s="10"/>
      <c r="AQ250" s="10"/>
      <c r="AR250" s="10"/>
      <c r="AS250" s="10"/>
      <c r="AT250" s="10"/>
      <c r="AU250" s="10"/>
      <c r="AW250" s="10" t="str">
        <f t="shared" si="83"/>
        <v/>
      </c>
      <c r="AX250" s="10" t="str">
        <f t="shared" si="77"/>
        <v/>
      </c>
      <c r="AY250" s="10" t="str">
        <f t="shared" si="78"/>
        <v/>
      </c>
      <c r="AZ250" s="10" t="str">
        <f t="shared" si="79"/>
        <v/>
      </c>
      <c r="BA250" s="10" t="str">
        <f t="shared" si="80"/>
        <v/>
      </c>
    </row>
    <row r="251" spans="6:53" x14ac:dyDescent="0.2">
      <c r="F251" s="10" t="str">
        <f t="shared" si="84"/>
        <v>2017/10/27</v>
      </c>
      <c r="G251" s="14">
        <v>43035</v>
      </c>
      <c r="H251" s="10">
        <v>6.5558168999999999</v>
      </c>
      <c r="I251" s="10">
        <v>-2.5559376</v>
      </c>
      <c r="J251" s="10">
        <v>3.9998792999999999</v>
      </c>
      <c r="K251" s="10">
        <f t="shared" si="85"/>
        <v>1094.0864334000005</v>
      </c>
      <c r="L251" s="10">
        <f t="shared" si="86"/>
        <v>-725.97651079999969</v>
      </c>
      <c r="M251" s="10">
        <f t="shared" si="87"/>
        <v>368.10992260000006</v>
      </c>
      <c r="N251" s="10">
        <v>16.020437424718565</v>
      </c>
      <c r="O251" s="10">
        <v>14.65742701949862</v>
      </c>
      <c r="P251" s="10">
        <v>3506.6445918999984</v>
      </c>
      <c r="Y251" s="10" t="e">
        <f t="shared" si="81"/>
        <v>#N/A</v>
      </c>
      <c r="Z251" s="10" t="e">
        <f t="shared" si="69"/>
        <v>#N/A</v>
      </c>
      <c r="AA251" s="10" t="e">
        <f t="shared" si="70"/>
        <v>#N/A</v>
      </c>
      <c r="AB251" s="10" t="e">
        <f t="shared" si="71"/>
        <v>#N/A</v>
      </c>
      <c r="AC251" s="10" t="e">
        <f t="shared" si="72"/>
        <v>#N/A</v>
      </c>
      <c r="AE251" s="10" t="str">
        <f t="shared" si="82"/>
        <v/>
      </c>
      <c r="AF251" s="10" t="str">
        <f t="shared" si="73"/>
        <v/>
      </c>
      <c r="AG251" s="10" t="str">
        <f t="shared" si="74"/>
        <v/>
      </c>
      <c r="AH251" s="10" t="str">
        <f t="shared" si="75"/>
        <v/>
      </c>
      <c r="AI251" s="10" t="str">
        <f t="shared" si="76"/>
        <v/>
      </c>
      <c r="AK251" s="10"/>
      <c r="AL251" s="10"/>
      <c r="AM251" s="10"/>
      <c r="AN251" s="10"/>
      <c r="AO251" s="10"/>
      <c r="AQ251" s="10"/>
      <c r="AR251" s="10"/>
      <c r="AS251" s="10"/>
      <c r="AT251" s="10"/>
      <c r="AU251" s="10"/>
      <c r="AW251" s="10" t="str">
        <f t="shared" si="83"/>
        <v/>
      </c>
      <c r="AX251" s="10" t="str">
        <f t="shared" si="77"/>
        <v/>
      </c>
      <c r="AY251" s="10" t="str">
        <f t="shared" si="78"/>
        <v/>
      </c>
      <c r="AZ251" s="10" t="str">
        <f t="shared" si="79"/>
        <v/>
      </c>
      <c r="BA251" s="10" t="str">
        <f t="shared" si="80"/>
        <v/>
      </c>
    </row>
    <row r="252" spans="6:53" x14ac:dyDescent="0.2">
      <c r="F252" s="10" t="str">
        <f t="shared" si="84"/>
        <v>2017/10/30</v>
      </c>
      <c r="G252" s="14">
        <v>43038</v>
      </c>
      <c r="H252" s="10">
        <v>2.2978355000000006</v>
      </c>
      <c r="I252" s="10">
        <v>-4.4473788999999995</v>
      </c>
      <c r="J252" s="10">
        <v>-2.1495433999999993</v>
      </c>
      <c r="K252" s="10">
        <f t="shared" si="85"/>
        <v>1096.3842689000005</v>
      </c>
      <c r="L252" s="10">
        <f t="shared" si="86"/>
        <v>-730.42388969999968</v>
      </c>
      <c r="M252" s="10">
        <f t="shared" si="87"/>
        <v>365.96037920000003</v>
      </c>
      <c r="N252" s="10">
        <v>15.869384330834823</v>
      </c>
      <c r="O252" s="10">
        <v>14.584417270194985</v>
      </c>
      <c r="P252" s="10">
        <v>3529.8752170999992</v>
      </c>
      <c r="Y252" s="10" t="e">
        <f t="shared" si="81"/>
        <v>#N/A</v>
      </c>
      <c r="Z252" s="10" t="e">
        <f t="shared" si="69"/>
        <v>#N/A</v>
      </c>
      <c r="AA252" s="10" t="e">
        <f t="shared" si="70"/>
        <v>#N/A</v>
      </c>
      <c r="AB252" s="10" t="e">
        <f t="shared" si="71"/>
        <v>#N/A</v>
      </c>
      <c r="AC252" s="10" t="e">
        <f t="shared" si="72"/>
        <v>#N/A</v>
      </c>
      <c r="AE252" s="10" t="str">
        <f t="shared" si="82"/>
        <v/>
      </c>
      <c r="AF252" s="10" t="str">
        <f t="shared" si="73"/>
        <v/>
      </c>
      <c r="AG252" s="10" t="str">
        <f t="shared" si="74"/>
        <v/>
      </c>
      <c r="AH252" s="10" t="str">
        <f t="shared" si="75"/>
        <v/>
      </c>
      <c r="AI252" s="10" t="str">
        <f t="shared" si="76"/>
        <v/>
      </c>
      <c r="AK252" s="10"/>
      <c r="AL252" s="10"/>
      <c r="AM252" s="10"/>
      <c r="AN252" s="10"/>
      <c r="AO252" s="10"/>
      <c r="AQ252" s="10"/>
      <c r="AR252" s="10"/>
      <c r="AS252" s="10"/>
      <c r="AT252" s="10"/>
      <c r="AU252" s="10"/>
      <c r="AW252" s="10" t="str">
        <f t="shared" si="83"/>
        <v/>
      </c>
      <c r="AX252" s="10" t="str">
        <f t="shared" si="77"/>
        <v/>
      </c>
      <c r="AY252" s="10" t="str">
        <f t="shared" si="78"/>
        <v/>
      </c>
      <c r="AZ252" s="10" t="str">
        <f t="shared" si="79"/>
        <v/>
      </c>
      <c r="BA252" s="10" t="str">
        <f t="shared" si="80"/>
        <v/>
      </c>
    </row>
    <row r="253" spans="6:53" x14ac:dyDescent="0.2">
      <c r="F253" s="10" t="str">
        <f t="shared" si="84"/>
        <v>2017/10/31</v>
      </c>
      <c r="G253" s="14">
        <v>43039</v>
      </c>
      <c r="H253" s="10">
        <v>2.3815512999999999</v>
      </c>
      <c r="I253" s="10">
        <v>-3.9188926999999998</v>
      </c>
      <c r="J253" s="10">
        <v>-1.5373413999999994</v>
      </c>
      <c r="K253" s="10">
        <f t="shared" si="85"/>
        <v>1098.7658202000005</v>
      </c>
      <c r="L253" s="10">
        <f t="shared" si="86"/>
        <v>-734.34278239999969</v>
      </c>
      <c r="M253" s="10">
        <f t="shared" si="87"/>
        <v>364.42303780000003</v>
      </c>
      <c r="N253" s="10">
        <v>16.096201647466032</v>
      </c>
      <c r="O253" s="10">
        <v>14.842476044568246</v>
      </c>
      <c r="P253" s="10">
        <v>3523.4039116000031</v>
      </c>
      <c r="Y253" s="10" t="e">
        <f t="shared" si="81"/>
        <v>#N/A</v>
      </c>
      <c r="Z253" s="10" t="e">
        <f t="shared" si="69"/>
        <v>#N/A</v>
      </c>
      <c r="AA253" s="10" t="e">
        <f t="shared" si="70"/>
        <v>#N/A</v>
      </c>
      <c r="AB253" s="10" t="e">
        <f t="shared" si="71"/>
        <v>#N/A</v>
      </c>
      <c r="AC253" s="10" t="e">
        <f t="shared" si="72"/>
        <v>#N/A</v>
      </c>
      <c r="AE253" s="10" t="str">
        <f t="shared" si="82"/>
        <v/>
      </c>
      <c r="AF253" s="10" t="str">
        <f t="shared" si="73"/>
        <v/>
      </c>
      <c r="AG253" s="10" t="str">
        <f t="shared" si="74"/>
        <v/>
      </c>
      <c r="AH253" s="10" t="str">
        <f t="shared" si="75"/>
        <v/>
      </c>
      <c r="AI253" s="10" t="str">
        <f t="shared" si="76"/>
        <v/>
      </c>
      <c r="AK253" s="10"/>
      <c r="AL253" s="10"/>
      <c r="AM253" s="10"/>
      <c r="AN253" s="10"/>
      <c r="AO253" s="10"/>
      <c r="AQ253" s="10"/>
      <c r="AR253" s="10"/>
      <c r="AS253" s="10"/>
      <c r="AT253" s="10"/>
      <c r="AU253" s="10"/>
      <c r="AW253" s="10" t="str">
        <f t="shared" si="83"/>
        <v/>
      </c>
      <c r="AX253" s="10" t="str">
        <f t="shared" si="77"/>
        <v/>
      </c>
      <c r="AY253" s="10" t="str">
        <f t="shared" si="78"/>
        <v/>
      </c>
      <c r="AZ253" s="10" t="str">
        <f t="shared" si="79"/>
        <v/>
      </c>
      <c r="BA253" s="10" t="str">
        <f t="shared" si="80"/>
        <v/>
      </c>
    </row>
    <row r="254" spans="6:53" x14ac:dyDescent="0.2">
      <c r="F254" s="10" t="str">
        <f t="shared" si="84"/>
        <v>2017/11/1</v>
      </c>
      <c r="G254" s="14">
        <v>43040</v>
      </c>
      <c r="H254" s="10">
        <v>4.9852198000000003</v>
      </c>
      <c r="I254" s="10">
        <v>-2.5654278999999995</v>
      </c>
      <c r="J254" s="10">
        <v>2.4197919000000003</v>
      </c>
      <c r="K254" s="10">
        <f t="shared" si="85"/>
        <v>1103.7510400000006</v>
      </c>
      <c r="L254" s="10">
        <f t="shared" si="86"/>
        <v>-736.90821029999972</v>
      </c>
      <c r="M254" s="10">
        <f t="shared" si="87"/>
        <v>366.84282970000004</v>
      </c>
      <c r="N254" s="10">
        <v>16.370926577462029</v>
      </c>
      <c r="O254" s="10">
        <v>15.119094150417828</v>
      </c>
      <c r="P254" s="10">
        <v>3527.8813908999996</v>
      </c>
      <c r="Y254" s="10" t="e">
        <f t="shared" si="81"/>
        <v>#N/A</v>
      </c>
      <c r="Z254" s="10" t="e">
        <f t="shared" si="69"/>
        <v>#N/A</v>
      </c>
      <c r="AA254" s="10" t="e">
        <f t="shared" si="70"/>
        <v>#N/A</v>
      </c>
      <c r="AB254" s="10" t="e">
        <f t="shared" si="71"/>
        <v>#N/A</v>
      </c>
      <c r="AC254" s="10" t="e">
        <f t="shared" si="72"/>
        <v>#N/A</v>
      </c>
      <c r="AE254" s="10" t="str">
        <f t="shared" si="82"/>
        <v/>
      </c>
      <c r="AF254" s="10" t="str">
        <f t="shared" si="73"/>
        <v/>
      </c>
      <c r="AG254" s="10" t="str">
        <f t="shared" si="74"/>
        <v/>
      </c>
      <c r="AH254" s="10" t="str">
        <f t="shared" si="75"/>
        <v/>
      </c>
      <c r="AI254" s="10" t="str">
        <f t="shared" si="76"/>
        <v/>
      </c>
      <c r="AK254" s="10"/>
      <c r="AL254" s="10"/>
      <c r="AM254" s="10"/>
      <c r="AN254" s="10"/>
      <c r="AO254" s="10"/>
      <c r="AQ254" s="10"/>
      <c r="AR254" s="10"/>
      <c r="AS254" s="10"/>
      <c r="AT254" s="10"/>
      <c r="AU254" s="10"/>
      <c r="AW254" s="10" t="str">
        <f t="shared" si="83"/>
        <v/>
      </c>
      <c r="AX254" s="10" t="str">
        <f t="shared" si="77"/>
        <v/>
      </c>
      <c r="AY254" s="10" t="str">
        <f t="shared" si="78"/>
        <v/>
      </c>
      <c r="AZ254" s="10" t="str">
        <f t="shared" si="79"/>
        <v/>
      </c>
      <c r="BA254" s="10" t="str">
        <f t="shared" si="80"/>
        <v/>
      </c>
    </row>
    <row r="255" spans="6:53" x14ac:dyDescent="0.2">
      <c r="F255" s="10" t="str">
        <f t="shared" si="84"/>
        <v>2017/11/2</v>
      </c>
      <c r="G255" s="14">
        <v>43041</v>
      </c>
      <c r="H255" s="10">
        <v>4.8167524999999989</v>
      </c>
      <c r="I255" s="10">
        <v>-3.6349450000000001</v>
      </c>
      <c r="J255" s="10">
        <v>1.1818074999999997</v>
      </c>
      <c r="K255" s="10">
        <f t="shared" si="85"/>
        <v>1108.5677925000005</v>
      </c>
      <c r="L255" s="10">
        <f t="shared" si="86"/>
        <v>-740.54315529999974</v>
      </c>
      <c r="M255" s="10">
        <f t="shared" si="87"/>
        <v>368.02463720000003</v>
      </c>
      <c r="N255" s="10">
        <v>16.493525114096094</v>
      </c>
      <c r="O255" s="10">
        <v>15.196555292479111</v>
      </c>
      <c r="P255" s="10">
        <v>3536.9082444999995</v>
      </c>
      <c r="Y255" s="10" t="e">
        <f t="shared" si="81"/>
        <v>#N/A</v>
      </c>
      <c r="Z255" s="10" t="e">
        <f t="shared" si="69"/>
        <v>#N/A</v>
      </c>
      <c r="AA255" s="10" t="e">
        <f t="shared" si="70"/>
        <v>#N/A</v>
      </c>
      <c r="AB255" s="10" t="e">
        <f t="shared" si="71"/>
        <v>#N/A</v>
      </c>
      <c r="AC255" s="10" t="e">
        <f t="shared" si="72"/>
        <v>#N/A</v>
      </c>
      <c r="AE255" s="10" t="str">
        <f t="shared" si="82"/>
        <v/>
      </c>
      <c r="AF255" s="10" t="str">
        <f t="shared" si="73"/>
        <v/>
      </c>
      <c r="AG255" s="10" t="str">
        <f t="shared" si="74"/>
        <v/>
      </c>
      <c r="AH255" s="10" t="str">
        <f t="shared" si="75"/>
        <v/>
      </c>
      <c r="AI255" s="10" t="str">
        <f t="shared" si="76"/>
        <v/>
      </c>
      <c r="AK255" s="10"/>
      <c r="AL255" s="10"/>
      <c r="AM255" s="10"/>
      <c r="AN255" s="10"/>
      <c r="AO255" s="10"/>
      <c r="AQ255" s="10"/>
      <c r="AR255" s="10"/>
      <c r="AS255" s="10"/>
      <c r="AT255" s="10"/>
      <c r="AU255" s="10"/>
      <c r="AW255" s="10" t="str">
        <f t="shared" si="83"/>
        <v/>
      </c>
      <c r="AX255" s="10" t="str">
        <f t="shared" si="77"/>
        <v/>
      </c>
      <c r="AY255" s="10" t="str">
        <f t="shared" si="78"/>
        <v/>
      </c>
      <c r="AZ255" s="10" t="str">
        <f t="shared" si="79"/>
        <v/>
      </c>
      <c r="BA255" s="10" t="str">
        <f t="shared" si="80"/>
        <v/>
      </c>
    </row>
    <row r="256" spans="6:53" x14ac:dyDescent="0.2">
      <c r="F256" s="10" t="str">
        <f t="shared" si="84"/>
        <v>2017/11/3</v>
      </c>
      <c r="G256" s="14">
        <v>43042</v>
      </c>
      <c r="H256" s="10">
        <v>6.5855076999999991</v>
      </c>
      <c r="I256" s="10">
        <v>-2.0518785999999998</v>
      </c>
      <c r="J256" s="10">
        <v>4.5336290999999997</v>
      </c>
      <c r="K256" s="10">
        <f t="shared" si="85"/>
        <v>1115.1533002000006</v>
      </c>
      <c r="L256" s="10">
        <f t="shared" si="86"/>
        <v>-742.59503389999975</v>
      </c>
      <c r="M256" s="10">
        <f t="shared" si="87"/>
        <v>372.55826630000001</v>
      </c>
      <c r="N256" s="10">
        <v>16.570859568098413</v>
      </c>
      <c r="O256" s="10">
        <v>15.175734958217266</v>
      </c>
      <c r="P256" s="10">
        <v>3541.8168855000004</v>
      </c>
      <c r="Y256" s="10" t="e">
        <f t="shared" si="81"/>
        <v>#N/A</v>
      </c>
      <c r="Z256" s="10" t="e">
        <f t="shared" si="69"/>
        <v>#N/A</v>
      </c>
      <c r="AA256" s="10" t="e">
        <f t="shared" si="70"/>
        <v>#N/A</v>
      </c>
      <c r="AB256" s="10" t="e">
        <f t="shared" si="71"/>
        <v>#N/A</v>
      </c>
      <c r="AC256" s="10" t="e">
        <f t="shared" si="72"/>
        <v>#N/A</v>
      </c>
      <c r="AE256" s="10" t="str">
        <f t="shared" si="82"/>
        <v/>
      </c>
      <c r="AF256" s="10" t="str">
        <f t="shared" si="73"/>
        <v/>
      </c>
      <c r="AG256" s="10" t="str">
        <f t="shared" si="74"/>
        <v/>
      </c>
      <c r="AH256" s="10" t="str">
        <f t="shared" si="75"/>
        <v/>
      </c>
      <c r="AI256" s="10" t="str">
        <f t="shared" si="76"/>
        <v/>
      </c>
      <c r="AK256" s="10"/>
      <c r="AL256" s="10"/>
      <c r="AM256" s="10"/>
      <c r="AN256" s="10"/>
      <c r="AO256" s="10"/>
      <c r="AQ256" s="10"/>
      <c r="AR256" s="10"/>
      <c r="AS256" s="10"/>
      <c r="AT256" s="10"/>
      <c r="AU256" s="10"/>
      <c r="AW256" s="10" t="str">
        <f t="shared" si="83"/>
        <v/>
      </c>
      <c r="AX256" s="10" t="str">
        <f t="shared" si="77"/>
        <v/>
      </c>
      <c r="AY256" s="10" t="str">
        <f t="shared" si="78"/>
        <v/>
      </c>
      <c r="AZ256" s="10" t="str">
        <f t="shared" si="79"/>
        <v/>
      </c>
      <c r="BA256" s="10" t="str">
        <f t="shared" si="80"/>
        <v/>
      </c>
    </row>
    <row r="257" spans="6:53" x14ac:dyDescent="0.2">
      <c r="F257" s="10" t="str">
        <f t="shared" si="84"/>
        <v>2017/11/6</v>
      </c>
      <c r="G257" s="14">
        <v>43045</v>
      </c>
      <c r="H257" s="10">
        <v>3.6906215000000002</v>
      </c>
      <c r="I257" s="10">
        <v>-4.6892908999999996</v>
      </c>
      <c r="J257" s="10">
        <v>-0.99866940000000048</v>
      </c>
      <c r="K257" s="10">
        <f t="shared" si="85"/>
        <v>1118.8439217000005</v>
      </c>
      <c r="L257" s="10">
        <f t="shared" si="86"/>
        <v>-747.28432479999969</v>
      </c>
      <c r="M257" s="10">
        <f t="shared" si="87"/>
        <v>371.55959690000003</v>
      </c>
      <c r="N257" s="10">
        <v>16.859484370064585</v>
      </c>
      <c r="O257" s="10">
        <v>15.539569916434537</v>
      </c>
      <c r="P257" s="10">
        <v>3546.6589704500011</v>
      </c>
      <c r="Y257" s="10" t="e">
        <f t="shared" si="81"/>
        <v>#N/A</v>
      </c>
      <c r="Z257" s="10" t="e">
        <f t="shared" si="69"/>
        <v>#N/A</v>
      </c>
      <c r="AA257" s="10" t="e">
        <f t="shared" si="70"/>
        <v>#N/A</v>
      </c>
      <c r="AB257" s="10" t="e">
        <f t="shared" si="71"/>
        <v>#N/A</v>
      </c>
      <c r="AC257" s="10" t="e">
        <f t="shared" si="72"/>
        <v>#N/A</v>
      </c>
      <c r="AE257" s="10" t="str">
        <f t="shared" si="82"/>
        <v/>
      </c>
      <c r="AF257" s="10" t="str">
        <f t="shared" si="73"/>
        <v/>
      </c>
      <c r="AG257" s="10" t="str">
        <f t="shared" si="74"/>
        <v/>
      </c>
      <c r="AH257" s="10" t="str">
        <f t="shared" si="75"/>
        <v/>
      </c>
      <c r="AI257" s="10" t="str">
        <f t="shared" si="76"/>
        <v/>
      </c>
      <c r="AK257" s="10"/>
      <c r="AL257" s="10"/>
      <c r="AM257" s="10"/>
      <c r="AN257" s="10"/>
      <c r="AO257" s="10"/>
      <c r="AQ257" s="10"/>
      <c r="AR257" s="10"/>
      <c r="AS257" s="10"/>
      <c r="AT257" s="10"/>
      <c r="AU257" s="10"/>
      <c r="AW257" s="10" t="str">
        <f t="shared" si="83"/>
        <v/>
      </c>
      <c r="AX257" s="10" t="str">
        <f t="shared" si="77"/>
        <v/>
      </c>
      <c r="AY257" s="10" t="str">
        <f t="shared" si="78"/>
        <v/>
      </c>
      <c r="AZ257" s="10" t="str">
        <f t="shared" si="79"/>
        <v/>
      </c>
      <c r="BA257" s="10" t="str">
        <f t="shared" si="80"/>
        <v/>
      </c>
    </row>
    <row r="258" spans="6:53" x14ac:dyDescent="0.2">
      <c r="F258" s="10" t="str">
        <f t="shared" si="84"/>
        <v>2017/11/7</v>
      </c>
      <c r="G258" s="14">
        <v>43046</v>
      </c>
      <c r="H258" s="10">
        <v>4.2629592000000001</v>
      </c>
      <c r="I258" s="10">
        <v>-4.7653338999999999</v>
      </c>
      <c r="J258" s="10">
        <v>-0.50237469999999984</v>
      </c>
      <c r="K258" s="10">
        <f t="shared" si="85"/>
        <v>1123.1068809000005</v>
      </c>
      <c r="L258" s="10">
        <f t="shared" si="86"/>
        <v>-752.04965869999967</v>
      </c>
      <c r="M258" s="10">
        <f t="shared" si="87"/>
        <v>371.05722220000001</v>
      </c>
      <c r="N258" s="10">
        <v>16.748802138856203</v>
      </c>
      <c r="O258" s="10">
        <v>15.395803899721448</v>
      </c>
      <c r="P258" s="10">
        <v>3555.9914313000013</v>
      </c>
      <c r="Y258" s="10" t="e">
        <f t="shared" si="81"/>
        <v>#N/A</v>
      </c>
      <c r="Z258" s="10" t="e">
        <f t="shared" si="69"/>
        <v>#N/A</v>
      </c>
      <c r="AA258" s="10" t="e">
        <f t="shared" si="70"/>
        <v>#N/A</v>
      </c>
      <c r="AB258" s="10" t="e">
        <f t="shared" si="71"/>
        <v>#N/A</v>
      </c>
      <c r="AC258" s="10" t="e">
        <f t="shared" si="72"/>
        <v>#N/A</v>
      </c>
      <c r="AE258" s="10" t="str">
        <f t="shared" si="82"/>
        <v/>
      </c>
      <c r="AF258" s="10" t="str">
        <f t="shared" si="73"/>
        <v/>
      </c>
      <c r="AG258" s="10" t="str">
        <f t="shared" si="74"/>
        <v/>
      </c>
      <c r="AH258" s="10" t="str">
        <f t="shared" si="75"/>
        <v/>
      </c>
      <c r="AI258" s="10" t="str">
        <f t="shared" si="76"/>
        <v/>
      </c>
      <c r="AK258" s="10"/>
      <c r="AL258" s="10"/>
      <c r="AM258" s="10"/>
      <c r="AN258" s="10"/>
      <c r="AO258" s="10"/>
      <c r="AQ258" s="10"/>
      <c r="AR258" s="10"/>
      <c r="AS258" s="10"/>
      <c r="AT258" s="10"/>
      <c r="AU258" s="10"/>
      <c r="AW258" s="10" t="str">
        <f t="shared" si="83"/>
        <v/>
      </c>
      <c r="AX258" s="10" t="str">
        <f t="shared" si="77"/>
        <v/>
      </c>
      <c r="AY258" s="10" t="str">
        <f t="shared" si="78"/>
        <v/>
      </c>
      <c r="AZ258" s="10" t="str">
        <f t="shared" si="79"/>
        <v/>
      </c>
      <c r="BA258" s="10" t="str">
        <f t="shared" si="80"/>
        <v/>
      </c>
    </row>
    <row r="259" spans="6:53" x14ac:dyDescent="0.2">
      <c r="F259" s="10" t="str">
        <f t="shared" si="84"/>
        <v>2017/11/8</v>
      </c>
      <c r="G259" s="14">
        <v>43047</v>
      </c>
      <c r="H259" s="10">
        <v>4.5075142999999986</v>
      </c>
      <c r="I259" s="10">
        <v>-3.5272611999999981</v>
      </c>
      <c r="J259" s="10">
        <v>0.98025309999999999</v>
      </c>
      <c r="K259" s="10">
        <f t="shared" si="85"/>
        <v>1127.6143952000004</v>
      </c>
      <c r="L259" s="10">
        <f t="shared" si="86"/>
        <v>-755.57691989999967</v>
      </c>
      <c r="M259" s="10">
        <f t="shared" si="87"/>
        <v>372.03747530000004</v>
      </c>
      <c r="N259" s="10">
        <v>16.971074760837432</v>
      </c>
      <c r="O259" s="10">
        <v>15.58242033426183</v>
      </c>
      <c r="P259" s="10">
        <v>3551.937822599999</v>
      </c>
      <c r="Y259" s="10" t="e">
        <f t="shared" si="81"/>
        <v>#N/A</v>
      </c>
      <c r="Z259" s="10" t="e">
        <f t="shared" si="69"/>
        <v>#N/A</v>
      </c>
      <c r="AA259" s="10" t="e">
        <f t="shared" si="70"/>
        <v>#N/A</v>
      </c>
      <c r="AB259" s="10" t="e">
        <f t="shared" si="71"/>
        <v>#N/A</v>
      </c>
      <c r="AC259" s="10" t="e">
        <f t="shared" si="72"/>
        <v>#N/A</v>
      </c>
      <c r="AE259" s="10" t="str">
        <f t="shared" si="82"/>
        <v/>
      </c>
      <c r="AF259" s="10" t="str">
        <f t="shared" si="73"/>
        <v/>
      </c>
      <c r="AG259" s="10" t="str">
        <f t="shared" si="74"/>
        <v/>
      </c>
      <c r="AH259" s="10" t="str">
        <f t="shared" si="75"/>
        <v/>
      </c>
      <c r="AI259" s="10" t="str">
        <f t="shared" si="76"/>
        <v/>
      </c>
      <c r="AK259" s="10"/>
      <c r="AL259" s="10"/>
      <c r="AM259" s="10"/>
      <c r="AN259" s="10"/>
      <c r="AO259" s="10"/>
      <c r="AQ259" s="10"/>
      <c r="AR259" s="10"/>
      <c r="AS259" s="10"/>
      <c r="AT259" s="10"/>
      <c r="AU259" s="10"/>
      <c r="AW259" s="10" t="str">
        <f t="shared" si="83"/>
        <v/>
      </c>
      <c r="AX259" s="10" t="str">
        <f t="shared" si="77"/>
        <v/>
      </c>
      <c r="AY259" s="10" t="str">
        <f t="shared" si="78"/>
        <v/>
      </c>
      <c r="AZ259" s="10" t="str">
        <f t="shared" si="79"/>
        <v/>
      </c>
      <c r="BA259" s="10" t="str">
        <f t="shared" si="80"/>
        <v/>
      </c>
    </row>
    <row r="260" spans="6:53" x14ac:dyDescent="0.2">
      <c r="F260" s="10" t="str">
        <f t="shared" si="84"/>
        <v>2017/11/9</v>
      </c>
      <c r="G260" s="14">
        <v>43048</v>
      </c>
      <c r="H260" s="10">
        <v>4.1500732999999999</v>
      </c>
      <c r="I260" s="10">
        <v>-3.1290293</v>
      </c>
      <c r="J260" s="10">
        <v>1.0210439999999998</v>
      </c>
      <c r="K260" s="10">
        <f t="shared" si="85"/>
        <v>1131.7644685000005</v>
      </c>
      <c r="L260" s="10">
        <f t="shared" si="86"/>
        <v>-758.70594919999962</v>
      </c>
      <c r="M260" s="10">
        <f t="shared" si="87"/>
        <v>373.05851930000006</v>
      </c>
      <c r="N260" s="10">
        <v>16.5952938895574</v>
      </c>
      <c r="O260" s="10">
        <v>15.252290807799438</v>
      </c>
      <c r="P260" s="10">
        <v>3558.8497176999995</v>
      </c>
      <c r="Y260" s="10" t="e">
        <f t="shared" si="81"/>
        <v>#N/A</v>
      </c>
      <c r="Z260" s="10" t="e">
        <f t="shared" si="69"/>
        <v>#N/A</v>
      </c>
      <c r="AA260" s="10" t="e">
        <f t="shared" si="70"/>
        <v>#N/A</v>
      </c>
      <c r="AB260" s="10" t="e">
        <f t="shared" si="71"/>
        <v>#N/A</v>
      </c>
      <c r="AC260" s="10" t="e">
        <f t="shared" si="72"/>
        <v>#N/A</v>
      </c>
      <c r="AE260" s="10" t="str">
        <f t="shared" si="82"/>
        <v/>
      </c>
      <c r="AF260" s="10" t="str">
        <f t="shared" si="73"/>
        <v/>
      </c>
      <c r="AG260" s="10" t="str">
        <f t="shared" si="74"/>
        <v/>
      </c>
      <c r="AH260" s="10" t="str">
        <f t="shared" si="75"/>
        <v/>
      </c>
      <c r="AI260" s="10" t="str">
        <f t="shared" si="76"/>
        <v/>
      </c>
      <c r="AK260" s="10"/>
      <c r="AL260" s="10"/>
      <c r="AM260" s="10"/>
      <c r="AN260" s="10"/>
      <c r="AO260" s="10"/>
      <c r="AQ260" s="10"/>
      <c r="AR260" s="10"/>
      <c r="AS260" s="10"/>
      <c r="AT260" s="10"/>
      <c r="AU260" s="10"/>
      <c r="AW260" s="10" t="str">
        <f t="shared" si="83"/>
        <v/>
      </c>
      <c r="AX260" s="10" t="str">
        <f t="shared" si="77"/>
        <v/>
      </c>
      <c r="AY260" s="10" t="str">
        <f t="shared" si="78"/>
        <v/>
      </c>
      <c r="AZ260" s="10" t="str">
        <f t="shared" si="79"/>
        <v/>
      </c>
      <c r="BA260" s="10" t="str">
        <f t="shared" si="80"/>
        <v/>
      </c>
    </row>
    <row r="261" spans="6:53" x14ac:dyDescent="0.2">
      <c r="F261" s="10" t="str">
        <f t="shared" si="84"/>
        <v>2017/11/10</v>
      </c>
      <c r="G261" s="14">
        <v>43049</v>
      </c>
      <c r="H261" s="10">
        <v>4.8617501000000001</v>
      </c>
      <c r="I261" s="10">
        <v>-3.5680322000000002</v>
      </c>
      <c r="J261" s="10">
        <v>1.2937179000000005</v>
      </c>
      <c r="K261" s="10">
        <f t="shared" si="85"/>
        <v>1136.6262186000006</v>
      </c>
      <c r="L261" s="10">
        <f t="shared" si="86"/>
        <v>-762.27398139999957</v>
      </c>
      <c r="M261" s="10">
        <f t="shared" si="87"/>
        <v>374.35223720000005</v>
      </c>
      <c r="N261" s="10">
        <v>16.350435726908831</v>
      </c>
      <c r="O261" s="10">
        <v>15.025143175487464</v>
      </c>
      <c r="P261" s="10">
        <v>3548.8285223999983</v>
      </c>
      <c r="Y261" s="10" t="e">
        <f t="shared" si="81"/>
        <v>#N/A</v>
      </c>
      <c r="Z261" s="10" t="e">
        <f t="shared" si="69"/>
        <v>#N/A</v>
      </c>
      <c r="AA261" s="10" t="e">
        <f t="shared" si="70"/>
        <v>#N/A</v>
      </c>
      <c r="AB261" s="10" t="e">
        <f t="shared" si="71"/>
        <v>#N/A</v>
      </c>
      <c r="AC261" s="10" t="e">
        <f t="shared" si="72"/>
        <v>#N/A</v>
      </c>
      <c r="AE261" s="10" t="str">
        <f t="shared" si="82"/>
        <v/>
      </c>
      <c r="AF261" s="10" t="str">
        <f t="shared" si="73"/>
        <v/>
      </c>
      <c r="AG261" s="10" t="str">
        <f t="shared" si="74"/>
        <v/>
      </c>
      <c r="AH261" s="10" t="str">
        <f t="shared" si="75"/>
        <v/>
      </c>
      <c r="AI261" s="10" t="str">
        <f t="shared" si="76"/>
        <v/>
      </c>
      <c r="AK261" s="10"/>
      <c r="AL261" s="10"/>
      <c r="AM261" s="10"/>
      <c r="AN261" s="10"/>
      <c r="AO261" s="10"/>
      <c r="AQ261" s="10"/>
      <c r="AR261" s="10"/>
      <c r="AS261" s="10"/>
      <c r="AT261" s="10"/>
      <c r="AU261" s="10"/>
      <c r="AW261" s="10" t="str">
        <f t="shared" si="83"/>
        <v/>
      </c>
      <c r="AX261" s="10" t="str">
        <f t="shared" si="77"/>
        <v/>
      </c>
      <c r="AY261" s="10" t="str">
        <f t="shared" si="78"/>
        <v/>
      </c>
      <c r="AZ261" s="10" t="str">
        <f t="shared" si="79"/>
        <v/>
      </c>
      <c r="BA261" s="10" t="str">
        <f t="shared" si="80"/>
        <v/>
      </c>
    </row>
    <row r="262" spans="6:53" x14ac:dyDescent="0.2">
      <c r="F262" s="10" t="str">
        <f t="shared" si="84"/>
        <v>2017/11/13</v>
      </c>
      <c r="G262" s="14">
        <v>43052</v>
      </c>
      <c r="H262" s="10">
        <v>3.4746836000000001</v>
      </c>
      <c r="I262" s="10">
        <v>-3.983516900000001</v>
      </c>
      <c r="J262" s="10">
        <v>-0.50883329999999993</v>
      </c>
      <c r="K262" s="10">
        <f t="shared" si="85"/>
        <v>1140.1009022000005</v>
      </c>
      <c r="L262" s="10">
        <f t="shared" si="86"/>
        <v>-766.25749829999961</v>
      </c>
      <c r="M262" s="10">
        <f t="shared" si="87"/>
        <v>373.84340390000006</v>
      </c>
      <c r="N262" s="10">
        <v>16.21279353997825</v>
      </c>
      <c r="O262" s="10">
        <v>14.894952089136495</v>
      </c>
      <c r="P262" s="10">
        <v>3544.3283403000009</v>
      </c>
      <c r="Y262" s="10" t="e">
        <f t="shared" si="81"/>
        <v>#N/A</v>
      </c>
      <c r="Z262" s="10" t="e">
        <f t="shared" si="69"/>
        <v>#N/A</v>
      </c>
      <c r="AA262" s="10" t="e">
        <f t="shared" si="70"/>
        <v>#N/A</v>
      </c>
      <c r="AB262" s="10" t="e">
        <f t="shared" si="71"/>
        <v>#N/A</v>
      </c>
      <c r="AC262" s="10" t="e">
        <f t="shared" si="72"/>
        <v>#N/A</v>
      </c>
      <c r="AE262" s="10" t="str">
        <f t="shared" si="82"/>
        <v/>
      </c>
      <c r="AF262" s="10" t="str">
        <f t="shared" si="73"/>
        <v/>
      </c>
      <c r="AG262" s="10" t="str">
        <f t="shared" si="74"/>
        <v/>
      </c>
      <c r="AH262" s="10" t="str">
        <f t="shared" si="75"/>
        <v/>
      </c>
      <c r="AI262" s="10" t="str">
        <f t="shared" si="76"/>
        <v/>
      </c>
      <c r="AK262" s="10"/>
      <c r="AL262" s="10"/>
      <c r="AM262" s="10"/>
      <c r="AN262" s="10"/>
      <c r="AO262" s="10"/>
      <c r="AQ262" s="10"/>
      <c r="AR262" s="10"/>
      <c r="AS262" s="10"/>
      <c r="AT262" s="10"/>
      <c r="AU262" s="10"/>
      <c r="AW262" s="10" t="str">
        <f t="shared" si="83"/>
        <v/>
      </c>
      <c r="AX262" s="10" t="str">
        <f t="shared" si="77"/>
        <v/>
      </c>
      <c r="AY262" s="10" t="str">
        <f t="shared" si="78"/>
        <v/>
      </c>
      <c r="AZ262" s="10" t="str">
        <f t="shared" si="79"/>
        <v/>
      </c>
      <c r="BA262" s="10" t="str">
        <f t="shared" si="80"/>
        <v/>
      </c>
    </row>
    <row r="263" spans="6:53" x14ac:dyDescent="0.2">
      <c r="F263" s="10" t="str">
        <f t="shared" si="84"/>
        <v>2017/11/14</v>
      </c>
      <c r="G263" s="14">
        <v>43053</v>
      </c>
      <c r="H263" s="10">
        <v>5.1388293999999997</v>
      </c>
      <c r="I263" s="10">
        <v>-3.7935376000000001</v>
      </c>
      <c r="J263" s="10">
        <v>1.3452917999999991</v>
      </c>
      <c r="K263" s="10">
        <f t="shared" si="85"/>
        <v>1145.2397316000006</v>
      </c>
      <c r="L263" s="10">
        <f t="shared" si="86"/>
        <v>-770.05103589999965</v>
      </c>
      <c r="M263" s="10">
        <f t="shared" si="87"/>
        <v>375.18869570000004</v>
      </c>
      <c r="N263" s="10">
        <v>16.074919602437337</v>
      </c>
      <c r="O263" s="10">
        <v>14.808896378830077</v>
      </c>
      <c r="P263" s="10">
        <v>3538.4199379999995</v>
      </c>
      <c r="Y263" s="10" t="e">
        <f t="shared" si="81"/>
        <v>#N/A</v>
      </c>
      <c r="Z263" s="10" t="e">
        <f t="shared" si="69"/>
        <v>#N/A</v>
      </c>
      <c r="AA263" s="10" t="e">
        <f t="shared" si="70"/>
        <v>#N/A</v>
      </c>
      <c r="AB263" s="10" t="e">
        <f t="shared" si="71"/>
        <v>#N/A</v>
      </c>
      <c r="AC263" s="10" t="e">
        <f t="shared" si="72"/>
        <v>#N/A</v>
      </c>
      <c r="AE263" s="10" t="str">
        <f t="shared" si="82"/>
        <v/>
      </c>
      <c r="AF263" s="10" t="str">
        <f t="shared" si="73"/>
        <v/>
      </c>
      <c r="AG263" s="10" t="str">
        <f t="shared" si="74"/>
        <v/>
      </c>
      <c r="AH263" s="10" t="str">
        <f t="shared" si="75"/>
        <v/>
      </c>
      <c r="AI263" s="10" t="str">
        <f t="shared" si="76"/>
        <v/>
      </c>
      <c r="AK263" s="10"/>
      <c r="AL263" s="10"/>
      <c r="AM263" s="10"/>
      <c r="AN263" s="10"/>
      <c r="AO263" s="10"/>
      <c r="AQ263" s="10"/>
      <c r="AR263" s="10"/>
      <c r="AS263" s="10"/>
      <c r="AT263" s="10"/>
      <c r="AU263" s="10"/>
      <c r="AW263" s="10" t="str">
        <f t="shared" si="83"/>
        <v/>
      </c>
      <c r="AX263" s="10" t="str">
        <f t="shared" si="77"/>
        <v/>
      </c>
      <c r="AY263" s="10" t="str">
        <f t="shared" si="78"/>
        <v/>
      </c>
      <c r="AZ263" s="10" t="str">
        <f t="shared" si="79"/>
        <v/>
      </c>
      <c r="BA263" s="10" t="str">
        <f t="shared" si="80"/>
        <v/>
      </c>
    </row>
    <row r="264" spans="6:53" x14ac:dyDescent="0.2">
      <c r="F264" s="10" t="str">
        <f t="shared" si="84"/>
        <v>2017/11/15</v>
      </c>
      <c r="G264" s="14">
        <v>43054</v>
      </c>
      <c r="H264" s="10">
        <v>5.1735578000000002</v>
      </c>
      <c r="I264" s="10">
        <v>-4.4856459999999991</v>
      </c>
      <c r="J264" s="10">
        <v>0.68791179999999996</v>
      </c>
      <c r="K264" s="10">
        <f t="shared" si="85"/>
        <v>1150.4132894000006</v>
      </c>
      <c r="L264" s="10">
        <f t="shared" si="86"/>
        <v>-774.53668189999962</v>
      </c>
      <c r="M264" s="10">
        <f t="shared" si="87"/>
        <v>375.87660750000003</v>
      </c>
      <c r="N264" s="10">
        <v>15.5066754800597</v>
      </c>
      <c r="O264" s="10">
        <v>14.331869916434545</v>
      </c>
      <c r="P264" s="10">
        <v>3535.4811160000013</v>
      </c>
      <c r="Y264" s="10" t="e">
        <f t="shared" si="81"/>
        <v>#N/A</v>
      </c>
      <c r="Z264" s="10" t="e">
        <f t="shared" si="69"/>
        <v>#N/A</v>
      </c>
      <c r="AA264" s="10" t="e">
        <f t="shared" si="70"/>
        <v>#N/A</v>
      </c>
      <c r="AB264" s="10" t="e">
        <f t="shared" si="71"/>
        <v>#N/A</v>
      </c>
      <c r="AC264" s="10" t="e">
        <f t="shared" si="72"/>
        <v>#N/A</v>
      </c>
      <c r="AE264" s="10" t="str">
        <f t="shared" si="82"/>
        <v/>
      </c>
      <c r="AF264" s="10" t="str">
        <f t="shared" si="73"/>
        <v/>
      </c>
      <c r="AG264" s="10" t="str">
        <f t="shared" si="74"/>
        <v/>
      </c>
      <c r="AH264" s="10" t="str">
        <f t="shared" si="75"/>
        <v/>
      </c>
      <c r="AI264" s="10" t="str">
        <f t="shared" si="76"/>
        <v/>
      </c>
      <c r="AK264" s="10"/>
      <c r="AL264" s="10"/>
      <c r="AM264" s="10"/>
      <c r="AN264" s="10"/>
      <c r="AO264" s="10"/>
      <c r="AQ264" s="10"/>
      <c r="AR264" s="10"/>
      <c r="AS264" s="10"/>
      <c r="AT264" s="10"/>
      <c r="AU264" s="10"/>
      <c r="AW264" s="10" t="str">
        <f t="shared" si="83"/>
        <v/>
      </c>
      <c r="AX264" s="10" t="str">
        <f t="shared" si="77"/>
        <v/>
      </c>
      <c r="AY264" s="10" t="str">
        <f t="shared" si="78"/>
        <v/>
      </c>
      <c r="AZ264" s="10" t="str">
        <f t="shared" si="79"/>
        <v/>
      </c>
      <c r="BA264" s="10" t="str">
        <f t="shared" si="80"/>
        <v/>
      </c>
    </row>
    <row r="265" spans="6:53" x14ac:dyDescent="0.2">
      <c r="F265" s="10" t="str">
        <f t="shared" si="84"/>
        <v>2017/11/16</v>
      </c>
      <c r="G265" s="14">
        <v>43055</v>
      </c>
      <c r="H265" s="10">
        <v>6.2096005999999981</v>
      </c>
      <c r="I265" s="10">
        <v>-2.6169434000000003</v>
      </c>
      <c r="J265" s="10">
        <v>3.5926571999999983</v>
      </c>
      <c r="K265" s="10">
        <f t="shared" si="85"/>
        <v>1156.6228900000006</v>
      </c>
      <c r="L265" s="10">
        <f t="shared" si="86"/>
        <v>-777.15362529999959</v>
      </c>
      <c r="M265" s="10">
        <f t="shared" si="87"/>
        <v>379.46926470000005</v>
      </c>
      <c r="N265" s="10">
        <v>16.508423587603737</v>
      </c>
      <c r="O265" s="10">
        <v>15.171125905292472</v>
      </c>
      <c r="P265" s="10">
        <v>3519.9075316999997</v>
      </c>
      <c r="Y265" s="10" t="e">
        <f t="shared" si="81"/>
        <v>#N/A</v>
      </c>
      <c r="Z265" s="10" t="e">
        <f t="shared" si="69"/>
        <v>#N/A</v>
      </c>
      <c r="AA265" s="10" t="e">
        <f t="shared" si="70"/>
        <v>#N/A</v>
      </c>
      <c r="AB265" s="10" t="e">
        <f t="shared" si="71"/>
        <v>#N/A</v>
      </c>
      <c r="AC265" s="10" t="e">
        <f t="shared" si="72"/>
        <v>#N/A</v>
      </c>
      <c r="AE265" s="10" t="str">
        <f t="shared" si="82"/>
        <v/>
      </c>
      <c r="AF265" s="10" t="str">
        <f t="shared" si="73"/>
        <v/>
      </c>
      <c r="AG265" s="10" t="str">
        <f t="shared" si="74"/>
        <v/>
      </c>
      <c r="AH265" s="10" t="str">
        <f t="shared" si="75"/>
        <v/>
      </c>
      <c r="AI265" s="10" t="str">
        <f t="shared" si="76"/>
        <v/>
      </c>
      <c r="AK265" s="10"/>
      <c r="AL265" s="10"/>
      <c r="AM265" s="10"/>
      <c r="AN265" s="10"/>
      <c r="AO265" s="10"/>
      <c r="AQ265" s="10"/>
      <c r="AR265" s="10"/>
      <c r="AS265" s="10"/>
      <c r="AT265" s="10"/>
      <c r="AU265" s="10"/>
      <c r="AW265" s="10" t="str">
        <f t="shared" si="83"/>
        <v/>
      </c>
      <c r="AX265" s="10" t="str">
        <f t="shared" si="77"/>
        <v/>
      </c>
      <c r="AY265" s="10" t="str">
        <f t="shared" si="78"/>
        <v/>
      </c>
      <c r="AZ265" s="10" t="str">
        <f t="shared" si="79"/>
        <v/>
      </c>
      <c r="BA265" s="10" t="str">
        <f t="shared" si="80"/>
        <v/>
      </c>
    </row>
    <row r="266" spans="6:53" x14ac:dyDescent="0.2">
      <c r="F266" s="10" t="str">
        <f t="shared" si="84"/>
        <v>2017/11/17</v>
      </c>
      <c r="G266" s="14">
        <v>43056</v>
      </c>
      <c r="H266" s="10">
        <v>3.8197751000000006</v>
      </c>
      <c r="I266" s="10">
        <v>-5.6869461000000001</v>
      </c>
      <c r="J266" s="10">
        <v>-1.8671710000000001</v>
      </c>
      <c r="K266" s="10">
        <f t="shared" si="85"/>
        <v>1160.4426651000006</v>
      </c>
      <c r="L266" s="10">
        <f t="shared" si="86"/>
        <v>-782.84057139999959</v>
      </c>
      <c r="M266" s="10">
        <f t="shared" si="87"/>
        <v>377.60209370000007</v>
      </c>
      <c r="N266" s="10">
        <v>16.531828678476543</v>
      </c>
      <c r="O266" s="10">
        <v>15.258518662952653</v>
      </c>
      <c r="P266" s="10">
        <v>3551.712551099999</v>
      </c>
      <c r="Y266" s="10" t="e">
        <f t="shared" si="81"/>
        <v>#N/A</v>
      </c>
      <c r="Z266" s="10" t="e">
        <f t="shared" si="69"/>
        <v>#N/A</v>
      </c>
      <c r="AA266" s="10" t="e">
        <f t="shared" si="70"/>
        <v>#N/A</v>
      </c>
      <c r="AB266" s="10" t="e">
        <f t="shared" si="71"/>
        <v>#N/A</v>
      </c>
      <c r="AC266" s="10" t="e">
        <f t="shared" si="72"/>
        <v>#N/A</v>
      </c>
      <c r="AE266" s="10" t="str">
        <f t="shared" si="82"/>
        <v/>
      </c>
      <c r="AF266" s="10" t="str">
        <f t="shared" si="73"/>
        <v/>
      </c>
      <c r="AG266" s="10" t="str">
        <f t="shared" si="74"/>
        <v/>
      </c>
      <c r="AH266" s="10" t="str">
        <f t="shared" si="75"/>
        <v/>
      </c>
      <c r="AI266" s="10" t="str">
        <f t="shared" si="76"/>
        <v/>
      </c>
      <c r="AK266" s="10"/>
      <c r="AL266" s="10"/>
      <c r="AM266" s="10"/>
      <c r="AN266" s="10"/>
      <c r="AO266" s="10"/>
      <c r="AQ266" s="10"/>
      <c r="AR266" s="10"/>
      <c r="AS266" s="10"/>
      <c r="AT266" s="10"/>
      <c r="AU266" s="10"/>
      <c r="AW266" s="10" t="str">
        <f t="shared" si="83"/>
        <v/>
      </c>
      <c r="AX266" s="10" t="str">
        <f t="shared" si="77"/>
        <v/>
      </c>
      <c r="AY266" s="10" t="str">
        <f t="shared" si="78"/>
        <v/>
      </c>
      <c r="AZ266" s="10" t="str">
        <f t="shared" si="79"/>
        <v/>
      </c>
      <c r="BA266" s="10" t="str">
        <f t="shared" si="80"/>
        <v/>
      </c>
    </row>
    <row r="267" spans="6:53" x14ac:dyDescent="0.2">
      <c r="F267" s="10" t="str">
        <f t="shared" si="84"/>
        <v>2017/11/20</v>
      </c>
      <c r="G267" s="14">
        <v>43059</v>
      </c>
      <c r="H267" s="10">
        <v>7.373807900000001</v>
      </c>
      <c r="I267" s="10">
        <v>-1.6489643999999999</v>
      </c>
      <c r="J267" s="10">
        <v>5.7248435000000004</v>
      </c>
      <c r="K267" s="10">
        <f t="shared" si="85"/>
        <v>1167.8164730000005</v>
      </c>
      <c r="L267" s="10">
        <f t="shared" si="86"/>
        <v>-784.48953579999954</v>
      </c>
      <c r="M267" s="10">
        <f t="shared" si="87"/>
        <v>383.32693720000009</v>
      </c>
      <c r="N267" s="10">
        <v>16.600073305926053</v>
      </c>
      <c r="O267" s="10">
        <v>15.303880779944285</v>
      </c>
      <c r="P267" s="10">
        <v>3550.6515618000017</v>
      </c>
      <c r="Y267" s="10" t="e">
        <f t="shared" si="81"/>
        <v>#N/A</v>
      </c>
      <c r="Z267" s="10" t="e">
        <f t="shared" ref="Z267:Z330" si="88">IF($W$5=1,IF(AL267="",NA(),AL267),IF($W$5=2,IF(AF267="",NA(),AF267),IF($W$5=3,IF(AX267="",NA(),AX267),IF($W$5=4,IF(AR267="",NA(),AR267)))))</f>
        <v>#N/A</v>
      </c>
      <c r="AA267" s="10" t="e">
        <f t="shared" ref="AA267:AA330" si="89">IF($W$5=1,IF(AM267="",NA(),AM267),IF($W$5=2,IF(AG267="",NA(),AG267),IF($W$5=3,IF(AY267="",NA(),AY267),IF($W$5=4,IF(AS267="",NA(),AS267)))))</f>
        <v>#N/A</v>
      </c>
      <c r="AB267" s="10" t="e">
        <f t="shared" ref="AB267:AB330" si="90">IF($W$5=1,IF(AN267="",NA(),AN267),IF($W$5=2,IF(AH267="",NA(),AH267),IF($W$5=3,IF(AZ267="",NA(),AZ267),IF($W$5=4,IF(AT267="",NA(),AT267)))))</f>
        <v>#N/A</v>
      </c>
      <c r="AC267" s="10" t="e">
        <f t="shared" ref="AC267:AC330" si="91">IF($W$5=1,IF(AO267="",NA(),AO267),IF($W$5=2,IF(AI267="",NA(),AI267),IF($W$5=3,IF(BA267="",NA(),BA267),IF($W$5=4,IF(AU267="",NA(),AU267)))))</f>
        <v>#N/A</v>
      </c>
      <c r="AE267" s="10" t="str">
        <f t="shared" si="82"/>
        <v/>
      </c>
      <c r="AF267" s="10" t="str">
        <f t="shared" ref="AF267:AF330" si="92">IF(AL267="","",AL267/AR267*100)</f>
        <v/>
      </c>
      <c r="AG267" s="10" t="str">
        <f t="shared" ref="AG267:AG330" si="93">IF(AM267="","",AM267/AS267*100)</f>
        <v/>
      </c>
      <c r="AH267" s="10" t="str">
        <f t="shared" ref="AH267:AH330" si="94">IF(AN267="","",AN267/AT267*100)</f>
        <v/>
      </c>
      <c r="AI267" s="10" t="str">
        <f t="shared" ref="AI267:AI330" si="95">IF(AO267="","",AO267/AU267*100)</f>
        <v/>
      </c>
      <c r="AK267" s="10"/>
      <c r="AL267" s="10"/>
      <c r="AM267" s="10"/>
      <c r="AN267" s="10"/>
      <c r="AO267" s="10"/>
      <c r="AQ267" s="10"/>
      <c r="AR267" s="10"/>
      <c r="AS267" s="10"/>
      <c r="AT267" s="10"/>
      <c r="AU267" s="10"/>
      <c r="AW267" s="10" t="str">
        <f t="shared" si="83"/>
        <v/>
      </c>
      <c r="AX267" s="10" t="str">
        <f t="shared" ref="AX267:AX330" si="96">IF(AL$11="","",100+AF267)</f>
        <v/>
      </c>
      <c r="AY267" s="10" t="str">
        <f t="shared" ref="AY267:AY330" si="97">IF(AM$11="","",100+AG267)</f>
        <v/>
      </c>
      <c r="AZ267" s="10" t="str">
        <f t="shared" ref="AZ267:AZ330" si="98">IF(AN$11="","",100+AH267)</f>
        <v/>
      </c>
      <c r="BA267" s="10" t="str">
        <f t="shared" ref="BA267:BA330" si="99">IF(AO$11="","",100+AI267)</f>
        <v/>
      </c>
    </row>
    <row r="268" spans="6:53" x14ac:dyDescent="0.2">
      <c r="F268" s="10" t="str">
        <f t="shared" si="84"/>
        <v>2017/11/21</v>
      </c>
      <c r="G268" s="14">
        <v>43060</v>
      </c>
      <c r="H268" s="10">
        <v>6.216419000000001</v>
      </c>
      <c r="I268" s="10">
        <v>-1.9340820999999999</v>
      </c>
      <c r="J268" s="10">
        <v>4.2823368999999998</v>
      </c>
      <c r="K268" s="10">
        <f t="shared" si="85"/>
        <v>1174.0328920000006</v>
      </c>
      <c r="L268" s="10">
        <f t="shared" si="86"/>
        <v>-786.4236178999995</v>
      </c>
      <c r="M268" s="10">
        <f t="shared" si="87"/>
        <v>387.60927410000011</v>
      </c>
      <c r="N268" s="10">
        <v>17.41409829478258</v>
      </c>
      <c r="O268" s="10">
        <v>16.02903370473539</v>
      </c>
      <c r="P268" s="10">
        <v>3558.2765011000006</v>
      </c>
      <c r="Y268" s="10" t="e">
        <f t="shared" ref="Y268:Y331" si="100">IF($W$5=1,IF(AK268="",NA(),AK268),IF($W$5=2,IF(AE268="",NA(),AE268),IF($W$5=3,IF(AW268="",NA(),AW268),IF($W$5=4,IF(AQ268="",NA(),AQ268)))))</f>
        <v>#N/A</v>
      </c>
      <c r="Z268" s="10" t="e">
        <f t="shared" si="88"/>
        <v>#N/A</v>
      </c>
      <c r="AA268" s="10" t="e">
        <f t="shared" si="89"/>
        <v>#N/A</v>
      </c>
      <c r="AB268" s="10" t="e">
        <f t="shared" si="90"/>
        <v>#N/A</v>
      </c>
      <c r="AC268" s="10" t="e">
        <f t="shared" si="91"/>
        <v>#N/A</v>
      </c>
      <c r="AE268" s="10" t="str">
        <f t="shared" ref="AE268:AE331" si="101">IF(AK268="","",AK268/AQ268*100)</f>
        <v/>
      </c>
      <c r="AF268" s="10" t="str">
        <f t="shared" si="92"/>
        <v/>
      </c>
      <c r="AG268" s="10" t="str">
        <f t="shared" si="93"/>
        <v/>
      </c>
      <c r="AH268" s="10" t="str">
        <f t="shared" si="94"/>
        <v/>
      </c>
      <c r="AI268" s="10" t="str">
        <f t="shared" si="95"/>
        <v/>
      </c>
      <c r="AK268" s="10"/>
      <c r="AL268" s="10"/>
      <c r="AM268" s="10"/>
      <c r="AN268" s="10"/>
      <c r="AO268" s="10"/>
      <c r="AQ268" s="10"/>
      <c r="AR268" s="10"/>
      <c r="AS268" s="10"/>
      <c r="AT268" s="10"/>
      <c r="AU268" s="10"/>
      <c r="AW268" s="10" t="str">
        <f t="shared" ref="AW268:AW331" si="102">IF(AK$11="","",100+AE268)</f>
        <v/>
      </c>
      <c r="AX268" s="10" t="str">
        <f t="shared" si="96"/>
        <v/>
      </c>
      <c r="AY268" s="10" t="str">
        <f t="shared" si="97"/>
        <v/>
      </c>
      <c r="AZ268" s="10" t="str">
        <f t="shared" si="98"/>
        <v/>
      </c>
      <c r="BA268" s="10" t="str">
        <f t="shared" si="99"/>
        <v/>
      </c>
    </row>
    <row r="269" spans="6:53" x14ac:dyDescent="0.2">
      <c r="F269" s="10" t="str">
        <f t="shared" si="84"/>
        <v>2017/11/22</v>
      </c>
      <c r="G269" s="14">
        <v>43061</v>
      </c>
      <c r="H269" s="10">
        <v>3.1740924000000001</v>
      </c>
      <c r="I269" s="10">
        <v>-3.2695600000000007</v>
      </c>
      <c r="J269" s="10">
        <v>-9.5467600000000194E-2</v>
      </c>
      <c r="K269" s="10">
        <f t="shared" si="85"/>
        <v>1177.2069844000007</v>
      </c>
      <c r="L269" s="10">
        <f t="shared" si="86"/>
        <v>-789.69317789999945</v>
      </c>
      <c r="M269" s="10">
        <f t="shared" si="87"/>
        <v>387.5138065000001</v>
      </c>
      <c r="N269" s="10">
        <v>17.598297093673732</v>
      </c>
      <c r="O269" s="10">
        <v>16.231693314763234</v>
      </c>
      <c r="P269" s="10">
        <v>3585.5191087999997</v>
      </c>
      <c r="Y269" s="10" t="e">
        <f t="shared" si="100"/>
        <v>#N/A</v>
      </c>
      <c r="Z269" s="10" t="e">
        <f t="shared" si="88"/>
        <v>#N/A</v>
      </c>
      <c r="AA269" s="10" t="e">
        <f t="shared" si="89"/>
        <v>#N/A</v>
      </c>
      <c r="AB269" s="10" t="e">
        <f t="shared" si="90"/>
        <v>#N/A</v>
      </c>
      <c r="AC269" s="10" t="e">
        <f t="shared" si="91"/>
        <v>#N/A</v>
      </c>
      <c r="AE269" s="10" t="str">
        <f t="shared" si="101"/>
        <v/>
      </c>
      <c r="AF269" s="10" t="str">
        <f t="shared" si="92"/>
        <v/>
      </c>
      <c r="AG269" s="10" t="str">
        <f t="shared" si="93"/>
        <v/>
      </c>
      <c r="AH269" s="10" t="str">
        <f t="shared" si="94"/>
        <v/>
      </c>
      <c r="AI269" s="10" t="str">
        <f t="shared" si="95"/>
        <v/>
      </c>
      <c r="AK269" s="10"/>
      <c r="AL269" s="10"/>
      <c r="AM269" s="10"/>
      <c r="AN269" s="10"/>
      <c r="AO269" s="10"/>
      <c r="AQ269" s="10"/>
      <c r="AR269" s="10"/>
      <c r="AS269" s="10"/>
      <c r="AT269" s="10"/>
      <c r="AU269" s="10"/>
      <c r="AW269" s="10" t="str">
        <f t="shared" si="102"/>
        <v/>
      </c>
      <c r="AX269" s="10" t="str">
        <f t="shared" si="96"/>
        <v/>
      </c>
      <c r="AY269" s="10" t="str">
        <f t="shared" si="97"/>
        <v/>
      </c>
      <c r="AZ269" s="10" t="str">
        <f t="shared" si="98"/>
        <v/>
      </c>
      <c r="BA269" s="10" t="str">
        <f t="shared" si="99"/>
        <v/>
      </c>
    </row>
    <row r="270" spans="6:53" x14ac:dyDescent="0.2">
      <c r="F270" s="10" t="str">
        <f t="shared" si="84"/>
        <v>2017/11/23</v>
      </c>
      <c r="G270" s="14">
        <v>43062</v>
      </c>
      <c r="H270" s="10">
        <v>1.0169646999999997</v>
      </c>
      <c r="I270" s="10">
        <v>-0.41883989999999993</v>
      </c>
      <c r="J270" s="10">
        <v>0.5981247999999999</v>
      </c>
      <c r="K270" s="10">
        <f t="shared" si="85"/>
        <v>1178.2239491000007</v>
      </c>
      <c r="L270" s="10">
        <f t="shared" si="86"/>
        <v>-790.11201779999942</v>
      </c>
      <c r="M270" s="10">
        <f t="shared" si="87"/>
        <v>388.11193130000009</v>
      </c>
      <c r="N270" s="10">
        <v>17.693889901831692</v>
      </c>
      <c r="O270" s="10">
        <v>16.279823816155989</v>
      </c>
      <c r="P270" s="10">
        <v>3591.593554399999</v>
      </c>
      <c r="Y270" s="10" t="e">
        <f t="shared" si="100"/>
        <v>#N/A</v>
      </c>
      <c r="Z270" s="10" t="e">
        <f t="shared" si="88"/>
        <v>#N/A</v>
      </c>
      <c r="AA270" s="10" t="e">
        <f t="shared" si="89"/>
        <v>#N/A</v>
      </c>
      <c r="AB270" s="10" t="e">
        <f t="shared" si="90"/>
        <v>#N/A</v>
      </c>
      <c r="AC270" s="10" t="e">
        <f t="shared" si="91"/>
        <v>#N/A</v>
      </c>
      <c r="AE270" s="10" t="str">
        <f t="shared" si="101"/>
        <v/>
      </c>
      <c r="AF270" s="10" t="str">
        <f t="shared" si="92"/>
        <v/>
      </c>
      <c r="AG270" s="10" t="str">
        <f t="shared" si="93"/>
        <v/>
      </c>
      <c r="AH270" s="10" t="str">
        <f t="shared" si="94"/>
        <v/>
      </c>
      <c r="AI270" s="10" t="str">
        <f t="shared" si="95"/>
        <v/>
      </c>
      <c r="AK270" s="10"/>
      <c r="AL270" s="10"/>
      <c r="AM270" s="10"/>
      <c r="AN270" s="10"/>
      <c r="AO270" s="10"/>
      <c r="AQ270" s="10"/>
      <c r="AR270" s="10"/>
      <c r="AS270" s="10"/>
      <c r="AT270" s="10"/>
      <c r="AU270" s="10"/>
      <c r="AW270" s="10" t="str">
        <f t="shared" si="102"/>
        <v/>
      </c>
      <c r="AX270" s="10" t="str">
        <f t="shared" si="96"/>
        <v/>
      </c>
      <c r="AY270" s="10" t="str">
        <f t="shared" si="97"/>
        <v/>
      </c>
      <c r="AZ270" s="10" t="str">
        <f t="shared" si="98"/>
        <v/>
      </c>
      <c r="BA270" s="10" t="str">
        <f t="shared" si="99"/>
        <v/>
      </c>
    </row>
    <row r="271" spans="6:53" x14ac:dyDescent="0.2">
      <c r="F271" s="10" t="str">
        <f t="shared" si="84"/>
        <v>2017/11/24</v>
      </c>
      <c r="G271" s="14">
        <v>43063</v>
      </c>
      <c r="H271" s="10">
        <v>3.0329478000000001</v>
      </c>
      <c r="I271" s="10">
        <v>-1.2154393999999999</v>
      </c>
      <c r="J271" s="10">
        <v>1.8175083999999997</v>
      </c>
      <c r="K271" s="10">
        <f t="shared" si="85"/>
        <v>1181.2568969000008</v>
      </c>
      <c r="L271" s="10">
        <f t="shared" si="86"/>
        <v>-791.32745719999946</v>
      </c>
      <c r="M271" s="10">
        <f t="shared" si="87"/>
        <v>389.9294397000001</v>
      </c>
      <c r="N271" s="10">
        <v>17.853826460558821</v>
      </c>
      <c r="O271" s="10">
        <v>16.476216713091919</v>
      </c>
      <c r="P271" s="10">
        <v>3595.8462346999995</v>
      </c>
      <c r="Y271" s="10" t="e">
        <f t="shared" si="100"/>
        <v>#N/A</v>
      </c>
      <c r="Z271" s="10" t="e">
        <f t="shared" si="88"/>
        <v>#N/A</v>
      </c>
      <c r="AA271" s="10" t="e">
        <f t="shared" si="89"/>
        <v>#N/A</v>
      </c>
      <c r="AB271" s="10" t="e">
        <f t="shared" si="90"/>
        <v>#N/A</v>
      </c>
      <c r="AC271" s="10" t="e">
        <f t="shared" si="91"/>
        <v>#N/A</v>
      </c>
      <c r="AE271" s="10" t="str">
        <f t="shared" si="101"/>
        <v/>
      </c>
      <c r="AF271" s="10" t="str">
        <f t="shared" si="92"/>
        <v/>
      </c>
      <c r="AG271" s="10" t="str">
        <f t="shared" si="93"/>
        <v/>
      </c>
      <c r="AH271" s="10" t="str">
        <f t="shared" si="94"/>
        <v/>
      </c>
      <c r="AI271" s="10" t="str">
        <f t="shared" si="95"/>
        <v/>
      </c>
      <c r="AK271" s="10"/>
      <c r="AL271" s="10"/>
      <c r="AM271" s="10"/>
      <c r="AN271" s="10"/>
      <c r="AO271" s="10"/>
      <c r="AQ271" s="10"/>
      <c r="AR271" s="10"/>
      <c r="AS271" s="10"/>
      <c r="AT271" s="10"/>
      <c r="AU271" s="10"/>
      <c r="AW271" s="10" t="str">
        <f t="shared" si="102"/>
        <v/>
      </c>
      <c r="AX271" s="10" t="str">
        <f t="shared" si="96"/>
        <v/>
      </c>
      <c r="AY271" s="10" t="str">
        <f t="shared" si="97"/>
        <v/>
      </c>
      <c r="AZ271" s="10" t="str">
        <f t="shared" si="98"/>
        <v/>
      </c>
      <c r="BA271" s="10" t="str">
        <f t="shared" si="99"/>
        <v/>
      </c>
    </row>
    <row r="272" spans="6:53" x14ac:dyDescent="0.2">
      <c r="F272" s="10" t="str">
        <f t="shared" si="84"/>
        <v>2017/11/27</v>
      </c>
      <c r="G272" s="14">
        <v>43066</v>
      </c>
      <c r="H272" s="10">
        <v>2.7531009999999996</v>
      </c>
      <c r="I272" s="10">
        <v>-2.2815395999999999</v>
      </c>
      <c r="J272" s="10">
        <v>0.47156140000000002</v>
      </c>
      <c r="K272" s="10">
        <f t="shared" si="85"/>
        <v>1184.0099979000008</v>
      </c>
      <c r="L272" s="10">
        <f t="shared" si="86"/>
        <v>-793.60899679999943</v>
      </c>
      <c r="M272" s="10">
        <f t="shared" si="87"/>
        <v>390.40100110000009</v>
      </c>
      <c r="N272" s="10">
        <v>17.56290500417899</v>
      </c>
      <c r="O272" s="10">
        <v>16.122361002785517</v>
      </c>
      <c r="P272" s="10">
        <v>3601.2110289999996</v>
      </c>
      <c r="Y272" s="10" t="e">
        <f t="shared" si="100"/>
        <v>#N/A</v>
      </c>
      <c r="Z272" s="10" t="e">
        <f t="shared" si="88"/>
        <v>#N/A</v>
      </c>
      <c r="AA272" s="10" t="e">
        <f t="shared" si="89"/>
        <v>#N/A</v>
      </c>
      <c r="AB272" s="10" t="e">
        <f t="shared" si="90"/>
        <v>#N/A</v>
      </c>
      <c r="AC272" s="10" t="e">
        <f t="shared" si="91"/>
        <v>#N/A</v>
      </c>
      <c r="AE272" s="10" t="str">
        <f t="shared" si="101"/>
        <v/>
      </c>
      <c r="AF272" s="10" t="str">
        <f t="shared" si="92"/>
        <v/>
      </c>
      <c r="AG272" s="10" t="str">
        <f t="shared" si="93"/>
        <v/>
      </c>
      <c r="AH272" s="10" t="str">
        <f t="shared" si="94"/>
        <v/>
      </c>
      <c r="AI272" s="10" t="str">
        <f t="shared" si="95"/>
        <v/>
      </c>
      <c r="AK272" s="10"/>
      <c r="AL272" s="10"/>
      <c r="AM272" s="10"/>
      <c r="AN272" s="10"/>
      <c r="AO272" s="10"/>
      <c r="AQ272" s="10"/>
      <c r="AR272" s="10"/>
      <c r="AS272" s="10"/>
      <c r="AT272" s="10"/>
      <c r="AU272" s="10"/>
      <c r="AW272" s="10" t="str">
        <f t="shared" si="102"/>
        <v/>
      </c>
      <c r="AX272" s="10" t="str">
        <f t="shared" si="96"/>
        <v/>
      </c>
      <c r="AY272" s="10" t="str">
        <f t="shared" si="97"/>
        <v/>
      </c>
      <c r="AZ272" s="10" t="str">
        <f t="shared" si="98"/>
        <v/>
      </c>
      <c r="BA272" s="10" t="str">
        <f t="shared" si="99"/>
        <v/>
      </c>
    </row>
    <row r="273" spans="6:53" x14ac:dyDescent="0.2">
      <c r="F273" s="10" t="str">
        <f t="shared" si="84"/>
        <v>2017/11/28</v>
      </c>
      <c r="G273" s="14">
        <v>43067</v>
      </c>
      <c r="H273" s="10">
        <v>6.713633999999999</v>
      </c>
      <c r="I273" s="10">
        <v>-3.2575928999999997</v>
      </c>
      <c r="J273" s="10">
        <v>3.4560411000000002</v>
      </c>
      <c r="K273" s="10">
        <f t="shared" si="85"/>
        <v>1190.7236319000008</v>
      </c>
      <c r="L273" s="10">
        <f t="shared" si="86"/>
        <v>-796.86658969999939</v>
      </c>
      <c r="M273" s="10">
        <f t="shared" si="87"/>
        <v>393.85704220000008</v>
      </c>
      <c r="N273" s="10">
        <v>18.281204266401041</v>
      </c>
      <c r="O273" s="10">
        <v>16.673128690807797</v>
      </c>
      <c r="P273" s="10">
        <v>3593.1090798999994</v>
      </c>
      <c r="Y273" s="10" t="e">
        <f t="shared" si="100"/>
        <v>#N/A</v>
      </c>
      <c r="Z273" s="10" t="e">
        <f t="shared" si="88"/>
        <v>#N/A</v>
      </c>
      <c r="AA273" s="10" t="e">
        <f t="shared" si="89"/>
        <v>#N/A</v>
      </c>
      <c r="AB273" s="10" t="e">
        <f t="shared" si="90"/>
        <v>#N/A</v>
      </c>
      <c r="AC273" s="10" t="e">
        <f t="shared" si="91"/>
        <v>#N/A</v>
      </c>
      <c r="AE273" s="10" t="str">
        <f t="shared" si="101"/>
        <v/>
      </c>
      <c r="AF273" s="10" t="str">
        <f t="shared" si="92"/>
        <v/>
      </c>
      <c r="AG273" s="10" t="str">
        <f t="shared" si="93"/>
        <v/>
      </c>
      <c r="AH273" s="10" t="str">
        <f t="shared" si="94"/>
        <v/>
      </c>
      <c r="AI273" s="10" t="str">
        <f t="shared" si="95"/>
        <v/>
      </c>
      <c r="AK273" s="10"/>
      <c r="AL273" s="10"/>
      <c r="AM273" s="10"/>
      <c r="AN273" s="10"/>
      <c r="AO273" s="10"/>
      <c r="AQ273" s="10"/>
      <c r="AR273" s="10"/>
      <c r="AS273" s="10"/>
      <c r="AT273" s="10"/>
      <c r="AU273" s="10"/>
      <c r="AW273" s="10" t="str">
        <f t="shared" si="102"/>
        <v/>
      </c>
      <c r="AX273" s="10" t="str">
        <f t="shared" si="96"/>
        <v/>
      </c>
      <c r="AY273" s="10" t="str">
        <f t="shared" si="97"/>
        <v/>
      </c>
      <c r="AZ273" s="10" t="str">
        <f t="shared" si="98"/>
        <v/>
      </c>
      <c r="BA273" s="10" t="str">
        <f t="shared" si="99"/>
        <v/>
      </c>
    </row>
    <row r="274" spans="6:53" x14ac:dyDescent="0.2">
      <c r="F274" s="10" t="str">
        <f t="shared" si="84"/>
        <v>2017/11/29</v>
      </c>
      <c r="G274" s="14">
        <v>43068</v>
      </c>
      <c r="H274" s="10">
        <v>7.5457381000000021</v>
      </c>
      <c r="I274" s="10">
        <v>-2.7513299999999998</v>
      </c>
      <c r="J274" s="10">
        <v>4.7944081000000027</v>
      </c>
      <c r="K274" s="10">
        <f t="shared" si="85"/>
        <v>1198.2693700000009</v>
      </c>
      <c r="L274" s="10">
        <f t="shared" si="86"/>
        <v>-799.61791969999945</v>
      </c>
      <c r="M274" s="10">
        <f t="shared" si="87"/>
        <v>398.65145030000008</v>
      </c>
      <c r="N274" s="10">
        <v>17.997486948248493</v>
      </c>
      <c r="O274" s="10">
        <v>16.388902228412263</v>
      </c>
      <c r="P274" s="10">
        <v>3617.9447174999996</v>
      </c>
      <c r="Y274" s="10" t="e">
        <f t="shared" si="100"/>
        <v>#N/A</v>
      </c>
      <c r="Z274" s="10" t="e">
        <f t="shared" si="88"/>
        <v>#N/A</v>
      </c>
      <c r="AA274" s="10" t="e">
        <f t="shared" si="89"/>
        <v>#N/A</v>
      </c>
      <c r="AB274" s="10" t="e">
        <f t="shared" si="90"/>
        <v>#N/A</v>
      </c>
      <c r="AC274" s="10" t="e">
        <f t="shared" si="91"/>
        <v>#N/A</v>
      </c>
      <c r="AE274" s="10" t="str">
        <f t="shared" si="101"/>
        <v/>
      </c>
      <c r="AF274" s="10" t="str">
        <f t="shared" si="92"/>
        <v/>
      </c>
      <c r="AG274" s="10" t="str">
        <f t="shared" si="93"/>
        <v/>
      </c>
      <c r="AH274" s="10" t="str">
        <f t="shared" si="94"/>
        <v/>
      </c>
      <c r="AI274" s="10" t="str">
        <f t="shared" si="95"/>
        <v/>
      </c>
      <c r="AK274" s="10"/>
      <c r="AL274" s="10"/>
      <c r="AM274" s="10"/>
      <c r="AN274" s="10"/>
      <c r="AO274" s="10"/>
      <c r="AQ274" s="10"/>
      <c r="AR274" s="10"/>
      <c r="AS274" s="10"/>
      <c r="AT274" s="10"/>
      <c r="AU274" s="10"/>
      <c r="AW274" s="10" t="str">
        <f t="shared" si="102"/>
        <v/>
      </c>
      <c r="AX274" s="10" t="str">
        <f t="shared" si="96"/>
        <v/>
      </c>
      <c r="AY274" s="10" t="str">
        <f t="shared" si="97"/>
        <v/>
      </c>
      <c r="AZ274" s="10" t="str">
        <f t="shared" si="98"/>
        <v/>
      </c>
      <c r="BA274" s="10" t="str">
        <f t="shared" si="99"/>
        <v/>
      </c>
    </row>
    <row r="275" spans="6:53" x14ac:dyDescent="0.2">
      <c r="F275" s="10" t="str">
        <f t="shared" si="84"/>
        <v>2017/11/30</v>
      </c>
      <c r="G275" s="14">
        <v>43069</v>
      </c>
      <c r="H275" s="10">
        <v>7.0808204999999971</v>
      </c>
      <c r="I275" s="10">
        <v>-5.8690822999999988</v>
      </c>
      <c r="J275" s="10">
        <v>1.2117382000000008</v>
      </c>
      <c r="K275" s="10">
        <f t="shared" si="85"/>
        <v>1205.350190500001</v>
      </c>
      <c r="L275" s="10">
        <f t="shared" si="86"/>
        <v>-805.48700199999939</v>
      </c>
      <c r="M275" s="10">
        <f t="shared" si="87"/>
        <v>399.86318850000009</v>
      </c>
      <c r="N275" s="10">
        <v>18.344102659931814</v>
      </c>
      <c r="O275" s="10">
        <v>16.608130640668524</v>
      </c>
      <c r="P275" s="10">
        <v>3615.7596380999989</v>
      </c>
      <c r="Y275" s="10" t="e">
        <f t="shared" si="100"/>
        <v>#N/A</v>
      </c>
      <c r="Z275" s="10" t="e">
        <f t="shared" si="88"/>
        <v>#N/A</v>
      </c>
      <c r="AA275" s="10" t="e">
        <f t="shared" si="89"/>
        <v>#N/A</v>
      </c>
      <c r="AB275" s="10" t="e">
        <f t="shared" si="90"/>
        <v>#N/A</v>
      </c>
      <c r="AC275" s="10" t="e">
        <f t="shared" si="91"/>
        <v>#N/A</v>
      </c>
      <c r="AE275" s="10" t="str">
        <f t="shared" si="101"/>
        <v/>
      </c>
      <c r="AF275" s="10" t="str">
        <f t="shared" si="92"/>
        <v/>
      </c>
      <c r="AG275" s="10" t="str">
        <f t="shared" si="93"/>
        <v/>
      </c>
      <c r="AH275" s="10" t="str">
        <f t="shared" si="94"/>
        <v/>
      </c>
      <c r="AI275" s="10" t="str">
        <f t="shared" si="95"/>
        <v/>
      </c>
      <c r="AK275" s="10"/>
      <c r="AL275" s="10"/>
      <c r="AM275" s="10"/>
      <c r="AN275" s="10"/>
      <c r="AO275" s="10"/>
      <c r="AQ275" s="10"/>
      <c r="AR275" s="10"/>
      <c r="AS275" s="10"/>
      <c r="AT275" s="10"/>
      <c r="AU275" s="10"/>
      <c r="AW275" s="10" t="str">
        <f t="shared" si="102"/>
        <v/>
      </c>
      <c r="AX275" s="10" t="str">
        <f t="shared" si="96"/>
        <v/>
      </c>
      <c r="AY275" s="10" t="str">
        <f t="shared" si="97"/>
        <v/>
      </c>
      <c r="AZ275" s="10" t="str">
        <f t="shared" si="98"/>
        <v/>
      </c>
      <c r="BA275" s="10" t="str">
        <f t="shared" si="99"/>
        <v/>
      </c>
    </row>
    <row r="276" spans="6:53" x14ac:dyDescent="0.2">
      <c r="F276" s="10" t="str">
        <f t="shared" si="84"/>
        <v>2017/12/1</v>
      </c>
      <c r="G276" s="14">
        <v>43070</v>
      </c>
      <c r="H276" s="10">
        <v>5.5686596999999995</v>
      </c>
      <c r="I276" s="10">
        <v>-3.1743752000000001</v>
      </c>
      <c r="J276" s="10">
        <v>2.3942844999999999</v>
      </c>
      <c r="K276" s="10">
        <f t="shared" si="85"/>
        <v>1210.9188502000009</v>
      </c>
      <c r="L276" s="10">
        <f t="shared" si="86"/>
        <v>-808.66137719999938</v>
      </c>
      <c r="M276" s="10">
        <f t="shared" si="87"/>
        <v>402.25747300000012</v>
      </c>
      <c r="N276" s="10">
        <v>18.17331307198085</v>
      </c>
      <c r="O276" s="10">
        <v>16.496558217270199</v>
      </c>
      <c r="P276" s="10">
        <v>3628.3054413999998</v>
      </c>
      <c r="Y276" s="10" t="e">
        <f t="shared" si="100"/>
        <v>#N/A</v>
      </c>
      <c r="Z276" s="10" t="e">
        <f t="shared" si="88"/>
        <v>#N/A</v>
      </c>
      <c r="AA276" s="10" t="e">
        <f t="shared" si="89"/>
        <v>#N/A</v>
      </c>
      <c r="AB276" s="10" t="e">
        <f t="shared" si="90"/>
        <v>#N/A</v>
      </c>
      <c r="AC276" s="10" t="e">
        <f t="shared" si="91"/>
        <v>#N/A</v>
      </c>
      <c r="AE276" s="10" t="str">
        <f t="shared" si="101"/>
        <v/>
      </c>
      <c r="AF276" s="10" t="str">
        <f t="shared" si="92"/>
        <v/>
      </c>
      <c r="AG276" s="10" t="str">
        <f t="shared" si="93"/>
        <v/>
      </c>
      <c r="AH276" s="10" t="str">
        <f t="shared" si="94"/>
        <v/>
      </c>
      <c r="AI276" s="10" t="str">
        <f t="shared" si="95"/>
        <v/>
      </c>
      <c r="AK276" s="10"/>
      <c r="AL276" s="10"/>
      <c r="AM276" s="10"/>
      <c r="AN276" s="10"/>
      <c r="AO276" s="10"/>
      <c r="AQ276" s="10"/>
      <c r="AR276" s="10"/>
      <c r="AS276" s="10"/>
      <c r="AT276" s="10"/>
      <c r="AU276" s="10"/>
      <c r="AW276" s="10" t="str">
        <f t="shared" si="102"/>
        <v/>
      </c>
      <c r="AX276" s="10" t="str">
        <f t="shared" si="96"/>
        <v/>
      </c>
      <c r="AY276" s="10" t="str">
        <f t="shared" si="97"/>
        <v/>
      </c>
      <c r="AZ276" s="10" t="str">
        <f t="shared" si="98"/>
        <v/>
      </c>
      <c r="BA276" s="10" t="str">
        <f t="shared" si="99"/>
        <v/>
      </c>
    </row>
    <row r="277" spans="6:53" x14ac:dyDescent="0.2">
      <c r="F277" s="10" t="str">
        <f t="shared" si="84"/>
        <v>2017/12/4</v>
      </c>
      <c r="G277" s="14">
        <v>43073</v>
      </c>
      <c r="H277" s="10">
        <v>7.3855849000000013</v>
      </c>
      <c r="I277" s="10">
        <v>-2.8495385</v>
      </c>
      <c r="J277" s="10">
        <v>4.5360464</v>
      </c>
      <c r="K277" s="10">
        <f t="shared" si="85"/>
        <v>1218.3044351000008</v>
      </c>
      <c r="L277" s="10">
        <f t="shared" si="86"/>
        <v>-811.51091569999937</v>
      </c>
      <c r="M277" s="10">
        <f t="shared" si="87"/>
        <v>406.79351940000009</v>
      </c>
      <c r="N277" s="10">
        <v>17.94862219752774</v>
      </c>
      <c r="O277" s="10">
        <v>16.339981894150416</v>
      </c>
      <c r="P277" s="10">
        <v>3625.1212513999994</v>
      </c>
      <c r="Y277" s="10" t="e">
        <f t="shared" si="100"/>
        <v>#N/A</v>
      </c>
      <c r="Z277" s="10" t="e">
        <f t="shared" si="88"/>
        <v>#N/A</v>
      </c>
      <c r="AA277" s="10" t="e">
        <f t="shared" si="89"/>
        <v>#N/A</v>
      </c>
      <c r="AB277" s="10" t="e">
        <f t="shared" si="90"/>
        <v>#N/A</v>
      </c>
      <c r="AC277" s="10" t="e">
        <f t="shared" si="91"/>
        <v>#N/A</v>
      </c>
      <c r="AE277" s="10" t="str">
        <f t="shared" si="101"/>
        <v/>
      </c>
      <c r="AF277" s="10" t="str">
        <f t="shared" si="92"/>
        <v/>
      </c>
      <c r="AG277" s="10" t="str">
        <f t="shared" si="93"/>
        <v/>
      </c>
      <c r="AH277" s="10" t="str">
        <f t="shared" si="94"/>
        <v/>
      </c>
      <c r="AI277" s="10" t="str">
        <f t="shared" si="95"/>
        <v/>
      </c>
      <c r="AK277" s="10"/>
      <c r="AL277" s="10"/>
      <c r="AM277" s="10"/>
      <c r="AN277" s="10"/>
      <c r="AO277" s="10"/>
      <c r="AQ277" s="10"/>
      <c r="AR277" s="10"/>
      <c r="AS277" s="10"/>
      <c r="AT277" s="10"/>
      <c r="AU277" s="10"/>
      <c r="AW277" s="10" t="str">
        <f t="shared" si="102"/>
        <v/>
      </c>
      <c r="AX277" s="10" t="str">
        <f t="shared" si="96"/>
        <v/>
      </c>
      <c r="AY277" s="10" t="str">
        <f t="shared" si="97"/>
        <v/>
      </c>
      <c r="AZ277" s="10" t="str">
        <f t="shared" si="98"/>
        <v/>
      </c>
      <c r="BA277" s="10" t="str">
        <f t="shared" si="99"/>
        <v/>
      </c>
    </row>
    <row r="278" spans="6:53" x14ac:dyDescent="0.2">
      <c r="F278" s="10" t="str">
        <f t="shared" si="84"/>
        <v>2017/12/5</v>
      </c>
      <c r="G278" s="14">
        <v>43074</v>
      </c>
      <c r="H278" s="10">
        <v>5.3819685000000002</v>
      </c>
      <c r="I278" s="10">
        <v>-4.2256466999999995</v>
      </c>
      <c r="J278" s="10">
        <v>1.1563218000000002</v>
      </c>
      <c r="K278" s="10">
        <f t="shared" si="85"/>
        <v>1223.6864036000009</v>
      </c>
      <c r="L278" s="10">
        <f t="shared" si="86"/>
        <v>-815.73656239999934</v>
      </c>
      <c r="M278" s="10">
        <f t="shared" si="87"/>
        <v>407.94984120000009</v>
      </c>
      <c r="N278" s="10">
        <v>17.610719296218868</v>
      </c>
      <c r="O278" s="10">
        <v>16.031735097493033</v>
      </c>
      <c r="P278" s="10">
        <v>3623.1775409000006</v>
      </c>
      <c r="Y278" s="10" t="e">
        <f t="shared" si="100"/>
        <v>#N/A</v>
      </c>
      <c r="Z278" s="10" t="e">
        <f t="shared" si="88"/>
        <v>#N/A</v>
      </c>
      <c r="AA278" s="10" t="e">
        <f t="shared" si="89"/>
        <v>#N/A</v>
      </c>
      <c r="AB278" s="10" t="e">
        <f t="shared" si="90"/>
        <v>#N/A</v>
      </c>
      <c r="AC278" s="10" t="e">
        <f t="shared" si="91"/>
        <v>#N/A</v>
      </c>
      <c r="AE278" s="10" t="str">
        <f t="shared" si="101"/>
        <v/>
      </c>
      <c r="AF278" s="10" t="str">
        <f t="shared" si="92"/>
        <v/>
      </c>
      <c r="AG278" s="10" t="str">
        <f t="shared" si="93"/>
        <v/>
      </c>
      <c r="AH278" s="10" t="str">
        <f t="shared" si="94"/>
        <v/>
      </c>
      <c r="AI278" s="10" t="str">
        <f t="shared" si="95"/>
        <v/>
      </c>
      <c r="AK278" s="10"/>
      <c r="AL278" s="10"/>
      <c r="AM278" s="10"/>
      <c r="AN278" s="10"/>
      <c r="AO278" s="10"/>
      <c r="AQ278" s="10"/>
      <c r="AR278" s="10"/>
      <c r="AS278" s="10"/>
      <c r="AT278" s="10"/>
      <c r="AU278" s="10"/>
      <c r="AW278" s="10" t="str">
        <f t="shared" si="102"/>
        <v/>
      </c>
      <c r="AX278" s="10" t="str">
        <f t="shared" si="96"/>
        <v/>
      </c>
      <c r="AY278" s="10" t="str">
        <f t="shared" si="97"/>
        <v/>
      </c>
      <c r="AZ278" s="10" t="str">
        <f t="shared" si="98"/>
        <v/>
      </c>
      <c r="BA278" s="10" t="str">
        <f t="shared" si="99"/>
        <v/>
      </c>
    </row>
    <row r="279" spans="6:53" x14ac:dyDescent="0.2">
      <c r="F279" s="10" t="str">
        <f t="shared" si="84"/>
        <v>2017/12/6</v>
      </c>
      <c r="G279" s="14">
        <v>43075</v>
      </c>
      <c r="H279" s="10">
        <v>5.4982865999999984</v>
      </c>
      <c r="I279" s="10">
        <v>-3.4283311000000003</v>
      </c>
      <c r="J279" s="10">
        <v>2.0699554999999998</v>
      </c>
      <c r="K279" s="10">
        <f t="shared" si="85"/>
        <v>1229.1846902000009</v>
      </c>
      <c r="L279" s="10">
        <f t="shared" si="86"/>
        <v>-819.16489349999938</v>
      </c>
      <c r="M279" s="10">
        <f t="shared" si="87"/>
        <v>410.01979670000009</v>
      </c>
      <c r="N279" s="10">
        <v>17.219077910429622</v>
      </c>
      <c r="O279" s="10">
        <v>15.542089415041774</v>
      </c>
      <c r="P279" s="10">
        <v>3614.2611205999974</v>
      </c>
      <c r="Y279" s="10" t="e">
        <f t="shared" si="100"/>
        <v>#N/A</v>
      </c>
      <c r="Z279" s="10" t="e">
        <f t="shared" si="88"/>
        <v>#N/A</v>
      </c>
      <c r="AA279" s="10" t="e">
        <f t="shared" si="89"/>
        <v>#N/A</v>
      </c>
      <c r="AB279" s="10" t="e">
        <f t="shared" si="90"/>
        <v>#N/A</v>
      </c>
      <c r="AC279" s="10" t="e">
        <f t="shared" si="91"/>
        <v>#N/A</v>
      </c>
      <c r="AE279" s="10" t="str">
        <f t="shared" si="101"/>
        <v/>
      </c>
      <c r="AF279" s="10" t="str">
        <f t="shared" si="92"/>
        <v/>
      </c>
      <c r="AG279" s="10" t="str">
        <f t="shared" si="93"/>
        <v/>
      </c>
      <c r="AH279" s="10" t="str">
        <f t="shared" si="94"/>
        <v/>
      </c>
      <c r="AI279" s="10" t="str">
        <f t="shared" si="95"/>
        <v/>
      </c>
      <c r="AK279" s="10"/>
      <c r="AL279" s="10"/>
      <c r="AM279" s="10"/>
      <c r="AN279" s="10"/>
      <c r="AO279" s="10"/>
      <c r="AQ279" s="10"/>
      <c r="AR279" s="10"/>
      <c r="AS279" s="10"/>
      <c r="AT279" s="10"/>
      <c r="AU279" s="10"/>
      <c r="AW279" s="10" t="str">
        <f t="shared" si="102"/>
        <v/>
      </c>
      <c r="AX279" s="10" t="str">
        <f t="shared" si="96"/>
        <v/>
      </c>
      <c r="AY279" s="10" t="str">
        <f t="shared" si="97"/>
        <v/>
      </c>
      <c r="AZ279" s="10" t="str">
        <f t="shared" si="98"/>
        <v/>
      </c>
      <c r="BA279" s="10" t="str">
        <f t="shared" si="99"/>
        <v/>
      </c>
    </row>
    <row r="280" spans="6:53" x14ac:dyDescent="0.2">
      <c r="F280" s="10" t="str">
        <f t="shared" si="84"/>
        <v>2017/12/7</v>
      </c>
      <c r="G280" s="14">
        <v>43076</v>
      </c>
      <c r="H280" s="10">
        <v>11.169559999999997</v>
      </c>
      <c r="I280" s="10">
        <v>-2.5005835000000003</v>
      </c>
      <c r="J280" s="10">
        <v>8.6689764999999994</v>
      </c>
      <c r="K280" s="10">
        <f t="shared" si="85"/>
        <v>1240.3542502000009</v>
      </c>
      <c r="L280" s="10">
        <f t="shared" si="86"/>
        <v>-821.66547699999933</v>
      </c>
      <c r="M280" s="10">
        <f t="shared" si="87"/>
        <v>418.68877320000007</v>
      </c>
      <c r="N280" s="10">
        <v>17.57962286483977</v>
      </c>
      <c r="O280" s="10">
        <v>15.823825905292468</v>
      </c>
      <c r="P280" s="10">
        <v>3605.0613805000007</v>
      </c>
      <c r="Y280" s="10" t="e">
        <f t="shared" si="100"/>
        <v>#N/A</v>
      </c>
      <c r="Z280" s="10" t="e">
        <f t="shared" si="88"/>
        <v>#N/A</v>
      </c>
      <c r="AA280" s="10" t="e">
        <f t="shared" si="89"/>
        <v>#N/A</v>
      </c>
      <c r="AB280" s="10" t="e">
        <f t="shared" si="90"/>
        <v>#N/A</v>
      </c>
      <c r="AC280" s="10" t="e">
        <f t="shared" si="91"/>
        <v>#N/A</v>
      </c>
      <c r="AE280" s="10" t="str">
        <f t="shared" si="101"/>
        <v/>
      </c>
      <c r="AF280" s="10" t="str">
        <f t="shared" si="92"/>
        <v/>
      </c>
      <c r="AG280" s="10" t="str">
        <f t="shared" si="93"/>
        <v/>
      </c>
      <c r="AH280" s="10" t="str">
        <f t="shared" si="94"/>
        <v/>
      </c>
      <c r="AI280" s="10" t="str">
        <f t="shared" si="95"/>
        <v/>
      </c>
      <c r="AK280" s="10"/>
      <c r="AL280" s="10"/>
      <c r="AM280" s="10"/>
      <c r="AN280" s="10"/>
      <c r="AO280" s="10"/>
      <c r="AQ280" s="10"/>
      <c r="AR280" s="10"/>
      <c r="AS280" s="10"/>
      <c r="AT280" s="10"/>
      <c r="AU280" s="10"/>
      <c r="AW280" s="10" t="str">
        <f t="shared" si="102"/>
        <v/>
      </c>
      <c r="AX280" s="10" t="str">
        <f t="shared" si="96"/>
        <v/>
      </c>
      <c r="AY280" s="10" t="str">
        <f t="shared" si="97"/>
        <v/>
      </c>
      <c r="AZ280" s="10" t="str">
        <f t="shared" si="98"/>
        <v/>
      </c>
      <c r="BA280" s="10" t="str">
        <f t="shared" si="99"/>
        <v/>
      </c>
    </row>
    <row r="281" spans="6:53" x14ac:dyDescent="0.2">
      <c r="F281" s="10" t="str">
        <f t="shared" si="84"/>
        <v>2017/12/8</v>
      </c>
      <c r="G281" s="14">
        <v>43077</v>
      </c>
      <c r="H281" s="10">
        <v>5.1023768</v>
      </c>
      <c r="I281" s="10">
        <v>-2.7195021999999995</v>
      </c>
      <c r="J281" s="10">
        <v>2.3828746000000001</v>
      </c>
      <c r="K281" s="10">
        <f t="shared" si="85"/>
        <v>1245.4566270000009</v>
      </c>
      <c r="L281" s="10">
        <f t="shared" si="86"/>
        <v>-824.38497919999929</v>
      </c>
      <c r="M281" s="10">
        <f t="shared" si="87"/>
        <v>421.07164780000005</v>
      </c>
      <c r="N281" s="10">
        <v>18.118545416142855</v>
      </c>
      <c r="O281" s="10">
        <v>16.25510194986072</v>
      </c>
      <c r="P281" s="10">
        <v>3623.8945933999989</v>
      </c>
      <c r="Y281" s="10" t="e">
        <f t="shared" si="100"/>
        <v>#N/A</v>
      </c>
      <c r="Z281" s="10" t="e">
        <f t="shared" si="88"/>
        <v>#N/A</v>
      </c>
      <c r="AA281" s="10" t="e">
        <f t="shared" si="89"/>
        <v>#N/A</v>
      </c>
      <c r="AB281" s="10" t="e">
        <f t="shared" si="90"/>
        <v>#N/A</v>
      </c>
      <c r="AC281" s="10" t="e">
        <f t="shared" si="91"/>
        <v>#N/A</v>
      </c>
      <c r="AE281" s="10" t="str">
        <f t="shared" si="101"/>
        <v/>
      </c>
      <c r="AF281" s="10" t="str">
        <f t="shared" si="92"/>
        <v/>
      </c>
      <c r="AG281" s="10" t="str">
        <f t="shared" si="93"/>
        <v/>
      </c>
      <c r="AH281" s="10" t="str">
        <f t="shared" si="94"/>
        <v/>
      </c>
      <c r="AI281" s="10" t="str">
        <f t="shared" si="95"/>
        <v/>
      </c>
      <c r="AK281" s="10"/>
      <c r="AL281" s="10"/>
      <c r="AM281" s="10"/>
      <c r="AN281" s="10"/>
      <c r="AO281" s="10"/>
      <c r="AQ281" s="10"/>
      <c r="AR281" s="10"/>
      <c r="AS281" s="10"/>
      <c r="AT281" s="10"/>
      <c r="AU281" s="10"/>
      <c r="AW281" s="10" t="str">
        <f t="shared" si="102"/>
        <v/>
      </c>
      <c r="AX281" s="10" t="str">
        <f t="shared" si="96"/>
        <v/>
      </c>
      <c r="AY281" s="10" t="str">
        <f t="shared" si="97"/>
        <v/>
      </c>
      <c r="AZ281" s="10" t="str">
        <f t="shared" si="98"/>
        <v/>
      </c>
      <c r="BA281" s="10" t="str">
        <f t="shared" si="99"/>
        <v/>
      </c>
    </row>
    <row r="282" spans="6:53" x14ac:dyDescent="0.2">
      <c r="F282" s="10" t="str">
        <f t="shared" si="84"/>
        <v>2017/12/11</v>
      </c>
      <c r="G282" s="14">
        <v>43080</v>
      </c>
      <c r="H282" s="10">
        <v>6.8257576999999996</v>
      </c>
      <c r="I282" s="10">
        <v>-4.6899683000000003</v>
      </c>
      <c r="J282" s="10">
        <v>2.1357893999999997</v>
      </c>
      <c r="K282" s="10">
        <f t="shared" si="85"/>
        <v>1252.2823847000009</v>
      </c>
      <c r="L282" s="10">
        <f t="shared" si="86"/>
        <v>-829.07494749999933</v>
      </c>
      <c r="M282" s="10">
        <f t="shared" si="87"/>
        <v>423.20743720000007</v>
      </c>
      <c r="N282" s="10">
        <v>18.435575789935456</v>
      </c>
      <c r="O282" s="10">
        <v>16.541945125348182</v>
      </c>
      <c r="P282" s="10">
        <v>3639.6870036000014</v>
      </c>
      <c r="Y282" s="10" t="e">
        <f t="shared" si="100"/>
        <v>#N/A</v>
      </c>
      <c r="Z282" s="10" t="e">
        <f t="shared" si="88"/>
        <v>#N/A</v>
      </c>
      <c r="AA282" s="10" t="e">
        <f t="shared" si="89"/>
        <v>#N/A</v>
      </c>
      <c r="AB282" s="10" t="e">
        <f t="shared" si="90"/>
        <v>#N/A</v>
      </c>
      <c r="AC282" s="10" t="e">
        <f t="shared" si="91"/>
        <v>#N/A</v>
      </c>
      <c r="AE282" s="10" t="str">
        <f t="shared" si="101"/>
        <v/>
      </c>
      <c r="AF282" s="10" t="str">
        <f t="shared" si="92"/>
        <v/>
      </c>
      <c r="AG282" s="10" t="str">
        <f t="shared" si="93"/>
        <v/>
      </c>
      <c r="AH282" s="10" t="str">
        <f t="shared" si="94"/>
        <v/>
      </c>
      <c r="AI282" s="10" t="str">
        <f t="shared" si="95"/>
        <v/>
      </c>
      <c r="AK282" s="10"/>
      <c r="AL282" s="10"/>
      <c r="AM282" s="10"/>
      <c r="AN282" s="10"/>
      <c r="AO282" s="10"/>
      <c r="AQ282" s="10"/>
      <c r="AR282" s="10"/>
      <c r="AS282" s="10"/>
      <c r="AT282" s="10"/>
      <c r="AU282" s="10"/>
      <c r="AW282" s="10" t="str">
        <f t="shared" si="102"/>
        <v/>
      </c>
      <c r="AX282" s="10" t="str">
        <f t="shared" si="96"/>
        <v/>
      </c>
      <c r="AY282" s="10" t="str">
        <f t="shared" si="97"/>
        <v/>
      </c>
      <c r="AZ282" s="10" t="str">
        <f t="shared" si="98"/>
        <v/>
      </c>
      <c r="BA282" s="10" t="str">
        <f t="shared" si="99"/>
        <v/>
      </c>
    </row>
    <row r="283" spans="6:53" x14ac:dyDescent="0.2">
      <c r="F283" s="10" t="str">
        <f t="shared" si="84"/>
        <v>2017/12/12</v>
      </c>
      <c r="G283" s="14">
        <v>43081</v>
      </c>
      <c r="H283" s="10">
        <v>12.677160800000001</v>
      </c>
      <c r="I283" s="10">
        <v>-3.4730239000000003</v>
      </c>
      <c r="J283" s="10">
        <v>9.2041369</v>
      </c>
      <c r="K283" s="10">
        <f t="shared" si="85"/>
        <v>1264.9595455000008</v>
      </c>
      <c r="L283" s="10">
        <f t="shared" si="86"/>
        <v>-832.54797139999937</v>
      </c>
      <c r="M283" s="10">
        <f t="shared" si="87"/>
        <v>432.41157410000005</v>
      </c>
      <c r="N283" s="10">
        <v>18.372542675704729</v>
      </c>
      <c r="O283" s="10">
        <v>16.365773398328688</v>
      </c>
      <c r="P283" s="10">
        <v>3652.2084567999996</v>
      </c>
      <c r="Y283" s="10" t="e">
        <f t="shared" si="100"/>
        <v>#N/A</v>
      </c>
      <c r="Z283" s="10" t="e">
        <f t="shared" si="88"/>
        <v>#N/A</v>
      </c>
      <c r="AA283" s="10" t="e">
        <f t="shared" si="89"/>
        <v>#N/A</v>
      </c>
      <c r="AB283" s="10" t="e">
        <f t="shared" si="90"/>
        <v>#N/A</v>
      </c>
      <c r="AC283" s="10" t="e">
        <f t="shared" si="91"/>
        <v>#N/A</v>
      </c>
      <c r="AE283" s="10" t="str">
        <f t="shared" si="101"/>
        <v/>
      </c>
      <c r="AF283" s="10" t="str">
        <f t="shared" si="92"/>
        <v/>
      </c>
      <c r="AG283" s="10" t="str">
        <f t="shared" si="93"/>
        <v/>
      </c>
      <c r="AH283" s="10" t="str">
        <f t="shared" si="94"/>
        <v/>
      </c>
      <c r="AI283" s="10" t="str">
        <f t="shared" si="95"/>
        <v/>
      </c>
      <c r="AK283" s="10"/>
      <c r="AL283" s="10"/>
      <c r="AM283" s="10"/>
      <c r="AN283" s="10"/>
      <c r="AO283" s="10"/>
      <c r="AQ283" s="10"/>
      <c r="AR283" s="10"/>
      <c r="AS283" s="10"/>
      <c r="AT283" s="10"/>
      <c r="AU283" s="10"/>
      <c r="AW283" s="10" t="str">
        <f t="shared" si="102"/>
        <v/>
      </c>
      <c r="AX283" s="10" t="str">
        <f t="shared" si="96"/>
        <v/>
      </c>
      <c r="AY283" s="10" t="str">
        <f t="shared" si="97"/>
        <v/>
      </c>
      <c r="AZ283" s="10" t="str">
        <f t="shared" si="98"/>
        <v/>
      </c>
      <c r="BA283" s="10" t="str">
        <f t="shared" si="99"/>
        <v/>
      </c>
    </row>
    <row r="284" spans="6:53" x14ac:dyDescent="0.2">
      <c r="F284" s="10" t="str">
        <f t="shared" si="84"/>
        <v>2017/12/13</v>
      </c>
      <c r="G284" s="14">
        <v>43082</v>
      </c>
      <c r="H284" s="10">
        <v>9.1597816999999981</v>
      </c>
      <c r="I284" s="10">
        <v>-4.7282110000000008</v>
      </c>
      <c r="J284" s="10">
        <v>4.4315707</v>
      </c>
      <c r="K284" s="10">
        <f t="shared" si="85"/>
        <v>1274.1193272000007</v>
      </c>
      <c r="L284" s="10">
        <f t="shared" si="86"/>
        <v>-837.27618239999936</v>
      </c>
      <c r="M284" s="10">
        <f t="shared" si="87"/>
        <v>436.84314480000006</v>
      </c>
      <c r="N284" s="10">
        <v>18.628496026396387</v>
      </c>
      <c r="O284" s="10">
        <v>16.706971587743741</v>
      </c>
      <c r="P284" s="10">
        <v>3659.6755426999994</v>
      </c>
      <c r="Y284" s="10" t="e">
        <f t="shared" si="100"/>
        <v>#N/A</v>
      </c>
      <c r="Z284" s="10" t="e">
        <f t="shared" si="88"/>
        <v>#N/A</v>
      </c>
      <c r="AA284" s="10" t="e">
        <f t="shared" si="89"/>
        <v>#N/A</v>
      </c>
      <c r="AB284" s="10" t="e">
        <f t="shared" si="90"/>
        <v>#N/A</v>
      </c>
      <c r="AC284" s="10" t="e">
        <f t="shared" si="91"/>
        <v>#N/A</v>
      </c>
      <c r="AE284" s="10" t="str">
        <f t="shared" si="101"/>
        <v/>
      </c>
      <c r="AF284" s="10" t="str">
        <f t="shared" si="92"/>
        <v/>
      </c>
      <c r="AG284" s="10" t="str">
        <f t="shared" si="93"/>
        <v/>
      </c>
      <c r="AH284" s="10" t="str">
        <f t="shared" si="94"/>
        <v/>
      </c>
      <c r="AI284" s="10" t="str">
        <f t="shared" si="95"/>
        <v/>
      </c>
      <c r="AK284" s="10"/>
      <c r="AL284" s="10"/>
      <c r="AM284" s="10"/>
      <c r="AN284" s="10"/>
      <c r="AO284" s="10"/>
      <c r="AQ284" s="10"/>
      <c r="AR284" s="10"/>
      <c r="AS284" s="10"/>
      <c r="AT284" s="10"/>
      <c r="AU284" s="10"/>
      <c r="AW284" s="10" t="str">
        <f t="shared" si="102"/>
        <v/>
      </c>
      <c r="AX284" s="10" t="str">
        <f t="shared" si="96"/>
        <v/>
      </c>
      <c r="AY284" s="10" t="str">
        <f t="shared" si="97"/>
        <v/>
      </c>
      <c r="AZ284" s="10" t="str">
        <f t="shared" si="98"/>
        <v/>
      </c>
      <c r="BA284" s="10" t="str">
        <f t="shared" si="99"/>
        <v/>
      </c>
    </row>
    <row r="285" spans="6:53" x14ac:dyDescent="0.2">
      <c r="F285" s="10" t="str">
        <f t="shared" si="84"/>
        <v>2017/12/14</v>
      </c>
      <c r="G285" s="14">
        <v>43083</v>
      </c>
      <c r="H285" s="10">
        <v>7.7423908000000017</v>
      </c>
      <c r="I285" s="10">
        <v>-12.938461700000001</v>
      </c>
      <c r="J285" s="10">
        <v>-5.1960708999999996</v>
      </c>
      <c r="K285" s="10">
        <f t="shared" si="85"/>
        <v>1281.8617180000008</v>
      </c>
      <c r="L285" s="10">
        <f t="shared" si="86"/>
        <v>-850.2146440999993</v>
      </c>
      <c r="M285" s="10">
        <f t="shared" si="87"/>
        <v>431.64707390000007</v>
      </c>
      <c r="N285" s="10">
        <v>18.242646405480247</v>
      </c>
      <c r="O285" s="10">
        <v>16.426624791086358</v>
      </c>
      <c r="P285" s="10">
        <v>3672.0359632999998</v>
      </c>
      <c r="Y285" s="10" t="e">
        <f t="shared" si="100"/>
        <v>#N/A</v>
      </c>
      <c r="Z285" s="10" t="e">
        <f t="shared" si="88"/>
        <v>#N/A</v>
      </c>
      <c r="AA285" s="10" t="e">
        <f t="shared" si="89"/>
        <v>#N/A</v>
      </c>
      <c r="AB285" s="10" t="e">
        <f t="shared" si="90"/>
        <v>#N/A</v>
      </c>
      <c r="AC285" s="10" t="e">
        <f t="shared" si="91"/>
        <v>#N/A</v>
      </c>
      <c r="AE285" s="10" t="str">
        <f t="shared" si="101"/>
        <v/>
      </c>
      <c r="AF285" s="10" t="str">
        <f t="shared" si="92"/>
        <v/>
      </c>
      <c r="AG285" s="10" t="str">
        <f t="shared" si="93"/>
        <v/>
      </c>
      <c r="AH285" s="10" t="str">
        <f t="shared" si="94"/>
        <v/>
      </c>
      <c r="AI285" s="10" t="str">
        <f t="shared" si="95"/>
        <v/>
      </c>
      <c r="AK285" s="10"/>
      <c r="AL285" s="10"/>
      <c r="AM285" s="10"/>
      <c r="AN285" s="10"/>
      <c r="AO285" s="10"/>
      <c r="AQ285" s="10"/>
      <c r="AR285" s="10"/>
      <c r="AS285" s="10"/>
      <c r="AT285" s="10"/>
      <c r="AU285" s="10"/>
      <c r="AW285" s="10" t="str">
        <f t="shared" si="102"/>
        <v/>
      </c>
      <c r="AX285" s="10" t="str">
        <f t="shared" si="96"/>
        <v/>
      </c>
      <c r="AY285" s="10" t="str">
        <f t="shared" si="97"/>
        <v/>
      </c>
      <c r="AZ285" s="10" t="str">
        <f t="shared" si="98"/>
        <v/>
      </c>
      <c r="BA285" s="10" t="str">
        <f t="shared" si="99"/>
        <v/>
      </c>
    </row>
    <row r="286" spans="6:53" x14ac:dyDescent="0.2">
      <c r="F286" s="10" t="str">
        <f t="shared" si="84"/>
        <v>2017/12/15</v>
      </c>
      <c r="G286" s="14">
        <v>43084</v>
      </c>
      <c r="H286" s="10">
        <v>13.015004699999997</v>
      </c>
      <c r="I286" s="10">
        <v>-13.127750299999997</v>
      </c>
      <c r="J286" s="10">
        <v>-0.11274560000000043</v>
      </c>
      <c r="K286" s="10">
        <f t="shared" si="85"/>
        <v>1294.8767227000008</v>
      </c>
      <c r="L286" s="10">
        <f t="shared" si="86"/>
        <v>-863.34239439999931</v>
      </c>
      <c r="M286" s="10">
        <f t="shared" si="87"/>
        <v>431.53432830000008</v>
      </c>
      <c r="N286" s="10">
        <v>18.709972833021403</v>
      </c>
      <c r="O286" s="10">
        <v>16.690493314763241</v>
      </c>
      <c r="P286" s="10">
        <v>3655.6357220999967</v>
      </c>
      <c r="Y286" s="10" t="e">
        <f t="shared" si="100"/>
        <v>#N/A</v>
      </c>
      <c r="Z286" s="10" t="e">
        <f t="shared" si="88"/>
        <v>#N/A</v>
      </c>
      <c r="AA286" s="10" t="e">
        <f t="shared" si="89"/>
        <v>#N/A</v>
      </c>
      <c r="AB286" s="10" t="e">
        <f t="shared" si="90"/>
        <v>#N/A</v>
      </c>
      <c r="AC286" s="10" t="e">
        <f t="shared" si="91"/>
        <v>#N/A</v>
      </c>
      <c r="AE286" s="10" t="str">
        <f t="shared" si="101"/>
        <v/>
      </c>
      <c r="AF286" s="10" t="str">
        <f t="shared" si="92"/>
        <v/>
      </c>
      <c r="AG286" s="10" t="str">
        <f t="shared" si="93"/>
        <v/>
      </c>
      <c r="AH286" s="10" t="str">
        <f t="shared" si="94"/>
        <v/>
      </c>
      <c r="AI286" s="10" t="str">
        <f t="shared" si="95"/>
        <v/>
      </c>
      <c r="AK286" s="10"/>
      <c r="AL286" s="10"/>
      <c r="AM286" s="10"/>
      <c r="AN286" s="10"/>
      <c r="AO286" s="10"/>
      <c r="AQ286" s="10"/>
      <c r="AR286" s="10"/>
      <c r="AS286" s="10"/>
      <c r="AT286" s="10"/>
      <c r="AU286" s="10"/>
      <c r="AW286" s="10" t="str">
        <f t="shared" si="102"/>
        <v/>
      </c>
      <c r="AX286" s="10" t="str">
        <f t="shared" si="96"/>
        <v/>
      </c>
      <c r="AY286" s="10" t="str">
        <f t="shared" si="97"/>
        <v/>
      </c>
      <c r="AZ286" s="10" t="str">
        <f t="shared" si="98"/>
        <v/>
      </c>
      <c r="BA286" s="10" t="str">
        <f t="shared" si="99"/>
        <v/>
      </c>
    </row>
    <row r="287" spans="6:53" x14ac:dyDescent="0.2">
      <c r="F287" s="10" t="str">
        <f t="shared" si="84"/>
        <v>2017/12/18</v>
      </c>
      <c r="G287" s="14">
        <v>43087</v>
      </c>
      <c r="H287" s="10">
        <v>12.5895346</v>
      </c>
      <c r="I287" s="10">
        <v>-5.8897633000000003</v>
      </c>
      <c r="J287" s="10">
        <v>6.6997713000000001</v>
      </c>
      <c r="K287" s="10">
        <f t="shared" si="85"/>
        <v>1307.4662573000007</v>
      </c>
      <c r="L287" s="10">
        <f t="shared" si="86"/>
        <v>-869.23215769999933</v>
      </c>
      <c r="M287" s="10">
        <f t="shared" si="87"/>
        <v>438.23409960000009</v>
      </c>
      <c r="N287" s="10">
        <v>19.640380908368886</v>
      </c>
      <c r="O287" s="10">
        <v>17.517481615598886</v>
      </c>
      <c r="P287" s="10">
        <v>3664.3880698999997</v>
      </c>
      <c r="Y287" s="10" t="e">
        <f t="shared" si="100"/>
        <v>#N/A</v>
      </c>
      <c r="Z287" s="10" t="e">
        <f t="shared" si="88"/>
        <v>#N/A</v>
      </c>
      <c r="AA287" s="10" t="e">
        <f t="shared" si="89"/>
        <v>#N/A</v>
      </c>
      <c r="AB287" s="10" t="e">
        <f t="shared" si="90"/>
        <v>#N/A</v>
      </c>
      <c r="AC287" s="10" t="e">
        <f t="shared" si="91"/>
        <v>#N/A</v>
      </c>
      <c r="AE287" s="10" t="str">
        <f t="shared" si="101"/>
        <v/>
      </c>
      <c r="AF287" s="10" t="str">
        <f t="shared" si="92"/>
        <v/>
      </c>
      <c r="AG287" s="10" t="str">
        <f t="shared" si="93"/>
        <v/>
      </c>
      <c r="AH287" s="10" t="str">
        <f t="shared" si="94"/>
        <v/>
      </c>
      <c r="AI287" s="10" t="str">
        <f t="shared" si="95"/>
        <v/>
      </c>
      <c r="AK287" s="10"/>
      <c r="AL287" s="10"/>
      <c r="AM287" s="10"/>
      <c r="AN287" s="10"/>
      <c r="AO287" s="10"/>
      <c r="AQ287" s="10"/>
      <c r="AR287" s="10"/>
      <c r="AS287" s="10"/>
      <c r="AT287" s="10"/>
      <c r="AU287" s="10"/>
      <c r="AW287" s="10" t="str">
        <f t="shared" si="102"/>
        <v/>
      </c>
      <c r="AX287" s="10" t="str">
        <f t="shared" si="96"/>
        <v/>
      </c>
      <c r="AY287" s="10" t="str">
        <f t="shared" si="97"/>
        <v/>
      </c>
      <c r="AZ287" s="10" t="str">
        <f t="shared" si="98"/>
        <v/>
      </c>
      <c r="BA287" s="10" t="str">
        <f t="shared" si="99"/>
        <v/>
      </c>
    </row>
    <row r="288" spans="6:53" x14ac:dyDescent="0.2">
      <c r="F288" s="10" t="str">
        <f t="shared" si="84"/>
        <v>2017/12/19</v>
      </c>
      <c r="G288" s="14">
        <v>43088</v>
      </c>
      <c r="H288" s="10">
        <v>7.4115053000000009</v>
      </c>
      <c r="I288" s="10">
        <v>-3.5598060999999999</v>
      </c>
      <c r="J288" s="10">
        <v>3.851699200000001</v>
      </c>
      <c r="K288" s="10">
        <f t="shared" si="85"/>
        <v>1314.8777626000008</v>
      </c>
      <c r="L288" s="10">
        <f t="shared" si="86"/>
        <v>-872.79196379999928</v>
      </c>
      <c r="M288" s="10">
        <f t="shared" si="87"/>
        <v>442.08579880000008</v>
      </c>
      <c r="N288" s="10">
        <v>19.212165917733497</v>
      </c>
      <c r="O288" s="10">
        <v>17.192120891364905</v>
      </c>
      <c r="P288" s="10">
        <v>3697.7567119</v>
      </c>
      <c r="Y288" s="10" t="e">
        <f t="shared" si="100"/>
        <v>#N/A</v>
      </c>
      <c r="Z288" s="10" t="e">
        <f t="shared" si="88"/>
        <v>#N/A</v>
      </c>
      <c r="AA288" s="10" t="e">
        <f t="shared" si="89"/>
        <v>#N/A</v>
      </c>
      <c r="AB288" s="10" t="e">
        <f t="shared" si="90"/>
        <v>#N/A</v>
      </c>
      <c r="AC288" s="10" t="e">
        <f t="shared" si="91"/>
        <v>#N/A</v>
      </c>
      <c r="AE288" s="10" t="str">
        <f t="shared" si="101"/>
        <v/>
      </c>
      <c r="AF288" s="10" t="str">
        <f t="shared" si="92"/>
        <v/>
      </c>
      <c r="AG288" s="10" t="str">
        <f t="shared" si="93"/>
        <v/>
      </c>
      <c r="AH288" s="10" t="str">
        <f t="shared" si="94"/>
        <v/>
      </c>
      <c r="AI288" s="10" t="str">
        <f t="shared" si="95"/>
        <v/>
      </c>
      <c r="AK288" s="10"/>
      <c r="AL288" s="10"/>
      <c r="AM288" s="10"/>
      <c r="AN288" s="10"/>
      <c r="AO288" s="10"/>
      <c r="AQ288" s="10"/>
      <c r="AR288" s="10"/>
      <c r="AS288" s="10"/>
      <c r="AT288" s="10"/>
      <c r="AU288" s="10"/>
      <c r="AW288" s="10" t="str">
        <f t="shared" si="102"/>
        <v/>
      </c>
      <c r="AX288" s="10" t="str">
        <f t="shared" si="96"/>
        <v/>
      </c>
      <c r="AY288" s="10" t="str">
        <f t="shared" si="97"/>
        <v/>
      </c>
      <c r="AZ288" s="10" t="str">
        <f t="shared" si="98"/>
        <v/>
      </c>
      <c r="BA288" s="10" t="str">
        <f t="shared" si="99"/>
        <v/>
      </c>
    </row>
    <row r="289" spans="6:53" x14ac:dyDescent="0.2">
      <c r="F289" s="10" t="str">
        <f t="shared" si="84"/>
        <v>2017/12/20</v>
      </c>
      <c r="G289" s="14">
        <v>43089</v>
      </c>
      <c r="H289" s="10">
        <v>2.780630700000001</v>
      </c>
      <c r="I289" s="10">
        <v>-7.8676263000000004</v>
      </c>
      <c r="J289" s="10">
        <v>-5.0869956000000016</v>
      </c>
      <c r="K289" s="10">
        <f t="shared" si="85"/>
        <v>1317.6583933000009</v>
      </c>
      <c r="L289" s="10">
        <f t="shared" si="86"/>
        <v>-880.65959009999926</v>
      </c>
      <c r="M289" s="10">
        <f t="shared" si="87"/>
        <v>436.99880320000005</v>
      </c>
      <c r="N289" s="10">
        <v>19.154345206070285</v>
      </c>
      <c r="O289" s="10">
        <v>17.167780779944284</v>
      </c>
      <c r="P289" s="10">
        <v>3682.3028144199998</v>
      </c>
      <c r="Y289" s="10" t="e">
        <f t="shared" si="100"/>
        <v>#N/A</v>
      </c>
      <c r="Z289" s="10" t="e">
        <f t="shared" si="88"/>
        <v>#N/A</v>
      </c>
      <c r="AA289" s="10" t="e">
        <f t="shared" si="89"/>
        <v>#N/A</v>
      </c>
      <c r="AB289" s="10" t="e">
        <f t="shared" si="90"/>
        <v>#N/A</v>
      </c>
      <c r="AC289" s="10" t="e">
        <f t="shared" si="91"/>
        <v>#N/A</v>
      </c>
      <c r="AE289" s="10" t="str">
        <f t="shared" si="101"/>
        <v/>
      </c>
      <c r="AF289" s="10" t="str">
        <f t="shared" si="92"/>
        <v/>
      </c>
      <c r="AG289" s="10" t="str">
        <f t="shared" si="93"/>
        <v/>
      </c>
      <c r="AH289" s="10" t="str">
        <f t="shared" si="94"/>
        <v/>
      </c>
      <c r="AI289" s="10" t="str">
        <f t="shared" si="95"/>
        <v/>
      </c>
      <c r="AK289" s="10"/>
      <c r="AL289" s="10"/>
      <c r="AM289" s="10"/>
      <c r="AN289" s="10"/>
      <c r="AO289" s="10"/>
      <c r="AQ289" s="10"/>
      <c r="AR289" s="10"/>
      <c r="AS289" s="10"/>
      <c r="AT289" s="10"/>
      <c r="AU289" s="10"/>
      <c r="AW289" s="10" t="str">
        <f t="shared" si="102"/>
        <v/>
      </c>
      <c r="AX289" s="10" t="str">
        <f t="shared" si="96"/>
        <v/>
      </c>
      <c r="AY289" s="10" t="str">
        <f t="shared" si="97"/>
        <v/>
      </c>
      <c r="AZ289" s="10" t="str">
        <f t="shared" si="98"/>
        <v/>
      </c>
      <c r="BA289" s="10" t="str">
        <f t="shared" si="99"/>
        <v/>
      </c>
    </row>
    <row r="290" spans="6:53" x14ac:dyDescent="0.2">
      <c r="F290" s="10" t="str">
        <f t="shared" si="84"/>
        <v>2017/12/21</v>
      </c>
      <c r="G290" s="14">
        <v>43090</v>
      </c>
      <c r="H290" s="10">
        <v>7.448704499999999</v>
      </c>
      <c r="I290" s="10">
        <v>-3.0746899000000005</v>
      </c>
      <c r="J290" s="10">
        <v>4.3740145999999989</v>
      </c>
      <c r="K290" s="10">
        <f t="shared" si="85"/>
        <v>1325.1070978000009</v>
      </c>
      <c r="L290" s="10">
        <f t="shared" si="86"/>
        <v>-883.73427999999922</v>
      </c>
      <c r="M290" s="10">
        <f t="shared" si="87"/>
        <v>441.37281780000006</v>
      </c>
      <c r="N290" s="10">
        <v>19.431493051581363</v>
      </c>
      <c r="O290" s="10">
        <v>17.429451532033411</v>
      </c>
      <c r="P290" s="10">
        <v>3675.8072727199992</v>
      </c>
      <c r="Y290" s="10" t="e">
        <f t="shared" si="100"/>
        <v>#N/A</v>
      </c>
      <c r="Z290" s="10" t="e">
        <f t="shared" si="88"/>
        <v>#N/A</v>
      </c>
      <c r="AA290" s="10" t="e">
        <f t="shared" si="89"/>
        <v>#N/A</v>
      </c>
      <c r="AB290" s="10" t="e">
        <f t="shared" si="90"/>
        <v>#N/A</v>
      </c>
      <c r="AC290" s="10" t="e">
        <f t="shared" si="91"/>
        <v>#N/A</v>
      </c>
      <c r="AE290" s="10" t="str">
        <f t="shared" si="101"/>
        <v/>
      </c>
      <c r="AF290" s="10" t="str">
        <f t="shared" si="92"/>
        <v/>
      </c>
      <c r="AG290" s="10" t="str">
        <f t="shared" si="93"/>
        <v/>
      </c>
      <c r="AH290" s="10" t="str">
        <f t="shared" si="94"/>
        <v/>
      </c>
      <c r="AI290" s="10" t="str">
        <f t="shared" si="95"/>
        <v/>
      </c>
      <c r="AK290" s="10"/>
      <c r="AL290" s="10"/>
      <c r="AM290" s="10"/>
      <c r="AN290" s="10"/>
      <c r="AO290" s="10"/>
      <c r="AQ290" s="10"/>
      <c r="AR290" s="10"/>
      <c r="AS290" s="10"/>
      <c r="AT290" s="10"/>
      <c r="AU290" s="10"/>
      <c r="AW290" s="10" t="str">
        <f t="shared" si="102"/>
        <v/>
      </c>
      <c r="AX290" s="10" t="str">
        <f t="shared" si="96"/>
        <v/>
      </c>
      <c r="AY290" s="10" t="str">
        <f t="shared" si="97"/>
        <v/>
      </c>
      <c r="AZ290" s="10" t="str">
        <f t="shared" si="98"/>
        <v/>
      </c>
      <c r="BA290" s="10" t="str">
        <f t="shared" si="99"/>
        <v/>
      </c>
    </row>
    <row r="291" spans="6:53" x14ac:dyDescent="0.2">
      <c r="F291" s="10" t="str">
        <f t="shared" si="84"/>
        <v>2017/12/22</v>
      </c>
      <c r="G291" s="14">
        <v>43091</v>
      </c>
      <c r="H291" s="10">
        <v>8.0137655999999993</v>
      </c>
      <c r="I291" s="10">
        <v>-1.8542576999999998</v>
      </c>
      <c r="J291" s="10">
        <v>6.1595079000000013</v>
      </c>
      <c r="K291" s="10">
        <f t="shared" si="85"/>
        <v>1333.1208634000009</v>
      </c>
      <c r="L291" s="10">
        <f t="shared" si="86"/>
        <v>-885.58853769999916</v>
      </c>
      <c r="M291" s="10">
        <f t="shared" si="87"/>
        <v>447.53232570000006</v>
      </c>
      <c r="N291" s="10">
        <v>19.573354399259166</v>
      </c>
      <c r="O291" s="10">
        <v>17.540718384401117</v>
      </c>
      <c r="P291" s="10">
        <v>3682.9997238199999</v>
      </c>
      <c r="Y291" s="10" t="e">
        <f t="shared" si="100"/>
        <v>#N/A</v>
      </c>
      <c r="Z291" s="10" t="e">
        <f t="shared" si="88"/>
        <v>#N/A</v>
      </c>
      <c r="AA291" s="10" t="e">
        <f t="shared" si="89"/>
        <v>#N/A</v>
      </c>
      <c r="AB291" s="10" t="e">
        <f t="shared" si="90"/>
        <v>#N/A</v>
      </c>
      <c r="AC291" s="10" t="e">
        <f t="shared" si="91"/>
        <v>#N/A</v>
      </c>
      <c r="AE291" s="10" t="str">
        <f t="shared" si="101"/>
        <v/>
      </c>
      <c r="AF291" s="10" t="str">
        <f t="shared" si="92"/>
        <v/>
      </c>
      <c r="AG291" s="10" t="str">
        <f t="shared" si="93"/>
        <v/>
      </c>
      <c r="AH291" s="10" t="str">
        <f t="shared" si="94"/>
        <v/>
      </c>
      <c r="AI291" s="10" t="str">
        <f t="shared" si="95"/>
        <v/>
      </c>
      <c r="AK291" s="10"/>
      <c r="AL291" s="10"/>
      <c r="AM291" s="10"/>
      <c r="AN291" s="10"/>
      <c r="AO291" s="10"/>
      <c r="AQ291" s="10"/>
      <c r="AR291" s="10"/>
      <c r="AS291" s="10"/>
      <c r="AT291" s="10"/>
      <c r="AU291" s="10"/>
      <c r="AW291" s="10" t="str">
        <f t="shared" si="102"/>
        <v/>
      </c>
      <c r="AX291" s="10" t="str">
        <f t="shared" si="96"/>
        <v/>
      </c>
      <c r="AY291" s="10" t="str">
        <f t="shared" si="97"/>
        <v/>
      </c>
      <c r="AZ291" s="10" t="str">
        <f t="shared" si="98"/>
        <v/>
      </c>
      <c r="BA291" s="10" t="str">
        <f t="shared" si="99"/>
        <v/>
      </c>
    </row>
    <row r="292" spans="6:53" x14ac:dyDescent="0.2">
      <c r="F292" s="10" t="str">
        <f t="shared" si="84"/>
        <v>2017/12/25</v>
      </c>
      <c r="G292" s="14">
        <v>43094</v>
      </c>
      <c r="H292" s="10">
        <v>3.2286300000000004E-2</v>
      </c>
      <c r="I292" s="10">
        <v>-0.75336939999999997</v>
      </c>
      <c r="J292" s="10">
        <v>-0.72108309999999998</v>
      </c>
      <c r="K292" s="10">
        <f t="shared" si="85"/>
        <v>1333.1531497000008</v>
      </c>
      <c r="L292" s="10">
        <f t="shared" si="86"/>
        <v>-886.34190709999916</v>
      </c>
      <c r="M292" s="10">
        <f t="shared" si="87"/>
        <v>446.81124260000007</v>
      </c>
      <c r="N292" s="10">
        <v>19.616902627084208</v>
      </c>
      <c r="O292" s="10">
        <v>17.627459656453112</v>
      </c>
      <c r="P292" s="10">
        <v>3693.0026994200011</v>
      </c>
      <c r="Y292" s="10" t="e">
        <f t="shared" si="100"/>
        <v>#N/A</v>
      </c>
      <c r="Z292" s="10" t="e">
        <f t="shared" si="88"/>
        <v>#N/A</v>
      </c>
      <c r="AA292" s="10" t="e">
        <f t="shared" si="89"/>
        <v>#N/A</v>
      </c>
      <c r="AB292" s="10" t="e">
        <f t="shared" si="90"/>
        <v>#N/A</v>
      </c>
      <c r="AC292" s="10" t="e">
        <f t="shared" si="91"/>
        <v>#N/A</v>
      </c>
      <c r="AE292" s="10" t="str">
        <f t="shared" si="101"/>
        <v/>
      </c>
      <c r="AF292" s="10" t="str">
        <f t="shared" si="92"/>
        <v/>
      </c>
      <c r="AG292" s="10" t="str">
        <f t="shared" si="93"/>
        <v/>
      </c>
      <c r="AH292" s="10" t="str">
        <f t="shared" si="94"/>
        <v/>
      </c>
      <c r="AI292" s="10" t="str">
        <f t="shared" si="95"/>
        <v/>
      </c>
      <c r="AK292" s="10"/>
      <c r="AL292" s="10"/>
      <c r="AM292" s="10"/>
      <c r="AN292" s="10"/>
      <c r="AO292" s="10"/>
      <c r="AQ292" s="10"/>
      <c r="AR292" s="10"/>
      <c r="AS292" s="10"/>
      <c r="AT292" s="10"/>
      <c r="AU292" s="10"/>
      <c r="AW292" s="10" t="str">
        <f t="shared" si="102"/>
        <v/>
      </c>
      <c r="AX292" s="10" t="str">
        <f t="shared" si="96"/>
        <v/>
      </c>
      <c r="AY292" s="10" t="str">
        <f t="shared" si="97"/>
        <v/>
      </c>
      <c r="AZ292" s="10" t="str">
        <f t="shared" si="98"/>
        <v/>
      </c>
      <c r="BA292" s="10" t="str">
        <f t="shared" si="99"/>
        <v/>
      </c>
    </row>
    <row r="293" spans="6:53" x14ac:dyDescent="0.2">
      <c r="F293" s="10" t="str">
        <f t="shared" si="84"/>
        <v>2017/12/26</v>
      </c>
      <c r="G293" s="14">
        <v>43095</v>
      </c>
      <c r="H293" s="10">
        <v>3.6404072000000003</v>
      </c>
      <c r="I293" s="10">
        <v>-3.7120726000000004</v>
      </c>
      <c r="J293" s="10">
        <v>-7.1665400000000046E-2</v>
      </c>
      <c r="K293" s="10">
        <f t="shared" si="85"/>
        <v>1336.7935569000008</v>
      </c>
      <c r="L293" s="10">
        <f t="shared" si="86"/>
        <v>-890.05397969999922</v>
      </c>
      <c r="M293" s="10">
        <f t="shared" si="87"/>
        <v>446.7395772000001</v>
      </c>
      <c r="N293" s="10">
        <v>19.614051407283711</v>
      </c>
      <c r="O293" s="10">
        <v>17.702421819870011</v>
      </c>
      <c r="P293" s="10">
        <v>3695.9089981533339</v>
      </c>
      <c r="Y293" s="10" t="e">
        <f t="shared" si="100"/>
        <v>#N/A</v>
      </c>
      <c r="Z293" s="10" t="e">
        <f t="shared" si="88"/>
        <v>#N/A</v>
      </c>
      <c r="AA293" s="10" t="e">
        <f t="shared" si="89"/>
        <v>#N/A</v>
      </c>
      <c r="AB293" s="10" t="e">
        <f t="shared" si="90"/>
        <v>#N/A</v>
      </c>
      <c r="AC293" s="10" t="e">
        <f t="shared" si="91"/>
        <v>#N/A</v>
      </c>
      <c r="AE293" s="10" t="str">
        <f t="shared" si="101"/>
        <v/>
      </c>
      <c r="AF293" s="10" t="str">
        <f t="shared" si="92"/>
        <v/>
      </c>
      <c r="AG293" s="10" t="str">
        <f t="shared" si="93"/>
        <v/>
      </c>
      <c r="AH293" s="10" t="str">
        <f t="shared" si="94"/>
        <v/>
      </c>
      <c r="AI293" s="10" t="str">
        <f t="shared" si="95"/>
        <v/>
      </c>
      <c r="AK293" s="10"/>
      <c r="AL293" s="10"/>
      <c r="AM293" s="10"/>
      <c r="AN293" s="10"/>
      <c r="AO293" s="10"/>
      <c r="AQ293" s="10"/>
      <c r="AR293" s="10"/>
      <c r="AS293" s="10"/>
      <c r="AT293" s="10"/>
      <c r="AU293" s="10"/>
      <c r="AW293" s="10" t="str">
        <f t="shared" si="102"/>
        <v/>
      </c>
      <c r="AX293" s="10" t="str">
        <f t="shared" si="96"/>
        <v/>
      </c>
      <c r="AY293" s="10" t="str">
        <f t="shared" si="97"/>
        <v/>
      </c>
      <c r="AZ293" s="10" t="str">
        <f t="shared" si="98"/>
        <v/>
      </c>
      <c r="BA293" s="10" t="str">
        <f t="shared" si="99"/>
        <v/>
      </c>
    </row>
    <row r="294" spans="6:53" x14ac:dyDescent="0.2">
      <c r="F294" s="10" t="str">
        <f t="shared" ref="F294:F357" si="103">IF($G294="","",YEAR($G294)&amp;"/"&amp;MONTH($G294)&amp;"/"&amp;DAY($G294))</f>
        <v>2017/12/27</v>
      </c>
      <c r="G294" s="14">
        <v>43096</v>
      </c>
      <c r="H294" s="10">
        <v>4.3953215999999991</v>
      </c>
      <c r="I294" s="10">
        <v>-4.6225939</v>
      </c>
      <c r="J294" s="10">
        <v>-0.22727230000000034</v>
      </c>
      <c r="K294" s="10">
        <f t="shared" si="85"/>
        <v>1341.1888785000008</v>
      </c>
      <c r="L294" s="10">
        <f t="shared" si="86"/>
        <v>-894.67657359999919</v>
      </c>
      <c r="M294" s="10">
        <f t="shared" si="87"/>
        <v>446.51230490000012</v>
      </c>
      <c r="N294" s="10">
        <v>19.737222602524707</v>
      </c>
      <c r="O294" s="10">
        <v>17.808905013927575</v>
      </c>
      <c r="P294" s="10">
        <v>3697.3450872466692</v>
      </c>
      <c r="Y294" s="10" t="e">
        <f t="shared" si="100"/>
        <v>#N/A</v>
      </c>
      <c r="Z294" s="10" t="e">
        <f t="shared" si="88"/>
        <v>#N/A</v>
      </c>
      <c r="AA294" s="10" t="e">
        <f t="shared" si="89"/>
        <v>#N/A</v>
      </c>
      <c r="AB294" s="10" t="e">
        <f t="shared" si="90"/>
        <v>#N/A</v>
      </c>
      <c r="AC294" s="10" t="e">
        <f t="shared" si="91"/>
        <v>#N/A</v>
      </c>
      <c r="AE294" s="10" t="str">
        <f t="shared" si="101"/>
        <v/>
      </c>
      <c r="AF294" s="10" t="str">
        <f t="shared" si="92"/>
        <v/>
      </c>
      <c r="AG294" s="10" t="str">
        <f t="shared" si="93"/>
        <v/>
      </c>
      <c r="AH294" s="10" t="str">
        <f t="shared" si="94"/>
        <v/>
      </c>
      <c r="AI294" s="10" t="str">
        <f t="shared" si="95"/>
        <v/>
      </c>
      <c r="AK294" s="10"/>
      <c r="AL294" s="10"/>
      <c r="AM294" s="10"/>
      <c r="AN294" s="10"/>
      <c r="AO294" s="10"/>
      <c r="AQ294" s="10"/>
      <c r="AR294" s="10"/>
      <c r="AS294" s="10"/>
      <c r="AT294" s="10"/>
      <c r="AU294" s="10"/>
      <c r="AW294" s="10" t="str">
        <f t="shared" si="102"/>
        <v/>
      </c>
      <c r="AX294" s="10" t="str">
        <f t="shared" si="96"/>
        <v/>
      </c>
      <c r="AY294" s="10" t="str">
        <f t="shared" si="97"/>
        <v/>
      </c>
      <c r="AZ294" s="10" t="str">
        <f t="shared" si="98"/>
        <v/>
      </c>
      <c r="BA294" s="10" t="str">
        <f t="shared" si="99"/>
        <v/>
      </c>
    </row>
    <row r="295" spans="6:53" x14ac:dyDescent="0.2">
      <c r="F295" s="10" t="str">
        <f t="shared" si="103"/>
        <v>2017/12/28</v>
      </c>
      <c r="G295" s="14">
        <v>43097</v>
      </c>
      <c r="H295" s="10">
        <v>3.4613517000000003</v>
      </c>
      <c r="I295" s="10">
        <v>-3.0530553</v>
      </c>
      <c r="J295" s="10">
        <v>0.40829640000000006</v>
      </c>
      <c r="K295" s="10">
        <f t="shared" ref="K295:K358" si="104">IF($H295="","",K294+H295)</f>
        <v>1344.6502302000008</v>
      </c>
      <c r="L295" s="10">
        <f t="shared" ref="L295:L358" si="105">IF($I295="","",L294+I295)</f>
        <v>-897.72962889999917</v>
      </c>
      <c r="M295" s="10">
        <f t="shared" ref="M295:M358" si="106">IF($J295="","",M294+J295)</f>
        <v>446.9206013000001</v>
      </c>
      <c r="N295" s="10">
        <v>19.989527410328975</v>
      </c>
      <c r="O295" s="10">
        <v>18.102133147632305</v>
      </c>
      <c r="P295" s="10">
        <v>3696.4743948200007</v>
      </c>
      <c r="Y295" s="10" t="e">
        <f t="shared" si="100"/>
        <v>#N/A</v>
      </c>
      <c r="Z295" s="10" t="e">
        <f t="shared" si="88"/>
        <v>#N/A</v>
      </c>
      <c r="AA295" s="10" t="e">
        <f t="shared" si="89"/>
        <v>#N/A</v>
      </c>
      <c r="AB295" s="10" t="e">
        <f t="shared" si="90"/>
        <v>#N/A</v>
      </c>
      <c r="AC295" s="10" t="e">
        <f t="shared" si="91"/>
        <v>#N/A</v>
      </c>
      <c r="AE295" s="10" t="str">
        <f t="shared" si="101"/>
        <v/>
      </c>
      <c r="AF295" s="10" t="str">
        <f t="shared" si="92"/>
        <v/>
      </c>
      <c r="AG295" s="10" t="str">
        <f t="shared" si="93"/>
        <v/>
      </c>
      <c r="AH295" s="10" t="str">
        <f t="shared" si="94"/>
        <v/>
      </c>
      <c r="AI295" s="10" t="str">
        <f t="shared" si="95"/>
        <v/>
      </c>
      <c r="AK295" s="10"/>
      <c r="AL295" s="10"/>
      <c r="AM295" s="10"/>
      <c r="AN295" s="10"/>
      <c r="AO295" s="10"/>
      <c r="AQ295" s="10"/>
      <c r="AR295" s="10"/>
      <c r="AS295" s="10"/>
      <c r="AT295" s="10"/>
      <c r="AU295" s="10"/>
      <c r="AW295" s="10" t="str">
        <f t="shared" si="102"/>
        <v/>
      </c>
      <c r="AX295" s="10" t="str">
        <f t="shared" si="96"/>
        <v/>
      </c>
      <c r="AY295" s="10" t="str">
        <f t="shared" si="97"/>
        <v/>
      </c>
      <c r="AZ295" s="10" t="str">
        <f t="shared" si="98"/>
        <v/>
      </c>
      <c r="BA295" s="10" t="str">
        <f t="shared" si="99"/>
        <v/>
      </c>
    </row>
    <row r="296" spans="6:53" x14ac:dyDescent="0.2">
      <c r="F296" s="10" t="str">
        <f t="shared" si="103"/>
        <v>2017/12/29</v>
      </c>
      <c r="G296" s="14">
        <v>43098</v>
      </c>
      <c r="H296" s="10">
        <v>2.7351188999999998</v>
      </c>
      <c r="I296" s="10">
        <v>-11.8292004</v>
      </c>
      <c r="J296" s="10">
        <v>-9.0940814999999997</v>
      </c>
      <c r="K296" s="10">
        <f t="shared" si="104"/>
        <v>1347.3853491000009</v>
      </c>
      <c r="L296" s="10">
        <f t="shared" si="105"/>
        <v>-909.55882929999916</v>
      </c>
      <c r="M296" s="10">
        <f t="shared" si="106"/>
        <v>437.82651980000009</v>
      </c>
      <c r="N296" s="10">
        <v>19.888904323428278</v>
      </c>
      <c r="O296" s="10">
        <v>18.171964902506954</v>
      </c>
      <c r="P296" s="10">
        <v>3704.0640684200002</v>
      </c>
      <c r="Y296" s="10" t="e">
        <f t="shared" si="100"/>
        <v>#N/A</v>
      </c>
      <c r="Z296" s="10" t="e">
        <f t="shared" si="88"/>
        <v>#N/A</v>
      </c>
      <c r="AA296" s="10" t="e">
        <f t="shared" si="89"/>
        <v>#N/A</v>
      </c>
      <c r="AB296" s="10" t="e">
        <f t="shared" si="90"/>
        <v>#N/A</v>
      </c>
      <c r="AC296" s="10" t="e">
        <f t="shared" si="91"/>
        <v>#N/A</v>
      </c>
      <c r="AE296" s="10" t="str">
        <f t="shared" si="101"/>
        <v/>
      </c>
      <c r="AF296" s="10" t="str">
        <f t="shared" si="92"/>
        <v/>
      </c>
      <c r="AG296" s="10" t="str">
        <f t="shared" si="93"/>
        <v/>
      </c>
      <c r="AH296" s="10" t="str">
        <f t="shared" si="94"/>
        <v/>
      </c>
      <c r="AI296" s="10" t="str">
        <f t="shared" si="95"/>
        <v/>
      </c>
      <c r="AK296" s="10"/>
      <c r="AL296" s="10"/>
      <c r="AM296" s="10"/>
      <c r="AN296" s="10"/>
      <c r="AO296" s="10"/>
      <c r="AQ296" s="10"/>
      <c r="AR296" s="10"/>
      <c r="AS296" s="10"/>
      <c r="AT296" s="10"/>
      <c r="AU296" s="10"/>
      <c r="AW296" s="10" t="str">
        <f t="shared" si="102"/>
        <v/>
      </c>
      <c r="AX296" s="10" t="str">
        <f t="shared" si="96"/>
        <v/>
      </c>
      <c r="AY296" s="10" t="str">
        <f t="shared" si="97"/>
        <v/>
      </c>
      <c r="AZ296" s="10" t="str">
        <f t="shared" si="98"/>
        <v/>
      </c>
      <c r="BA296" s="10" t="str">
        <f t="shared" si="99"/>
        <v/>
      </c>
    </row>
    <row r="297" spans="6:53" x14ac:dyDescent="0.2">
      <c r="F297" s="10" t="str">
        <f t="shared" si="103"/>
        <v>2018/1/1</v>
      </c>
      <c r="G297" s="14">
        <v>43101</v>
      </c>
      <c r="H297" s="10">
        <v>0</v>
      </c>
      <c r="I297" s="10">
        <v>0</v>
      </c>
      <c r="J297" s="10">
        <v>0</v>
      </c>
      <c r="K297" s="10">
        <f t="shared" si="104"/>
        <v>1347.3853491000009</v>
      </c>
      <c r="L297" s="10">
        <f t="shared" si="105"/>
        <v>-909.55882929999916</v>
      </c>
      <c r="M297" s="10">
        <f t="shared" si="106"/>
        <v>437.82651980000009</v>
      </c>
      <c r="N297" s="10">
        <v>20.326310430393164</v>
      </c>
      <c r="O297" s="10">
        <v>18.519818987929437</v>
      </c>
      <c r="P297" s="10">
        <v>3692.0702781533332</v>
      </c>
      <c r="Y297" s="10" t="e">
        <f t="shared" si="100"/>
        <v>#N/A</v>
      </c>
      <c r="Z297" s="10" t="e">
        <f t="shared" si="88"/>
        <v>#N/A</v>
      </c>
      <c r="AA297" s="10" t="e">
        <f t="shared" si="89"/>
        <v>#N/A</v>
      </c>
      <c r="AB297" s="10" t="e">
        <f t="shared" si="90"/>
        <v>#N/A</v>
      </c>
      <c r="AC297" s="10" t="e">
        <f t="shared" si="91"/>
        <v>#N/A</v>
      </c>
      <c r="AE297" s="10" t="str">
        <f t="shared" si="101"/>
        <v/>
      </c>
      <c r="AF297" s="10" t="str">
        <f t="shared" si="92"/>
        <v/>
      </c>
      <c r="AG297" s="10" t="str">
        <f t="shared" si="93"/>
        <v/>
      </c>
      <c r="AH297" s="10" t="str">
        <f t="shared" si="94"/>
        <v/>
      </c>
      <c r="AI297" s="10" t="str">
        <f t="shared" si="95"/>
        <v/>
      </c>
      <c r="AK297" s="10"/>
      <c r="AL297" s="10"/>
      <c r="AM297" s="10"/>
      <c r="AN297" s="10"/>
      <c r="AO297" s="10"/>
      <c r="AQ297" s="10"/>
      <c r="AR297" s="10"/>
      <c r="AS297" s="10"/>
      <c r="AT297" s="10"/>
      <c r="AU297" s="10"/>
      <c r="AW297" s="10" t="str">
        <f t="shared" si="102"/>
        <v/>
      </c>
      <c r="AX297" s="10" t="str">
        <f t="shared" si="96"/>
        <v/>
      </c>
      <c r="AY297" s="10" t="str">
        <f t="shared" si="97"/>
        <v/>
      </c>
      <c r="AZ297" s="10" t="str">
        <f t="shared" si="98"/>
        <v/>
      </c>
      <c r="BA297" s="10" t="str">
        <f t="shared" si="99"/>
        <v/>
      </c>
    </row>
    <row r="298" spans="6:53" x14ac:dyDescent="0.2">
      <c r="F298" s="10" t="str">
        <f t="shared" si="103"/>
        <v>2018/1/2</v>
      </c>
      <c r="G298" s="14">
        <v>43102</v>
      </c>
      <c r="H298" s="10">
        <v>5.7645162000000001</v>
      </c>
      <c r="I298" s="10">
        <v>-3.6809657000000011</v>
      </c>
      <c r="J298" s="10">
        <v>2.0835504999999999</v>
      </c>
      <c r="K298" s="10">
        <f t="shared" si="104"/>
        <v>1353.1498653000008</v>
      </c>
      <c r="L298" s="10">
        <f t="shared" si="105"/>
        <v>-913.23979499999916</v>
      </c>
      <c r="M298" s="10">
        <f t="shared" si="106"/>
        <v>439.91007030000009</v>
      </c>
      <c r="N298" s="10">
        <v>20.779764047579743</v>
      </c>
      <c r="O298" s="10">
        <v>18.901365273909001</v>
      </c>
      <c r="P298" s="10">
        <v>3708.2253786533329</v>
      </c>
      <c r="Y298" s="10" t="e">
        <f t="shared" si="100"/>
        <v>#N/A</v>
      </c>
      <c r="Z298" s="10" t="e">
        <f t="shared" si="88"/>
        <v>#N/A</v>
      </c>
      <c r="AA298" s="10" t="e">
        <f t="shared" si="89"/>
        <v>#N/A</v>
      </c>
      <c r="AB298" s="10" t="e">
        <f t="shared" si="90"/>
        <v>#N/A</v>
      </c>
      <c r="AC298" s="10" t="e">
        <f t="shared" si="91"/>
        <v>#N/A</v>
      </c>
      <c r="AE298" s="10" t="str">
        <f t="shared" si="101"/>
        <v/>
      </c>
      <c r="AF298" s="10" t="str">
        <f t="shared" si="92"/>
        <v/>
      </c>
      <c r="AG298" s="10" t="str">
        <f t="shared" si="93"/>
        <v/>
      </c>
      <c r="AH298" s="10" t="str">
        <f t="shared" si="94"/>
        <v/>
      </c>
      <c r="AI298" s="10" t="str">
        <f t="shared" si="95"/>
        <v/>
      </c>
      <c r="AK298" s="10"/>
      <c r="AL298" s="10"/>
      <c r="AM298" s="10"/>
      <c r="AN298" s="10"/>
      <c r="AO298" s="10"/>
      <c r="AQ298" s="10"/>
      <c r="AR298" s="10"/>
      <c r="AS298" s="10"/>
      <c r="AT298" s="10"/>
      <c r="AU298" s="10"/>
      <c r="AW298" s="10" t="str">
        <f t="shared" si="102"/>
        <v/>
      </c>
      <c r="AX298" s="10" t="str">
        <f t="shared" si="96"/>
        <v/>
      </c>
      <c r="AY298" s="10" t="str">
        <f t="shared" si="97"/>
        <v/>
      </c>
      <c r="AZ298" s="10" t="str">
        <f t="shared" si="98"/>
        <v/>
      </c>
      <c r="BA298" s="10" t="str">
        <f t="shared" si="99"/>
        <v/>
      </c>
    </row>
    <row r="299" spans="6:53" x14ac:dyDescent="0.2">
      <c r="F299" s="10" t="str">
        <f t="shared" si="103"/>
        <v>2018/1/3</v>
      </c>
      <c r="G299" s="14">
        <v>43103</v>
      </c>
      <c r="H299" s="10">
        <v>8.4201575999999978</v>
      </c>
      <c r="I299" s="10">
        <v>-4.3938998999999992</v>
      </c>
      <c r="J299" s="10">
        <v>4.0262576999999995</v>
      </c>
      <c r="K299" s="10">
        <f t="shared" si="104"/>
        <v>1361.5700229000008</v>
      </c>
      <c r="L299" s="10">
        <f t="shared" si="105"/>
        <v>-917.63369489999911</v>
      </c>
      <c r="M299" s="10">
        <f t="shared" si="106"/>
        <v>443.93632800000006</v>
      </c>
      <c r="N299" s="10">
        <v>21.41469660366505</v>
      </c>
      <c r="O299" s="10">
        <v>19.443051392757656</v>
      </c>
      <c r="P299" s="10">
        <v>3724.5519305133348</v>
      </c>
      <c r="Y299" s="10" t="e">
        <f t="shared" si="100"/>
        <v>#N/A</v>
      </c>
      <c r="Z299" s="10" t="e">
        <f t="shared" si="88"/>
        <v>#N/A</v>
      </c>
      <c r="AA299" s="10" t="e">
        <f t="shared" si="89"/>
        <v>#N/A</v>
      </c>
      <c r="AB299" s="10" t="e">
        <f t="shared" si="90"/>
        <v>#N/A</v>
      </c>
      <c r="AC299" s="10" t="e">
        <f t="shared" si="91"/>
        <v>#N/A</v>
      </c>
      <c r="AE299" s="10" t="str">
        <f t="shared" si="101"/>
        <v/>
      </c>
      <c r="AF299" s="10" t="str">
        <f t="shared" si="92"/>
        <v/>
      </c>
      <c r="AG299" s="10" t="str">
        <f t="shared" si="93"/>
        <v/>
      </c>
      <c r="AH299" s="10" t="str">
        <f t="shared" si="94"/>
        <v/>
      </c>
      <c r="AI299" s="10" t="str">
        <f t="shared" si="95"/>
        <v/>
      </c>
      <c r="AK299" s="10"/>
      <c r="AL299" s="10"/>
      <c r="AM299" s="10"/>
      <c r="AN299" s="10"/>
      <c r="AO299" s="10"/>
      <c r="AQ299" s="10"/>
      <c r="AR299" s="10"/>
      <c r="AS299" s="10"/>
      <c r="AT299" s="10"/>
      <c r="AU299" s="10"/>
      <c r="AW299" s="10" t="str">
        <f t="shared" si="102"/>
        <v/>
      </c>
      <c r="AX299" s="10" t="str">
        <f t="shared" si="96"/>
        <v/>
      </c>
      <c r="AY299" s="10" t="str">
        <f t="shared" si="97"/>
        <v/>
      </c>
      <c r="AZ299" s="10" t="str">
        <f t="shared" si="98"/>
        <v/>
      </c>
      <c r="BA299" s="10" t="str">
        <f t="shared" si="99"/>
        <v/>
      </c>
    </row>
    <row r="300" spans="6:53" x14ac:dyDescent="0.2">
      <c r="F300" s="10" t="str">
        <f t="shared" si="103"/>
        <v>2018/1/4</v>
      </c>
      <c r="G300" s="14">
        <v>43104</v>
      </c>
      <c r="H300" s="10">
        <v>7.5460016999999997</v>
      </c>
      <c r="I300" s="10">
        <v>-2.7956308000000001</v>
      </c>
      <c r="J300" s="10">
        <v>4.7503709000000027</v>
      </c>
      <c r="K300" s="10">
        <f t="shared" si="104"/>
        <v>1369.1160246000009</v>
      </c>
      <c r="L300" s="10">
        <f t="shared" si="105"/>
        <v>-920.42932569999914</v>
      </c>
      <c r="M300" s="10">
        <f t="shared" si="106"/>
        <v>448.68669890000007</v>
      </c>
      <c r="N300" s="10">
        <v>21.990594525946566</v>
      </c>
      <c r="O300" s="10">
        <v>19.970387186629523</v>
      </c>
      <c r="P300" s="10">
        <v>3741.4298460449986</v>
      </c>
      <c r="Y300" s="10" t="e">
        <f t="shared" si="100"/>
        <v>#N/A</v>
      </c>
      <c r="Z300" s="10" t="e">
        <f t="shared" si="88"/>
        <v>#N/A</v>
      </c>
      <c r="AA300" s="10" t="e">
        <f t="shared" si="89"/>
        <v>#N/A</v>
      </c>
      <c r="AB300" s="10" t="e">
        <f t="shared" si="90"/>
        <v>#N/A</v>
      </c>
      <c r="AC300" s="10" t="e">
        <f t="shared" si="91"/>
        <v>#N/A</v>
      </c>
      <c r="AE300" s="10" t="str">
        <f t="shared" si="101"/>
        <v/>
      </c>
      <c r="AF300" s="10" t="str">
        <f t="shared" si="92"/>
        <v/>
      </c>
      <c r="AG300" s="10" t="str">
        <f t="shared" si="93"/>
        <v/>
      </c>
      <c r="AH300" s="10" t="str">
        <f t="shared" si="94"/>
        <v/>
      </c>
      <c r="AI300" s="10" t="str">
        <f t="shared" si="95"/>
        <v/>
      </c>
      <c r="AK300" s="10"/>
      <c r="AL300" s="10"/>
      <c r="AM300" s="10"/>
      <c r="AN300" s="10"/>
      <c r="AO300" s="10"/>
      <c r="AQ300" s="10"/>
      <c r="AR300" s="10"/>
      <c r="AS300" s="10"/>
      <c r="AT300" s="10"/>
      <c r="AU300" s="10"/>
      <c r="AW300" s="10" t="str">
        <f t="shared" si="102"/>
        <v/>
      </c>
      <c r="AX300" s="10" t="str">
        <f t="shared" si="96"/>
        <v/>
      </c>
      <c r="AY300" s="10" t="str">
        <f t="shared" si="97"/>
        <v/>
      </c>
      <c r="AZ300" s="10" t="str">
        <f t="shared" si="98"/>
        <v/>
      </c>
      <c r="BA300" s="10" t="str">
        <f t="shared" si="99"/>
        <v/>
      </c>
    </row>
    <row r="301" spans="6:53" x14ac:dyDescent="0.2">
      <c r="F301" s="10" t="str">
        <f t="shared" si="103"/>
        <v>2018/1/5</v>
      </c>
      <c r="G301" s="14">
        <v>43105</v>
      </c>
      <c r="H301" s="10">
        <v>7.6744376999999995</v>
      </c>
      <c r="I301" s="10">
        <v>-5.0604213000000007</v>
      </c>
      <c r="J301" s="10">
        <v>2.6140164000000006</v>
      </c>
      <c r="K301" s="10">
        <f t="shared" si="104"/>
        <v>1376.7904623000009</v>
      </c>
      <c r="L301" s="10">
        <f t="shared" si="105"/>
        <v>-925.48974699999917</v>
      </c>
      <c r="M301" s="10">
        <f t="shared" si="106"/>
        <v>451.30071530000009</v>
      </c>
      <c r="N301" s="10">
        <v>22.629705852642132</v>
      </c>
      <c r="O301" s="10">
        <v>20.456408077994432</v>
      </c>
      <c r="P301" s="10">
        <v>3762.0252344200012</v>
      </c>
      <c r="Y301" s="10" t="e">
        <f t="shared" si="100"/>
        <v>#N/A</v>
      </c>
      <c r="Z301" s="10" t="e">
        <f t="shared" si="88"/>
        <v>#N/A</v>
      </c>
      <c r="AA301" s="10" t="e">
        <f t="shared" si="89"/>
        <v>#N/A</v>
      </c>
      <c r="AB301" s="10" t="e">
        <f t="shared" si="90"/>
        <v>#N/A</v>
      </c>
      <c r="AC301" s="10" t="e">
        <f t="shared" si="91"/>
        <v>#N/A</v>
      </c>
      <c r="AE301" s="10" t="str">
        <f t="shared" si="101"/>
        <v/>
      </c>
      <c r="AF301" s="10" t="str">
        <f t="shared" si="92"/>
        <v/>
      </c>
      <c r="AG301" s="10" t="str">
        <f t="shared" si="93"/>
        <v/>
      </c>
      <c r="AH301" s="10" t="str">
        <f t="shared" si="94"/>
        <v/>
      </c>
      <c r="AI301" s="10" t="str">
        <f t="shared" si="95"/>
        <v/>
      </c>
      <c r="AK301" s="10"/>
      <c r="AL301" s="10"/>
      <c r="AM301" s="10"/>
      <c r="AN301" s="10"/>
      <c r="AO301" s="10"/>
      <c r="AQ301" s="10"/>
      <c r="AR301" s="10"/>
      <c r="AS301" s="10"/>
      <c r="AT301" s="10"/>
      <c r="AU301" s="10"/>
      <c r="AW301" s="10" t="str">
        <f t="shared" si="102"/>
        <v/>
      </c>
      <c r="AX301" s="10" t="str">
        <f t="shared" si="96"/>
        <v/>
      </c>
      <c r="AY301" s="10" t="str">
        <f t="shared" si="97"/>
        <v/>
      </c>
      <c r="AZ301" s="10" t="str">
        <f t="shared" si="98"/>
        <v/>
      </c>
      <c r="BA301" s="10" t="str">
        <f t="shared" si="99"/>
        <v/>
      </c>
    </row>
    <row r="302" spans="6:53" x14ac:dyDescent="0.2">
      <c r="F302" s="10" t="str">
        <f t="shared" si="103"/>
        <v>2018/1/8</v>
      </c>
      <c r="G302" s="14">
        <v>43108</v>
      </c>
      <c r="H302" s="10">
        <v>8.0540327000000023</v>
      </c>
      <c r="I302" s="10">
        <v>-2.9418021000000003</v>
      </c>
      <c r="J302" s="10">
        <v>5.1122305999999993</v>
      </c>
      <c r="K302" s="10">
        <f t="shared" si="104"/>
        <v>1384.844495000001</v>
      </c>
      <c r="L302" s="10">
        <f t="shared" si="105"/>
        <v>-928.43154909999919</v>
      </c>
      <c r="M302" s="10">
        <f t="shared" si="106"/>
        <v>456.41294590000007</v>
      </c>
      <c r="N302" s="10">
        <v>22.797532306941591</v>
      </c>
      <c r="O302" s="10">
        <v>20.557128690807801</v>
      </c>
      <c r="P302" s="10">
        <v>3781.6229763200017</v>
      </c>
      <c r="Y302" s="10" t="e">
        <f t="shared" si="100"/>
        <v>#N/A</v>
      </c>
      <c r="Z302" s="10" t="e">
        <f t="shared" si="88"/>
        <v>#N/A</v>
      </c>
      <c r="AA302" s="10" t="e">
        <f t="shared" si="89"/>
        <v>#N/A</v>
      </c>
      <c r="AB302" s="10" t="e">
        <f t="shared" si="90"/>
        <v>#N/A</v>
      </c>
      <c r="AC302" s="10" t="e">
        <f t="shared" si="91"/>
        <v>#N/A</v>
      </c>
      <c r="AE302" s="10" t="str">
        <f t="shared" si="101"/>
        <v/>
      </c>
      <c r="AF302" s="10" t="str">
        <f t="shared" si="92"/>
        <v/>
      </c>
      <c r="AG302" s="10" t="str">
        <f t="shared" si="93"/>
        <v/>
      </c>
      <c r="AH302" s="10" t="str">
        <f t="shared" si="94"/>
        <v/>
      </c>
      <c r="AI302" s="10" t="str">
        <f t="shared" si="95"/>
        <v/>
      </c>
      <c r="AK302" s="10"/>
      <c r="AL302" s="10"/>
      <c r="AM302" s="10"/>
      <c r="AN302" s="10"/>
      <c r="AO302" s="10"/>
      <c r="AQ302" s="10"/>
      <c r="AR302" s="10"/>
      <c r="AS302" s="10"/>
      <c r="AT302" s="10"/>
      <c r="AU302" s="10"/>
      <c r="AW302" s="10" t="str">
        <f t="shared" si="102"/>
        <v/>
      </c>
      <c r="AX302" s="10" t="str">
        <f t="shared" si="96"/>
        <v/>
      </c>
      <c r="AY302" s="10" t="str">
        <f t="shared" si="97"/>
        <v/>
      </c>
      <c r="AZ302" s="10" t="str">
        <f t="shared" si="98"/>
        <v/>
      </c>
      <c r="BA302" s="10" t="str">
        <f t="shared" si="99"/>
        <v/>
      </c>
    </row>
    <row r="303" spans="6:53" x14ac:dyDescent="0.2">
      <c r="F303" s="10" t="str">
        <f t="shared" si="103"/>
        <v>2018/1/9</v>
      </c>
      <c r="G303" s="14">
        <v>43109</v>
      </c>
      <c r="H303" s="10">
        <v>6.7192647999999977</v>
      </c>
      <c r="I303" s="10">
        <v>-4.3583605000000007</v>
      </c>
      <c r="J303" s="10">
        <v>2.3609042999999996</v>
      </c>
      <c r="K303" s="10">
        <f t="shared" si="104"/>
        <v>1391.563759800001</v>
      </c>
      <c r="L303" s="10">
        <f t="shared" si="105"/>
        <v>-932.78990959999919</v>
      </c>
      <c r="M303" s="10">
        <f t="shared" si="106"/>
        <v>458.77385020000008</v>
      </c>
      <c r="N303" s="10">
        <v>22.89163351580904</v>
      </c>
      <c r="O303" s="10">
        <v>20.518542061281345</v>
      </c>
      <c r="P303" s="10">
        <v>3792.0430541699998</v>
      </c>
      <c r="Y303" s="10" t="e">
        <f t="shared" si="100"/>
        <v>#N/A</v>
      </c>
      <c r="Z303" s="10" t="e">
        <f t="shared" si="88"/>
        <v>#N/A</v>
      </c>
      <c r="AA303" s="10" t="e">
        <f t="shared" si="89"/>
        <v>#N/A</v>
      </c>
      <c r="AB303" s="10" t="e">
        <f t="shared" si="90"/>
        <v>#N/A</v>
      </c>
      <c r="AC303" s="10" t="e">
        <f t="shared" si="91"/>
        <v>#N/A</v>
      </c>
      <c r="AE303" s="10" t="str">
        <f t="shared" si="101"/>
        <v/>
      </c>
      <c r="AF303" s="10" t="str">
        <f t="shared" si="92"/>
        <v/>
      </c>
      <c r="AG303" s="10" t="str">
        <f t="shared" si="93"/>
        <v/>
      </c>
      <c r="AH303" s="10" t="str">
        <f t="shared" si="94"/>
        <v/>
      </c>
      <c r="AI303" s="10" t="str">
        <f t="shared" si="95"/>
        <v/>
      </c>
      <c r="AK303" s="10"/>
      <c r="AL303" s="10"/>
      <c r="AM303" s="10"/>
      <c r="AN303" s="10"/>
      <c r="AO303" s="10"/>
      <c r="AQ303" s="10"/>
      <c r="AR303" s="10"/>
      <c r="AS303" s="10"/>
      <c r="AT303" s="10"/>
      <c r="AU303" s="10"/>
      <c r="AW303" s="10" t="str">
        <f t="shared" si="102"/>
        <v/>
      </c>
      <c r="AX303" s="10" t="str">
        <f t="shared" si="96"/>
        <v/>
      </c>
      <c r="AY303" s="10" t="str">
        <f t="shared" si="97"/>
        <v/>
      </c>
      <c r="AZ303" s="10" t="str">
        <f t="shared" si="98"/>
        <v/>
      </c>
      <c r="BA303" s="10" t="str">
        <f t="shared" si="99"/>
        <v/>
      </c>
    </row>
    <row r="304" spans="6:53" x14ac:dyDescent="0.2">
      <c r="F304" s="10" t="str">
        <f t="shared" si="103"/>
        <v>2018/1/10</v>
      </c>
      <c r="G304" s="14">
        <v>43110</v>
      </c>
      <c r="H304" s="10">
        <v>8.3646848000000027</v>
      </c>
      <c r="I304" s="10">
        <v>-5.9036033000000003</v>
      </c>
      <c r="J304" s="10">
        <v>2.461081500000001</v>
      </c>
      <c r="K304" s="10">
        <f t="shared" si="104"/>
        <v>1399.9284446000011</v>
      </c>
      <c r="L304" s="10">
        <f t="shared" si="105"/>
        <v>-938.69351289999918</v>
      </c>
      <c r="M304" s="10">
        <f t="shared" si="106"/>
        <v>461.23493170000006</v>
      </c>
      <c r="N304" s="10">
        <v>22.775484258774895</v>
      </c>
      <c r="O304" s="10">
        <v>20.371951253481896</v>
      </c>
      <c r="P304" s="10">
        <v>3796.7177666200018</v>
      </c>
      <c r="Y304" s="10" t="e">
        <f t="shared" si="100"/>
        <v>#N/A</v>
      </c>
      <c r="Z304" s="10" t="e">
        <f t="shared" si="88"/>
        <v>#N/A</v>
      </c>
      <c r="AA304" s="10" t="e">
        <f t="shared" si="89"/>
        <v>#N/A</v>
      </c>
      <c r="AB304" s="10" t="e">
        <f t="shared" si="90"/>
        <v>#N/A</v>
      </c>
      <c r="AC304" s="10" t="e">
        <f t="shared" si="91"/>
        <v>#N/A</v>
      </c>
      <c r="AE304" s="10" t="str">
        <f t="shared" si="101"/>
        <v/>
      </c>
      <c r="AF304" s="10" t="str">
        <f t="shared" si="92"/>
        <v/>
      </c>
      <c r="AG304" s="10" t="str">
        <f t="shared" si="93"/>
        <v/>
      </c>
      <c r="AH304" s="10" t="str">
        <f t="shared" si="94"/>
        <v/>
      </c>
      <c r="AI304" s="10" t="str">
        <f t="shared" si="95"/>
        <v/>
      </c>
      <c r="AK304" s="10"/>
      <c r="AL304" s="10"/>
      <c r="AM304" s="10"/>
      <c r="AN304" s="10"/>
      <c r="AO304" s="10"/>
      <c r="AQ304" s="10"/>
      <c r="AR304" s="10"/>
      <c r="AS304" s="10"/>
      <c r="AT304" s="10"/>
      <c r="AU304" s="10"/>
      <c r="AW304" s="10" t="str">
        <f t="shared" si="102"/>
        <v/>
      </c>
      <c r="AX304" s="10" t="str">
        <f t="shared" si="96"/>
        <v/>
      </c>
      <c r="AY304" s="10" t="str">
        <f t="shared" si="97"/>
        <v/>
      </c>
      <c r="AZ304" s="10" t="str">
        <f t="shared" si="98"/>
        <v/>
      </c>
      <c r="BA304" s="10" t="str">
        <f t="shared" si="99"/>
        <v/>
      </c>
    </row>
    <row r="305" spans="6:53" x14ac:dyDescent="0.2">
      <c r="F305" s="10" t="str">
        <f t="shared" si="103"/>
        <v>2018/1/11</v>
      </c>
      <c r="G305" s="14">
        <v>43111</v>
      </c>
      <c r="H305" s="10">
        <v>7.141197</v>
      </c>
      <c r="I305" s="10">
        <v>-3.8521576999999989</v>
      </c>
      <c r="J305" s="10">
        <v>3.2890392999999998</v>
      </c>
      <c r="K305" s="10">
        <f t="shared" si="104"/>
        <v>1407.069641600001</v>
      </c>
      <c r="L305" s="10">
        <f t="shared" si="105"/>
        <v>-942.5456705999992</v>
      </c>
      <c r="M305" s="10">
        <f t="shared" si="106"/>
        <v>464.52397100000007</v>
      </c>
      <c r="N305" s="10">
        <v>23.500439014911844</v>
      </c>
      <c r="O305" s="10">
        <v>20.965438161559881</v>
      </c>
      <c r="P305" s="10">
        <v>3795.4296599199993</v>
      </c>
      <c r="Y305" s="10" t="e">
        <f t="shared" si="100"/>
        <v>#N/A</v>
      </c>
      <c r="Z305" s="10" t="e">
        <f t="shared" si="88"/>
        <v>#N/A</v>
      </c>
      <c r="AA305" s="10" t="e">
        <f t="shared" si="89"/>
        <v>#N/A</v>
      </c>
      <c r="AB305" s="10" t="e">
        <f t="shared" si="90"/>
        <v>#N/A</v>
      </c>
      <c r="AC305" s="10" t="e">
        <f t="shared" si="91"/>
        <v>#N/A</v>
      </c>
      <c r="AE305" s="10" t="str">
        <f t="shared" si="101"/>
        <v/>
      </c>
      <c r="AF305" s="10" t="str">
        <f t="shared" si="92"/>
        <v/>
      </c>
      <c r="AG305" s="10" t="str">
        <f t="shared" si="93"/>
        <v/>
      </c>
      <c r="AH305" s="10" t="str">
        <f t="shared" si="94"/>
        <v/>
      </c>
      <c r="AI305" s="10" t="str">
        <f t="shared" si="95"/>
        <v/>
      </c>
      <c r="AK305" s="10"/>
      <c r="AL305" s="10"/>
      <c r="AM305" s="10"/>
      <c r="AN305" s="10"/>
      <c r="AO305" s="10"/>
      <c r="AQ305" s="10"/>
      <c r="AR305" s="10"/>
      <c r="AS305" s="10"/>
      <c r="AT305" s="10"/>
      <c r="AU305" s="10"/>
      <c r="AW305" s="10" t="str">
        <f t="shared" si="102"/>
        <v/>
      </c>
      <c r="AX305" s="10" t="str">
        <f t="shared" si="96"/>
        <v/>
      </c>
      <c r="AY305" s="10" t="str">
        <f t="shared" si="97"/>
        <v/>
      </c>
      <c r="AZ305" s="10" t="str">
        <f t="shared" si="98"/>
        <v/>
      </c>
      <c r="BA305" s="10" t="str">
        <f t="shared" si="99"/>
        <v/>
      </c>
    </row>
    <row r="306" spans="6:53" x14ac:dyDescent="0.2">
      <c r="F306" s="10" t="str">
        <f t="shared" si="103"/>
        <v>2018/1/12</v>
      </c>
      <c r="G306" s="14">
        <v>43112</v>
      </c>
      <c r="H306" s="10">
        <v>5.4068018999999987</v>
      </c>
      <c r="I306" s="10">
        <v>-7.7672033000000003</v>
      </c>
      <c r="J306" s="10">
        <v>-2.3604014000000006</v>
      </c>
      <c r="K306" s="10">
        <f t="shared" si="104"/>
        <v>1412.4764435000009</v>
      </c>
      <c r="L306" s="10">
        <f t="shared" si="105"/>
        <v>-950.3128738999992</v>
      </c>
      <c r="M306" s="10">
        <f t="shared" si="106"/>
        <v>462.16356960000007</v>
      </c>
      <c r="N306" s="10">
        <v>24.219185751966194</v>
      </c>
      <c r="O306" s="10">
        <v>21.703578551532036</v>
      </c>
      <c r="P306" s="10">
        <v>3820.1156805200012</v>
      </c>
      <c r="Y306" s="10" t="e">
        <f t="shared" si="100"/>
        <v>#N/A</v>
      </c>
      <c r="Z306" s="10" t="e">
        <f t="shared" si="88"/>
        <v>#N/A</v>
      </c>
      <c r="AA306" s="10" t="e">
        <f t="shared" si="89"/>
        <v>#N/A</v>
      </c>
      <c r="AB306" s="10" t="e">
        <f t="shared" si="90"/>
        <v>#N/A</v>
      </c>
      <c r="AC306" s="10" t="e">
        <f t="shared" si="91"/>
        <v>#N/A</v>
      </c>
      <c r="AE306" s="10" t="str">
        <f t="shared" si="101"/>
        <v/>
      </c>
      <c r="AF306" s="10" t="str">
        <f t="shared" si="92"/>
        <v/>
      </c>
      <c r="AG306" s="10" t="str">
        <f t="shared" si="93"/>
        <v/>
      </c>
      <c r="AH306" s="10" t="str">
        <f t="shared" si="94"/>
        <v/>
      </c>
      <c r="AI306" s="10" t="str">
        <f t="shared" si="95"/>
        <v/>
      </c>
      <c r="AK306" s="10"/>
      <c r="AL306" s="10"/>
      <c r="AM306" s="10"/>
      <c r="AN306" s="10"/>
      <c r="AO306" s="10"/>
      <c r="AQ306" s="10"/>
      <c r="AR306" s="10"/>
      <c r="AS306" s="10"/>
      <c r="AT306" s="10"/>
      <c r="AU306" s="10"/>
      <c r="AW306" s="10" t="str">
        <f t="shared" si="102"/>
        <v/>
      </c>
      <c r="AX306" s="10" t="str">
        <f t="shared" si="96"/>
        <v/>
      </c>
      <c r="AY306" s="10" t="str">
        <f t="shared" si="97"/>
        <v/>
      </c>
      <c r="AZ306" s="10" t="str">
        <f t="shared" si="98"/>
        <v/>
      </c>
      <c r="BA306" s="10" t="str">
        <f t="shared" si="99"/>
        <v/>
      </c>
    </row>
    <row r="307" spans="6:53" x14ac:dyDescent="0.2">
      <c r="F307" s="10" t="str">
        <f t="shared" si="103"/>
        <v>2018/1/15</v>
      </c>
      <c r="G307" s="14">
        <v>43115</v>
      </c>
      <c r="H307" s="10">
        <v>0.82250949999999989</v>
      </c>
      <c r="I307" s="10">
        <v>-0.48008600000000001</v>
      </c>
      <c r="J307" s="10">
        <v>0.34242349999999988</v>
      </c>
      <c r="K307" s="10">
        <f t="shared" si="104"/>
        <v>1413.2989530000009</v>
      </c>
      <c r="L307" s="10">
        <f t="shared" si="105"/>
        <v>-950.79295989999923</v>
      </c>
      <c r="M307" s="10">
        <f t="shared" si="106"/>
        <v>462.50599310000007</v>
      </c>
      <c r="N307" s="10">
        <v>24.265608324669476</v>
      </c>
      <c r="O307" s="10">
        <v>21.892336768802227</v>
      </c>
      <c r="P307" s="10">
        <v>3837.4097693200033</v>
      </c>
      <c r="Y307" s="10" t="e">
        <f t="shared" si="100"/>
        <v>#N/A</v>
      </c>
      <c r="Z307" s="10" t="e">
        <f t="shared" si="88"/>
        <v>#N/A</v>
      </c>
      <c r="AA307" s="10" t="e">
        <f t="shared" si="89"/>
        <v>#N/A</v>
      </c>
      <c r="AB307" s="10" t="e">
        <f t="shared" si="90"/>
        <v>#N/A</v>
      </c>
      <c r="AC307" s="10" t="e">
        <f t="shared" si="91"/>
        <v>#N/A</v>
      </c>
      <c r="AE307" s="10" t="str">
        <f t="shared" si="101"/>
        <v/>
      </c>
      <c r="AF307" s="10" t="str">
        <f t="shared" si="92"/>
        <v/>
      </c>
      <c r="AG307" s="10" t="str">
        <f t="shared" si="93"/>
        <v/>
      </c>
      <c r="AH307" s="10" t="str">
        <f t="shared" si="94"/>
        <v/>
      </c>
      <c r="AI307" s="10" t="str">
        <f t="shared" si="95"/>
        <v/>
      </c>
      <c r="AK307" s="10"/>
      <c r="AL307" s="10"/>
      <c r="AM307" s="10"/>
      <c r="AN307" s="10"/>
      <c r="AO307" s="10"/>
      <c r="AQ307" s="10"/>
      <c r="AR307" s="10"/>
      <c r="AS307" s="10"/>
      <c r="AT307" s="10"/>
      <c r="AU307" s="10"/>
      <c r="AW307" s="10" t="str">
        <f t="shared" si="102"/>
        <v/>
      </c>
      <c r="AX307" s="10" t="str">
        <f t="shared" si="96"/>
        <v/>
      </c>
      <c r="AY307" s="10" t="str">
        <f t="shared" si="97"/>
        <v/>
      </c>
      <c r="AZ307" s="10" t="str">
        <f t="shared" si="98"/>
        <v/>
      </c>
      <c r="BA307" s="10" t="str">
        <f t="shared" si="99"/>
        <v/>
      </c>
    </row>
    <row r="308" spans="6:53" x14ac:dyDescent="0.2">
      <c r="F308" s="10" t="str">
        <f t="shared" si="103"/>
        <v>2018/1/16</v>
      </c>
      <c r="G308" s="14">
        <v>43116</v>
      </c>
      <c r="H308" s="10">
        <v>6.7893789999999985</v>
      </c>
      <c r="I308" s="10">
        <v>-3.8523488000000006</v>
      </c>
      <c r="J308" s="10">
        <v>2.9370301999999993</v>
      </c>
      <c r="K308" s="10">
        <f t="shared" si="104"/>
        <v>1420.0883320000009</v>
      </c>
      <c r="L308" s="10">
        <f t="shared" si="105"/>
        <v>-954.64530869999919</v>
      </c>
      <c r="M308" s="10">
        <f t="shared" si="106"/>
        <v>465.44302330000005</v>
      </c>
      <c r="N308" s="10">
        <v>24.16944424960689</v>
      </c>
      <c r="O308" s="10">
        <v>21.7997807799443</v>
      </c>
      <c r="P308" s="10">
        <v>3840.3642178199989</v>
      </c>
      <c r="Y308" s="10" t="e">
        <f t="shared" si="100"/>
        <v>#N/A</v>
      </c>
      <c r="Z308" s="10" t="e">
        <f t="shared" si="88"/>
        <v>#N/A</v>
      </c>
      <c r="AA308" s="10" t="e">
        <f t="shared" si="89"/>
        <v>#N/A</v>
      </c>
      <c r="AB308" s="10" t="e">
        <f t="shared" si="90"/>
        <v>#N/A</v>
      </c>
      <c r="AC308" s="10" t="e">
        <f t="shared" si="91"/>
        <v>#N/A</v>
      </c>
      <c r="AE308" s="10" t="str">
        <f t="shared" si="101"/>
        <v/>
      </c>
      <c r="AF308" s="10" t="str">
        <f t="shared" si="92"/>
        <v/>
      </c>
      <c r="AG308" s="10" t="str">
        <f t="shared" si="93"/>
        <v/>
      </c>
      <c r="AH308" s="10" t="str">
        <f t="shared" si="94"/>
        <v/>
      </c>
      <c r="AI308" s="10" t="str">
        <f t="shared" si="95"/>
        <v/>
      </c>
      <c r="AK308" s="10"/>
      <c r="AL308" s="10"/>
      <c r="AM308" s="10"/>
      <c r="AN308" s="10"/>
      <c r="AO308" s="10"/>
      <c r="AQ308" s="10"/>
      <c r="AR308" s="10"/>
      <c r="AS308" s="10"/>
      <c r="AT308" s="10"/>
      <c r="AU308" s="10"/>
      <c r="AW308" s="10" t="str">
        <f t="shared" si="102"/>
        <v/>
      </c>
      <c r="AX308" s="10" t="str">
        <f t="shared" si="96"/>
        <v/>
      </c>
      <c r="AY308" s="10" t="str">
        <f t="shared" si="97"/>
        <v/>
      </c>
      <c r="AZ308" s="10" t="str">
        <f t="shared" si="98"/>
        <v/>
      </c>
      <c r="BA308" s="10" t="str">
        <f t="shared" si="99"/>
        <v/>
      </c>
    </row>
    <row r="309" spans="6:53" x14ac:dyDescent="0.2">
      <c r="F309" s="10" t="str">
        <f t="shared" si="103"/>
        <v>2018/1/17</v>
      </c>
      <c r="G309" s="14">
        <v>43117</v>
      </c>
      <c r="H309" s="10">
        <v>14.194513800000001</v>
      </c>
      <c r="I309" s="10">
        <v>-3.0470012999999998</v>
      </c>
      <c r="J309" s="10">
        <v>11.147512500000005</v>
      </c>
      <c r="K309" s="10">
        <f t="shared" si="104"/>
        <v>1434.282845800001</v>
      </c>
      <c r="L309" s="10">
        <f t="shared" si="105"/>
        <v>-957.69230999999922</v>
      </c>
      <c r="M309" s="10">
        <f t="shared" si="106"/>
        <v>476.59053580000005</v>
      </c>
      <c r="N309" s="10">
        <v>24.942923923052135</v>
      </c>
      <c r="O309" s="10">
        <v>22.355934261838449</v>
      </c>
      <c r="P309" s="10">
        <v>3838.8934156200021</v>
      </c>
      <c r="Y309" s="10" t="e">
        <f t="shared" si="100"/>
        <v>#N/A</v>
      </c>
      <c r="Z309" s="10" t="e">
        <f t="shared" si="88"/>
        <v>#N/A</v>
      </c>
      <c r="AA309" s="10" t="e">
        <f t="shared" si="89"/>
        <v>#N/A</v>
      </c>
      <c r="AB309" s="10" t="e">
        <f t="shared" si="90"/>
        <v>#N/A</v>
      </c>
      <c r="AC309" s="10" t="e">
        <f t="shared" si="91"/>
        <v>#N/A</v>
      </c>
      <c r="AE309" s="10" t="str">
        <f t="shared" si="101"/>
        <v/>
      </c>
      <c r="AF309" s="10" t="str">
        <f t="shared" si="92"/>
        <v/>
      </c>
      <c r="AG309" s="10" t="str">
        <f t="shared" si="93"/>
        <v/>
      </c>
      <c r="AH309" s="10" t="str">
        <f t="shared" si="94"/>
        <v/>
      </c>
      <c r="AI309" s="10" t="str">
        <f t="shared" si="95"/>
        <v/>
      </c>
      <c r="AK309" s="10"/>
      <c r="AL309" s="10"/>
      <c r="AM309" s="10"/>
      <c r="AN309" s="10"/>
      <c r="AO309" s="10"/>
      <c r="AQ309" s="10"/>
      <c r="AR309" s="10"/>
      <c r="AS309" s="10"/>
      <c r="AT309" s="10"/>
      <c r="AU309" s="10"/>
      <c r="AW309" s="10" t="str">
        <f t="shared" si="102"/>
        <v/>
      </c>
      <c r="AX309" s="10" t="str">
        <f t="shared" si="96"/>
        <v/>
      </c>
      <c r="AY309" s="10" t="str">
        <f t="shared" si="97"/>
        <v/>
      </c>
      <c r="AZ309" s="10" t="str">
        <f t="shared" si="98"/>
        <v/>
      </c>
      <c r="BA309" s="10" t="str">
        <f t="shared" si="99"/>
        <v/>
      </c>
    </row>
    <row r="310" spans="6:53" x14ac:dyDescent="0.2">
      <c r="F310" s="10" t="str">
        <f t="shared" si="103"/>
        <v>2018/1/18</v>
      </c>
      <c r="G310" s="14">
        <v>43118</v>
      </c>
      <c r="H310" s="10">
        <v>4.9703587000000002</v>
      </c>
      <c r="I310" s="10">
        <v>-4.3810454999999999</v>
      </c>
      <c r="J310" s="10">
        <v>0.58931319999999987</v>
      </c>
      <c r="K310" s="10">
        <f t="shared" si="104"/>
        <v>1439.2532045000009</v>
      </c>
      <c r="L310" s="10">
        <f t="shared" si="105"/>
        <v>-962.07335549999925</v>
      </c>
      <c r="M310" s="10">
        <f t="shared" si="106"/>
        <v>477.17984900000005</v>
      </c>
      <c r="N310" s="10">
        <v>24.679909773430232</v>
      </c>
      <c r="O310" s="10">
        <v>22.109749860724236</v>
      </c>
      <c r="P310" s="10">
        <v>3871.7873173199982</v>
      </c>
      <c r="Y310" s="10" t="e">
        <f t="shared" si="100"/>
        <v>#N/A</v>
      </c>
      <c r="Z310" s="10" t="e">
        <f t="shared" si="88"/>
        <v>#N/A</v>
      </c>
      <c r="AA310" s="10" t="e">
        <f t="shared" si="89"/>
        <v>#N/A</v>
      </c>
      <c r="AB310" s="10" t="e">
        <f t="shared" si="90"/>
        <v>#N/A</v>
      </c>
      <c r="AC310" s="10" t="e">
        <f t="shared" si="91"/>
        <v>#N/A</v>
      </c>
      <c r="AE310" s="10" t="str">
        <f t="shared" si="101"/>
        <v/>
      </c>
      <c r="AF310" s="10" t="str">
        <f t="shared" si="92"/>
        <v/>
      </c>
      <c r="AG310" s="10" t="str">
        <f t="shared" si="93"/>
        <v/>
      </c>
      <c r="AH310" s="10" t="str">
        <f t="shared" si="94"/>
        <v/>
      </c>
      <c r="AI310" s="10" t="str">
        <f t="shared" si="95"/>
        <v/>
      </c>
      <c r="AK310" s="10"/>
      <c r="AL310" s="10"/>
      <c r="AM310" s="10"/>
      <c r="AN310" s="10"/>
      <c r="AO310" s="10"/>
      <c r="AQ310" s="10"/>
      <c r="AR310" s="10"/>
      <c r="AS310" s="10"/>
      <c r="AT310" s="10"/>
      <c r="AU310" s="10"/>
      <c r="AW310" s="10" t="str">
        <f t="shared" si="102"/>
        <v/>
      </c>
      <c r="AX310" s="10" t="str">
        <f t="shared" si="96"/>
        <v/>
      </c>
      <c r="AY310" s="10" t="str">
        <f t="shared" si="97"/>
        <v/>
      </c>
      <c r="AZ310" s="10" t="str">
        <f t="shared" si="98"/>
        <v/>
      </c>
      <c r="BA310" s="10" t="str">
        <f t="shared" si="99"/>
        <v/>
      </c>
    </row>
    <row r="311" spans="6:53" x14ac:dyDescent="0.2">
      <c r="F311" s="10" t="str">
        <f t="shared" si="103"/>
        <v>2018/1/19</v>
      </c>
      <c r="G311" s="14">
        <v>43119</v>
      </c>
      <c r="H311" s="10">
        <v>7.2806284000000003</v>
      </c>
      <c r="I311" s="10">
        <v>-6.3320184999999993</v>
      </c>
      <c r="J311" s="10">
        <v>0.94860990000000101</v>
      </c>
      <c r="K311" s="10">
        <f t="shared" si="104"/>
        <v>1446.533832900001</v>
      </c>
      <c r="L311" s="10">
        <f t="shared" si="105"/>
        <v>-968.40537399999926</v>
      </c>
      <c r="M311" s="10">
        <f t="shared" si="106"/>
        <v>478.12845890000006</v>
      </c>
      <c r="N311" s="10">
        <v>25.330739962472922</v>
      </c>
      <c r="O311" s="10">
        <v>22.654029247910856</v>
      </c>
      <c r="P311" s="10">
        <v>3863.3870875199973</v>
      </c>
      <c r="Y311" s="10" t="e">
        <f t="shared" si="100"/>
        <v>#N/A</v>
      </c>
      <c r="Z311" s="10" t="e">
        <f t="shared" si="88"/>
        <v>#N/A</v>
      </c>
      <c r="AA311" s="10" t="e">
        <f t="shared" si="89"/>
        <v>#N/A</v>
      </c>
      <c r="AB311" s="10" t="e">
        <f t="shared" si="90"/>
        <v>#N/A</v>
      </c>
      <c r="AC311" s="10" t="e">
        <f t="shared" si="91"/>
        <v>#N/A</v>
      </c>
      <c r="AE311" s="10" t="str">
        <f t="shared" si="101"/>
        <v/>
      </c>
      <c r="AF311" s="10" t="str">
        <f t="shared" si="92"/>
        <v/>
      </c>
      <c r="AG311" s="10" t="str">
        <f t="shared" si="93"/>
        <v/>
      </c>
      <c r="AH311" s="10" t="str">
        <f t="shared" si="94"/>
        <v/>
      </c>
      <c r="AI311" s="10" t="str">
        <f t="shared" si="95"/>
        <v/>
      </c>
      <c r="AK311" s="10"/>
      <c r="AL311" s="10"/>
      <c r="AM311" s="10"/>
      <c r="AN311" s="10"/>
      <c r="AO311" s="10"/>
      <c r="AQ311" s="10"/>
      <c r="AR311" s="10"/>
      <c r="AS311" s="10"/>
      <c r="AT311" s="10"/>
      <c r="AU311" s="10"/>
      <c r="AW311" s="10" t="str">
        <f t="shared" si="102"/>
        <v/>
      </c>
      <c r="AX311" s="10" t="str">
        <f t="shared" si="96"/>
        <v/>
      </c>
      <c r="AY311" s="10" t="str">
        <f t="shared" si="97"/>
        <v/>
      </c>
      <c r="AZ311" s="10" t="str">
        <f t="shared" si="98"/>
        <v/>
      </c>
      <c r="BA311" s="10" t="str">
        <f t="shared" si="99"/>
        <v/>
      </c>
    </row>
    <row r="312" spans="6:53" x14ac:dyDescent="0.2">
      <c r="F312" s="10" t="str">
        <f t="shared" si="103"/>
        <v>2018/1/22</v>
      </c>
      <c r="G312" s="14">
        <v>43122</v>
      </c>
      <c r="H312" s="10">
        <v>8.0973267000000018</v>
      </c>
      <c r="I312" s="10">
        <v>-3.1002631000000003</v>
      </c>
      <c r="J312" s="10">
        <v>4.9970636000000015</v>
      </c>
      <c r="K312" s="10">
        <f t="shared" si="104"/>
        <v>1454.631159600001</v>
      </c>
      <c r="L312" s="10">
        <f t="shared" si="105"/>
        <v>-971.50563709999926</v>
      </c>
      <c r="M312" s="10">
        <f t="shared" si="106"/>
        <v>483.12552250000005</v>
      </c>
      <c r="N312" s="10">
        <v>25.985568209251834</v>
      </c>
      <c r="O312" s="10">
        <v>23.206501114206127</v>
      </c>
      <c r="P312" s="10">
        <v>3882.9226157200001</v>
      </c>
      <c r="Y312" s="10" t="e">
        <f t="shared" si="100"/>
        <v>#N/A</v>
      </c>
      <c r="Z312" s="10" t="e">
        <f t="shared" si="88"/>
        <v>#N/A</v>
      </c>
      <c r="AA312" s="10" t="e">
        <f t="shared" si="89"/>
        <v>#N/A</v>
      </c>
      <c r="AB312" s="10" t="e">
        <f t="shared" si="90"/>
        <v>#N/A</v>
      </c>
      <c r="AC312" s="10" t="e">
        <f t="shared" si="91"/>
        <v>#N/A</v>
      </c>
      <c r="AE312" s="10" t="str">
        <f t="shared" si="101"/>
        <v/>
      </c>
      <c r="AF312" s="10" t="str">
        <f t="shared" si="92"/>
        <v/>
      </c>
      <c r="AG312" s="10" t="str">
        <f t="shared" si="93"/>
        <v/>
      </c>
      <c r="AH312" s="10" t="str">
        <f t="shared" si="94"/>
        <v/>
      </c>
      <c r="AI312" s="10" t="str">
        <f t="shared" si="95"/>
        <v/>
      </c>
      <c r="AK312" s="10"/>
      <c r="AL312" s="10"/>
      <c r="AM312" s="10"/>
      <c r="AN312" s="10"/>
      <c r="AO312" s="10"/>
      <c r="AQ312" s="10"/>
      <c r="AR312" s="10"/>
      <c r="AS312" s="10"/>
      <c r="AT312" s="10"/>
      <c r="AU312" s="10"/>
      <c r="AW312" s="10" t="str">
        <f t="shared" si="102"/>
        <v/>
      </c>
      <c r="AX312" s="10" t="str">
        <f t="shared" si="96"/>
        <v/>
      </c>
      <c r="AY312" s="10" t="str">
        <f t="shared" si="97"/>
        <v/>
      </c>
      <c r="AZ312" s="10" t="str">
        <f t="shared" si="98"/>
        <v/>
      </c>
      <c r="BA312" s="10" t="str">
        <f t="shared" si="99"/>
        <v/>
      </c>
    </row>
    <row r="313" spans="6:53" x14ac:dyDescent="0.2">
      <c r="F313" s="10" t="str">
        <f t="shared" si="103"/>
        <v>2018/1/23</v>
      </c>
      <c r="G313" s="14">
        <v>43123</v>
      </c>
      <c r="H313" s="10">
        <v>11.9934966</v>
      </c>
      <c r="I313" s="10">
        <v>-3.5735476000000004</v>
      </c>
      <c r="J313" s="10">
        <v>8.419948999999999</v>
      </c>
      <c r="K313" s="10">
        <f t="shared" si="104"/>
        <v>1466.624656200001</v>
      </c>
      <c r="L313" s="10">
        <f t="shared" si="105"/>
        <v>-975.07918469999925</v>
      </c>
      <c r="M313" s="10">
        <f t="shared" si="106"/>
        <v>491.54547150000002</v>
      </c>
      <c r="N313" s="10">
        <v>26.575224818633068</v>
      </c>
      <c r="O313" s="10">
        <v>23.787614484679676</v>
      </c>
      <c r="P313" s="10">
        <v>3907.3193404199988</v>
      </c>
      <c r="Y313" s="10" t="e">
        <f t="shared" si="100"/>
        <v>#N/A</v>
      </c>
      <c r="Z313" s="10" t="e">
        <f t="shared" si="88"/>
        <v>#N/A</v>
      </c>
      <c r="AA313" s="10" t="e">
        <f t="shared" si="89"/>
        <v>#N/A</v>
      </c>
      <c r="AB313" s="10" t="e">
        <f t="shared" si="90"/>
        <v>#N/A</v>
      </c>
      <c r="AC313" s="10" t="e">
        <f t="shared" si="91"/>
        <v>#N/A</v>
      </c>
      <c r="AE313" s="10" t="str">
        <f t="shared" si="101"/>
        <v/>
      </c>
      <c r="AF313" s="10" t="str">
        <f t="shared" si="92"/>
        <v/>
      </c>
      <c r="AG313" s="10" t="str">
        <f t="shared" si="93"/>
        <v/>
      </c>
      <c r="AH313" s="10" t="str">
        <f t="shared" si="94"/>
        <v/>
      </c>
      <c r="AI313" s="10" t="str">
        <f t="shared" si="95"/>
        <v/>
      </c>
      <c r="AK313" s="10"/>
      <c r="AL313" s="10"/>
      <c r="AM313" s="10"/>
      <c r="AN313" s="10"/>
      <c r="AO313" s="10"/>
      <c r="AQ313" s="10"/>
      <c r="AR313" s="10"/>
      <c r="AS313" s="10"/>
      <c r="AT313" s="10"/>
      <c r="AU313" s="10"/>
      <c r="AW313" s="10" t="str">
        <f t="shared" si="102"/>
        <v/>
      </c>
      <c r="AX313" s="10" t="str">
        <f t="shared" si="96"/>
        <v/>
      </c>
      <c r="AY313" s="10" t="str">
        <f t="shared" si="97"/>
        <v/>
      </c>
      <c r="AZ313" s="10" t="str">
        <f t="shared" si="98"/>
        <v/>
      </c>
      <c r="BA313" s="10" t="str">
        <f t="shared" si="99"/>
        <v/>
      </c>
    </row>
    <row r="314" spans="6:53" x14ac:dyDescent="0.2">
      <c r="F314" s="10" t="str">
        <f t="shared" si="103"/>
        <v>2018/1/24</v>
      </c>
      <c r="G314" s="14">
        <v>43124</v>
      </c>
      <c r="H314" s="10">
        <v>5.6223192999999991</v>
      </c>
      <c r="I314" s="10">
        <v>-5.5592266000000015</v>
      </c>
      <c r="J314" s="10">
        <v>6.3092699999999946E-2</v>
      </c>
      <c r="K314" s="10">
        <f t="shared" si="104"/>
        <v>1472.2469755000011</v>
      </c>
      <c r="L314" s="10">
        <f t="shared" si="105"/>
        <v>-980.63841129999923</v>
      </c>
      <c r="M314" s="10">
        <f t="shared" si="106"/>
        <v>491.60856420000005</v>
      </c>
      <c r="N314" s="10">
        <v>26.753444693198638</v>
      </c>
      <c r="O314" s="10">
        <v>24.055254038997216</v>
      </c>
      <c r="P314" s="10">
        <v>3930.6345968199994</v>
      </c>
      <c r="Y314" s="10" t="e">
        <f t="shared" si="100"/>
        <v>#N/A</v>
      </c>
      <c r="Z314" s="10" t="e">
        <f t="shared" si="88"/>
        <v>#N/A</v>
      </c>
      <c r="AA314" s="10" t="e">
        <f t="shared" si="89"/>
        <v>#N/A</v>
      </c>
      <c r="AB314" s="10" t="e">
        <f t="shared" si="90"/>
        <v>#N/A</v>
      </c>
      <c r="AC314" s="10" t="e">
        <f t="shared" si="91"/>
        <v>#N/A</v>
      </c>
      <c r="AE314" s="10" t="str">
        <f t="shared" si="101"/>
        <v/>
      </c>
      <c r="AF314" s="10" t="str">
        <f t="shared" si="92"/>
        <v/>
      </c>
      <c r="AG314" s="10" t="str">
        <f t="shared" si="93"/>
        <v/>
      </c>
      <c r="AH314" s="10" t="str">
        <f t="shared" si="94"/>
        <v/>
      </c>
      <c r="AI314" s="10" t="str">
        <f t="shared" si="95"/>
        <v/>
      </c>
      <c r="AK314" s="10"/>
      <c r="AL314" s="10"/>
      <c r="AM314" s="10"/>
      <c r="AN314" s="10"/>
      <c r="AO314" s="10"/>
      <c r="AQ314" s="10"/>
      <c r="AR314" s="10"/>
      <c r="AS314" s="10"/>
      <c r="AT314" s="10"/>
      <c r="AU314" s="10"/>
      <c r="AW314" s="10" t="str">
        <f t="shared" si="102"/>
        <v/>
      </c>
      <c r="AX314" s="10" t="str">
        <f t="shared" si="96"/>
        <v/>
      </c>
      <c r="AY314" s="10" t="str">
        <f t="shared" si="97"/>
        <v/>
      </c>
      <c r="AZ314" s="10" t="str">
        <f t="shared" si="98"/>
        <v/>
      </c>
      <c r="BA314" s="10" t="str">
        <f t="shared" si="99"/>
        <v/>
      </c>
    </row>
    <row r="315" spans="6:53" x14ac:dyDescent="0.2">
      <c r="F315" s="10" t="str">
        <f t="shared" si="103"/>
        <v>2018/1/25</v>
      </c>
      <c r="G315" s="14">
        <v>43125</v>
      </c>
      <c r="H315" s="10">
        <v>4.9659454000000007</v>
      </c>
      <c r="I315" s="10">
        <v>-2.3048739999999994</v>
      </c>
      <c r="J315" s="10">
        <v>2.6610714000000009</v>
      </c>
      <c r="K315" s="10">
        <f t="shared" si="104"/>
        <v>1477.2129209000011</v>
      </c>
      <c r="L315" s="10">
        <f t="shared" si="105"/>
        <v>-982.94328529999927</v>
      </c>
      <c r="M315" s="10">
        <f t="shared" si="106"/>
        <v>494.26963560000007</v>
      </c>
      <c r="N315" s="10">
        <v>26.697818943537484</v>
      </c>
      <c r="O315" s="10">
        <v>24.071935933147646</v>
      </c>
      <c r="P315" s="10">
        <v>3936.8459670200014</v>
      </c>
      <c r="Y315" s="10" t="e">
        <f t="shared" si="100"/>
        <v>#N/A</v>
      </c>
      <c r="Z315" s="10" t="e">
        <f t="shared" si="88"/>
        <v>#N/A</v>
      </c>
      <c r="AA315" s="10" t="e">
        <f t="shared" si="89"/>
        <v>#N/A</v>
      </c>
      <c r="AB315" s="10" t="e">
        <f t="shared" si="90"/>
        <v>#N/A</v>
      </c>
      <c r="AC315" s="10" t="e">
        <f t="shared" si="91"/>
        <v>#N/A</v>
      </c>
      <c r="AE315" s="10" t="str">
        <f t="shared" si="101"/>
        <v/>
      </c>
      <c r="AF315" s="10" t="str">
        <f t="shared" si="92"/>
        <v/>
      </c>
      <c r="AG315" s="10" t="str">
        <f t="shared" si="93"/>
        <v/>
      </c>
      <c r="AH315" s="10" t="str">
        <f t="shared" si="94"/>
        <v/>
      </c>
      <c r="AI315" s="10" t="str">
        <f t="shared" si="95"/>
        <v/>
      </c>
      <c r="AK315" s="10"/>
      <c r="AL315" s="10"/>
      <c r="AM315" s="10"/>
      <c r="AN315" s="10"/>
      <c r="AO315" s="10"/>
      <c r="AQ315" s="10"/>
      <c r="AR315" s="10"/>
      <c r="AS315" s="10"/>
      <c r="AT315" s="10"/>
      <c r="AU315" s="10"/>
      <c r="AW315" s="10" t="str">
        <f t="shared" si="102"/>
        <v/>
      </c>
      <c r="AX315" s="10" t="str">
        <f t="shared" si="96"/>
        <v/>
      </c>
      <c r="AY315" s="10" t="str">
        <f t="shared" si="97"/>
        <v/>
      </c>
      <c r="AZ315" s="10" t="str">
        <f t="shared" si="98"/>
        <v/>
      </c>
      <c r="BA315" s="10" t="str">
        <f t="shared" si="99"/>
        <v/>
      </c>
    </row>
    <row r="316" spans="6:53" x14ac:dyDescent="0.2">
      <c r="F316" s="10" t="str">
        <f t="shared" si="103"/>
        <v>2018/1/26</v>
      </c>
      <c r="G316" s="14">
        <v>43126</v>
      </c>
      <c r="H316" s="10">
        <v>7.2982453999999999</v>
      </c>
      <c r="I316" s="10">
        <v>-5.4171732000000006</v>
      </c>
      <c r="J316" s="10">
        <v>1.8810722</v>
      </c>
      <c r="K316" s="10">
        <f t="shared" si="104"/>
        <v>1484.5111663000012</v>
      </c>
      <c r="L316" s="10">
        <f t="shared" si="105"/>
        <v>-988.36045849999925</v>
      </c>
      <c r="M316" s="10">
        <f t="shared" si="106"/>
        <v>496.15070780000008</v>
      </c>
      <c r="N316" s="10">
        <v>27.644143996071566</v>
      </c>
      <c r="O316" s="10">
        <v>24.725669359331473</v>
      </c>
      <c r="P316" s="10">
        <v>3938.4812591200002</v>
      </c>
      <c r="Y316" s="10" t="e">
        <f t="shared" si="100"/>
        <v>#N/A</v>
      </c>
      <c r="Z316" s="10" t="e">
        <f t="shared" si="88"/>
        <v>#N/A</v>
      </c>
      <c r="AA316" s="10" t="e">
        <f t="shared" si="89"/>
        <v>#N/A</v>
      </c>
      <c r="AB316" s="10" t="e">
        <f t="shared" si="90"/>
        <v>#N/A</v>
      </c>
      <c r="AC316" s="10" t="e">
        <f t="shared" si="91"/>
        <v>#N/A</v>
      </c>
      <c r="AE316" s="10" t="str">
        <f t="shared" si="101"/>
        <v/>
      </c>
      <c r="AF316" s="10" t="str">
        <f t="shared" si="92"/>
        <v/>
      </c>
      <c r="AG316" s="10" t="str">
        <f t="shared" si="93"/>
        <v/>
      </c>
      <c r="AH316" s="10" t="str">
        <f t="shared" si="94"/>
        <v/>
      </c>
      <c r="AI316" s="10" t="str">
        <f t="shared" si="95"/>
        <v/>
      </c>
      <c r="AK316" s="10"/>
      <c r="AL316" s="10"/>
      <c r="AM316" s="10"/>
      <c r="AN316" s="10"/>
      <c r="AO316" s="10"/>
      <c r="AQ316" s="10"/>
      <c r="AR316" s="10"/>
      <c r="AS316" s="10"/>
      <c r="AT316" s="10"/>
      <c r="AU316" s="10"/>
      <c r="AW316" s="10" t="str">
        <f t="shared" si="102"/>
        <v/>
      </c>
      <c r="AX316" s="10" t="str">
        <f t="shared" si="96"/>
        <v/>
      </c>
      <c r="AY316" s="10" t="str">
        <f t="shared" si="97"/>
        <v/>
      </c>
      <c r="AZ316" s="10" t="str">
        <f t="shared" si="98"/>
        <v/>
      </c>
      <c r="BA316" s="10" t="str">
        <f t="shared" si="99"/>
        <v/>
      </c>
    </row>
    <row r="317" spans="6:53" x14ac:dyDescent="0.2">
      <c r="F317" s="10" t="str">
        <f t="shared" si="103"/>
        <v>2018/1/29</v>
      </c>
      <c r="G317" s="14">
        <v>43129</v>
      </c>
      <c r="H317" s="10">
        <v>11.736463400000002</v>
      </c>
      <c r="I317" s="10">
        <v>-2.9499666999999996</v>
      </c>
      <c r="J317" s="10">
        <v>8.7864966999999972</v>
      </c>
      <c r="K317" s="10">
        <f t="shared" si="104"/>
        <v>1496.2476297000012</v>
      </c>
      <c r="L317" s="10">
        <f t="shared" si="105"/>
        <v>-991.31042519999926</v>
      </c>
      <c r="M317" s="10">
        <f t="shared" si="106"/>
        <v>504.93720450000006</v>
      </c>
      <c r="N317" s="10">
        <v>26.732309710136743</v>
      </c>
      <c r="O317" s="10">
        <v>23.790780501392753</v>
      </c>
      <c r="P317" s="10">
        <v>3965.808985520001</v>
      </c>
      <c r="Y317" s="10" t="e">
        <f t="shared" si="100"/>
        <v>#N/A</v>
      </c>
      <c r="Z317" s="10" t="e">
        <f t="shared" si="88"/>
        <v>#N/A</v>
      </c>
      <c r="AA317" s="10" t="e">
        <f t="shared" si="89"/>
        <v>#N/A</v>
      </c>
      <c r="AB317" s="10" t="e">
        <f t="shared" si="90"/>
        <v>#N/A</v>
      </c>
      <c r="AC317" s="10" t="e">
        <f t="shared" si="91"/>
        <v>#N/A</v>
      </c>
      <c r="AE317" s="10" t="str">
        <f t="shared" si="101"/>
        <v/>
      </c>
      <c r="AF317" s="10" t="str">
        <f t="shared" si="92"/>
        <v/>
      </c>
      <c r="AG317" s="10" t="str">
        <f t="shared" si="93"/>
        <v/>
      </c>
      <c r="AH317" s="10" t="str">
        <f t="shared" si="94"/>
        <v/>
      </c>
      <c r="AI317" s="10" t="str">
        <f t="shared" si="95"/>
        <v/>
      </c>
      <c r="AK317" s="10"/>
      <c r="AL317" s="10"/>
      <c r="AM317" s="10"/>
      <c r="AN317" s="10"/>
      <c r="AO317" s="10"/>
      <c r="AQ317" s="10"/>
      <c r="AR317" s="10"/>
      <c r="AS317" s="10"/>
      <c r="AT317" s="10"/>
      <c r="AU317" s="10"/>
      <c r="AW317" s="10" t="str">
        <f t="shared" si="102"/>
        <v/>
      </c>
      <c r="AX317" s="10" t="str">
        <f t="shared" si="96"/>
        <v/>
      </c>
      <c r="AY317" s="10" t="str">
        <f t="shared" si="97"/>
        <v/>
      </c>
      <c r="AZ317" s="10" t="str">
        <f t="shared" si="98"/>
        <v/>
      </c>
      <c r="BA317" s="10" t="str">
        <f t="shared" si="99"/>
        <v/>
      </c>
    </row>
    <row r="318" spans="6:53" x14ac:dyDescent="0.2">
      <c r="F318" s="10" t="str">
        <f t="shared" si="103"/>
        <v>2018/1/30</v>
      </c>
      <c r="G318" s="14">
        <v>43130</v>
      </c>
      <c r="H318" s="10">
        <v>9.4766000000000012</v>
      </c>
      <c r="I318" s="10">
        <v>-7.5684160999999985</v>
      </c>
      <c r="J318" s="10">
        <v>1.9081838999999998</v>
      </c>
      <c r="K318" s="10">
        <f t="shared" si="104"/>
        <v>1505.7242297000012</v>
      </c>
      <c r="L318" s="10">
        <f t="shared" si="105"/>
        <v>-998.87884129999929</v>
      </c>
      <c r="M318" s="10">
        <f t="shared" si="106"/>
        <v>506.84538840000005</v>
      </c>
      <c r="N318" s="10">
        <v>25.577312753707254</v>
      </c>
      <c r="O318" s="10">
        <v>22.810472701949866</v>
      </c>
      <c r="P318" s="10">
        <v>3947.6621092199998</v>
      </c>
      <c r="Y318" s="10" t="e">
        <f t="shared" si="100"/>
        <v>#N/A</v>
      </c>
      <c r="Z318" s="10" t="e">
        <f t="shared" si="88"/>
        <v>#N/A</v>
      </c>
      <c r="AA318" s="10" t="e">
        <f t="shared" si="89"/>
        <v>#N/A</v>
      </c>
      <c r="AB318" s="10" t="e">
        <f t="shared" si="90"/>
        <v>#N/A</v>
      </c>
      <c r="AC318" s="10" t="e">
        <f t="shared" si="91"/>
        <v>#N/A</v>
      </c>
      <c r="AE318" s="10" t="str">
        <f t="shared" si="101"/>
        <v/>
      </c>
      <c r="AF318" s="10" t="str">
        <f t="shared" si="92"/>
        <v/>
      </c>
      <c r="AG318" s="10" t="str">
        <f t="shared" si="93"/>
        <v/>
      </c>
      <c r="AH318" s="10" t="str">
        <f t="shared" si="94"/>
        <v/>
      </c>
      <c r="AI318" s="10" t="str">
        <f t="shared" si="95"/>
        <v/>
      </c>
      <c r="AK318" s="10"/>
      <c r="AL318" s="10"/>
      <c r="AM318" s="10"/>
      <c r="AN318" s="10"/>
      <c r="AO318" s="10"/>
      <c r="AQ318" s="10"/>
      <c r="AR318" s="10"/>
      <c r="AS318" s="10"/>
      <c r="AT318" s="10"/>
      <c r="AU318" s="10"/>
      <c r="AW318" s="10" t="str">
        <f t="shared" si="102"/>
        <v/>
      </c>
      <c r="AX318" s="10" t="str">
        <f t="shared" si="96"/>
        <v/>
      </c>
      <c r="AY318" s="10" t="str">
        <f t="shared" si="97"/>
        <v/>
      </c>
      <c r="AZ318" s="10" t="str">
        <f t="shared" si="98"/>
        <v/>
      </c>
      <c r="BA318" s="10" t="str">
        <f t="shared" si="99"/>
        <v/>
      </c>
    </row>
    <row r="319" spans="6:53" x14ac:dyDescent="0.2">
      <c r="F319" s="10" t="str">
        <f t="shared" si="103"/>
        <v>2018/1/31</v>
      </c>
      <c r="G319" s="14">
        <v>43131</v>
      </c>
      <c r="H319" s="10">
        <v>9.0894140999999991</v>
      </c>
      <c r="I319" s="10">
        <v>-7.3579810000000014</v>
      </c>
      <c r="J319" s="10">
        <v>1.7314330999999981</v>
      </c>
      <c r="K319" s="10">
        <f t="shared" si="104"/>
        <v>1514.813643800001</v>
      </c>
      <c r="L319" s="10">
        <f t="shared" si="105"/>
        <v>-1006.2368222999993</v>
      </c>
      <c r="M319" s="10">
        <f t="shared" si="106"/>
        <v>508.57682150000005</v>
      </c>
      <c r="N319" s="10">
        <v>25.594364377580661</v>
      </c>
      <c r="O319" s="10">
        <v>22.916737883008349</v>
      </c>
      <c r="P319" s="10">
        <v>3915.3840839199984</v>
      </c>
      <c r="Y319" s="10" t="e">
        <f t="shared" si="100"/>
        <v>#N/A</v>
      </c>
      <c r="Z319" s="10" t="e">
        <f t="shared" si="88"/>
        <v>#N/A</v>
      </c>
      <c r="AA319" s="10" t="e">
        <f t="shared" si="89"/>
        <v>#N/A</v>
      </c>
      <c r="AB319" s="10" t="e">
        <f t="shared" si="90"/>
        <v>#N/A</v>
      </c>
      <c r="AC319" s="10" t="e">
        <f t="shared" si="91"/>
        <v>#N/A</v>
      </c>
      <c r="AE319" s="10" t="str">
        <f t="shared" si="101"/>
        <v/>
      </c>
      <c r="AF319" s="10" t="str">
        <f t="shared" si="92"/>
        <v/>
      </c>
      <c r="AG319" s="10" t="str">
        <f t="shared" si="93"/>
        <v/>
      </c>
      <c r="AH319" s="10" t="str">
        <f t="shared" si="94"/>
        <v/>
      </c>
      <c r="AI319" s="10" t="str">
        <f t="shared" si="95"/>
        <v/>
      </c>
      <c r="AK319" s="10"/>
      <c r="AL319" s="10"/>
      <c r="AM319" s="10"/>
      <c r="AN319" s="10"/>
      <c r="AO319" s="10"/>
      <c r="AQ319" s="10"/>
      <c r="AR319" s="10"/>
      <c r="AS319" s="10"/>
      <c r="AT319" s="10"/>
      <c r="AU319" s="10"/>
      <c r="AW319" s="10" t="str">
        <f t="shared" si="102"/>
        <v/>
      </c>
      <c r="AX319" s="10" t="str">
        <f t="shared" si="96"/>
        <v/>
      </c>
      <c r="AY319" s="10" t="str">
        <f t="shared" si="97"/>
        <v/>
      </c>
      <c r="AZ319" s="10" t="str">
        <f t="shared" si="98"/>
        <v/>
      </c>
      <c r="BA319" s="10" t="str">
        <f t="shared" si="99"/>
        <v/>
      </c>
    </row>
    <row r="320" spans="6:53" x14ac:dyDescent="0.2">
      <c r="F320" s="10" t="str">
        <f t="shared" si="103"/>
        <v>2018/2/1</v>
      </c>
      <c r="G320" s="14">
        <v>43132</v>
      </c>
      <c r="H320" s="10">
        <v>7.1258894999999987</v>
      </c>
      <c r="I320" s="10">
        <v>-9.2689307000000003</v>
      </c>
      <c r="J320" s="10">
        <v>-2.1430411999999994</v>
      </c>
      <c r="K320" s="10">
        <f t="shared" si="104"/>
        <v>1521.9395333000011</v>
      </c>
      <c r="L320" s="10">
        <f t="shared" si="105"/>
        <v>-1015.5057529999993</v>
      </c>
      <c r="M320" s="10">
        <f t="shared" si="106"/>
        <v>506.43378030000002</v>
      </c>
      <c r="N320" s="10">
        <v>25.545096666137241</v>
      </c>
      <c r="O320" s="10">
        <v>22.801883844011147</v>
      </c>
      <c r="P320" s="10">
        <v>3917.258895620002</v>
      </c>
      <c r="Y320" s="10" t="e">
        <f t="shared" si="100"/>
        <v>#N/A</v>
      </c>
      <c r="Z320" s="10" t="e">
        <f t="shared" si="88"/>
        <v>#N/A</v>
      </c>
      <c r="AA320" s="10" t="e">
        <f t="shared" si="89"/>
        <v>#N/A</v>
      </c>
      <c r="AB320" s="10" t="e">
        <f t="shared" si="90"/>
        <v>#N/A</v>
      </c>
      <c r="AC320" s="10" t="e">
        <f t="shared" si="91"/>
        <v>#N/A</v>
      </c>
      <c r="AE320" s="10" t="str">
        <f t="shared" si="101"/>
        <v/>
      </c>
      <c r="AF320" s="10" t="str">
        <f t="shared" si="92"/>
        <v/>
      </c>
      <c r="AG320" s="10" t="str">
        <f t="shared" si="93"/>
        <v/>
      </c>
      <c r="AH320" s="10" t="str">
        <f t="shared" si="94"/>
        <v/>
      </c>
      <c r="AI320" s="10" t="str">
        <f t="shared" si="95"/>
        <v/>
      </c>
      <c r="AK320" s="10"/>
      <c r="AL320" s="10"/>
      <c r="AM320" s="10"/>
      <c r="AN320" s="10"/>
      <c r="AO320" s="10"/>
      <c r="AQ320" s="10"/>
      <c r="AR320" s="10"/>
      <c r="AS320" s="10"/>
      <c r="AT320" s="10"/>
      <c r="AU320" s="10"/>
      <c r="AW320" s="10" t="str">
        <f t="shared" si="102"/>
        <v/>
      </c>
      <c r="AX320" s="10" t="str">
        <f t="shared" si="96"/>
        <v/>
      </c>
      <c r="AY320" s="10" t="str">
        <f t="shared" si="97"/>
        <v/>
      </c>
      <c r="AZ320" s="10" t="str">
        <f t="shared" si="98"/>
        <v/>
      </c>
      <c r="BA320" s="10" t="str">
        <f t="shared" si="99"/>
        <v/>
      </c>
    </row>
    <row r="321" spans="6:53" x14ac:dyDescent="0.2">
      <c r="F321" s="10" t="str">
        <f t="shared" si="103"/>
        <v>2018/2/2</v>
      </c>
      <c r="G321" s="14">
        <v>43133</v>
      </c>
      <c r="H321" s="10">
        <v>6.1735113999999998</v>
      </c>
      <c r="I321" s="10">
        <v>-7.5634467999999986</v>
      </c>
      <c r="J321" s="10">
        <v>-1.3899354000000004</v>
      </c>
      <c r="K321" s="10">
        <f t="shared" si="104"/>
        <v>1528.1130447000012</v>
      </c>
      <c r="L321" s="10">
        <f t="shared" si="105"/>
        <v>-1023.0691997999993</v>
      </c>
      <c r="M321" s="10">
        <f t="shared" si="106"/>
        <v>505.04384490000001</v>
      </c>
      <c r="N321" s="10">
        <v>23.355158305465469</v>
      </c>
      <c r="O321" s="10">
        <v>20.998208635097487</v>
      </c>
      <c r="P321" s="10">
        <v>3912.3077032199985</v>
      </c>
      <c r="Y321" s="10" t="e">
        <f t="shared" si="100"/>
        <v>#N/A</v>
      </c>
      <c r="Z321" s="10" t="e">
        <f t="shared" si="88"/>
        <v>#N/A</v>
      </c>
      <c r="AA321" s="10" t="e">
        <f t="shared" si="89"/>
        <v>#N/A</v>
      </c>
      <c r="AB321" s="10" t="e">
        <f t="shared" si="90"/>
        <v>#N/A</v>
      </c>
      <c r="AC321" s="10" t="e">
        <f t="shared" si="91"/>
        <v>#N/A</v>
      </c>
      <c r="AE321" s="10" t="str">
        <f t="shared" si="101"/>
        <v/>
      </c>
      <c r="AF321" s="10" t="str">
        <f t="shared" si="92"/>
        <v/>
      </c>
      <c r="AG321" s="10" t="str">
        <f t="shared" si="93"/>
        <v/>
      </c>
      <c r="AH321" s="10" t="str">
        <f t="shared" si="94"/>
        <v/>
      </c>
      <c r="AI321" s="10" t="str">
        <f t="shared" si="95"/>
        <v/>
      </c>
      <c r="AK321" s="10"/>
      <c r="AL321" s="10"/>
      <c r="AM321" s="10"/>
      <c r="AN321" s="10"/>
      <c r="AO321" s="10"/>
      <c r="AQ321" s="10"/>
      <c r="AR321" s="10"/>
      <c r="AS321" s="10"/>
      <c r="AT321" s="10"/>
      <c r="AU321" s="10"/>
      <c r="AW321" s="10" t="str">
        <f t="shared" si="102"/>
        <v/>
      </c>
      <c r="AX321" s="10" t="str">
        <f t="shared" si="96"/>
        <v/>
      </c>
      <c r="AY321" s="10" t="str">
        <f t="shared" si="97"/>
        <v/>
      </c>
      <c r="AZ321" s="10" t="str">
        <f t="shared" si="98"/>
        <v/>
      </c>
      <c r="BA321" s="10" t="str">
        <f t="shared" si="99"/>
        <v/>
      </c>
    </row>
    <row r="322" spans="6:53" x14ac:dyDescent="0.2">
      <c r="F322" s="10" t="str">
        <f t="shared" si="103"/>
        <v>2018/2/5</v>
      </c>
      <c r="G322" s="14">
        <v>43136</v>
      </c>
      <c r="H322" s="10">
        <v>5.8177638999999992</v>
      </c>
      <c r="I322" s="10">
        <v>-10.895810099999998</v>
      </c>
      <c r="J322" s="10">
        <v>-5.0780461999999993</v>
      </c>
      <c r="K322" s="10">
        <f t="shared" si="104"/>
        <v>1533.9308086000012</v>
      </c>
      <c r="L322" s="10">
        <f t="shared" si="105"/>
        <v>-1033.9650098999994</v>
      </c>
      <c r="M322" s="10">
        <f t="shared" si="106"/>
        <v>499.96579869999999</v>
      </c>
      <c r="N322" s="10">
        <v>19.647556772826693</v>
      </c>
      <c r="O322" s="10">
        <v>18.189700835654595</v>
      </c>
      <c r="P322" s="10">
        <v>3844.3765387200006</v>
      </c>
      <c r="Y322" s="10" t="e">
        <f t="shared" si="100"/>
        <v>#N/A</v>
      </c>
      <c r="Z322" s="10" t="e">
        <f t="shared" si="88"/>
        <v>#N/A</v>
      </c>
      <c r="AA322" s="10" t="e">
        <f t="shared" si="89"/>
        <v>#N/A</v>
      </c>
      <c r="AB322" s="10" t="e">
        <f t="shared" si="90"/>
        <v>#N/A</v>
      </c>
      <c r="AC322" s="10" t="e">
        <f t="shared" si="91"/>
        <v>#N/A</v>
      </c>
      <c r="AE322" s="10" t="str">
        <f t="shared" si="101"/>
        <v/>
      </c>
      <c r="AF322" s="10" t="str">
        <f t="shared" si="92"/>
        <v/>
      </c>
      <c r="AG322" s="10" t="str">
        <f t="shared" si="93"/>
        <v/>
      </c>
      <c r="AH322" s="10" t="str">
        <f t="shared" si="94"/>
        <v/>
      </c>
      <c r="AI322" s="10" t="str">
        <f t="shared" si="95"/>
        <v/>
      </c>
      <c r="AK322" s="10"/>
      <c r="AL322" s="10"/>
      <c r="AM322" s="10"/>
      <c r="AN322" s="10"/>
      <c r="AO322" s="10"/>
      <c r="AQ322" s="10"/>
      <c r="AR322" s="10"/>
      <c r="AS322" s="10"/>
      <c r="AT322" s="10"/>
      <c r="AU322" s="10"/>
      <c r="AW322" s="10" t="str">
        <f t="shared" si="102"/>
        <v/>
      </c>
      <c r="AX322" s="10" t="str">
        <f t="shared" si="96"/>
        <v/>
      </c>
      <c r="AY322" s="10" t="str">
        <f t="shared" si="97"/>
        <v/>
      </c>
      <c r="AZ322" s="10" t="str">
        <f t="shared" si="98"/>
        <v/>
      </c>
      <c r="BA322" s="10" t="str">
        <f t="shared" si="99"/>
        <v/>
      </c>
    </row>
    <row r="323" spans="6:53" x14ac:dyDescent="0.2">
      <c r="F323" s="10" t="str">
        <f t="shared" si="103"/>
        <v>2018/2/6</v>
      </c>
      <c r="G323" s="14">
        <v>43137</v>
      </c>
      <c r="H323" s="10">
        <v>6.7067149000000006</v>
      </c>
      <c r="I323" s="10">
        <v>-16.718360800000003</v>
      </c>
      <c r="J323" s="10">
        <v>-10.011645900000001</v>
      </c>
      <c r="K323" s="10">
        <f t="shared" si="104"/>
        <v>1540.6375235000012</v>
      </c>
      <c r="L323" s="10">
        <f t="shared" si="105"/>
        <v>-1050.6833706999994</v>
      </c>
      <c r="M323" s="10">
        <f t="shared" si="106"/>
        <v>489.95415279999997</v>
      </c>
      <c r="N323" s="10">
        <v>20.42189763582725</v>
      </c>
      <c r="O323" s="10">
        <v>18.257481058495816</v>
      </c>
      <c r="P323" s="10">
        <v>3730.1607955700015</v>
      </c>
      <c r="Y323" s="10" t="e">
        <f t="shared" si="100"/>
        <v>#N/A</v>
      </c>
      <c r="Z323" s="10" t="e">
        <f t="shared" si="88"/>
        <v>#N/A</v>
      </c>
      <c r="AA323" s="10" t="e">
        <f t="shared" si="89"/>
        <v>#N/A</v>
      </c>
      <c r="AB323" s="10" t="e">
        <f t="shared" si="90"/>
        <v>#N/A</v>
      </c>
      <c r="AC323" s="10" t="e">
        <f t="shared" si="91"/>
        <v>#N/A</v>
      </c>
      <c r="AE323" s="10" t="str">
        <f t="shared" si="101"/>
        <v/>
      </c>
      <c r="AF323" s="10" t="str">
        <f t="shared" si="92"/>
        <v/>
      </c>
      <c r="AG323" s="10" t="str">
        <f t="shared" si="93"/>
        <v/>
      </c>
      <c r="AH323" s="10" t="str">
        <f t="shared" si="94"/>
        <v/>
      </c>
      <c r="AI323" s="10" t="str">
        <f t="shared" si="95"/>
        <v/>
      </c>
      <c r="AK323" s="10"/>
      <c r="AL323" s="10"/>
      <c r="AM323" s="10"/>
      <c r="AN323" s="10"/>
      <c r="AO323" s="10"/>
      <c r="AQ323" s="10"/>
      <c r="AR323" s="10"/>
      <c r="AS323" s="10"/>
      <c r="AT323" s="10"/>
      <c r="AU323" s="10"/>
      <c r="AW323" s="10" t="str">
        <f t="shared" si="102"/>
        <v/>
      </c>
      <c r="AX323" s="10" t="str">
        <f t="shared" si="96"/>
        <v/>
      </c>
      <c r="AY323" s="10" t="str">
        <f t="shared" si="97"/>
        <v/>
      </c>
      <c r="AZ323" s="10" t="str">
        <f t="shared" si="98"/>
        <v/>
      </c>
      <c r="BA323" s="10" t="str">
        <f t="shared" si="99"/>
        <v/>
      </c>
    </row>
    <row r="324" spans="6:53" x14ac:dyDescent="0.2">
      <c r="F324" s="10" t="str">
        <f t="shared" si="103"/>
        <v>2018/2/7</v>
      </c>
      <c r="G324" s="14">
        <v>43138</v>
      </c>
      <c r="H324" s="10">
        <v>7.0158111999999999</v>
      </c>
      <c r="I324" s="10">
        <v>-7.9863994999999992</v>
      </c>
      <c r="J324" s="10">
        <v>-0.97058829999999985</v>
      </c>
      <c r="K324" s="10">
        <f t="shared" si="104"/>
        <v>1547.6533347000011</v>
      </c>
      <c r="L324" s="10">
        <f t="shared" si="105"/>
        <v>-1058.6697701999994</v>
      </c>
      <c r="M324" s="10">
        <f t="shared" si="106"/>
        <v>488.9835645</v>
      </c>
      <c r="N324" s="10">
        <v>19.67224718949819</v>
      </c>
      <c r="O324" s="10">
        <v>17.711111142061288</v>
      </c>
      <c r="P324" s="10">
        <v>3743.1157720200003</v>
      </c>
      <c r="Y324" s="10" t="e">
        <f t="shared" si="100"/>
        <v>#N/A</v>
      </c>
      <c r="Z324" s="10" t="e">
        <f t="shared" si="88"/>
        <v>#N/A</v>
      </c>
      <c r="AA324" s="10" t="e">
        <f t="shared" si="89"/>
        <v>#N/A</v>
      </c>
      <c r="AB324" s="10" t="e">
        <f t="shared" si="90"/>
        <v>#N/A</v>
      </c>
      <c r="AC324" s="10" t="e">
        <f t="shared" si="91"/>
        <v>#N/A</v>
      </c>
      <c r="AE324" s="10" t="str">
        <f t="shared" si="101"/>
        <v/>
      </c>
      <c r="AF324" s="10" t="str">
        <f t="shared" si="92"/>
        <v/>
      </c>
      <c r="AG324" s="10" t="str">
        <f t="shared" si="93"/>
        <v/>
      </c>
      <c r="AH324" s="10" t="str">
        <f t="shared" si="94"/>
        <v/>
      </c>
      <c r="AI324" s="10" t="str">
        <f t="shared" si="95"/>
        <v/>
      </c>
      <c r="AK324" s="10"/>
      <c r="AL324" s="10"/>
      <c r="AM324" s="10"/>
      <c r="AN324" s="10"/>
      <c r="AO324" s="10"/>
      <c r="AQ324" s="10"/>
      <c r="AR324" s="10"/>
      <c r="AS324" s="10"/>
      <c r="AT324" s="10"/>
      <c r="AU324" s="10"/>
      <c r="AW324" s="10" t="str">
        <f t="shared" si="102"/>
        <v/>
      </c>
      <c r="AX324" s="10" t="str">
        <f t="shared" si="96"/>
        <v/>
      </c>
      <c r="AY324" s="10" t="str">
        <f t="shared" si="97"/>
        <v/>
      </c>
      <c r="AZ324" s="10" t="str">
        <f t="shared" si="98"/>
        <v/>
      </c>
      <c r="BA324" s="10" t="str">
        <f t="shared" si="99"/>
        <v/>
      </c>
    </row>
    <row r="325" spans="6:53" x14ac:dyDescent="0.2">
      <c r="F325" s="10" t="str">
        <f t="shared" si="103"/>
        <v>2018/2/8</v>
      </c>
      <c r="G325" s="14">
        <v>43139</v>
      </c>
      <c r="H325" s="10">
        <v>9.8245831000000017</v>
      </c>
      <c r="I325" s="10">
        <v>-16.788764400000005</v>
      </c>
      <c r="J325" s="10">
        <v>-6.9641812999999981</v>
      </c>
      <c r="K325" s="10">
        <f t="shared" si="104"/>
        <v>1557.477917800001</v>
      </c>
      <c r="L325" s="10">
        <f t="shared" si="105"/>
        <v>-1075.4585345999994</v>
      </c>
      <c r="M325" s="10">
        <f t="shared" si="106"/>
        <v>482.01938319999999</v>
      </c>
      <c r="N325" s="10">
        <v>16.760952303402401</v>
      </c>
      <c r="O325" s="10">
        <v>15.240905292479114</v>
      </c>
      <c r="P325" s="10">
        <v>3721.9535406200002</v>
      </c>
      <c r="Y325" s="10" t="e">
        <f t="shared" si="100"/>
        <v>#N/A</v>
      </c>
      <c r="Z325" s="10" t="e">
        <f t="shared" si="88"/>
        <v>#N/A</v>
      </c>
      <c r="AA325" s="10" t="e">
        <f t="shared" si="89"/>
        <v>#N/A</v>
      </c>
      <c r="AB325" s="10" t="e">
        <f t="shared" si="90"/>
        <v>#N/A</v>
      </c>
      <c r="AC325" s="10" t="e">
        <f t="shared" si="91"/>
        <v>#N/A</v>
      </c>
      <c r="AE325" s="10" t="str">
        <f t="shared" si="101"/>
        <v/>
      </c>
      <c r="AF325" s="10" t="str">
        <f t="shared" si="92"/>
        <v/>
      </c>
      <c r="AG325" s="10" t="str">
        <f t="shared" si="93"/>
        <v/>
      </c>
      <c r="AH325" s="10" t="str">
        <f t="shared" si="94"/>
        <v/>
      </c>
      <c r="AI325" s="10" t="str">
        <f t="shared" si="95"/>
        <v/>
      </c>
      <c r="AK325" s="10"/>
      <c r="AL325" s="10"/>
      <c r="AM325" s="10"/>
      <c r="AN325" s="10"/>
      <c r="AO325" s="10"/>
      <c r="AQ325" s="10"/>
      <c r="AR325" s="10"/>
      <c r="AS325" s="10"/>
      <c r="AT325" s="10"/>
      <c r="AU325" s="10"/>
      <c r="AW325" s="10" t="str">
        <f t="shared" si="102"/>
        <v/>
      </c>
      <c r="AX325" s="10" t="str">
        <f t="shared" si="96"/>
        <v/>
      </c>
      <c r="AY325" s="10" t="str">
        <f t="shared" si="97"/>
        <v/>
      </c>
      <c r="AZ325" s="10" t="str">
        <f t="shared" si="98"/>
        <v/>
      </c>
      <c r="BA325" s="10" t="str">
        <f t="shared" si="99"/>
        <v/>
      </c>
    </row>
    <row r="326" spans="6:53" x14ac:dyDescent="0.2">
      <c r="F326" s="10" t="str">
        <f t="shared" si="103"/>
        <v>2018/2/9</v>
      </c>
      <c r="G326" s="14">
        <v>43140</v>
      </c>
      <c r="H326" s="10">
        <v>6.9529660000000026</v>
      </c>
      <c r="I326" s="10">
        <v>-10.285837400000002</v>
      </c>
      <c r="J326" s="10">
        <v>-3.3328713999999993</v>
      </c>
      <c r="K326" s="10">
        <f t="shared" si="104"/>
        <v>1564.4308838000011</v>
      </c>
      <c r="L326" s="10">
        <f t="shared" si="105"/>
        <v>-1085.7443719999994</v>
      </c>
      <c r="M326" s="10">
        <f t="shared" si="106"/>
        <v>478.68651180000001</v>
      </c>
      <c r="N326" s="10">
        <v>17.356968954443989</v>
      </c>
      <c r="O326" s="10">
        <v>15.291203621169908</v>
      </c>
      <c r="P326" s="10">
        <v>3627.9182190199981</v>
      </c>
      <c r="Y326" s="10" t="e">
        <f t="shared" si="100"/>
        <v>#N/A</v>
      </c>
      <c r="Z326" s="10" t="e">
        <f t="shared" si="88"/>
        <v>#N/A</v>
      </c>
      <c r="AA326" s="10" t="e">
        <f t="shared" si="89"/>
        <v>#N/A</v>
      </c>
      <c r="AB326" s="10" t="e">
        <f t="shared" si="90"/>
        <v>#N/A</v>
      </c>
      <c r="AC326" s="10" t="e">
        <f t="shared" si="91"/>
        <v>#N/A</v>
      </c>
      <c r="AE326" s="10" t="str">
        <f t="shared" si="101"/>
        <v/>
      </c>
      <c r="AF326" s="10" t="str">
        <f t="shared" si="92"/>
        <v/>
      </c>
      <c r="AG326" s="10" t="str">
        <f t="shared" si="93"/>
        <v/>
      </c>
      <c r="AH326" s="10" t="str">
        <f t="shared" si="94"/>
        <v/>
      </c>
      <c r="AI326" s="10" t="str">
        <f t="shared" si="95"/>
        <v/>
      </c>
      <c r="AK326" s="10"/>
      <c r="AL326" s="10"/>
      <c r="AM326" s="10"/>
      <c r="AN326" s="10"/>
      <c r="AO326" s="10"/>
      <c r="AQ326" s="10"/>
      <c r="AR326" s="10"/>
      <c r="AS326" s="10"/>
      <c r="AT326" s="10"/>
      <c r="AU326" s="10"/>
      <c r="AW326" s="10" t="str">
        <f t="shared" si="102"/>
        <v/>
      </c>
      <c r="AX326" s="10" t="str">
        <f t="shared" si="96"/>
        <v/>
      </c>
      <c r="AY326" s="10" t="str">
        <f t="shared" si="97"/>
        <v/>
      </c>
      <c r="AZ326" s="10" t="str">
        <f t="shared" si="98"/>
        <v/>
      </c>
      <c r="BA326" s="10" t="str">
        <f t="shared" si="99"/>
        <v/>
      </c>
    </row>
    <row r="327" spans="6:53" x14ac:dyDescent="0.2">
      <c r="F327" s="10" t="str">
        <f t="shared" si="103"/>
        <v>2018/2/12</v>
      </c>
      <c r="G327" s="14">
        <v>43143</v>
      </c>
      <c r="H327" s="10">
        <v>11.465194399999998</v>
      </c>
      <c r="I327" s="10">
        <v>-5.5177803999999995</v>
      </c>
      <c r="J327" s="10">
        <v>5.9474140000000011</v>
      </c>
      <c r="K327" s="10">
        <f t="shared" si="104"/>
        <v>1575.8960782000011</v>
      </c>
      <c r="L327" s="10">
        <f t="shared" si="105"/>
        <v>-1091.2621523999994</v>
      </c>
      <c r="M327" s="10">
        <f t="shared" si="106"/>
        <v>484.63392579999999</v>
      </c>
      <c r="N327" s="10">
        <v>18.654243689870992</v>
      </c>
      <c r="O327" s="10">
        <v>16.509047771587749</v>
      </c>
      <c r="P327" s="10">
        <v>3641.4248408199978</v>
      </c>
      <c r="Y327" s="10" t="e">
        <f t="shared" si="100"/>
        <v>#N/A</v>
      </c>
      <c r="Z327" s="10" t="e">
        <f t="shared" si="88"/>
        <v>#N/A</v>
      </c>
      <c r="AA327" s="10" t="e">
        <f t="shared" si="89"/>
        <v>#N/A</v>
      </c>
      <c r="AB327" s="10" t="e">
        <f t="shared" si="90"/>
        <v>#N/A</v>
      </c>
      <c r="AC327" s="10" t="e">
        <f t="shared" si="91"/>
        <v>#N/A</v>
      </c>
      <c r="AE327" s="10" t="str">
        <f t="shared" si="101"/>
        <v/>
      </c>
      <c r="AF327" s="10" t="str">
        <f t="shared" si="92"/>
        <v/>
      </c>
      <c r="AG327" s="10" t="str">
        <f t="shared" si="93"/>
        <v/>
      </c>
      <c r="AH327" s="10" t="str">
        <f t="shared" si="94"/>
        <v/>
      </c>
      <c r="AI327" s="10" t="str">
        <f t="shared" si="95"/>
        <v/>
      </c>
      <c r="AK327" s="10"/>
      <c r="AL327" s="10"/>
      <c r="AM327" s="10"/>
      <c r="AN327" s="10"/>
      <c r="AO327" s="10"/>
      <c r="AQ327" s="10"/>
      <c r="AR327" s="10"/>
      <c r="AS327" s="10"/>
      <c r="AT327" s="10"/>
      <c r="AU327" s="10"/>
      <c r="AW327" s="10" t="str">
        <f t="shared" si="102"/>
        <v/>
      </c>
      <c r="AX327" s="10" t="str">
        <f t="shared" si="96"/>
        <v/>
      </c>
      <c r="AY327" s="10" t="str">
        <f t="shared" si="97"/>
        <v/>
      </c>
      <c r="AZ327" s="10" t="str">
        <f t="shared" si="98"/>
        <v/>
      </c>
      <c r="BA327" s="10" t="str">
        <f t="shared" si="99"/>
        <v/>
      </c>
    </row>
    <row r="328" spans="6:53" x14ac:dyDescent="0.2">
      <c r="F328" s="10" t="str">
        <f t="shared" si="103"/>
        <v>2018/2/13</v>
      </c>
      <c r="G328" s="14">
        <v>43144</v>
      </c>
      <c r="H328" s="10">
        <v>4.8414301000000002</v>
      </c>
      <c r="I328" s="10">
        <v>-8.3945630999999974</v>
      </c>
      <c r="J328" s="10">
        <v>-3.5531329999999994</v>
      </c>
      <c r="K328" s="10">
        <f t="shared" si="104"/>
        <v>1580.7375083000011</v>
      </c>
      <c r="L328" s="10">
        <f t="shared" si="105"/>
        <v>-1099.6567154999993</v>
      </c>
      <c r="M328" s="10">
        <f t="shared" si="106"/>
        <v>481.08079279999998</v>
      </c>
      <c r="N328" s="10">
        <v>18.889562767466156</v>
      </c>
      <c r="O328" s="10">
        <v>16.710278710704337</v>
      </c>
      <c r="P328" s="10">
        <v>3685.0987115699991</v>
      </c>
      <c r="Y328" s="10" t="e">
        <f t="shared" si="100"/>
        <v>#N/A</v>
      </c>
      <c r="Z328" s="10" t="e">
        <f t="shared" si="88"/>
        <v>#N/A</v>
      </c>
      <c r="AA328" s="10" t="e">
        <f t="shared" si="89"/>
        <v>#N/A</v>
      </c>
      <c r="AB328" s="10" t="e">
        <f t="shared" si="90"/>
        <v>#N/A</v>
      </c>
      <c r="AC328" s="10" t="e">
        <f t="shared" si="91"/>
        <v>#N/A</v>
      </c>
      <c r="AE328" s="10" t="str">
        <f t="shared" si="101"/>
        <v/>
      </c>
      <c r="AF328" s="10" t="str">
        <f t="shared" si="92"/>
        <v/>
      </c>
      <c r="AG328" s="10" t="str">
        <f t="shared" si="93"/>
        <v/>
      </c>
      <c r="AH328" s="10" t="str">
        <f t="shared" si="94"/>
        <v/>
      </c>
      <c r="AI328" s="10" t="str">
        <f t="shared" si="95"/>
        <v/>
      </c>
      <c r="AK328" s="10"/>
      <c r="AL328" s="10"/>
      <c r="AM328" s="10"/>
      <c r="AN328" s="10"/>
      <c r="AO328" s="10"/>
      <c r="AQ328" s="10"/>
      <c r="AR328" s="10"/>
      <c r="AS328" s="10"/>
      <c r="AT328" s="10"/>
      <c r="AU328" s="10"/>
      <c r="AW328" s="10" t="str">
        <f t="shared" si="102"/>
        <v/>
      </c>
      <c r="AX328" s="10" t="str">
        <f t="shared" si="96"/>
        <v/>
      </c>
      <c r="AY328" s="10" t="str">
        <f t="shared" si="97"/>
        <v/>
      </c>
      <c r="AZ328" s="10" t="str">
        <f t="shared" si="98"/>
        <v/>
      </c>
      <c r="BA328" s="10" t="str">
        <f t="shared" si="99"/>
        <v/>
      </c>
    </row>
    <row r="329" spans="6:53" x14ac:dyDescent="0.2">
      <c r="F329" s="10" t="str">
        <f t="shared" si="103"/>
        <v>2018/2/14</v>
      </c>
      <c r="G329" s="14">
        <v>43145</v>
      </c>
      <c r="H329" s="10">
        <v>6.3680040999999994</v>
      </c>
      <c r="I329" s="10">
        <v>-7.6025466999999987</v>
      </c>
      <c r="J329" s="10">
        <v>-1.2345426000000006</v>
      </c>
      <c r="K329" s="10">
        <f t="shared" si="104"/>
        <v>1587.1055124000011</v>
      </c>
      <c r="L329" s="10">
        <f t="shared" si="105"/>
        <v>-1107.2592621999993</v>
      </c>
      <c r="M329" s="10">
        <f t="shared" si="106"/>
        <v>479.84625019999999</v>
      </c>
      <c r="N329" s="10">
        <v>20.409207980571807</v>
      </c>
      <c r="O329" s="10">
        <v>18.025334023079981</v>
      </c>
      <c r="P329" s="10">
        <v>3690.2763469128581</v>
      </c>
      <c r="Y329" s="10" t="e">
        <f t="shared" si="100"/>
        <v>#N/A</v>
      </c>
      <c r="Z329" s="10" t="e">
        <f t="shared" si="88"/>
        <v>#N/A</v>
      </c>
      <c r="AA329" s="10" t="e">
        <f t="shared" si="89"/>
        <v>#N/A</v>
      </c>
      <c r="AB329" s="10" t="e">
        <f t="shared" si="90"/>
        <v>#N/A</v>
      </c>
      <c r="AC329" s="10" t="e">
        <f t="shared" si="91"/>
        <v>#N/A</v>
      </c>
      <c r="AE329" s="10" t="str">
        <f t="shared" si="101"/>
        <v/>
      </c>
      <c r="AF329" s="10" t="str">
        <f t="shared" si="92"/>
        <v/>
      </c>
      <c r="AG329" s="10" t="str">
        <f t="shared" si="93"/>
        <v/>
      </c>
      <c r="AH329" s="10" t="str">
        <f t="shared" si="94"/>
        <v/>
      </c>
      <c r="AI329" s="10" t="str">
        <f t="shared" si="95"/>
        <v/>
      </c>
      <c r="AK329" s="10"/>
      <c r="AL329" s="10"/>
      <c r="AM329" s="10"/>
      <c r="AN329" s="10"/>
      <c r="AO329" s="10"/>
      <c r="AQ329" s="10"/>
      <c r="AR329" s="10"/>
      <c r="AS329" s="10"/>
      <c r="AT329" s="10"/>
      <c r="AU329" s="10"/>
      <c r="AW329" s="10" t="str">
        <f t="shared" si="102"/>
        <v/>
      </c>
      <c r="AX329" s="10" t="str">
        <f t="shared" si="96"/>
        <v/>
      </c>
      <c r="AY329" s="10" t="str">
        <f t="shared" si="97"/>
        <v/>
      </c>
      <c r="AZ329" s="10" t="str">
        <f t="shared" si="98"/>
        <v/>
      </c>
      <c r="BA329" s="10" t="str">
        <f t="shared" si="99"/>
        <v/>
      </c>
    </row>
    <row r="330" spans="6:53" x14ac:dyDescent="0.2">
      <c r="F330" s="10" t="str">
        <f t="shared" si="103"/>
        <v>2018/2/15</v>
      </c>
      <c r="G330" s="14">
        <v>43146</v>
      </c>
      <c r="H330" s="10">
        <v>7.2790928000000026</v>
      </c>
      <c r="I330" s="10">
        <v>-2.2674363000000004</v>
      </c>
      <c r="J330" s="10">
        <v>5.0116565000000008</v>
      </c>
      <c r="K330" s="10">
        <f t="shared" si="104"/>
        <v>1594.384605200001</v>
      </c>
      <c r="L330" s="10">
        <f t="shared" si="105"/>
        <v>-1109.5266984999994</v>
      </c>
      <c r="M330" s="10">
        <f t="shared" si="106"/>
        <v>484.8579067</v>
      </c>
      <c r="N330" s="10">
        <v>21.708654138105512</v>
      </c>
      <c r="O330" s="10">
        <v>19.074886132113015</v>
      </c>
      <c r="P330" s="10">
        <v>3733.9127575057128</v>
      </c>
      <c r="Y330" s="10" t="e">
        <f t="shared" si="100"/>
        <v>#N/A</v>
      </c>
      <c r="Z330" s="10" t="e">
        <f t="shared" si="88"/>
        <v>#N/A</v>
      </c>
      <c r="AA330" s="10" t="e">
        <f t="shared" si="89"/>
        <v>#N/A</v>
      </c>
      <c r="AB330" s="10" t="e">
        <f t="shared" si="90"/>
        <v>#N/A</v>
      </c>
      <c r="AC330" s="10" t="e">
        <f t="shared" si="91"/>
        <v>#N/A</v>
      </c>
      <c r="AE330" s="10" t="str">
        <f t="shared" si="101"/>
        <v/>
      </c>
      <c r="AF330" s="10" t="str">
        <f t="shared" si="92"/>
        <v/>
      </c>
      <c r="AG330" s="10" t="str">
        <f t="shared" si="93"/>
        <v/>
      </c>
      <c r="AH330" s="10" t="str">
        <f t="shared" si="94"/>
        <v/>
      </c>
      <c r="AI330" s="10" t="str">
        <f t="shared" si="95"/>
        <v/>
      </c>
      <c r="AK330" s="10"/>
      <c r="AL330" s="10"/>
      <c r="AM330" s="10"/>
      <c r="AN330" s="10"/>
      <c r="AO330" s="10"/>
      <c r="AQ330" s="10"/>
      <c r="AR330" s="10"/>
      <c r="AS330" s="10"/>
      <c r="AT330" s="10"/>
      <c r="AU330" s="10"/>
      <c r="AW330" s="10" t="str">
        <f t="shared" si="102"/>
        <v/>
      </c>
      <c r="AX330" s="10" t="str">
        <f t="shared" si="96"/>
        <v/>
      </c>
      <c r="AY330" s="10" t="str">
        <f t="shared" si="97"/>
        <v/>
      </c>
      <c r="AZ330" s="10" t="str">
        <f t="shared" si="98"/>
        <v/>
      </c>
      <c r="BA330" s="10" t="str">
        <f t="shared" si="99"/>
        <v/>
      </c>
    </row>
    <row r="331" spans="6:53" x14ac:dyDescent="0.2">
      <c r="F331" s="10" t="str">
        <f t="shared" si="103"/>
        <v>2018/2/16</v>
      </c>
      <c r="G331" s="14">
        <v>43147</v>
      </c>
      <c r="H331" s="10">
        <v>4.2583316999999994</v>
      </c>
      <c r="I331" s="10">
        <v>-8.9526268000000009</v>
      </c>
      <c r="J331" s="10">
        <v>-4.6942951000000006</v>
      </c>
      <c r="K331" s="10">
        <f t="shared" si="104"/>
        <v>1598.6429369000011</v>
      </c>
      <c r="L331" s="10">
        <f t="shared" si="105"/>
        <v>-1118.4793252999993</v>
      </c>
      <c r="M331" s="10">
        <f t="shared" si="106"/>
        <v>480.16361160000002</v>
      </c>
      <c r="N331" s="10">
        <v>22.036228683419715</v>
      </c>
      <c r="O331" s="10">
        <v>19.439602493699436</v>
      </c>
      <c r="P331" s="10">
        <v>3775.8227306152367</v>
      </c>
      <c r="Y331" s="10" t="e">
        <f t="shared" si="100"/>
        <v>#N/A</v>
      </c>
      <c r="Z331" s="10" t="e">
        <f t="shared" ref="Z331:Z394" si="107">IF($W$5=1,IF(AL331="",NA(),AL331),IF($W$5=2,IF(AF331="",NA(),AF331),IF($W$5=3,IF(AX331="",NA(),AX331),IF($W$5=4,IF(AR331="",NA(),AR331)))))</f>
        <v>#N/A</v>
      </c>
      <c r="AA331" s="10" t="e">
        <f t="shared" ref="AA331:AA394" si="108">IF($W$5=1,IF(AM331="",NA(),AM331),IF($W$5=2,IF(AG331="",NA(),AG331),IF($W$5=3,IF(AY331="",NA(),AY331),IF($W$5=4,IF(AS331="",NA(),AS331)))))</f>
        <v>#N/A</v>
      </c>
      <c r="AB331" s="10" t="e">
        <f t="shared" ref="AB331:AB394" si="109">IF($W$5=1,IF(AN331="",NA(),AN331),IF($W$5=2,IF(AH331="",NA(),AH331),IF($W$5=3,IF(AZ331="",NA(),AZ331),IF($W$5=4,IF(AT331="",NA(),AT331)))))</f>
        <v>#N/A</v>
      </c>
      <c r="AC331" s="10" t="e">
        <f t="shared" ref="AC331:AC394" si="110">IF($W$5=1,IF(AO331="",NA(),AO331),IF($W$5=2,IF(AI331="",NA(),AI331),IF($W$5=3,IF(BA331="",NA(),BA331),IF($W$5=4,IF(AU331="",NA(),AU331)))))</f>
        <v>#N/A</v>
      </c>
      <c r="AE331" s="10" t="str">
        <f t="shared" si="101"/>
        <v/>
      </c>
      <c r="AF331" s="10" t="str">
        <f t="shared" ref="AF331:AF394" si="111">IF(AL331="","",AL331/AR331*100)</f>
        <v/>
      </c>
      <c r="AG331" s="10" t="str">
        <f t="shared" ref="AG331:AG394" si="112">IF(AM331="","",AM331/AS331*100)</f>
        <v/>
      </c>
      <c r="AH331" s="10" t="str">
        <f t="shared" ref="AH331:AH394" si="113">IF(AN331="","",AN331/AT331*100)</f>
        <v/>
      </c>
      <c r="AI331" s="10" t="str">
        <f t="shared" ref="AI331:AI394" si="114">IF(AO331="","",AO331/AU331*100)</f>
        <v/>
      </c>
      <c r="AK331" s="10"/>
      <c r="AL331" s="10"/>
      <c r="AM331" s="10"/>
      <c r="AN331" s="10"/>
      <c r="AO331" s="10"/>
      <c r="AQ331" s="10"/>
      <c r="AR331" s="10"/>
      <c r="AS331" s="10"/>
      <c r="AT331" s="10"/>
      <c r="AU331" s="10"/>
      <c r="AW331" s="10" t="str">
        <f t="shared" si="102"/>
        <v/>
      </c>
      <c r="AX331" s="10" t="str">
        <f t="shared" ref="AX331:AX394" si="115">IF(AL$11="","",100+AF331)</f>
        <v/>
      </c>
      <c r="AY331" s="10" t="str">
        <f t="shared" ref="AY331:AY394" si="116">IF(AM$11="","",100+AG331)</f>
        <v/>
      </c>
      <c r="AZ331" s="10" t="str">
        <f t="shared" ref="AZ331:AZ394" si="117">IF(AN$11="","",100+AH331)</f>
        <v/>
      </c>
      <c r="BA331" s="10" t="str">
        <f t="shared" ref="BA331:BA394" si="118">IF(AO$11="","",100+AI331)</f>
        <v/>
      </c>
    </row>
    <row r="332" spans="6:53" x14ac:dyDescent="0.2">
      <c r="F332" s="10" t="str">
        <f t="shared" si="103"/>
        <v>2018/2/19</v>
      </c>
      <c r="G332" s="14">
        <v>43150</v>
      </c>
      <c r="H332" s="10">
        <v>0.7117542</v>
      </c>
      <c r="I332" s="10">
        <v>-0.58619520000000003</v>
      </c>
      <c r="J332" s="10">
        <v>0.12555900000000003</v>
      </c>
      <c r="K332" s="10">
        <f t="shared" si="104"/>
        <v>1599.3546911000012</v>
      </c>
      <c r="L332" s="10">
        <f t="shared" si="105"/>
        <v>-1119.0655204999994</v>
      </c>
      <c r="M332" s="10">
        <f t="shared" si="106"/>
        <v>480.28917060000003</v>
      </c>
      <c r="N332" s="10">
        <v>21.788472152247675</v>
      </c>
      <c r="O332" s="10">
        <v>19.100759245257997</v>
      </c>
      <c r="P332" s="10">
        <v>3780.9717806914286</v>
      </c>
      <c r="Y332" s="10" t="e">
        <f t="shared" ref="Y332:Y395" si="119">IF($W$5=1,IF(AK332="",NA(),AK332),IF($W$5=2,IF(AE332="",NA(),AE332),IF($W$5=3,IF(AW332="",NA(),AW332),IF($W$5=4,IF(AQ332="",NA(),AQ332)))))</f>
        <v>#N/A</v>
      </c>
      <c r="Z332" s="10" t="e">
        <f t="shared" si="107"/>
        <v>#N/A</v>
      </c>
      <c r="AA332" s="10" t="e">
        <f t="shared" si="108"/>
        <v>#N/A</v>
      </c>
      <c r="AB332" s="10" t="e">
        <f t="shared" si="109"/>
        <v>#N/A</v>
      </c>
      <c r="AC332" s="10" t="e">
        <f t="shared" si="110"/>
        <v>#N/A</v>
      </c>
      <c r="AE332" s="10" t="str">
        <f t="shared" ref="AE332:AE395" si="120">IF(AK332="","",AK332/AQ332*100)</f>
        <v/>
      </c>
      <c r="AF332" s="10" t="str">
        <f t="shared" si="111"/>
        <v/>
      </c>
      <c r="AG332" s="10" t="str">
        <f t="shared" si="112"/>
        <v/>
      </c>
      <c r="AH332" s="10" t="str">
        <f t="shared" si="113"/>
        <v/>
      </c>
      <c r="AI332" s="10" t="str">
        <f t="shared" si="114"/>
        <v/>
      </c>
      <c r="AK332" s="10"/>
      <c r="AL332" s="10"/>
      <c r="AM332" s="10"/>
      <c r="AN332" s="10"/>
      <c r="AO332" s="10"/>
      <c r="AQ332" s="10"/>
      <c r="AR332" s="10"/>
      <c r="AS332" s="10"/>
      <c r="AT332" s="10"/>
      <c r="AU332" s="10"/>
      <c r="AW332" s="10" t="str">
        <f t="shared" ref="AW332:AW395" si="121">IF(AK$11="","",100+AE332)</f>
        <v/>
      </c>
      <c r="AX332" s="10" t="str">
        <f t="shared" si="115"/>
        <v/>
      </c>
      <c r="AY332" s="10" t="str">
        <f t="shared" si="116"/>
        <v/>
      </c>
      <c r="AZ332" s="10" t="str">
        <f t="shared" si="117"/>
        <v/>
      </c>
      <c r="BA332" s="10" t="str">
        <f t="shared" si="118"/>
        <v/>
      </c>
    </row>
    <row r="333" spans="6:53" x14ac:dyDescent="0.2">
      <c r="F333" s="10" t="str">
        <f t="shared" si="103"/>
        <v>2018/2/20</v>
      </c>
      <c r="G333" s="14">
        <v>43151</v>
      </c>
      <c r="H333" s="10">
        <v>5.0456978999999986</v>
      </c>
      <c r="I333" s="10">
        <v>-3.6409355000000003</v>
      </c>
      <c r="J333" s="10">
        <v>1.4047624000000001</v>
      </c>
      <c r="K333" s="10">
        <f t="shared" si="104"/>
        <v>1604.4003890000013</v>
      </c>
      <c r="L333" s="10">
        <f t="shared" si="105"/>
        <v>-1122.7064559999994</v>
      </c>
      <c r="M333" s="10">
        <f t="shared" si="106"/>
        <v>481.69393300000002</v>
      </c>
      <c r="N333" s="10">
        <v>21.279712436216311</v>
      </c>
      <c r="O333" s="10">
        <v>18.667695105451642</v>
      </c>
      <c r="P333" s="10">
        <v>3773.1997608176184</v>
      </c>
      <c r="Y333" s="10" t="e">
        <f t="shared" si="119"/>
        <v>#N/A</v>
      </c>
      <c r="Z333" s="10" t="e">
        <f t="shared" si="107"/>
        <v>#N/A</v>
      </c>
      <c r="AA333" s="10" t="e">
        <f t="shared" si="108"/>
        <v>#N/A</v>
      </c>
      <c r="AB333" s="10" t="e">
        <f t="shared" si="109"/>
        <v>#N/A</v>
      </c>
      <c r="AC333" s="10" t="e">
        <f t="shared" si="110"/>
        <v>#N/A</v>
      </c>
      <c r="AE333" s="10" t="str">
        <f t="shared" si="120"/>
        <v/>
      </c>
      <c r="AF333" s="10" t="str">
        <f t="shared" si="111"/>
        <v/>
      </c>
      <c r="AG333" s="10" t="str">
        <f t="shared" si="112"/>
        <v/>
      </c>
      <c r="AH333" s="10" t="str">
        <f t="shared" si="113"/>
        <v/>
      </c>
      <c r="AI333" s="10" t="str">
        <f t="shared" si="114"/>
        <v/>
      </c>
      <c r="AK333" s="10"/>
      <c r="AL333" s="10"/>
      <c r="AM333" s="10"/>
      <c r="AN333" s="10"/>
      <c r="AO333" s="10"/>
      <c r="AQ333" s="10"/>
      <c r="AR333" s="10"/>
      <c r="AS333" s="10"/>
      <c r="AT333" s="10"/>
      <c r="AU333" s="10"/>
      <c r="AW333" s="10" t="str">
        <f t="shared" si="121"/>
        <v/>
      </c>
      <c r="AX333" s="10" t="str">
        <f t="shared" si="115"/>
        <v/>
      </c>
      <c r="AY333" s="10" t="str">
        <f t="shared" si="116"/>
        <v/>
      </c>
      <c r="AZ333" s="10" t="str">
        <f t="shared" si="117"/>
        <v/>
      </c>
      <c r="BA333" s="10" t="str">
        <f t="shared" si="118"/>
        <v/>
      </c>
    </row>
    <row r="334" spans="6:53" x14ac:dyDescent="0.2">
      <c r="F334" s="10" t="str">
        <f t="shared" si="103"/>
        <v>2018/2/21</v>
      </c>
      <c r="G334" s="14">
        <v>43152</v>
      </c>
      <c r="H334" s="10">
        <v>8.0901934000000004</v>
      </c>
      <c r="I334" s="10">
        <v>-3.0767964999999999</v>
      </c>
      <c r="J334" s="10">
        <v>5.0133969000000027</v>
      </c>
      <c r="K334" s="10">
        <f t="shared" si="104"/>
        <v>1612.4905824000014</v>
      </c>
      <c r="L334" s="10">
        <f t="shared" si="105"/>
        <v>-1125.7832524999994</v>
      </c>
      <c r="M334" s="10">
        <f t="shared" si="106"/>
        <v>486.70732989999999</v>
      </c>
      <c r="N334" s="10">
        <v>20.933916924645178</v>
      </c>
      <c r="O334" s="10">
        <v>18.426547214484678</v>
      </c>
      <c r="P334" s="10">
        <v>3758.4130440104736</v>
      </c>
      <c r="Y334" s="10" t="e">
        <f t="shared" si="119"/>
        <v>#N/A</v>
      </c>
      <c r="Z334" s="10" t="e">
        <f t="shared" si="107"/>
        <v>#N/A</v>
      </c>
      <c r="AA334" s="10" t="e">
        <f t="shared" si="108"/>
        <v>#N/A</v>
      </c>
      <c r="AB334" s="10" t="e">
        <f t="shared" si="109"/>
        <v>#N/A</v>
      </c>
      <c r="AC334" s="10" t="e">
        <f t="shared" si="110"/>
        <v>#N/A</v>
      </c>
      <c r="AE334" s="10" t="str">
        <f t="shared" si="120"/>
        <v/>
      </c>
      <c r="AF334" s="10" t="str">
        <f t="shared" si="111"/>
        <v/>
      </c>
      <c r="AG334" s="10" t="str">
        <f t="shared" si="112"/>
        <v/>
      </c>
      <c r="AH334" s="10" t="str">
        <f t="shared" si="113"/>
        <v/>
      </c>
      <c r="AI334" s="10" t="str">
        <f t="shared" si="114"/>
        <v/>
      </c>
      <c r="AK334" s="10"/>
      <c r="AL334" s="10"/>
      <c r="AM334" s="10"/>
      <c r="AN334" s="10"/>
      <c r="AO334" s="10"/>
      <c r="AQ334" s="10"/>
      <c r="AR334" s="10"/>
      <c r="AS334" s="10"/>
      <c r="AT334" s="10"/>
      <c r="AU334" s="10"/>
      <c r="AW334" s="10" t="str">
        <f t="shared" si="121"/>
        <v/>
      </c>
      <c r="AX334" s="10" t="str">
        <f t="shared" si="115"/>
        <v/>
      </c>
      <c r="AY334" s="10" t="str">
        <f t="shared" si="116"/>
        <v/>
      </c>
      <c r="AZ334" s="10" t="str">
        <f t="shared" si="117"/>
        <v/>
      </c>
      <c r="BA334" s="10" t="str">
        <f t="shared" si="118"/>
        <v/>
      </c>
    </row>
    <row r="335" spans="6:53" x14ac:dyDescent="0.2">
      <c r="F335" s="10" t="str">
        <f t="shared" si="103"/>
        <v>2018/2/22</v>
      </c>
      <c r="G335" s="14">
        <v>43153</v>
      </c>
      <c r="H335" s="10">
        <v>2.8904976999999996</v>
      </c>
      <c r="I335" s="10">
        <v>-6.6998999000000001</v>
      </c>
      <c r="J335" s="10">
        <v>-3.8094021999999992</v>
      </c>
      <c r="K335" s="10">
        <f t="shared" si="104"/>
        <v>1615.3810801000013</v>
      </c>
      <c r="L335" s="10">
        <f t="shared" si="105"/>
        <v>-1132.4831523999994</v>
      </c>
      <c r="M335" s="10">
        <f t="shared" si="106"/>
        <v>482.89792769999997</v>
      </c>
      <c r="N335" s="10">
        <v>21.012678348845483</v>
      </c>
      <c r="O335" s="10">
        <v>18.44541448467967</v>
      </c>
      <c r="P335" s="10">
        <v>3751.2472787866659</v>
      </c>
      <c r="Y335" s="10" t="e">
        <f t="shared" si="119"/>
        <v>#N/A</v>
      </c>
      <c r="Z335" s="10" t="e">
        <f t="shared" si="107"/>
        <v>#N/A</v>
      </c>
      <c r="AA335" s="10" t="e">
        <f t="shared" si="108"/>
        <v>#N/A</v>
      </c>
      <c r="AB335" s="10" t="e">
        <f t="shared" si="109"/>
        <v>#N/A</v>
      </c>
      <c r="AC335" s="10" t="e">
        <f t="shared" si="110"/>
        <v>#N/A</v>
      </c>
      <c r="AE335" s="10" t="str">
        <f t="shared" si="120"/>
        <v/>
      </c>
      <c r="AF335" s="10" t="str">
        <f t="shared" si="111"/>
        <v/>
      </c>
      <c r="AG335" s="10" t="str">
        <f t="shared" si="112"/>
        <v/>
      </c>
      <c r="AH335" s="10" t="str">
        <f t="shared" si="113"/>
        <v/>
      </c>
      <c r="AI335" s="10" t="str">
        <f t="shared" si="114"/>
        <v/>
      </c>
      <c r="AK335" s="10"/>
      <c r="AL335" s="10"/>
      <c r="AM335" s="10"/>
      <c r="AN335" s="10"/>
      <c r="AO335" s="10"/>
      <c r="AQ335" s="10"/>
      <c r="AR335" s="10"/>
      <c r="AS335" s="10"/>
      <c r="AT335" s="10"/>
      <c r="AU335" s="10"/>
      <c r="AW335" s="10" t="str">
        <f t="shared" si="121"/>
        <v/>
      </c>
      <c r="AX335" s="10" t="str">
        <f t="shared" si="115"/>
        <v/>
      </c>
      <c r="AY335" s="10" t="str">
        <f t="shared" si="116"/>
        <v/>
      </c>
      <c r="AZ335" s="10" t="str">
        <f t="shared" si="117"/>
        <v/>
      </c>
      <c r="BA335" s="10" t="str">
        <f t="shared" si="118"/>
        <v/>
      </c>
    </row>
    <row r="336" spans="6:53" x14ac:dyDescent="0.2">
      <c r="F336" s="10" t="str">
        <f t="shared" si="103"/>
        <v>2018/2/23</v>
      </c>
      <c r="G336" s="14">
        <v>43154</v>
      </c>
      <c r="H336" s="10">
        <v>6.3154908999999995</v>
      </c>
      <c r="I336" s="10">
        <v>-5.1591913000000007</v>
      </c>
      <c r="J336" s="10">
        <v>1.1562996000000008</v>
      </c>
      <c r="K336" s="10">
        <f t="shared" si="104"/>
        <v>1621.6965710000013</v>
      </c>
      <c r="L336" s="10">
        <f t="shared" si="105"/>
        <v>-1137.6423436999994</v>
      </c>
      <c r="M336" s="10">
        <f t="shared" si="106"/>
        <v>484.05422729999998</v>
      </c>
      <c r="N336" s="10">
        <v>22.422334920953098</v>
      </c>
      <c r="O336" s="10">
        <v>19.488162395543178</v>
      </c>
      <c r="P336" s="10">
        <v>3752.6786597200007</v>
      </c>
      <c r="Y336" s="10" t="e">
        <f t="shared" si="119"/>
        <v>#N/A</v>
      </c>
      <c r="Z336" s="10" t="e">
        <f t="shared" si="107"/>
        <v>#N/A</v>
      </c>
      <c r="AA336" s="10" t="e">
        <f t="shared" si="108"/>
        <v>#N/A</v>
      </c>
      <c r="AB336" s="10" t="e">
        <f t="shared" si="109"/>
        <v>#N/A</v>
      </c>
      <c r="AC336" s="10" t="e">
        <f t="shared" si="110"/>
        <v>#N/A</v>
      </c>
      <c r="AE336" s="10" t="str">
        <f t="shared" si="120"/>
        <v/>
      </c>
      <c r="AF336" s="10" t="str">
        <f t="shared" si="111"/>
        <v/>
      </c>
      <c r="AG336" s="10" t="str">
        <f t="shared" si="112"/>
        <v/>
      </c>
      <c r="AH336" s="10" t="str">
        <f t="shared" si="113"/>
        <v/>
      </c>
      <c r="AI336" s="10" t="str">
        <f t="shared" si="114"/>
        <v/>
      </c>
      <c r="AK336" s="10"/>
      <c r="AL336" s="10"/>
      <c r="AM336" s="10"/>
      <c r="AN336" s="10"/>
      <c r="AO336" s="10"/>
      <c r="AQ336" s="10"/>
      <c r="AR336" s="10"/>
      <c r="AS336" s="10"/>
      <c r="AT336" s="10"/>
      <c r="AU336" s="10"/>
      <c r="AW336" s="10" t="str">
        <f t="shared" si="121"/>
        <v/>
      </c>
      <c r="AX336" s="10" t="str">
        <f t="shared" si="115"/>
        <v/>
      </c>
      <c r="AY336" s="10" t="str">
        <f t="shared" si="116"/>
        <v/>
      </c>
      <c r="AZ336" s="10" t="str">
        <f t="shared" si="117"/>
        <v/>
      </c>
      <c r="BA336" s="10" t="str">
        <f t="shared" si="118"/>
        <v/>
      </c>
    </row>
    <row r="337" spans="6:53" x14ac:dyDescent="0.2">
      <c r="F337" s="10" t="str">
        <f t="shared" si="103"/>
        <v>2018/2/26</v>
      </c>
      <c r="G337" s="14">
        <v>43157</v>
      </c>
      <c r="H337" s="10">
        <v>10.428358100000001</v>
      </c>
      <c r="I337" s="10">
        <v>-2.2090337000000004</v>
      </c>
      <c r="J337" s="10">
        <v>8.2193244000000014</v>
      </c>
      <c r="K337" s="10">
        <f t="shared" si="104"/>
        <v>1632.1249291000013</v>
      </c>
      <c r="L337" s="10">
        <f t="shared" si="105"/>
        <v>-1139.8513773999994</v>
      </c>
      <c r="M337" s="10">
        <f t="shared" si="106"/>
        <v>492.27355169999998</v>
      </c>
      <c r="N337" s="10">
        <v>23.4637115354146</v>
      </c>
      <c r="O337" s="10">
        <v>20.344562116991632</v>
      </c>
      <c r="P337" s="10">
        <v>3794.3811233199999</v>
      </c>
      <c r="Y337" s="10" t="e">
        <f t="shared" si="119"/>
        <v>#N/A</v>
      </c>
      <c r="Z337" s="10" t="e">
        <f t="shared" si="107"/>
        <v>#N/A</v>
      </c>
      <c r="AA337" s="10" t="e">
        <f t="shared" si="108"/>
        <v>#N/A</v>
      </c>
      <c r="AB337" s="10" t="e">
        <f t="shared" si="109"/>
        <v>#N/A</v>
      </c>
      <c r="AC337" s="10" t="e">
        <f t="shared" si="110"/>
        <v>#N/A</v>
      </c>
      <c r="AE337" s="10" t="str">
        <f t="shared" si="120"/>
        <v/>
      </c>
      <c r="AF337" s="10" t="str">
        <f t="shared" si="111"/>
        <v/>
      </c>
      <c r="AG337" s="10" t="str">
        <f t="shared" si="112"/>
        <v/>
      </c>
      <c r="AH337" s="10" t="str">
        <f t="shared" si="113"/>
        <v/>
      </c>
      <c r="AI337" s="10" t="str">
        <f t="shared" si="114"/>
        <v/>
      </c>
      <c r="AK337" s="10"/>
      <c r="AL337" s="10"/>
      <c r="AM337" s="10"/>
      <c r="AN337" s="10"/>
      <c r="AO337" s="10"/>
      <c r="AQ337" s="10"/>
      <c r="AR337" s="10"/>
      <c r="AS337" s="10"/>
      <c r="AT337" s="10"/>
      <c r="AU337" s="10"/>
      <c r="AW337" s="10" t="str">
        <f t="shared" si="121"/>
        <v/>
      </c>
      <c r="AX337" s="10" t="str">
        <f t="shared" si="115"/>
        <v/>
      </c>
      <c r="AY337" s="10" t="str">
        <f t="shared" si="116"/>
        <v/>
      </c>
      <c r="AZ337" s="10" t="str">
        <f t="shared" si="117"/>
        <v/>
      </c>
      <c r="BA337" s="10" t="str">
        <f t="shared" si="118"/>
        <v/>
      </c>
    </row>
    <row r="338" spans="6:53" x14ac:dyDescent="0.2">
      <c r="F338" s="10" t="str">
        <f t="shared" si="103"/>
        <v>2018/2/27</v>
      </c>
      <c r="G338" s="14">
        <v>43158</v>
      </c>
      <c r="H338" s="10">
        <v>6.3573884999999999</v>
      </c>
      <c r="I338" s="10">
        <v>-3.5431816</v>
      </c>
      <c r="J338" s="10">
        <v>2.8142068999999994</v>
      </c>
      <c r="K338" s="10">
        <f t="shared" si="104"/>
        <v>1638.4823176000014</v>
      </c>
      <c r="L338" s="10">
        <f t="shared" si="105"/>
        <v>-1143.3945589999994</v>
      </c>
      <c r="M338" s="10">
        <f t="shared" si="106"/>
        <v>495.08775859999997</v>
      </c>
      <c r="N338" s="10">
        <v>22.099908346695127</v>
      </c>
      <c r="O338" s="10">
        <v>19.143596657381611</v>
      </c>
      <c r="P338" s="10">
        <v>3833.4750958200029</v>
      </c>
      <c r="Y338" s="10" t="e">
        <f t="shared" si="119"/>
        <v>#N/A</v>
      </c>
      <c r="Z338" s="10" t="e">
        <f t="shared" si="107"/>
        <v>#N/A</v>
      </c>
      <c r="AA338" s="10" t="e">
        <f t="shared" si="108"/>
        <v>#N/A</v>
      </c>
      <c r="AB338" s="10" t="e">
        <f t="shared" si="109"/>
        <v>#N/A</v>
      </c>
      <c r="AC338" s="10" t="e">
        <f t="shared" si="110"/>
        <v>#N/A</v>
      </c>
      <c r="AE338" s="10" t="str">
        <f t="shared" si="120"/>
        <v/>
      </c>
      <c r="AF338" s="10" t="str">
        <f t="shared" si="111"/>
        <v/>
      </c>
      <c r="AG338" s="10" t="str">
        <f t="shared" si="112"/>
        <v/>
      </c>
      <c r="AH338" s="10" t="str">
        <f t="shared" si="113"/>
        <v/>
      </c>
      <c r="AI338" s="10" t="str">
        <f t="shared" si="114"/>
        <v/>
      </c>
      <c r="AK338" s="10"/>
      <c r="AL338" s="10"/>
      <c r="AM338" s="10"/>
      <c r="AN338" s="10"/>
      <c r="AO338" s="10"/>
      <c r="AQ338" s="10"/>
      <c r="AR338" s="10"/>
      <c r="AS338" s="10"/>
      <c r="AT338" s="10"/>
      <c r="AU338" s="10"/>
      <c r="AW338" s="10" t="str">
        <f t="shared" si="121"/>
        <v/>
      </c>
      <c r="AX338" s="10" t="str">
        <f t="shared" si="115"/>
        <v/>
      </c>
      <c r="AY338" s="10" t="str">
        <f t="shared" si="116"/>
        <v/>
      </c>
      <c r="AZ338" s="10" t="str">
        <f t="shared" si="117"/>
        <v/>
      </c>
      <c r="BA338" s="10" t="str">
        <f t="shared" si="118"/>
        <v/>
      </c>
    </row>
    <row r="339" spans="6:53" x14ac:dyDescent="0.2">
      <c r="F339" s="10" t="str">
        <f t="shared" si="103"/>
        <v>2018/2/28</v>
      </c>
      <c r="G339" s="14">
        <v>43159</v>
      </c>
      <c r="H339" s="10">
        <v>2.6572201999999998</v>
      </c>
      <c r="I339" s="10">
        <v>-3.5305268000000001</v>
      </c>
      <c r="J339" s="10">
        <v>-0.87330659999999971</v>
      </c>
      <c r="K339" s="10">
        <f t="shared" si="104"/>
        <v>1641.1395378000013</v>
      </c>
      <c r="L339" s="10">
        <f t="shared" si="105"/>
        <v>-1146.9250857999994</v>
      </c>
      <c r="M339" s="10">
        <f t="shared" si="106"/>
        <v>494.21445199999999</v>
      </c>
      <c r="N339" s="10">
        <v>20.963871442791373</v>
      </c>
      <c r="O339" s="10">
        <v>18.083298189415046</v>
      </c>
      <c r="P339" s="10">
        <v>3795.9218471199997</v>
      </c>
      <c r="Y339" s="10" t="e">
        <f t="shared" si="119"/>
        <v>#N/A</v>
      </c>
      <c r="Z339" s="10" t="e">
        <f t="shared" si="107"/>
        <v>#N/A</v>
      </c>
      <c r="AA339" s="10" t="e">
        <f t="shared" si="108"/>
        <v>#N/A</v>
      </c>
      <c r="AB339" s="10" t="e">
        <f t="shared" si="109"/>
        <v>#N/A</v>
      </c>
      <c r="AC339" s="10" t="e">
        <f t="shared" si="110"/>
        <v>#N/A</v>
      </c>
      <c r="AE339" s="10" t="str">
        <f t="shared" si="120"/>
        <v/>
      </c>
      <c r="AF339" s="10" t="str">
        <f t="shared" si="111"/>
        <v/>
      </c>
      <c r="AG339" s="10" t="str">
        <f t="shared" si="112"/>
        <v/>
      </c>
      <c r="AH339" s="10" t="str">
        <f t="shared" si="113"/>
        <v/>
      </c>
      <c r="AI339" s="10" t="str">
        <f t="shared" si="114"/>
        <v/>
      </c>
      <c r="AK339" s="10"/>
      <c r="AL339" s="10"/>
      <c r="AM339" s="10"/>
      <c r="AN339" s="10"/>
      <c r="AO339" s="10"/>
      <c r="AQ339" s="10"/>
      <c r="AR339" s="10"/>
      <c r="AS339" s="10"/>
      <c r="AT339" s="10"/>
      <c r="AU339" s="10"/>
      <c r="AW339" s="10" t="str">
        <f t="shared" si="121"/>
        <v/>
      </c>
      <c r="AX339" s="10" t="str">
        <f t="shared" si="115"/>
        <v/>
      </c>
      <c r="AY339" s="10" t="str">
        <f t="shared" si="116"/>
        <v/>
      </c>
      <c r="AZ339" s="10" t="str">
        <f t="shared" si="117"/>
        <v/>
      </c>
      <c r="BA339" s="10" t="str">
        <f t="shared" si="118"/>
        <v/>
      </c>
    </row>
    <row r="340" spans="6:53" x14ac:dyDescent="0.2">
      <c r="F340" s="10" t="str">
        <f t="shared" si="103"/>
        <v>2018/3/1</v>
      </c>
      <c r="G340" s="14">
        <v>43160</v>
      </c>
      <c r="H340" s="10">
        <v>3.186149700000001</v>
      </c>
      <c r="I340" s="10">
        <v>-11.772743900000002</v>
      </c>
      <c r="J340" s="10">
        <v>-8.5865942000000004</v>
      </c>
      <c r="K340" s="10">
        <f t="shared" si="104"/>
        <v>1644.3256875000013</v>
      </c>
      <c r="L340" s="10">
        <f t="shared" si="105"/>
        <v>-1158.6978296999994</v>
      </c>
      <c r="M340" s="10">
        <f t="shared" si="106"/>
        <v>485.62785780000002</v>
      </c>
      <c r="N340" s="10">
        <v>19.771113651257412</v>
      </c>
      <c r="O340" s="10">
        <v>17.218425069637888</v>
      </c>
      <c r="P340" s="10">
        <v>3760.9981346199993</v>
      </c>
      <c r="Y340" s="10" t="e">
        <f t="shared" si="119"/>
        <v>#N/A</v>
      </c>
      <c r="Z340" s="10" t="e">
        <f t="shared" si="107"/>
        <v>#N/A</v>
      </c>
      <c r="AA340" s="10" t="e">
        <f t="shared" si="108"/>
        <v>#N/A</v>
      </c>
      <c r="AB340" s="10" t="e">
        <f t="shared" si="109"/>
        <v>#N/A</v>
      </c>
      <c r="AC340" s="10" t="e">
        <f t="shared" si="110"/>
        <v>#N/A</v>
      </c>
      <c r="AE340" s="10" t="str">
        <f t="shared" si="120"/>
        <v/>
      </c>
      <c r="AF340" s="10" t="str">
        <f t="shared" si="111"/>
        <v/>
      </c>
      <c r="AG340" s="10" t="str">
        <f t="shared" si="112"/>
        <v/>
      </c>
      <c r="AH340" s="10" t="str">
        <f t="shared" si="113"/>
        <v/>
      </c>
      <c r="AI340" s="10" t="str">
        <f t="shared" si="114"/>
        <v/>
      </c>
      <c r="AK340" s="10"/>
      <c r="AL340" s="10"/>
      <c r="AM340" s="10"/>
      <c r="AN340" s="10"/>
      <c r="AO340" s="10"/>
      <c r="AQ340" s="10"/>
      <c r="AR340" s="10"/>
      <c r="AS340" s="10"/>
      <c r="AT340" s="10"/>
      <c r="AU340" s="10"/>
      <c r="AW340" s="10" t="str">
        <f t="shared" si="121"/>
        <v/>
      </c>
      <c r="AX340" s="10" t="str">
        <f t="shared" si="115"/>
        <v/>
      </c>
      <c r="AY340" s="10" t="str">
        <f t="shared" si="116"/>
        <v/>
      </c>
      <c r="AZ340" s="10" t="str">
        <f t="shared" si="117"/>
        <v/>
      </c>
      <c r="BA340" s="10" t="str">
        <f t="shared" si="118"/>
        <v/>
      </c>
    </row>
    <row r="341" spans="6:53" x14ac:dyDescent="0.2">
      <c r="F341" s="10" t="str">
        <f t="shared" si="103"/>
        <v>2018/3/2</v>
      </c>
      <c r="G341" s="14">
        <v>43161</v>
      </c>
      <c r="H341" s="10">
        <v>4.0580087999999988</v>
      </c>
      <c r="I341" s="10">
        <v>-7.2722827000000025</v>
      </c>
      <c r="J341" s="10">
        <v>-3.2142738999999989</v>
      </c>
      <c r="K341" s="10">
        <f t="shared" si="104"/>
        <v>1648.3836963000012</v>
      </c>
      <c r="L341" s="10">
        <f t="shared" si="105"/>
        <v>-1165.9701123999994</v>
      </c>
      <c r="M341" s="10">
        <f t="shared" si="106"/>
        <v>482.41358389999999</v>
      </c>
      <c r="N341" s="10">
        <v>20.05118680478185</v>
      </c>
      <c r="O341" s="10">
        <v>17.280284958217273</v>
      </c>
      <c r="P341" s="10">
        <v>3717.3153076700005</v>
      </c>
      <c r="Y341" s="10" t="e">
        <f t="shared" si="119"/>
        <v>#N/A</v>
      </c>
      <c r="Z341" s="10" t="e">
        <f t="shared" si="107"/>
        <v>#N/A</v>
      </c>
      <c r="AA341" s="10" t="e">
        <f t="shared" si="108"/>
        <v>#N/A</v>
      </c>
      <c r="AB341" s="10" t="e">
        <f t="shared" si="109"/>
        <v>#N/A</v>
      </c>
      <c r="AC341" s="10" t="e">
        <f t="shared" si="110"/>
        <v>#N/A</v>
      </c>
      <c r="AE341" s="10" t="str">
        <f t="shared" si="120"/>
        <v/>
      </c>
      <c r="AF341" s="10" t="str">
        <f t="shared" si="111"/>
        <v/>
      </c>
      <c r="AG341" s="10" t="str">
        <f t="shared" si="112"/>
        <v/>
      </c>
      <c r="AH341" s="10" t="str">
        <f t="shared" si="113"/>
        <v/>
      </c>
      <c r="AI341" s="10" t="str">
        <f t="shared" si="114"/>
        <v/>
      </c>
      <c r="AK341" s="10"/>
      <c r="AL341" s="10"/>
      <c r="AM341" s="10"/>
      <c r="AN341" s="10"/>
      <c r="AO341" s="10"/>
      <c r="AQ341" s="10"/>
      <c r="AR341" s="10"/>
      <c r="AS341" s="10"/>
      <c r="AT341" s="10"/>
      <c r="AU341" s="10"/>
      <c r="AW341" s="10" t="str">
        <f t="shared" si="121"/>
        <v/>
      </c>
      <c r="AX341" s="10" t="str">
        <f t="shared" si="115"/>
        <v/>
      </c>
      <c r="AY341" s="10" t="str">
        <f t="shared" si="116"/>
        <v/>
      </c>
      <c r="AZ341" s="10" t="str">
        <f t="shared" si="117"/>
        <v/>
      </c>
      <c r="BA341" s="10" t="str">
        <f t="shared" si="118"/>
        <v/>
      </c>
    </row>
    <row r="342" spans="6:53" x14ac:dyDescent="0.2">
      <c r="F342" s="10" t="str">
        <f t="shared" si="103"/>
        <v>2018/3/5</v>
      </c>
      <c r="G342" s="14">
        <v>43164</v>
      </c>
      <c r="H342" s="10">
        <v>11.378913200000001</v>
      </c>
      <c r="I342" s="10">
        <v>-5.0929016000000003</v>
      </c>
      <c r="J342" s="10">
        <v>6.2860116000000001</v>
      </c>
      <c r="K342" s="10">
        <f t="shared" si="104"/>
        <v>1659.7626095000012</v>
      </c>
      <c r="L342" s="10">
        <f t="shared" si="105"/>
        <v>-1171.0630139999994</v>
      </c>
      <c r="M342" s="10">
        <f t="shared" si="106"/>
        <v>488.69959549999999</v>
      </c>
      <c r="N342" s="10">
        <v>20.777786039951462</v>
      </c>
      <c r="O342" s="10">
        <v>17.94269080779944</v>
      </c>
      <c r="P342" s="10">
        <v>3722.2060789200009</v>
      </c>
      <c r="Y342" s="10" t="e">
        <f t="shared" si="119"/>
        <v>#N/A</v>
      </c>
      <c r="Z342" s="10" t="e">
        <f t="shared" si="107"/>
        <v>#N/A</v>
      </c>
      <c r="AA342" s="10" t="e">
        <f t="shared" si="108"/>
        <v>#N/A</v>
      </c>
      <c r="AB342" s="10" t="e">
        <f t="shared" si="109"/>
        <v>#N/A</v>
      </c>
      <c r="AC342" s="10" t="e">
        <f t="shared" si="110"/>
        <v>#N/A</v>
      </c>
      <c r="AE342" s="10" t="str">
        <f t="shared" si="120"/>
        <v/>
      </c>
      <c r="AF342" s="10" t="str">
        <f t="shared" si="111"/>
        <v/>
      </c>
      <c r="AG342" s="10" t="str">
        <f t="shared" si="112"/>
        <v/>
      </c>
      <c r="AH342" s="10" t="str">
        <f t="shared" si="113"/>
        <v/>
      </c>
      <c r="AI342" s="10" t="str">
        <f t="shared" si="114"/>
        <v/>
      </c>
      <c r="AK342" s="10"/>
      <c r="AL342" s="10"/>
      <c r="AM342" s="10"/>
      <c r="AN342" s="10"/>
      <c r="AO342" s="10"/>
      <c r="AQ342" s="10"/>
      <c r="AR342" s="10"/>
      <c r="AS342" s="10"/>
      <c r="AT342" s="10"/>
      <c r="AU342" s="10"/>
      <c r="AW342" s="10" t="str">
        <f t="shared" si="121"/>
        <v/>
      </c>
      <c r="AX342" s="10" t="str">
        <f t="shared" si="115"/>
        <v/>
      </c>
      <c r="AY342" s="10" t="str">
        <f t="shared" si="116"/>
        <v/>
      </c>
      <c r="AZ342" s="10" t="str">
        <f t="shared" si="117"/>
        <v/>
      </c>
      <c r="BA342" s="10" t="str">
        <f t="shared" si="118"/>
        <v/>
      </c>
    </row>
    <row r="343" spans="6:53" x14ac:dyDescent="0.2">
      <c r="F343" s="10" t="str">
        <f t="shared" si="103"/>
        <v>2018/3/6</v>
      </c>
      <c r="G343" s="14">
        <v>43165</v>
      </c>
      <c r="H343" s="10">
        <v>5.2152995000000022</v>
      </c>
      <c r="I343" s="10">
        <v>-6.7554472000000017</v>
      </c>
      <c r="J343" s="10">
        <v>-1.5401476999999999</v>
      </c>
      <c r="K343" s="10">
        <f t="shared" si="104"/>
        <v>1664.9779090000011</v>
      </c>
      <c r="L343" s="10">
        <f t="shared" si="105"/>
        <v>-1177.8184611999993</v>
      </c>
      <c r="M343" s="10">
        <f t="shared" si="106"/>
        <v>487.15944780000001</v>
      </c>
      <c r="N343" s="10">
        <v>21.472052855615786</v>
      </c>
      <c r="O343" s="10">
        <v>18.640525626740942</v>
      </c>
      <c r="P343" s="10">
        <v>3750.9904225200012</v>
      </c>
      <c r="Y343" s="10" t="e">
        <f t="shared" si="119"/>
        <v>#N/A</v>
      </c>
      <c r="Z343" s="10" t="e">
        <f t="shared" si="107"/>
        <v>#N/A</v>
      </c>
      <c r="AA343" s="10" t="e">
        <f t="shared" si="108"/>
        <v>#N/A</v>
      </c>
      <c r="AB343" s="10" t="e">
        <f t="shared" si="109"/>
        <v>#N/A</v>
      </c>
      <c r="AC343" s="10" t="e">
        <f t="shared" si="110"/>
        <v>#N/A</v>
      </c>
      <c r="AE343" s="10" t="str">
        <f t="shared" si="120"/>
        <v/>
      </c>
      <c r="AF343" s="10" t="str">
        <f t="shared" si="111"/>
        <v/>
      </c>
      <c r="AG343" s="10" t="str">
        <f t="shared" si="112"/>
        <v/>
      </c>
      <c r="AH343" s="10" t="str">
        <f t="shared" si="113"/>
        <v/>
      </c>
      <c r="AI343" s="10" t="str">
        <f t="shared" si="114"/>
        <v/>
      </c>
      <c r="AK343" s="10"/>
      <c r="AL343" s="10"/>
      <c r="AM343" s="10"/>
      <c r="AN343" s="10"/>
      <c r="AO343" s="10"/>
      <c r="AQ343" s="10"/>
      <c r="AR343" s="10"/>
      <c r="AS343" s="10"/>
      <c r="AT343" s="10"/>
      <c r="AU343" s="10"/>
      <c r="AW343" s="10" t="str">
        <f t="shared" si="121"/>
        <v/>
      </c>
      <c r="AX343" s="10" t="str">
        <f t="shared" si="115"/>
        <v/>
      </c>
      <c r="AY343" s="10" t="str">
        <f t="shared" si="116"/>
        <v/>
      </c>
      <c r="AZ343" s="10" t="str">
        <f t="shared" si="117"/>
        <v/>
      </c>
      <c r="BA343" s="10" t="str">
        <f t="shared" si="118"/>
        <v/>
      </c>
    </row>
    <row r="344" spans="6:53" x14ac:dyDescent="0.2">
      <c r="F344" s="10" t="str">
        <f t="shared" si="103"/>
        <v>2018/3/7</v>
      </c>
      <c r="G344" s="14">
        <v>43166</v>
      </c>
      <c r="H344" s="10">
        <v>6.8948100000000023</v>
      </c>
      <c r="I344" s="10">
        <v>-7.175896400000001</v>
      </c>
      <c r="J344" s="10">
        <v>-0.28108639999999963</v>
      </c>
      <c r="K344" s="10">
        <f t="shared" si="104"/>
        <v>1671.8727190000011</v>
      </c>
      <c r="L344" s="10">
        <f t="shared" si="105"/>
        <v>-1184.9943575999994</v>
      </c>
      <c r="M344" s="10">
        <f t="shared" si="106"/>
        <v>486.87836140000002</v>
      </c>
      <c r="N344" s="10">
        <v>21.423481502229698</v>
      </c>
      <c r="O344" s="10">
        <v>18.516329247910864</v>
      </c>
      <c r="P344" s="10">
        <v>3769.5701582199995</v>
      </c>
      <c r="Y344" s="10" t="e">
        <f t="shared" si="119"/>
        <v>#N/A</v>
      </c>
      <c r="Z344" s="10" t="e">
        <f t="shared" si="107"/>
        <v>#N/A</v>
      </c>
      <c r="AA344" s="10" t="e">
        <f t="shared" si="108"/>
        <v>#N/A</v>
      </c>
      <c r="AB344" s="10" t="e">
        <f t="shared" si="109"/>
        <v>#N/A</v>
      </c>
      <c r="AC344" s="10" t="e">
        <f t="shared" si="110"/>
        <v>#N/A</v>
      </c>
      <c r="AE344" s="10" t="str">
        <f t="shared" si="120"/>
        <v/>
      </c>
      <c r="AF344" s="10" t="str">
        <f t="shared" si="111"/>
        <v/>
      </c>
      <c r="AG344" s="10" t="str">
        <f t="shared" si="112"/>
        <v/>
      </c>
      <c r="AH344" s="10" t="str">
        <f t="shared" si="113"/>
        <v/>
      </c>
      <c r="AI344" s="10" t="str">
        <f t="shared" si="114"/>
        <v/>
      </c>
      <c r="AK344" s="10"/>
      <c r="AL344" s="10"/>
      <c r="AM344" s="10"/>
      <c r="AN344" s="10"/>
      <c r="AO344" s="10"/>
      <c r="AQ344" s="10"/>
      <c r="AR344" s="10"/>
      <c r="AS344" s="10"/>
      <c r="AT344" s="10"/>
      <c r="AU344" s="10"/>
      <c r="AW344" s="10" t="str">
        <f t="shared" si="121"/>
        <v/>
      </c>
      <c r="AX344" s="10" t="str">
        <f t="shared" si="115"/>
        <v/>
      </c>
      <c r="AY344" s="10" t="str">
        <f t="shared" si="116"/>
        <v/>
      </c>
      <c r="AZ344" s="10" t="str">
        <f t="shared" si="117"/>
        <v/>
      </c>
      <c r="BA344" s="10" t="str">
        <f t="shared" si="118"/>
        <v/>
      </c>
    </row>
    <row r="345" spans="6:53" x14ac:dyDescent="0.2">
      <c r="F345" s="10" t="str">
        <f t="shared" si="103"/>
        <v>2018/3/8</v>
      </c>
      <c r="G345" s="14">
        <v>43167</v>
      </c>
      <c r="H345" s="10">
        <v>10.303527600000002</v>
      </c>
      <c r="I345" s="10">
        <v>-4.0392887999999996</v>
      </c>
      <c r="J345" s="10">
        <v>6.2642388000000038</v>
      </c>
      <c r="K345" s="10">
        <f t="shared" si="104"/>
        <v>1682.1762466000012</v>
      </c>
      <c r="L345" s="10">
        <f t="shared" si="105"/>
        <v>-1189.0336463999993</v>
      </c>
      <c r="M345" s="10">
        <f t="shared" si="106"/>
        <v>493.1426002</v>
      </c>
      <c r="N345" s="10">
        <v>21.774105436284433</v>
      </c>
      <c r="O345" s="10">
        <v>18.796742339832868</v>
      </c>
      <c r="P345" s="10">
        <v>3767.531790219999</v>
      </c>
      <c r="Y345" s="10" t="e">
        <f t="shared" si="119"/>
        <v>#N/A</v>
      </c>
      <c r="Z345" s="10" t="e">
        <f t="shared" si="107"/>
        <v>#N/A</v>
      </c>
      <c r="AA345" s="10" t="e">
        <f t="shared" si="108"/>
        <v>#N/A</v>
      </c>
      <c r="AB345" s="10" t="e">
        <f t="shared" si="109"/>
        <v>#N/A</v>
      </c>
      <c r="AC345" s="10" t="e">
        <f t="shared" si="110"/>
        <v>#N/A</v>
      </c>
      <c r="AE345" s="10" t="str">
        <f t="shared" si="120"/>
        <v/>
      </c>
      <c r="AF345" s="10" t="str">
        <f t="shared" si="111"/>
        <v/>
      </c>
      <c r="AG345" s="10" t="str">
        <f t="shared" si="112"/>
        <v/>
      </c>
      <c r="AH345" s="10" t="str">
        <f t="shared" si="113"/>
        <v/>
      </c>
      <c r="AI345" s="10" t="str">
        <f t="shared" si="114"/>
        <v/>
      </c>
      <c r="AK345" s="10"/>
      <c r="AL345" s="10"/>
      <c r="AM345" s="10"/>
      <c r="AN345" s="10"/>
      <c r="AO345" s="10"/>
      <c r="AQ345" s="10"/>
      <c r="AR345" s="10"/>
      <c r="AS345" s="10"/>
      <c r="AT345" s="10"/>
      <c r="AU345" s="10"/>
      <c r="AW345" s="10" t="str">
        <f t="shared" si="121"/>
        <v/>
      </c>
      <c r="AX345" s="10" t="str">
        <f t="shared" si="115"/>
        <v/>
      </c>
      <c r="AY345" s="10" t="str">
        <f t="shared" si="116"/>
        <v/>
      </c>
      <c r="AZ345" s="10" t="str">
        <f t="shared" si="117"/>
        <v/>
      </c>
      <c r="BA345" s="10" t="str">
        <f t="shared" si="118"/>
        <v/>
      </c>
    </row>
    <row r="346" spans="6:53" x14ac:dyDescent="0.2">
      <c r="F346" s="10" t="str">
        <f t="shared" si="103"/>
        <v>2018/3/9</v>
      </c>
      <c r="G346" s="14">
        <v>43168</v>
      </c>
      <c r="H346" s="10">
        <v>10.085897300000001</v>
      </c>
      <c r="I346" s="10">
        <v>-4.903735300000001</v>
      </c>
      <c r="J346" s="10">
        <v>5.182161999999999</v>
      </c>
      <c r="K346" s="10">
        <f t="shared" si="104"/>
        <v>1692.2621439000011</v>
      </c>
      <c r="L346" s="10">
        <f t="shared" si="105"/>
        <v>-1193.9373816999994</v>
      </c>
      <c r="M346" s="10">
        <f t="shared" si="106"/>
        <v>498.32476220000001</v>
      </c>
      <c r="N346" s="10">
        <v>23.167367163182959</v>
      </c>
      <c r="O346" s="10">
        <v>19.859644011142059</v>
      </c>
      <c r="P346" s="10">
        <v>3783.4482239199979</v>
      </c>
      <c r="Y346" s="10" t="e">
        <f t="shared" si="119"/>
        <v>#N/A</v>
      </c>
      <c r="Z346" s="10" t="e">
        <f t="shared" si="107"/>
        <v>#N/A</v>
      </c>
      <c r="AA346" s="10" t="e">
        <f t="shared" si="108"/>
        <v>#N/A</v>
      </c>
      <c r="AB346" s="10" t="e">
        <f t="shared" si="109"/>
        <v>#N/A</v>
      </c>
      <c r="AC346" s="10" t="e">
        <f t="shared" si="110"/>
        <v>#N/A</v>
      </c>
      <c r="AE346" s="10" t="str">
        <f t="shared" si="120"/>
        <v/>
      </c>
      <c r="AF346" s="10" t="str">
        <f t="shared" si="111"/>
        <v/>
      </c>
      <c r="AG346" s="10" t="str">
        <f t="shared" si="112"/>
        <v/>
      </c>
      <c r="AH346" s="10" t="str">
        <f t="shared" si="113"/>
        <v/>
      </c>
      <c r="AI346" s="10" t="str">
        <f t="shared" si="114"/>
        <v/>
      </c>
      <c r="AK346" s="10"/>
      <c r="AL346" s="10"/>
      <c r="AM346" s="10"/>
      <c r="AN346" s="10"/>
      <c r="AO346" s="10"/>
      <c r="AQ346" s="10"/>
      <c r="AR346" s="10"/>
      <c r="AS346" s="10"/>
      <c r="AT346" s="10"/>
      <c r="AU346" s="10"/>
      <c r="AW346" s="10" t="str">
        <f t="shared" si="121"/>
        <v/>
      </c>
      <c r="AX346" s="10" t="str">
        <f t="shared" si="115"/>
        <v/>
      </c>
      <c r="AY346" s="10" t="str">
        <f t="shared" si="116"/>
        <v/>
      </c>
      <c r="AZ346" s="10" t="str">
        <f t="shared" si="117"/>
        <v/>
      </c>
      <c r="BA346" s="10" t="str">
        <f t="shared" si="118"/>
        <v/>
      </c>
    </row>
    <row r="347" spans="6:53" x14ac:dyDescent="0.2">
      <c r="F347" s="10" t="str">
        <f t="shared" si="103"/>
        <v>2018/3/12</v>
      </c>
      <c r="G347" s="14">
        <v>43171</v>
      </c>
      <c r="H347" s="10">
        <v>12.008224700000005</v>
      </c>
      <c r="I347" s="10">
        <v>-1.9408599</v>
      </c>
      <c r="J347" s="10">
        <v>10.067364800000005</v>
      </c>
      <c r="K347" s="10">
        <f t="shared" si="104"/>
        <v>1704.2703686000011</v>
      </c>
      <c r="L347" s="10">
        <f t="shared" si="105"/>
        <v>-1195.8782415999995</v>
      </c>
      <c r="M347" s="10">
        <f t="shared" si="106"/>
        <v>508.39212700000002</v>
      </c>
      <c r="N347" s="10">
        <v>23.479737796677821</v>
      </c>
      <c r="O347" s="10">
        <v>20.163471030640668</v>
      </c>
      <c r="P347" s="10">
        <v>3830.8946616199996</v>
      </c>
      <c r="Y347" s="10" t="e">
        <f t="shared" si="119"/>
        <v>#N/A</v>
      </c>
      <c r="Z347" s="10" t="e">
        <f t="shared" si="107"/>
        <v>#N/A</v>
      </c>
      <c r="AA347" s="10" t="e">
        <f t="shared" si="108"/>
        <v>#N/A</v>
      </c>
      <c r="AB347" s="10" t="e">
        <f t="shared" si="109"/>
        <v>#N/A</v>
      </c>
      <c r="AC347" s="10" t="e">
        <f t="shared" si="110"/>
        <v>#N/A</v>
      </c>
      <c r="AE347" s="10" t="str">
        <f t="shared" si="120"/>
        <v/>
      </c>
      <c r="AF347" s="10" t="str">
        <f t="shared" si="111"/>
        <v/>
      </c>
      <c r="AG347" s="10" t="str">
        <f t="shared" si="112"/>
        <v/>
      </c>
      <c r="AH347" s="10" t="str">
        <f t="shared" si="113"/>
        <v/>
      </c>
      <c r="AI347" s="10" t="str">
        <f t="shared" si="114"/>
        <v/>
      </c>
      <c r="AK347" s="10"/>
      <c r="AL347" s="10"/>
      <c r="AM347" s="10"/>
      <c r="AN347" s="10"/>
      <c r="AO347" s="10"/>
      <c r="AQ347" s="10"/>
      <c r="AR347" s="10"/>
      <c r="AS347" s="10"/>
      <c r="AT347" s="10"/>
      <c r="AU347" s="10"/>
      <c r="AW347" s="10" t="str">
        <f t="shared" si="121"/>
        <v/>
      </c>
      <c r="AX347" s="10" t="str">
        <f t="shared" si="115"/>
        <v/>
      </c>
      <c r="AY347" s="10" t="str">
        <f t="shared" si="116"/>
        <v/>
      </c>
      <c r="AZ347" s="10" t="str">
        <f t="shared" si="117"/>
        <v/>
      </c>
      <c r="BA347" s="10" t="str">
        <f t="shared" si="118"/>
        <v/>
      </c>
    </row>
    <row r="348" spans="6:53" x14ac:dyDescent="0.2">
      <c r="F348" s="10" t="str">
        <f t="shared" si="103"/>
        <v>2018/3/13</v>
      </c>
      <c r="G348" s="14">
        <v>43172</v>
      </c>
      <c r="H348" s="10">
        <v>14.306895400000002</v>
      </c>
      <c r="I348" s="10">
        <v>-2.2140844</v>
      </c>
      <c r="J348" s="10">
        <v>12.092810999999999</v>
      </c>
      <c r="K348" s="10">
        <f t="shared" si="104"/>
        <v>1718.5772640000012</v>
      </c>
      <c r="L348" s="10">
        <f t="shared" si="105"/>
        <v>-1198.0923259999995</v>
      </c>
      <c r="M348" s="10">
        <f t="shared" si="106"/>
        <v>520.48493800000006</v>
      </c>
      <c r="N348" s="10">
        <v>22.909843413514871</v>
      </c>
      <c r="O348" s="10">
        <v>19.743056545961004</v>
      </c>
      <c r="P348" s="10">
        <v>3846.8095187200006</v>
      </c>
      <c r="Y348" s="10" t="e">
        <f t="shared" si="119"/>
        <v>#N/A</v>
      </c>
      <c r="Z348" s="10" t="e">
        <f t="shared" si="107"/>
        <v>#N/A</v>
      </c>
      <c r="AA348" s="10" t="e">
        <f t="shared" si="108"/>
        <v>#N/A</v>
      </c>
      <c r="AB348" s="10" t="e">
        <f t="shared" si="109"/>
        <v>#N/A</v>
      </c>
      <c r="AC348" s="10" t="e">
        <f t="shared" si="110"/>
        <v>#N/A</v>
      </c>
      <c r="AE348" s="10" t="str">
        <f t="shared" si="120"/>
        <v/>
      </c>
      <c r="AF348" s="10" t="str">
        <f t="shared" si="111"/>
        <v/>
      </c>
      <c r="AG348" s="10" t="str">
        <f t="shared" si="112"/>
        <v/>
      </c>
      <c r="AH348" s="10" t="str">
        <f t="shared" si="113"/>
        <v/>
      </c>
      <c r="AI348" s="10" t="str">
        <f t="shared" si="114"/>
        <v/>
      </c>
      <c r="AK348" s="10"/>
      <c r="AL348" s="10"/>
      <c r="AM348" s="10"/>
      <c r="AN348" s="10"/>
      <c r="AO348" s="10"/>
      <c r="AQ348" s="10"/>
      <c r="AR348" s="10"/>
      <c r="AS348" s="10"/>
      <c r="AT348" s="10"/>
      <c r="AU348" s="10"/>
      <c r="AW348" s="10" t="str">
        <f t="shared" si="121"/>
        <v/>
      </c>
      <c r="AX348" s="10" t="str">
        <f t="shared" si="115"/>
        <v/>
      </c>
      <c r="AY348" s="10" t="str">
        <f t="shared" si="116"/>
        <v/>
      </c>
      <c r="AZ348" s="10" t="str">
        <f t="shared" si="117"/>
        <v/>
      </c>
      <c r="BA348" s="10" t="str">
        <f t="shared" si="118"/>
        <v/>
      </c>
    </row>
    <row r="349" spans="6:53" x14ac:dyDescent="0.2">
      <c r="F349" s="10" t="str">
        <f t="shared" si="103"/>
        <v>2018/3/14</v>
      </c>
      <c r="G349" s="14">
        <v>43173</v>
      </c>
      <c r="H349" s="10">
        <v>13.454381100000001</v>
      </c>
      <c r="I349" s="10">
        <v>-3.2164090999999999</v>
      </c>
      <c r="J349" s="10">
        <v>10.237972000000001</v>
      </c>
      <c r="K349" s="10">
        <f t="shared" si="104"/>
        <v>1732.0316451000012</v>
      </c>
      <c r="L349" s="10">
        <f t="shared" si="105"/>
        <v>-1201.3087350999995</v>
      </c>
      <c r="M349" s="10">
        <f t="shared" si="106"/>
        <v>530.72291000000007</v>
      </c>
      <c r="N349" s="10">
        <v>22.607544350068864</v>
      </c>
      <c r="O349" s="10">
        <v>19.525458495821731</v>
      </c>
      <c r="P349" s="10">
        <v>3842.8565345200036</v>
      </c>
      <c r="Y349" s="10" t="e">
        <f t="shared" si="119"/>
        <v>#N/A</v>
      </c>
      <c r="Z349" s="10" t="e">
        <f t="shared" si="107"/>
        <v>#N/A</v>
      </c>
      <c r="AA349" s="10" t="e">
        <f t="shared" si="108"/>
        <v>#N/A</v>
      </c>
      <c r="AB349" s="10" t="e">
        <f t="shared" si="109"/>
        <v>#N/A</v>
      </c>
      <c r="AC349" s="10" t="e">
        <f t="shared" si="110"/>
        <v>#N/A</v>
      </c>
      <c r="AE349" s="10" t="str">
        <f t="shared" si="120"/>
        <v/>
      </c>
      <c r="AF349" s="10" t="str">
        <f t="shared" si="111"/>
        <v/>
      </c>
      <c r="AG349" s="10" t="str">
        <f t="shared" si="112"/>
        <v/>
      </c>
      <c r="AH349" s="10" t="str">
        <f t="shared" si="113"/>
        <v/>
      </c>
      <c r="AI349" s="10" t="str">
        <f t="shared" si="114"/>
        <v/>
      </c>
      <c r="AK349" s="10"/>
      <c r="AL349" s="10"/>
      <c r="AM349" s="10"/>
      <c r="AN349" s="10"/>
      <c r="AO349" s="10"/>
      <c r="AQ349" s="10"/>
      <c r="AR349" s="10"/>
      <c r="AS349" s="10"/>
      <c r="AT349" s="10"/>
      <c r="AU349" s="10"/>
      <c r="AW349" s="10" t="str">
        <f t="shared" si="121"/>
        <v/>
      </c>
      <c r="AX349" s="10" t="str">
        <f t="shared" si="115"/>
        <v/>
      </c>
      <c r="AY349" s="10" t="str">
        <f t="shared" si="116"/>
        <v/>
      </c>
      <c r="AZ349" s="10" t="str">
        <f t="shared" si="117"/>
        <v/>
      </c>
      <c r="BA349" s="10" t="str">
        <f t="shared" si="118"/>
        <v/>
      </c>
    </row>
    <row r="350" spans="6:53" x14ac:dyDescent="0.2">
      <c r="F350" s="10" t="str">
        <f t="shared" si="103"/>
        <v>2018/3/15</v>
      </c>
      <c r="G350" s="14">
        <v>43174</v>
      </c>
      <c r="H350" s="10">
        <v>6.7628583999999989</v>
      </c>
      <c r="I350" s="10">
        <v>-8.6694238000000006</v>
      </c>
      <c r="J350" s="10">
        <v>-1.9065654000000012</v>
      </c>
      <c r="K350" s="10">
        <f t="shared" si="104"/>
        <v>1738.7945035000012</v>
      </c>
      <c r="L350" s="10">
        <f t="shared" si="105"/>
        <v>-1209.9781588999995</v>
      </c>
      <c r="M350" s="10">
        <f t="shared" si="106"/>
        <v>528.81634460000009</v>
      </c>
      <c r="N350" s="10">
        <v>22.511624135950054</v>
      </c>
      <c r="O350" s="10">
        <v>19.378696100278543</v>
      </c>
      <c r="P350" s="10">
        <v>3844.9977331199989</v>
      </c>
      <c r="Y350" s="10" t="e">
        <f t="shared" si="119"/>
        <v>#N/A</v>
      </c>
      <c r="Z350" s="10" t="e">
        <f t="shared" si="107"/>
        <v>#N/A</v>
      </c>
      <c r="AA350" s="10" t="e">
        <f t="shared" si="108"/>
        <v>#N/A</v>
      </c>
      <c r="AB350" s="10" t="e">
        <f t="shared" si="109"/>
        <v>#N/A</v>
      </c>
      <c r="AC350" s="10" t="e">
        <f t="shared" si="110"/>
        <v>#N/A</v>
      </c>
      <c r="AE350" s="10" t="str">
        <f t="shared" si="120"/>
        <v/>
      </c>
      <c r="AF350" s="10" t="str">
        <f t="shared" si="111"/>
        <v/>
      </c>
      <c r="AG350" s="10" t="str">
        <f t="shared" si="112"/>
        <v/>
      </c>
      <c r="AH350" s="10" t="str">
        <f t="shared" si="113"/>
        <v/>
      </c>
      <c r="AI350" s="10" t="str">
        <f t="shared" si="114"/>
        <v/>
      </c>
      <c r="AK350" s="10"/>
      <c r="AL350" s="10"/>
      <c r="AM350" s="10"/>
      <c r="AN350" s="10"/>
      <c r="AO350" s="10"/>
      <c r="AQ350" s="10"/>
      <c r="AR350" s="10"/>
      <c r="AS350" s="10"/>
      <c r="AT350" s="10"/>
      <c r="AU350" s="10"/>
      <c r="AW350" s="10" t="str">
        <f t="shared" si="121"/>
        <v/>
      </c>
      <c r="AX350" s="10" t="str">
        <f t="shared" si="115"/>
        <v/>
      </c>
      <c r="AY350" s="10" t="str">
        <f t="shared" si="116"/>
        <v/>
      </c>
      <c r="AZ350" s="10" t="str">
        <f t="shared" si="117"/>
        <v/>
      </c>
      <c r="BA350" s="10" t="str">
        <f t="shared" si="118"/>
        <v/>
      </c>
    </row>
    <row r="351" spans="6:53" x14ac:dyDescent="0.2">
      <c r="F351" s="10" t="str">
        <f t="shared" si="103"/>
        <v>2018/3/16</v>
      </c>
      <c r="G351" s="14">
        <v>43175</v>
      </c>
      <c r="H351" s="10">
        <v>8.4838126000000003</v>
      </c>
      <c r="I351" s="10">
        <v>-19.7096667</v>
      </c>
      <c r="J351" s="10">
        <v>-11.225854099999999</v>
      </c>
      <c r="K351" s="10">
        <f t="shared" si="104"/>
        <v>1747.2783161000011</v>
      </c>
      <c r="L351" s="10">
        <f t="shared" si="105"/>
        <v>-1229.6878255999995</v>
      </c>
      <c r="M351" s="10">
        <f t="shared" si="106"/>
        <v>517.5904905000001</v>
      </c>
      <c r="N351" s="10">
        <v>22.476895435649553</v>
      </c>
      <c r="O351" s="10">
        <v>19.330815598885806</v>
      </c>
      <c r="P351" s="10">
        <v>3838.4592481200007</v>
      </c>
      <c r="Y351" s="10" t="e">
        <f t="shared" si="119"/>
        <v>#N/A</v>
      </c>
      <c r="Z351" s="10" t="e">
        <f t="shared" si="107"/>
        <v>#N/A</v>
      </c>
      <c r="AA351" s="10" t="e">
        <f t="shared" si="108"/>
        <v>#N/A</v>
      </c>
      <c r="AB351" s="10" t="e">
        <f t="shared" si="109"/>
        <v>#N/A</v>
      </c>
      <c r="AC351" s="10" t="e">
        <f t="shared" si="110"/>
        <v>#N/A</v>
      </c>
      <c r="AE351" s="10" t="str">
        <f t="shared" si="120"/>
        <v/>
      </c>
      <c r="AF351" s="10" t="str">
        <f t="shared" si="111"/>
        <v/>
      </c>
      <c r="AG351" s="10" t="str">
        <f t="shared" si="112"/>
        <v/>
      </c>
      <c r="AH351" s="10" t="str">
        <f t="shared" si="113"/>
        <v/>
      </c>
      <c r="AI351" s="10" t="str">
        <f t="shared" si="114"/>
        <v/>
      </c>
      <c r="AK351" s="10"/>
      <c r="AL351" s="10"/>
      <c r="AM351" s="10"/>
      <c r="AN351" s="10"/>
      <c r="AO351" s="10"/>
      <c r="AQ351" s="10"/>
      <c r="AR351" s="10"/>
      <c r="AS351" s="10"/>
      <c r="AT351" s="10"/>
      <c r="AU351" s="10"/>
      <c r="AW351" s="10" t="str">
        <f t="shared" si="121"/>
        <v/>
      </c>
      <c r="AX351" s="10" t="str">
        <f t="shared" si="115"/>
        <v/>
      </c>
      <c r="AY351" s="10" t="str">
        <f t="shared" si="116"/>
        <v/>
      </c>
      <c r="AZ351" s="10" t="str">
        <f t="shared" si="117"/>
        <v/>
      </c>
      <c r="BA351" s="10" t="str">
        <f t="shared" si="118"/>
        <v/>
      </c>
    </row>
    <row r="352" spans="6:53" x14ac:dyDescent="0.2">
      <c r="F352" s="10" t="str">
        <f t="shared" si="103"/>
        <v>2018/3/19</v>
      </c>
      <c r="G352" s="14">
        <v>43178</v>
      </c>
      <c r="H352" s="10">
        <v>2.5851309000000002</v>
      </c>
      <c r="I352" s="10">
        <v>-11.842219399999999</v>
      </c>
      <c r="J352" s="10">
        <v>-9.2570885000000018</v>
      </c>
      <c r="K352" s="10">
        <f t="shared" si="104"/>
        <v>1749.8634470000011</v>
      </c>
      <c r="L352" s="10">
        <f t="shared" si="105"/>
        <v>-1241.5300449999995</v>
      </c>
      <c r="M352" s="10">
        <f t="shared" si="106"/>
        <v>508.33340200000009</v>
      </c>
      <c r="N352" s="10">
        <v>21.30009750120216</v>
      </c>
      <c r="O352" s="10">
        <v>18.460158495821727</v>
      </c>
      <c r="P352" s="10">
        <v>3824.7438849200007</v>
      </c>
      <c r="Y352" s="10" t="e">
        <f t="shared" si="119"/>
        <v>#N/A</v>
      </c>
      <c r="Z352" s="10" t="e">
        <f t="shared" si="107"/>
        <v>#N/A</v>
      </c>
      <c r="AA352" s="10" t="e">
        <f t="shared" si="108"/>
        <v>#N/A</v>
      </c>
      <c r="AB352" s="10" t="e">
        <f t="shared" si="109"/>
        <v>#N/A</v>
      </c>
      <c r="AC352" s="10" t="e">
        <f t="shared" si="110"/>
        <v>#N/A</v>
      </c>
      <c r="AE352" s="10" t="str">
        <f t="shared" si="120"/>
        <v/>
      </c>
      <c r="AF352" s="10" t="str">
        <f t="shared" si="111"/>
        <v/>
      </c>
      <c r="AG352" s="10" t="str">
        <f t="shared" si="112"/>
        <v/>
      </c>
      <c r="AH352" s="10" t="str">
        <f t="shared" si="113"/>
        <v/>
      </c>
      <c r="AI352" s="10" t="str">
        <f t="shared" si="114"/>
        <v/>
      </c>
      <c r="AK352" s="10"/>
      <c r="AL352" s="10"/>
      <c r="AM352" s="10"/>
      <c r="AN352" s="10"/>
      <c r="AO352" s="10"/>
      <c r="AQ352" s="10"/>
      <c r="AR352" s="10"/>
      <c r="AS352" s="10"/>
      <c r="AT352" s="10"/>
      <c r="AU352" s="10"/>
      <c r="AW352" s="10" t="str">
        <f t="shared" si="121"/>
        <v/>
      </c>
      <c r="AX352" s="10" t="str">
        <f t="shared" si="115"/>
        <v/>
      </c>
      <c r="AY352" s="10" t="str">
        <f t="shared" si="116"/>
        <v/>
      </c>
      <c r="AZ352" s="10" t="str">
        <f t="shared" si="117"/>
        <v/>
      </c>
      <c r="BA352" s="10" t="str">
        <f t="shared" si="118"/>
        <v/>
      </c>
    </row>
    <row r="353" spans="6:53" x14ac:dyDescent="0.2">
      <c r="F353" s="10" t="str">
        <f t="shared" si="103"/>
        <v>2018/3/20</v>
      </c>
      <c r="G353" s="14">
        <v>43179</v>
      </c>
      <c r="H353" s="10">
        <v>4.7138742999999996</v>
      </c>
      <c r="I353" s="10">
        <v>-9.5456820999999987</v>
      </c>
      <c r="J353" s="10">
        <v>-4.8318078000000009</v>
      </c>
      <c r="K353" s="10">
        <f t="shared" si="104"/>
        <v>1754.5773213000011</v>
      </c>
      <c r="L353" s="10">
        <f t="shared" si="105"/>
        <v>-1251.0757270999995</v>
      </c>
      <c r="M353" s="10">
        <f t="shared" si="106"/>
        <v>503.50159420000011</v>
      </c>
      <c r="N353" s="10">
        <v>21.398166634993018</v>
      </c>
      <c r="O353" s="10">
        <v>18.507465459610039</v>
      </c>
      <c r="P353" s="10">
        <v>3782.1852292199997</v>
      </c>
      <c r="Y353" s="10" t="e">
        <f t="shared" si="119"/>
        <v>#N/A</v>
      </c>
      <c r="Z353" s="10" t="e">
        <f t="shared" si="107"/>
        <v>#N/A</v>
      </c>
      <c r="AA353" s="10" t="e">
        <f t="shared" si="108"/>
        <v>#N/A</v>
      </c>
      <c r="AB353" s="10" t="e">
        <f t="shared" si="109"/>
        <v>#N/A</v>
      </c>
      <c r="AC353" s="10" t="e">
        <f t="shared" si="110"/>
        <v>#N/A</v>
      </c>
      <c r="AE353" s="10" t="str">
        <f t="shared" si="120"/>
        <v/>
      </c>
      <c r="AF353" s="10" t="str">
        <f t="shared" si="111"/>
        <v/>
      </c>
      <c r="AG353" s="10" t="str">
        <f t="shared" si="112"/>
        <v/>
      </c>
      <c r="AH353" s="10" t="str">
        <f t="shared" si="113"/>
        <v/>
      </c>
      <c r="AI353" s="10" t="str">
        <f t="shared" si="114"/>
        <v/>
      </c>
      <c r="AK353" s="10"/>
      <c r="AL353" s="10"/>
      <c r="AM353" s="10"/>
      <c r="AN353" s="10"/>
      <c r="AO353" s="10"/>
      <c r="AQ353" s="10"/>
      <c r="AR353" s="10"/>
      <c r="AS353" s="10"/>
      <c r="AT353" s="10"/>
      <c r="AU353" s="10"/>
      <c r="AW353" s="10" t="str">
        <f t="shared" si="121"/>
        <v/>
      </c>
      <c r="AX353" s="10" t="str">
        <f t="shared" si="115"/>
        <v/>
      </c>
      <c r="AY353" s="10" t="str">
        <f t="shared" si="116"/>
        <v/>
      </c>
      <c r="AZ353" s="10" t="str">
        <f t="shared" si="117"/>
        <v/>
      </c>
      <c r="BA353" s="10" t="str">
        <f t="shared" si="118"/>
        <v/>
      </c>
    </row>
    <row r="354" spans="6:53" x14ac:dyDescent="0.2">
      <c r="F354" s="10" t="str">
        <f t="shared" si="103"/>
        <v>2018/3/21</v>
      </c>
      <c r="G354" s="14">
        <v>43180</v>
      </c>
      <c r="H354" s="10">
        <v>5.0831577999999995</v>
      </c>
      <c r="I354" s="10">
        <v>-2.8423086999999998</v>
      </c>
      <c r="J354" s="10">
        <v>2.2408490999999997</v>
      </c>
      <c r="K354" s="10">
        <f t="shared" si="104"/>
        <v>1759.6604791000011</v>
      </c>
      <c r="L354" s="10">
        <f t="shared" si="105"/>
        <v>-1253.9180357999996</v>
      </c>
      <c r="M354" s="10">
        <f t="shared" si="106"/>
        <v>505.7424433000001</v>
      </c>
      <c r="N354" s="10">
        <v>21.542523718086997</v>
      </c>
      <c r="O354" s="10">
        <v>18.727225069637878</v>
      </c>
      <c r="P354" s="10">
        <v>3781.5366146199976</v>
      </c>
      <c r="Y354" s="10" t="e">
        <f t="shared" si="119"/>
        <v>#N/A</v>
      </c>
      <c r="Z354" s="10" t="e">
        <f t="shared" si="107"/>
        <v>#N/A</v>
      </c>
      <c r="AA354" s="10" t="e">
        <f t="shared" si="108"/>
        <v>#N/A</v>
      </c>
      <c r="AB354" s="10" t="e">
        <f t="shared" si="109"/>
        <v>#N/A</v>
      </c>
      <c r="AC354" s="10" t="e">
        <f t="shared" si="110"/>
        <v>#N/A</v>
      </c>
      <c r="AE354" s="10" t="str">
        <f t="shared" si="120"/>
        <v/>
      </c>
      <c r="AF354" s="10" t="str">
        <f t="shared" si="111"/>
        <v/>
      </c>
      <c r="AG354" s="10" t="str">
        <f t="shared" si="112"/>
        <v/>
      </c>
      <c r="AH354" s="10" t="str">
        <f t="shared" si="113"/>
        <v/>
      </c>
      <c r="AI354" s="10" t="str">
        <f t="shared" si="114"/>
        <v/>
      </c>
      <c r="AK354" s="10"/>
      <c r="AL354" s="10"/>
      <c r="AM354" s="10"/>
      <c r="AN354" s="10"/>
      <c r="AO354" s="10"/>
      <c r="AQ354" s="10"/>
      <c r="AR354" s="10"/>
      <c r="AS354" s="10"/>
      <c r="AT354" s="10"/>
      <c r="AU354" s="10"/>
      <c r="AW354" s="10" t="str">
        <f t="shared" si="121"/>
        <v/>
      </c>
      <c r="AX354" s="10" t="str">
        <f t="shared" si="115"/>
        <v/>
      </c>
      <c r="AY354" s="10" t="str">
        <f t="shared" si="116"/>
        <v/>
      </c>
      <c r="AZ354" s="10" t="str">
        <f t="shared" si="117"/>
        <v/>
      </c>
      <c r="BA354" s="10" t="str">
        <f t="shared" si="118"/>
        <v/>
      </c>
    </row>
    <row r="355" spans="6:53" x14ac:dyDescent="0.2">
      <c r="F355" s="10" t="str">
        <f t="shared" si="103"/>
        <v>2018/3/22</v>
      </c>
      <c r="G355" s="14">
        <v>43181</v>
      </c>
      <c r="H355" s="10">
        <v>9.5784167</v>
      </c>
      <c r="I355" s="10">
        <v>-10.456862999999998</v>
      </c>
      <c r="J355" s="10">
        <v>-0.87844630000000024</v>
      </c>
      <c r="K355" s="10">
        <f t="shared" si="104"/>
        <v>1769.238895800001</v>
      </c>
      <c r="L355" s="10">
        <f t="shared" si="105"/>
        <v>-1264.3748987999998</v>
      </c>
      <c r="M355" s="10">
        <f t="shared" si="106"/>
        <v>504.8639970000001</v>
      </c>
      <c r="N355" s="10">
        <v>19.430864131339963</v>
      </c>
      <c r="O355" s="10">
        <v>17.077278272980507</v>
      </c>
      <c r="P355" s="10">
        <v>3790.2230279699988</v>
      </c>
      <c r="Y355" s="10" t="e">
        <f t="shared" si="119"/>
        <v>#N/A</v>
      </c>
      <c r="Z355" s="10" t="e">
        <f t="shared" si="107"/>
        <v>#N/A</v>
      </c>
      <c r="AA355" s="10" t="e">
        <f t="shared" si="108"/>
        <v>#N/A</v>
      </c>
      <c r="AB355" s="10" t="e">
        <f t="shared" si="109"/>
        <v>#N/A</v>
      </c>
      <c r="AC355" s="10" t="e">
        <f t="shared" si="110"/>
        <v>#N/A</v>
      </c>
      <c r="AE355" s="10" t="str">
        <f t="shared" si="120"/>
        <v/>
      </c>
      <c r="AF355" s="10" t="str">
        <f t="shared" si="111"/>
        <v/>
      </c>
      <c r="AG355" s="10" t="str">
        <f t="shared" si="112"/>
        <v/>
      </c>
      <c r="AH355" s="10" t="str">
        <f t="shared" si="113"/>
        <v/>
      </c>
      <c r="AI355" s="10" t="str">
        <f t="shared" si="114"/>
        <v/>
      </c>
      <c r="AK355" s="10"/>
      <c r="AL355" s="10"/>
      <c r="AM355" s="10"/>
      <c r="AN355" s="10"/>
      <c r="AO355" s="10"/>
      <c r="AQ355" s="10"/>
      <c r="AR355" s="10"/>
      <c r="AS355" s="10"/>
      <c r="AT355" s="10"/>
      <c r="AU355" s="10"/>
      <c r="AW355" s="10" t="str">
        <f t="shared" si="121"/>
        <v/>
      </c>
      <c r="AX355" s="10" t="str">
        <f t="shared" si="115"/>
        <v/>
      </c>
      <c r="AY355" s="10" t="str">
        <f t="shared" si="116"/>
        <v/>
      </c>
      <c r="AZ355" s="10" t="str">
        <f t="shared" si="117"/>
        <v/>
      </c>
      <c r="BA355" s="10" t="str">
        <f t="shared" si="118"/>
        <v/>
      </c>
    </row>
    <row r="356" spans="6:53" x14ac:dyDescent="0.2">
      <c r="F356" s="10" t="str">
        <f t="shared" si="103"/>
        <v>2018/3/23</v>
      </c>
      <c r="G356" s="14">
        <v>43182</v>
      </c>
      <c r="H356" s="10">
        <v>3.1162894999999993</v>
      </c>
      <c r="I356" s="10">
        <v>-11.984585899999997</v>
      </c>
      <c r="J356" s="10">
        <v>-8.8682964000000002</v>
      </c>
      <c r="K356" s="10">
        <f t="shared" si="104"/>
        <v>1772.355185300001</v>
      </c>
      <c r="L356" s="10">
        <f t="shared" si="105"/>
        <v>-1276.3594846999997</v>
      </c>
      <c r="M356" s="10">
        <f t="shared" si="106"/>
        <v>495.99570060000008</v>
      </c>
      <c r="N356" s="10">
        <v>17.430012354558638</v>
      </c>
      <c r="O356" s="10">
        <v>15.618686908077988</v>
      </c>
      <c r="P356" s="10">
        <v>3719.482150320001</v>
      </c>
      <c r="Y356" s="10" t="e">
        <f t="shared" si="119"/>
        <v>#N/A</v>
      </c>
      <c r="Z356" s="10" t="e">
        <f t="shared" si="107"/>
        <v>#N/A</v>
      </c>
      <c r="AA356" s="10" t="e">
        <f t="shared" si="108"/>
        <v>#N/A</v>
      </c>
      <c r="AB356" s="10" t="e">
        <f t="shared" si="109"/>
        <v>#N/A</v>
      </c>
      <c r="AC356" s="10" t="e">
        <f t="shared" si="110"/>
        <v>#N/A</v>
      </c>
      <c r="AE356" s="10" t="str">
        <f t="shared" si="120"/>
        <v/>
      </c>
      <c r="AF356" s="10" t="str">
        <f t="shared" si="111"/>
        <v/>
      </c>
      <c r="AG356" s="10" t="str">
        <f t="shared" si="112"/>
        <v/>
      </c>
      <c r="AH356" s="10" t="str">
        <f t="shared" si="113"/>
        <v/>
      </c>
      <c r="AI356" s="10" t="str">
        <f t="shared" si="114"/>
        <v/>
      </c>
      <c r="AK356" s="10"/>
      <c r="AL356" s="10"/>
      <c r="AM356" s="10"/>
      <c r="AN356" s="10"/>
      <c r="AO356" s="10"/>
      <c r="AQ356" s="10"/>
      <c r="AR356" s="10"/>
      <c r="AS356" s="10"/>
      <c r="AT356" s="10"/>
      <c r="AU356" s="10"/>
      <c r="AW356" s="10" t="str">
        <f t="shared" si="121"/>
        <v/>
      </c>
      <c r="AX356" s="10" t="str">
        <f t="shared" si="115"/>
        <v/>
      </c>
      <c r="AY356" s="10" t="str">
        <f t="shared" si="116"/>
        <v/>
      </c>
      <c r="AZ356" s="10" t="str">
        <f t="shared" si="117"/>
        <v/>
      </c>
      <c r="BA356" s="10" t="str">
        <f t="shared" si="118"/>
        <v/>
      </c>
    </row>
    <row r="357" spans="6:53" x14ac:dyDescent="0.2">
      <c r="F357" s="10" t="str">
        <f t="shared" si="103"/>
        <v>2018/3/26</v>
      </c>
      <c r="G357" s="14">
        <v>43185</v>
      </c>
      <c r="H357" s="10">
        <v>8.1750574000000018</v>
      </c>
      <c r="I357" s="10">
        <v>-3.2575240000000001</v>
      </c>
      <c r="J357" s="10">
        <v>4.9175333999999991</v>
      </c>
      <c r="K357" s="10">
        <f t="shared" si="104"/>
        <v>1780.5302427000011</v>
      </c>
      <c r="L357" s="10">
        <f t="shared" si="105"/>
        <v>-1279.6170086999998</v>
      </c>
      <c r="M357" s="10">
        <f t="shared" si="106"/>
        <v>500.9132340000001</v>
      </c>
      <c r="N357" s="10">
        <v>19.542715019716006</v>
      </c>
      <c r="O357" s="10">
        <v>17.062699164345403</v>
      </c>
      <c r="P357" s="10">
        <v>3651.284698620002</v>
      </c>
      <c r="Y357" s="10" t="e">
        <f t="shared" si="119"/>
        <v>#N/A</v>
      </c>
      <c r="Z357" s="10" t="e">
        <f t="shared" si="107"/>
        <v>#N/A</v>
      </c>
      <c r="AA357" s="10" t="e">
        <f t="shared" si="108"/>
        <v>#N/A</v>
      </c>
      <c r="AB357" s="10" t="e">
        <f t="shared" si="109"/>
        <v>#N/A</v>
      </c>
      <c r="AC357" s="10" t="e">
        <f t="shared" si="110"/>
        <v>#N/A</v>
      </c>
      <c r="AE357" s="10" t="str">
        <f t="shared" si="120"/>
        <v/>
      </c>
      <c r="AF357" s="10" t="str">
        <f t="shared" si="111"/>
        <v/>
      </c>
      <c r="AG357" s="10" t="str">
        <f t="shared" si="112"/>
        <v/>
      </c>
      <c r="AH357" s="10" t="str">
        <f t="shared" si="113"/>
        <v/>
      </c>
      <c r="AI357" s="10" t="str">
        <f t="shared" si="114"/>
        <v/>
      </c>
      <c r="AK357" s="10"/>
      <c r="AL357" s="10"/>
      <c r="AM357" s="10"/>
      <c r="AN357" s="10"/>
      <c r="AO357" s="10"/>
      <c r="AQ357" s="10"/>
      <c r="AR357" s="10"/>
      <c r="AS357" s="10"/>
      <c r="AT357" s="10"/>
      <c r="AU357" s="10"/>
      <c r="AW357" s="10" t="str">
        <f t="shared" si="121"/>
        <v/>
      </c>
      <c r="AX357" s="10" t="str">
        <f t="shared" si="115"/>
        <v/>
      </c>
      <c r="AY357" s="10" t="str">
        <f t="shared" si="116"/>
        <v/>
      </c>
      <c r="AZ357" s="10" t="str">
        <f t="shared" si="117"/>
        <v/>
      </c>
      <c r="BA357" s="10" t="str">
        <f t="shared" si="118"/>
        <v/>
      </c>
    </row>
    <row r="358" spans="6:53" x14ac:dyDescent="0.2">
      <c r="F358" s="10" t="str">
        <f t="shared" ref="F358:F421" si="122">IF($G358="","",YEAR($G358)&amp;"/"&amp;MONTH($G358)&amp;"/"&amp;DAY($G358))</f>
        <v>2018/3/27</v>
      </c>
      <c r="G358" s="14">
        <v>43186</v>
      </c>
      <c r="H358" s="10">
        <v>7.3615364999999988</v>
      </c>
      <c r="I358" s="10">
        <v>-8.0930892999999955</v>
      </c>
      <c r="J358" s="10">
        <v>-0.73155279999999967</v>
      </c>
      <c r="K358" s="10">
        <f t="shared" si="104"/>
        <v>1787.8917792000011</v>
      </c>
      <c r="L358" s="10">
        <f t="shared" si="105"/>
        <v>-1287.7100979999998</v>
      </c>
      <c r="M358" s="10">
        <f t="shared" si="106"/>
        <v>500.18168120000013</v>
      </c>
      <c r="N358" s="10">
        <v>18.56773779048951</v>
      </c>
      <c r="O358" s="10">
        <v>16.552750974930358</v>
      </c>
      <c r="P358" s="10">
        <v>3717.1417659200001</v>
      </c>
      <c r="Y358" s="10" t="e">
        <f t="shared" si="119"/>
        <v>#N/A</v>
      </c>
      <c r="Z358" s="10" t="e">
        <f t="shared" si="107"/>
        <v>#N/A</v>
      </c>
      <c r="AA358" s="10" t="e">
        <f t="shared" si="108"/>
        <v>#N/A</v>
      </c>
      <c r="AB358" s="10" t="e">
        <f t="shared" si="109"/>
        <v>#N/A</v>
      </c>
      <c r="AC358" s="10" t="e">
        <f t="shared" si="110"/>
        <v>#N/A</v>
      </c>
      <c r="AE358" s="10" t="str">
        <f t="shared" si="120"/>
        <v/>
      </c>
      <c r="AF358" s="10" t="str">
        <f t="shared" si="111"/>
        <v/>
      </c>
      <c r="AG358" s="10" t="str">
        <f t="shared" si="112"/>
        <v/>
      </c>
      <c r="AH358" s="10" t="str">
        <f t="shared" si="113"/>
        <v/>
      </c>
      <c r="AI358" s="10" t="str">
        <f t="shared" si="114"/>
        <v/>
      </c>
      <c r="AK358" s="10"/>
      <c r="AL358" s="10"/>
      <c r="AM358" s="10"/>
      <c r="AN358" s="10"/>
      <c r="AO358" s="10"/>
      <c r="AQ358" s="10"/>
      <c r="AR358" s="10"/>
      <c r="AS358" s="10"/>
      <c r="AT358" s="10"/>
      <c r="AU358" s="10"/>
      <c r="AW358" s="10" t="str">
        <f t="shared" si="121"/>
        <v/>
      </c>
      <c r="AX358" s="10" t="str">
        <f t="shared" si="115"/>
        <v/>
      </c>
      <c r="AY358" s="10" t="str">
        <f t="shared" si="116"/>
        <v/>
      </c>
      <c r="AZ358" s="10" t="str">
        <f t="shared" si="117"/>
        <v/>
      </c>
      <c r="BA358" s="10" t="str">
        <f t="shared" si="118"/>
        <v/>
      </c>
    </row>
    <row r="359" spans="6:53" x14ac:dyDescent="0.2">
      <c r="F359" s="10" t="str">
        <f t="shared" si="122"/>
        <v>2018/3/28</v>
      </c>
      <c r="G359" s="14">
        <v>43187</v>
      </c>
      <c r="H359" s="10">
        <v>3.7433119999999995</v>
      </c>
      <c r="I359" s="10">
        <v>-6.0385659999999994</v>
      </c>
      <c r="J359" s="10">
        <v>-2.2952539999999999</v>
      </c>
      <c r="K359" s="10">
        <f t="shared" ref="K359:K422" si="123">IF($H359="","",K358+H359)</f>
        <v>1791.6350912000012</v>
      </c>
      <c r="L359" s="10">
        <f t="shared" ref="L359:L422" si="124">IF($I359="","",L358+I359)</f>
        <v>-1293.7486639999997</v>
      </c>
      <c r="M359" s="10">
        <f t="shared" ref="M359:M422" si="125">IF($J359="","",M358+J359)</f>
        <v>497.88642720000013</v>
      </c>
      <c r="N359" s="10">
        <v>18.234301716153293</v>
      </c>
      <c r="O359" s="10">
        <v>16.220944011142066</v>
      </c>
      <c r="P359" s="10">
        <v>3688.7755297200001</v>
      </c>
      <c r="Y359" s="10" t="e">
        <f t="shared" si="119"/>
        <v>#N/A</v>
      </c>
      <c r="Z359" s="10" t="e">
        <f t="shared" si="107"/>
        <v>#N/A</v>
      </c>
      <c r="AA359" s="10" t="e">
        <f t="shared" si="108"/>
        <v>#N/A</v>
      </c>
      <c r="AB359" s="10" t="e">
        <f t="shared" si="109"/>
        <v>#N/A</v>
      </c>
      <c r="AC359" s="10" t="e">
        <f t="shared" si="110"/>
        <v>#N/A</v>
      </c>
      <c r="AE359" s="10" t="str">
        <f t="shared" si="120"/>
        <v/>
      </c>
      <c r="AF359" s="10" t="str">
        <f t="shared" si="111"/>
        <v/>
      </c>
      <c r="AG359" s="10" t="str">
        <f t="shared" si="112"/>
        <v/>
      </c>
      <c r="AH359" s="10" t="str">
        <f t="shared" si="113"/>
        <v/>
      </c>
      <c r="AI359" s="10" t="str">
        <f t="shared" si="114"/>
        <v/>
      </c>
      <c r="AK359" s="10"/>
      <c r="AL359" s="10"/>
      <c r="AM359" s="10"/>
      <c r="AN359" s="10"/>
      <c r="AO359" s="10"/>
      <c r="AQ359" s="10"/>
      <c r="AR359" s="10"/>
      <c r="AS359" s="10"/>
      <c r="AT359" s="10"/>
      <c r="AU359" s="10"/>
      <c r="AW359" s="10" t="str">
        <f t="shared" si="121"/>
        <v/>
      </c>
      <c r="AX359" s="10" t="str">
        <f t="shared" si="115"/>
        <v/>
      </c>
      <c r="AY359" s="10" t="str">
        <f t="shared" si="116"/>
        <v/>
      </c>
      <c r="AZ359" s="10" t="str">
        <f t="shared" si="117"/>
        <v/>
      </c>
      <c r="BA359" s="10" t="str">
        <f t="shared" si="118"/>
        <v/>
      </c>
    </row>
    <row r="360" spans="6:53" x14ac:dyDescent="0.2">
      <c r="F360" s="10" t="str">
        <f t="shared" si="122"/>
        <v>2018/3/29</v>
      </c>
      <c r="G360" s="14">
        <v>43188</v>
      </c>
      <c r="H360" s="10">
        <v>5.5018792000000012</v>
      </c>
      <c r="I360" s="10">
        <v>-7.2413041000000007</v>
      </c>
      <c r="J360" s="10">
        <v>-1.7394248999999988</v>
      </c>
      <c r="K360" s="10">
        <f t="shared" si="123"/>
        <v>1797.1369704000012</v>
      </c>
      <c r="L360" s="10">
        <f t="shared" si="124"/>
        <v>-1300.9899680999997</v>
      </c>
      <c r="M360" s="10">
        <f t="shared" si="125"/>
        <v>496.14700230000011</v>
      </c>
      <c r="N360" s="10">
        <v>19.461481743511087</v>
      </c>
      <c r="O360" s="10">
        <v>17.191184401114199</v>
      </c>
      <c r="P360" s="10">
        <v>3678.1779275199988</v>
      </c>
      <c r="Y360" s="10" t="e">
        <f t="shared" si="119"/>
        <v>#N/A</v>
      </c>
      <c r="Z360" s="10" t="e">
        <f t="shared" si="107"/>
        <v>#N/A</v>
      </c>
      <c r="AA360" s="10" t="e">
        <f t="shared" si="108"/>
        <v>#N/A</v>
      </c>
      <c r="AB360" s="10" t="e">
        <f t="shared" si="109"/>
        <v>#N/A</v>
      </c>
      <c r="AC360" s="10" t="e">
        <f t="shared" si="110"/>
        <v>#N/A</v>
      </c>
      <c r="AE360" s="10" t="str">
        <f t="shared" si="120"/>
        <v/>
      </c>
      <c r="AF360" s="10" t="str">
        <f t="shared" si="111"/>
        <v/>
      </c>
      <c r="AG360" s="10" t="str">
        <f t="shared" si="112"/>
        <v/>
      </c>
      <c r="AH360" s="10" t="str">
        <f t="shared" si="113"/>
        <v/>
      </c>
      <c r="AI360" s="10" t="str">
        <f t="shared" si="114"/>
        <v/>
      </c>
      <c r="AK360" s="10"/>
      <c r="AL360" s="10"/>
      <c r="AM360" s="10"/>
      <c r="AN360" s="10"/>
      <c r="AO360" s="10"/>
      <c r="AQ360" s="10"/>
      <c r="AR360" s="10"/>
      <c r="AS360" s="10"/>
      <c r="AT360" s="10"/>
      <c r="AU360" s="10"/>
      <c r="AW360" s="10" t="str">
        <f t="shared" si="121"/>
        <v/>
      </c>
      <c r="AX360" s="10" t="str">
        <f t="shared" si="115"/>
        <v/>
      </c>
      <c r="AY360" s="10" t="str">
        <f t="shared" si="116"/>
        <v/>
      </c>
      <c r="AZ360" s="10" t="str">
        <f t="shared" si="117"/>
        <v/>
      </c>
      <c r="BA360" s="10" t="str">
        <f t="shared" si="118"/>
        <v/>
      </c>
    </row>
    <row r="361" spans="6:53" x14ac:dyDescent="0.2">
      <c r="F361" s="10" t="str">
        <f t="shared" si="122"/>
        <v>2018/3/30</v>
      </c>
      <c r="G361" s="14">
        <v>43189</v>
      </c>
      <c r="H361" s="10">
        <v>0.39599990000000002</v>
      </c>
      <c r="I361" s="10">
        <v>-0.36586059999999998</v>
      </c>
      <c r="J361" s="10">
        <v>3.0139300000000105E-2</v>
      </c>
      <c r="K361" s="10">
        <f t="shared" si="123"/>
        <v>1797.5329703000014</v>
      </c>
      <c r="L361" s="10">
        <f t="shared" si="124"/>
        <v>-1301.3558286999996</v>
      </c>
      <c r="M361" s="10">
        <f t="shared" si="125"/>
        <v>496.17714160000008</v>
      </c>
      <c r="N361" s="10">
        <v>18.752263455926613</v>
      </c>
      <c r="O361" s="10">
        <v>16.638630408542248</v>
      </c>
      <c r="P361" s="10">
        <v>3714.5323251250015</v>
      </c>
      <c r="Y361" s="10" t="e">
        <f t="shared" si="119"/>
        <v>#N/A</v>
      </c>
      <c r="Z361" s="10" t="e">
        <f t="shared" si="107"/>
        <v>#N/A</v>
      </c>
      <c r="AA361" s="10" t="e">
        <f t="shared" si="108"/>
        <v>#N/A</v>
      </c>
      <c r="AB361" s="10" t="e">
        <f t="shared" si="109"/>
        <v>#N/A</v>
      </c>
      <c r="AC361" s="10" t="e">
        <f t="shared" si="110"/>
        <v>#N/A</v>
      </c>
      <c r="AE361" s="10" t="str">
        <f t="shared" si="120"/>
        <v/>
      </c>
      <c r="AF361" s="10" t="str">
        <f t="shared" si="111"/>
        <v/>
      </c>
      <c r="AG361" s="10" t="str">
        <f t="shared" si="112"/>
        <v/>
      </c>
      <c r="AH361" s="10" t="str">
        <f t="shared" si="113"/>
        <v/>
      </c>
      <c r="AI361" s="10" t="str">
        <f t="shared" si="114"/>
        <v/>
      </c>
      <c r="AK361" s="10"/>
      <c r="AL361" s="10"/>
      <c r="AM361" s="10"/>
      <c r="AN361" s="10"/>
      <c r="AO361" s="10"/>
      <c r="AQ361" s="10"/>
      <c r="AR361" s="10"/>
      <c r="AS361" s="10"/>
      <c r="AT361" s="10"/>
      <c r="AU361" s="10"/>
      <c r="AW361" s="10" t="str">
        <f t="shared" si="121"/>
        <v/>
      </c>
      <c r="AX361" s="10" t="str">
        <f t="shared" si="115"/>
        <v/>
      </c>
      <c r="AY361" s="10" t="str">
        <f t="shared" si="116"/>
        <v/>
      </c>
      <c r="AZ361" s="10" t="str">
        <f t="shared" si="117"/>
        <v/>
      </c>
      <c r="BA361" s="10" t="str">
        <f t="shared" si="118"/>
        <v/>
      </c>
    </row>
    <row r="362" spans="6:53" x14ac:dyDescent="0.2">
      <c r="F362" s="10" t="str">
        <f t="shared" si="122"/>
        <v>2018/4/2</v>
      </c>
      <c r="G362" s="14">
        <v>43192</v>
      </c>
      <c r="H362" s="10">
        <v>2.9872172999999997</v>
      </c>
      <c r="I362" s="10">
        <v>-6.4029983000000019</v>
      </c>
      <c r="J362" s="10">
        <v>-3.4157810000000004</v>
      </c>
      <c r="K362" s="10">
        <f t="shared" si="123"/>
        <v>1800.5201876000015</v>
      </c>
      <c r="L362" s="10">
        <f t="shared" si="124"/>
        <v>-1307.7588269999997</v>
      </c>
      <c r="M362" s="10">
        <f t="shared" si="125"/>
        <v>492.7613606000001</v>
      </c>
      <c r="N362" s="10">
        <v>17.880963005295975</v>
      </c>
      <c r="O362" s="10">
        <v>16.007745496750232</v>
      </c>
      <c r="P362" s="10">
        <v>3695.5055677416676</v>
      </c>
      <c r="Y362" s="10" t="e">
        <f t="shared" si="119"/>
        <v>#N/A</v>
      </c>
      <c r="Z362" s="10" t="e">
        <f t="shared" si="107"/>
        <v>#N/A</v>
      </c>
      <c r="AA362" s="10" t="e">
        <f t="shared" si="108"/>
        <v>#N/A</v>
      </c>
      <c r="AB362" s="10" t="e">
        <f t="shared" si="109"/>
        <v>#N/A</v>
      </c>
      <c r="AC362" s="10" t="e">
        <f t="shared" si="110"/>
        <v>#N/A</v>
      </c>
      <c r="AE362" s="10" t="str">
        <f t="shared" si="120"/>
        <v/>
      </c>
      <c r="AF362" s="10" t="str">
        <f t="shared" si="111"/>
        <v/>
      </c>
      <c r="AG362" s="10" t="str">
        <f t="shared" si="112"/>
        <v/>
      </c>
      <c r="AH362" s="10" t="str">
        <f t="shared" si="113"/>
        <v/>
      </c>
      <c r="AI362" s="10" t="str">
        <f t="shared" si="114"/>
        <v/>
      </c>
      <c r="AK362" s="10"/>
      <c r="AL362" s="10"/>
      <c r="AM362" s="10"/>
      <c r="AN362" s="10"/>
      <c r="AO362" s="10"/>
      <c r="AQ362" s="10"/>
      <c r="AR362" s="10"/>
      <c r="AS362" s="10"/>
      <c r="AT362" s="10"/>
      <c r="AU362" s="10"/>
      <c r="AW362" s="10" t="str">
        <f t="shared" si="121"/>
        <v/>
      </c>
      <c r="AX362" s="10" t="str">
        <f t="shared" si="115"/>
        <v/>
      </c>
      <c r="AY362" s="10" t="str">
        <f t="shared" si="116"/>
        <v/>
      </c>
      <c r="AZ362" s="10" t="str">
        <f t="shared" si="117"/>
        <v/>
      </c>
      <c r="BA362" s="10" t="str">
        <f t="shared" si="118"/>
        <v/>
      </c>
    </row>
    <row r="363" spans="6:53" x14ac:dyDescent="0.2">
      <c r="F363" s="10" t="str">
        <f t="shared" si="122"/>
        <v>2018/4/3</v>
      </c>
      <c r="G363" s="14">
        <v>43193</v>
      </c>
      <c r="H363" s="10">
        <v>4.8610231999999991</v>
      </c>
      <c r="I363" s="10">
        <v>-5.7701547999999994</v>
      </c>
      <c r="J363" s="10">
        <v>-0.90913160000000048</v>
      </c>
      <c r="K363" s="10">
        <f t="shared" si="123"/>
        <v>1805.3812108000016</v>
      </c>
      <c r="L363" s="10">
        <f t="shared" si="124"/>
        <v>-1313.5289817999997</v>
      </c>
      <c r="M363" s="10">
        <f t="shared" si="125"/>
        <v>491.85222900000008</v>
      </c>
      <c r="N363" s="10">
        <v>18.628854893370463</v>
      </c>
      <c r="O363" s="10">
        <v>16.514037883008353</v>
      </c>
      <c r="P363" s="10">
        <v>3665.1664272833336</v>
      </c>
      <c r="Y363" s="10" t="e">
        <f t="shared" si="119"/>
        <v>#N/A</v>
      </c>
      <c r="Z363" s="10" t="e">
        <f t="shared" si="107"/>
        <v>#N/A</v>
      </c>
      <c r="AA363" s="10" t="e">
        <f t="shared" si="108"/>
        <v>#N/A</v>
      </c>
      <c r="AB363" s="10" t="e">
        <f t="shared" si="109"/>
        <v>#N/A</v>
      </c>
      <c r="AC363" s="10" t="e">
        <f t="shared" si="110"/>
        <v>#N/A</v>
      </c>
      <c r="AE363" s="10" t="str">
        <f t="shared" si="120"/>
        <v/>
      </c>
      <c r="AF363" s="10" t="str">
        <f t="shared" si="111"/>
        <v/>
      </c>
      <c r="AG363" s="10" t="str">
        <f t="shared" si="112"/>
        <v/>
      </c>
      <c r="AH363" s="10" t="str">
        <f t="shared" si="113"/>
        <v/>
      </c>
      <c r="AI363" s="10" t="str">
        <f t="shared" si="114"/>
        <v/>
      </c>
      <c r="AK363" s="10"/>
      <c r="AL363" s="10"/>
      <c r="AM363" s="10"/>
      <c r="AN363" s="10"/>
      <c r="AO363" s="10"/>
      <c r="AQ363" s="10"/>
      <c r="AR363" s="10"/>
      <c r="AS363" s="10"/>
      <c r="AT363" s="10"/>
      <c r="AU363" s="10"/>
      <c r="AW363" s="10" t="str">
        <f t="shared" si="121"/>
        <v/>
      </c>
      <c r="AX363" s="10" t="str">
        <f t="shared" si="115"/>
        <v/>
      </c>
      <c r="AY363" s="10" t="str">
        <f t="shared" si="116"/>
        <v/>
      </c>
      <c r="AZ363" s="10" t="str">
        <f t="shared" si="117"/>
        <v/>
      </c>
      <c r="BA363" s="10" t="str">
        <f t="shared" si="118"/>
        <v/>
      </c>
    </row>
    <row r="364" spans="6:53" x14ac:dyDescent="0.2">
      <c r="F364" s="10" t="str">
        <f t="shared" si="122"/>
        <v>2018/4/4</v>
      </c>
      <c r="G364" s="14">
        <v>43194</v>
      </c>
      <c r="H364" s="10">
        <v>6.1299993999999991</v>
      </c>
      <c r="I364" s="10">
        <v>-5.0451985000000015</v>
      </c>
      <c r="J364" s="10">
        <v>1.0848009000000005</v>
      </c>
      <c r="K364" s="10">
        <f t="shared" si="123"/>
        <v>1811.5112102000016</v>
      </c>
      <c r="L364" s="10">
        <f t="shared" si="124"/>
        <v>-1318.5741802999996</v>
      </c>
      <c r="M364" s="10">
        <f t="shared" si="125"/>
        <v>492.93702990000008</v>
      </c>
      <c r="N364" s="10">
        <v>19.28542323521738</v>
      </c>
      <c r="O364" s="10">
        <v>16.956397493036217</v>
      </c>
      <c r="P364" s="10">
        <v>3682.0442100200012</v>
      </c>
      <c r="Y364" s="10" t="e">
        <f t="shared" si="119"/>
        <v>#N/A</v>
      </c>
      <c r="Z364" s="10" t="e">
        <f t="shared" si="107"/>
        <v>#N/A</v>
      </c>
      <c r="AA364" s="10" t="e">
        <f t="shared" si="108"/>
        <v>#N/A</v>
      </c>
      <c r="AB364" s="10" t="e">
        <f t="shared" si="109"/>
        <v>#N/A</v>
      </c>
      <c r="AC364" s="10" t="e">
        <f t="shared" si="110"/>
        <v>#N/A</v>
      </c>
      <c r="AE364" s="10" t="str">
        <f t="shared" si="120"/>
        <v/>
      </c>
      <c r="AF364" s="10" t="str">
        <f t="shared" si="111"/>
        <v/>
      </c>
      <c r="AG364" s="10" t="str">
        <f t="shared" si="112"/>
        <v/>
      </c>
      <c r="AH364" s="10" t="str">
        <f t="shared" si="113"/>
        <v/>
      </c>
      <c r="AI364" s="10" t="str">
        <f t="shared" si="114"/>
        <v/>
      </c>
      <c r="AK364" s="10"/>
      <c r="AL364" s="10"/>
      <c r="AM364" s="10"/>
      <c r="AN364" s="10"/>
      <c r="AO364" s="10"/>
      <c r="AQ364" s="10"/>
      <c r="AR364" s="10"/>
      <c r="AS364" s="10"/>
      <c r="AT364" s="10"/>
      <c r="AU364" s="10"/>
      <c r="AW364" s="10" t="str">
        <f t="shared" si="121"/>
        <v/>
      </c>
      <c r="AX364" s="10" t="str">
        <f t="shared" si="115"/>
        <v/>
      </c>
      <c r="AY364" s="10" t="str">
        <f t="shared" si="116"/>
        <v/>
      </c>
      <c r="AZ364" s="10" t="str">
        <f t="shared" si="117"/>
        <v/>
      </c>
      <c r="BA364" s="10" t="str">
        <f t="shared" si="118"/>
        <v/>
      </c>
    </row>
    <row r="365" spans="6:53" x14ac:dyDescent="0.2">
      <c r="F365" s="10" t="str">
        <f t="shared" si="122"/>
        <v>2018/4/5</v>
      </c>
      <c r="G365" s="14">
        <v>43195</v>
      </c>
      <c r="H365" s="10">
        <v>6.4481062000000007</v>
      </c>
      <c r="I365" s="10">
        <v>-2.2329710000000005</v>
      </c>
      <c r="J365" s="10">
        <v>4.2151352000000006</v>
      </c>
      <c r="K365" s="10">
        <f t="shared" si="123"/>
        <v>1817.9593164000016</v>
      </c>
      <c r="L365" s="10">
        <f t="shared" si="124"/>
        <v>-1320.8071512999995</v>
      </c>
      <c r="M365" s="10">
        <f t="shared" si="125"/>
        <v>497.1521651000001</v>
      </c>
      <c r="N365" s="10">
        <v>20.021094084704178</v>
      </c>
      <c r="O365" s="10">
        <v>17.66178820798514</v>
      </c>
      <c r="P365" s="10">
        <v>3708.0544894199998</v>
      </c>
      <c r="Y365" s="10" t="e">
        <f t="shared" si="119"/>
        <v>#N/A</v>
      </c>
      <c r="Z365" s="10" t="e">
        <f t="shared" si="107"/>
        <v>#N/A</v>
      </c>
      <c r="AA365" s="10" t="e">
        <f t="shared" si="108"/>
        <v>#N/A</v>
      </c>
      <c r="AB365" s="10" t="e">
        <f t="shared" si="109"/>
        <v>#N/A</v>
      </c>
      <c r="AC365" s="10" t="e">
        <f t="shared" si="110"/>
        <v>#N/A</v>
      </c>
      <c r="AE365" s="10" t="str">
        <f t="shared" si="120"/>
        <v/>
      </c>
      <c r="AF365" s="10" t="str">
        <f t="shared" si="111"/>
        <v/>
      </c>
      <c r="AG365" s="10" t="str">
        <f t="shared" si="112"/>
        <v/>
      </c>
      <c r="AH365" s="10" t="str">
        <f t="shared" si="113"/>
        <v/>
      </c>
      <c r="AI365" s="10" t="str">
        <f t="shared" si="114"/>
        <v/>
      </c>
      <c r="AK365" s="10"/>
      <c r="AL365" s="10"/>
      <c r="AM365" s="10"/>
      <c r="AN365" s="10"/>
      <c r="AO365" s="10"/>
      <c r="AQ365" s="10"/>
      <c r="AR365" s="10"/>
      <c r="AS365" s="10"/>
      <c r="AT365" s="10"/>
      <c r="AU365" s="10"/>
      <c r="AW365" s="10" t="str">
        <f t="shared" si="121"/>
        <v/>
      </c>
      <c r="AX365" s="10" t="str">
        <f t="shared" si="115"/>
        <v/>
      </c>
      <c r="AY365" s="10" t="str">
        <f t="shared" si="116"/>
        <v/>
      </c>
      <c r="AZ365" s="10" t="str">
        <f t="shared" si="117"/>
        <v/>
      </c>
      <c r="BA365" s="10" t="str">
        <f t="shared" si="118"/>
        <v/>
      </c>
    </row>
    <row r="366" spans="6:53" x14ac:dyDescent="0.2">
      <c r="F366" s="10" t="str">
        <f t="shared" si="122"/>
        <v>2018/4/6</v>
      </c>
      <c r="G366" s="14">
        <v>43196</v>
      </c>
      <c r="H366" s="10">
        <v>4.471468999999999</v>
      </c>
      <c r="I366" s="10">
        <v>-6.9434298000000023</v>
      </c>
      <c r="J366" s="10">
        <v>-2.4719608000000006</v>
      </c>
      <c r="K366" s="10">
        <f t="shared" si="123"/>
        <v>1822.4307854000017</v>
      </c>
      <c r="L366" s="10">
        <f t="shared" si="124"/>
        <v>-1327.7505810999996</v>
      </c>
      <c r="M366" s="10">
        <f t="shared" si="125"/>
        <v>494.68020430000013</v>
      </c>
      <c r="N366" s="10">
        <v>18.462781073357654</v>
      </c>
      <c r="O366" s="10">
        <v>16.525766945218198</v>
      </c>
      <c r="P366" s="10">
        <v>3730.0641770366651</v>
      </c>
      <c r="Y366" s="10" t="e">
        <f t="shared" si="119"/>
        <v>#N/A</v>
      </c>
      <c r="Z366" s="10" t="e">
        <f t="shared" si="107"/>
        <v>#N/A</v>
      </c>
      <c r="AA366" s="10" t="e">
        <f t="shared" si="108"/>
        <v>#N/A</v>
      </c>
      <c r="AB366" s="10" t="e">
        <f t="shared" si="109"/>
        <v>#N/A</v>
      </c>
      <c r="AC366" s="10" t="e">
        <f t="shared" si="110"/>
        <v>#N/A</v>
      </c>
      <c r="AE366" s="10" t="str">
        <f t="shared" si="120"/>
        <v/>
      </c>
      <c r="AF366" s="10" t="str">
        <f t="shared" si="111"/>
        <v/>
      </c>
      <c r="AG366" s="10" t="str">
        <f t="shared" si="112"/>
        <v/>
      </c>
      <c r="AH366" s="10" t="str">
        <f t="shared" si="113"/>
        <v/>
      </c>
      <c r="AI366" s="10" t="str">
        <f t="shared" si="114"/>
        <v/>
      </c>
      <c r="AK366" s="10"/>
      <c r="AL366" s="10"/>
      <c r="AM366" s="10"/>
      <c r="AN366" s="10"/>
      <c r="AO366" s="10"/>
      <c r="AQ366" s="10"/>
      <c r="AR366" s="10"/>
      <c r="AS366" s="10"/>
      <c r="AT366" s="10"/>
      <c r="AU366" s="10"/>
      <c r="AW366" s="10" t="str">
        <f t="shared" si="121"/>
        <v/>
      </c>
      <c r="AX366" s="10" t="str">
        <f t="shared" si="115"/>
        <v/>
      </c>
      <c r="AY366" s="10" t="str">
        <f t="shared" si="116"/>
        <v/>
      </c>
      <c r="AZ366" s="10" t="str">
        <f t="shared" si="117"/>
        <v/>
      </c>
      <c r="BA366" s="10" t="str">
        <f t="shared" si="118"/>
        <v/>
      </c>
    </row>
    <row r="367" spans="6:53" x14ac:dyDescent="0.2">
      <c r="F367" s="10" t="str">
        <f t="shared" si="122"/>
        <v>2018/4/9</v>
      </c>
      <c r="G367" s="14">
        <v>43199</v>
      </c>
      <c r="H367" s="10">
        <v>10.0816783</v>
      </c>
      <c r="I367" s="10">
        <v>-2.4791892999999998</v>
      </c>
      <c r="J367" s="10">
        <v>7.6024890000000003</v>
      </c>
      <c r="K367" s="10">
        <f t="shared" si="123"/>
        <v>1832.5124637000017</v>
      </c>
      <c r="L367" s="10">
        <f t="shared" si="124"/>
        <v>-1330.2297703999996</v>
      </c>
      <c r="M367" s="10">
        <f t="shared" si="125"/>
        <v>502.28269330000012</v>
      </c>
      <c r="N367" s="10">
        <v>18.929838321421332</v>
      </c>
      <c r="O367" s="10">
        <v>16.913281337047362</v>
      </c>
      <c r="P367" s="10">
        <v>3680.6230130533327</v>
      </c>
      <c r="Y367" s="10" t="e">
        <f t="shared" si="119"/>
        <v>#N/A</v>
      </c>
      <c r="Z367" s="10" t="e">
        <f t="shared" si="107"/>
        <v>#N/A</v>
      </c>
      <c r="AA367" s="10" t="e">
        <f t="shared" si="108"/>
        <v>#N/A</v>
      </c>
      <c r="AB367" s="10" t="e">
        <f t="shared" si="109"/>
        <v>#N/A</v>
      </c>
      <c r="AC367" s="10" t="e">
        <f t="shared" si="110"/>
        <v>#N/A</v>
      </c>
      <c r="AE367" s="10" t="str">
        <f t="shared" si="120"/>
        <v/>
      </c>
      <c r="AF367" s="10" t="str">
        <f t="shared" si="111"/>
        <v/>
      </c>
      <c r="AG367" s="10" t="str">
        <f t="shared" si="112"/>
        <v/>
      </c>
      <c r="AH367" s="10" t="str">
        <f t="shared" si="113"/>
        <v/>
      </c>
      <c r="AI367" s="10" t="str">
        <f t="shared" si="114"/>
        <v/>
      </c>
      <c r="AK367" s="10"/>
      <c r="AL367" s="10"/>
      <c r="AM367" s="10"/>
      <c r="AN367" s="10"/>
      <c r="AO367" s="10"/>
      <c r="AQ367" s="10"/>
      <c r="AR367" s="10"/>
      <c r="AS367" s="10"/>
      <c r="AT367" s="10"/>
      <c r="AU367" s="10"/>
      <c r="AW367" s="10" t="str">
        <f t="shared" si="121"/>
        <v/>
      </c>
      <c r="AX367" s="10" t="str">
        <f t="shared" si="115"/>
        <v/>
      </c>
      <c r="AY367" s="10" t="str">
        <f t="shared" si="116"/>
        <v/>
      </c>
      <c r="AZ367" s="10" t="str">
        <f t="shared" si="117"/>
        <v/>
      </c>
      <c r="BA367" s="10" t="str">
        <f t="shared" si="118"/>
        <v/>
      </c>
    </row>
    <row r="368" spans="6:53" x14ac:dyDescent="0.2">
      <c r="F368" s="10" t="str">
        <f t="shared" si="122"/>
        <v>2018/4/10</v>
      </c>
      <c r="G368" s="14">
        <v>43200</v>
      </c>
      <c r="H368" s="10">
        <v>5.6045670999999997</v>
      </c>
      <c r="I368" s="10">
        <v>-3.0838623000000003</v>
      </c>
      <c r="J368" s="10">
        <v>2.5207047999999994</v>
      </c>
      <c r="K368" s="10">
        <f t="shared" si="123"/>
        <v>1838.1170308000017</v>
      </c>
      <c r="L368" s="10">
        <f t="shared" si="124"/>
        <v>-1333.3136326999995</v>
      </c>
      <c r="M368" s="10">
        <f t="shared" si="125"/>
        <v>504.80339810000009</v>
      </c>
      <c r="N368" s="10">
        <v>20.317828107052076</v>
      </c>
      <c r="O368" s="10">
        <v>18.084661281337063</v>
      </c>
      <c r="P368" s="10">
        <v>3702.516628020001</v>
      </c>
      <c r="Y368" s="10" t="e">
        <f t="shared" si="119"/>
        <v>#N/A</v>
      </c>
      <c r="Z368" s="10" t="e">
        <f t="shared" si="107"/>
        <v>#N/A</v>
      </c>
      <c r="AA368" s="10" t="e">
        <f t="shared" si="108"/>
        <v>#N/A</v>
      </c>
      <c r="AB368" s="10" t="e">
        <f t="shared" si="109"/>
        <v>#N/A</v>
      </c>
      <c r="AC368" s="10" t="e">
        <f t="shared" si="110"/>
        <v>#N/A</v>
      </c>
      <c r="AE368" s="10" t="str">
        <f t="shared" si="120"/>
        <v/>
      </c>
      <c r="AF368" s="10" t="str">
        <f t="shared" si="111"/>
        <v/>
      </c>
      <c r="AG368" s="10" t="str">
        <f t="shared" si="112"/>
        <v/>
      </c>
      <c r="AH368" s="10" t="str">
        <f t="shared" si="113"/>
        <v/>
      </c>
      <c r="AI368" s="10" t="str">
        <f t="shared" si="114"/>
        <v/>
      </c>
      <c r="AK368" s="10"/>
      <c r="AL368" s="10"/>
      <c r="AM368" s="10"/>
      <c r="AN368" s="10"/>
      <c r="AO368" s="10"/>
      <c r="AQ368" s="10"/>
      <c r="AR368" s="10"/>
      <c r="AS368" s="10"/>
      <c r="AT368" s="10"/>
      <c r="AU368" s="10"/>
      <c r="AW368" s="10" t="str">
        <f t="shared" si="121"/>
        <v/>
      </c>
      <c r="AX368" s="10" t="str">
        <f t="shared" si="115"/>
        <v/>
      </c>
      <c r="AY368" s="10" t="str">
        <f t="shared" si="116"/>
        <v/>
      </c>
      <c r="AZ368" s="10" t="str">
        <f t="shared" si="117"/>
        <v/>
      </c>
      <c r="BA368" s="10" t="str">
        <f t="shared" si="118"/>
        <v/>
      </c>
    </row>
    <row r="369" spans="6:53" x14ac:dyDescent="0.2">
      <c r="F369" s="10" t="str">
        <f t="shared" si="122"/>
        <v>2018/4/11</v>
      </c>
      <c r="G369" s="14">
        <v>43201</v>
      </c>
      <c r="H369" s="10">
        <v>5.2850661000000008</v>
      </c>
      <c r="I369" s="10">
        <v>-1.7222664000000001</v>
      </c>
      <c r="J369" s="10">
        <v>3.5627997000000002</v>
      </c>
      <c r="K369" s="10">
        <f t="shared" si="123"/>
        <v>1843.4020969000017</v>
      </c>
      <c r="L369" s="10">
        <f t="shared" si="124"/>
        <v>-1335.0358990999996</v>
      </c>
      <c r="M369" s="10">
        <f t="shared" si="125"/>
        <v>508.36619780000012</v>
      </c>
      <c r="N369" s="10">
        <v>20.079544189340371</v>
      </c>
      <c r="O369" s="10">
        <v>18.044927298050141</v>
      </c>
      <c r="P369" s="10">
        <v>3746.0151480200016</v>
      </c>
      <c r="Y369" s="10" t="e">
        <f t="shared" si="119"/>
        <v>#N/A</v>
      </c>
      <c r="Z369" s="10" t="e">
        <f t="shared" si="107"/>
        <v>#N/A</v>
      </c>
      <c r="AA369" s="10" t="e">
        <f t="shared" si="108"/>
        <v>#N/A</v>
      </c>
      <c r="AB369" s="10" t="e">
        <f t="shared" si="109"/>
        <v>#N/A</v>
      </c>
      <c r="AC369" s="10" t="e">
        <f t="shared" si="110"/>
        <v>#N/A</v>
      </c>
      <c r="AE369" s="10" t="str">
        <f t="shared" si="120"/>
        <v/>
      </c>
      <c r="AF369" s="10" t="str">
        <f t="shared" si="111"/>
        <v/>
      </c>
      <c r="AG369" s="10" t="str">
        <f t="shared" si="112"/>
        <v/>
      </c>
      <c r="AH369" s="10" t="str">
        <f t="shared" si="113"/>
        <v/>
      </c>
      <c r="AI369" s="10" t="str">
        <f t="shared" si="114"/>
        <v/>
      </c>
      <c r="AK369" s="10"/>
      <c r="AL369" s="10"/>
      <c r="AM369" s="10"/>
      <c r="AN369" s="10"/>
      <c r="AO369" s="10"/>
      <c r="AQ369" s="10"/>
      <c r="AR369" s="10"/>
      <c r="AS369" s="10"/>
      <c r="AT369" s="10"/>
      <c r="AU369" s="10"/>
      <c r="AW369" s="10" t="str">
        <f t="shared" si="121"/>
        <v/>
      </c>
      <c r="AX369" s="10" t="str">
        <f t="shared" si="115"/>
        <v/>
      </c>
      <c r="AY369" s="10" t="str">
        <f t="shared" si="116"/>
        <v/>
      </c>
      <c r="AZ369" s="10" t="str">
        <f t="shared" si="117"/>
        <v/>
      </c>
      <c r="BA369" s="10" t="str">
        <f t="shared" si="118"/>
        <v/>
      </c>
    </row>
    <row r="370" spans="6:53" x14ac:dyDescent="0.2">
      <c r="F370" s="10" t="str">
        <f t="shared" si="122"/>
        <v>2018/4/12</v>
      </c>
      <c r="G370" s="14">
        <v>43202</v>
      </c>
      <c r="H370" s="10">
        <v>5.3699272999999987</v>
      </c>
      <c r="I370" s="10">
        <v>-2.1478675000000003</v>
      </c>
      <c r="J370" s="10">
        <v>3.2220597999999994</v>
      </c>
      <c r="K370" s="10">
        <f t="shared" si="123"/>
        <v>1848.7720242000016</v>
      </c>
      <c r="L370" s="10">
        <f t="shared" si="124"/>
        <v>-1337.1837665999997</v>
      </c>
      <c r="M370" s="10">
        <f t="shared" si="125"/>
        <v>511.58825760000013</v>
      </c>
      <c r="N370" s="10">
        <v>20.448423087695435</v>
      </c>
      <c r="O370" s="10">
        <v>18.227697771587732</v>
      </c>
      <c r="P370" s="10">
        <v>3742.9755222199983</v>
      </c>
      <c r="Y370" s="10" t="e">
        <f t="shared" si="119"/>
        <v>#N/A</v>
      </c>
      <c r="Z370" s="10" t="e">
        <f t="shared" si="107"/>
        <v>#N/A</v>
      </c>
      <c r="AA370" s="10" t="e">
        <f t="shared" si="108"/>
        <v>#N/A</v>
      </c>
      <c r="AB370" s="10" t="e">
        <f t="shared" si="109"/>
        <v>#N/A</v>
      </c>
      <c r="AC370" s="10" t="e">
        <f t="shared" si="110"/>
        <v>#N/A</v>
      </c>
      <c r="AE370" s="10" t="str">
        <f t="shared" si="120"/>
        <v/>
      </c>
      <c r="AF370" s="10" t="str">
        <f t="shared" si="111"/>
        <v/>
      </c>
      <c r="AG370" s="10" t="str">
        <f t="shared" si="112"/>
        <v/>
      </c>
      <c r="AH370" s="10" t="str">
        <f t="shared" si="113"/>
        <v/>
      </c>
      <c r="AI370" s="10" t="str">
        <f t="shared" si="114"/>
        <v/>
      </c>
      <c r="AK370" s="10"/>
      <c r="AL370" s="10"/>
      <c r="AM370" s="10"/>
      <c r="AN370" s="10"/>
      <c r="AO370" s="10"/>
      <c r="AQ370" s="10"/>
      <c r="AR370" s="10"/>
      <c r="AS370" s="10"/>
      <c r="AT370" s="10"/>
      <c r="AU370" s="10"/>
      <c r="AW370" s="10" t="str">
        <f t="shared" si="121"/>
        <v/>
      </c>
      <c r="AX370" s="10" t="str">
        <f t="shared" si="115"/>
        <v/>
      </c>
      <c r="AY370" s="10" t="str">
        <f t="shared" si="116"/>
        <v/>
      </c>
      <c r="AZ370" s="10" t="str">
        <f t="shared" si="117"/>
        <v/>
      </c>
      <c r="BA370" s="10" t="str">
        <f t="shared" si="118"/>
        <v/>
      </c>
    </row>
    <row r="371" spans="6:53" x14ac:dyDescent="0.2">
      <c r="F371" s="10" t="str">
        <f t="shared" si="122"/>
        <v>2018/4/13</v>
      </c>
      <c r="G371" s="14">
        <v>43203</v>
      </c>
      <c r="H371" s="10">
        <v>3.8304355999999999</v>
      </c>
      <c r="I371" s="10">
        <v>-4.1879607999999999</v>
      </c>
      <c r="J371" s="10">
        <v>-0.35752519999999999</v>
      </c>
      <c r="K371" s="10">
        <f t="shared" si="123"/>
        <v>1852.6024598000017</v>
      </c>
      <c r="L371" s="10">
        <f t="shared" si="124"/>
        <v>-1341.3717273999996</v>
      </c>
      <c r="M371" s="10">
        <f t="shared" si="125"/>
        <v>511.23073240000014</v>
      </c>
      <c r="N371" s="10">
        <v>20.248909536491844</v>
      </c>
      <c r="O371" s="10">
        <v>18.12847576601671</v>
      </c>
      <c r="P371" s="10">
        <v>3756.6589050199991</v>
      </c>
      <c r="Y371" s="10" t="e">
        <f t="shared" si="119"/>
        <v>#N/A</v>
      </c>
      <c r="Z371" s="10" t="e">
        <f t="shared" si="107"/>
        <v>#N/A</v>
      </c>
      <c r="AA371" s="10" t="e">
        <f t="shared" si="108"/>
        <v>#N/A</v>
      </c>
      <c r="AB371" s="10" t="e">
        <f t="shared" si="109"/>
        <v>#N/A</v>
      </c>
      <c r="AC371" s="10" t="e">
        <f t="shared" si="110"/>
        <v>#N/A</v>
      </c>
      <c r="AE371" s="10" t="str">
        <f t="shared" si="120"/>
        <v/>
      </c>
      <c r="AF371" s="10" t="str">
        <f t="shared" si="111"/>
        <v/>
      </c>
      <c r="AG371" s="10" t="str">
        <f t="shared" si="112"/>
        <v/>
      </c>
      <c r="AH371" s="10" t="str">
        <f t="shared" si="113"/>
        <v/>
      </c>
      <c r="AI371" s="10" t="str">
        <f t="shared" si="114"/>
        <v/>
      </c>
      <c r="AK371" s="10"/>
      <c r="AL371" s="10"/>
      <c r="AM371" s="10"/>
      <c r="AN371" s="10"/>
      <c r="AO371" s="10"/>
      <c r="AQ371" s="10"/>
      <c r="AR371" s="10"/>
      <c r="AS371" s="10"/>
      <c r="AT371" s="10"/>
      <c r="AU371" s="10"/>
      <c r="AW371" s="10" t="str">
        <f t="shared" si="121"/>
        <v/>
      </c>
      <c r="AX371" s="10" t="str">
        <f t="shared" si="115"/>
        <v/>
      </c>
      <c r="AY371" s="10" t="str">
        <f t="shared" si="116"/>
        <v/>
      </c>
      <c r="AZ371" s="10" t="str">
        <f t="shared" si="117"/>
        <v/>
      </c>
      <c r="BA371" s="10" t="str">
        <f t="shared" si="118"/>
        <v/>
      </c>
    </row>
    <row r="372" spans="6:53" x14ac:dyDescent="0.2">
      <c r="F372" s="10" t="str">
        <f t="shared" si="122"/>
        <v>2018/4/16</v>
      </c>
      <c r="G372" s="14">
        <v>43206</v>
      </c>
      <c r="H372" s="10">
        <v>2.9829187000000004</v>
      </c>
      <c r="I372" s="10">
        <v>-2.5024573999999999</v>
      </c>
      <c r="J372" s="10">
        <v>0.48046129999999987</v>
      </c>
      <c r="K372" s="10">
        <f t="shared" si="123"/>
        <v>1855.5853785000018</v>
      </c>
      <c r="L372" s="10">
        <f t="shared" si="124"/>
        <v>-1343.8741847999995</v>
      </c>
      <c r="M372" s="10">
        <f t="shared" si="125"/>
        <v>511.71119370000014</v>
      </c>
      <c r="N372" s="10">
        <v>20.802360773895309</v>
      </c>
      <c r="O372" s="10">
        <v>18.505211142061281</v>
      </c>
      <c r="P372" s="10">
        <v>3752.6330908200021</v>
      </c>
      <c r="Y372" s="10" t="e">
        <f t="shared" si="119"/>
        <v>#N/A</v>
      </c>
      <c r="Z372" s="10" t="e">
        <f t="shared" si="107"/>
        <v>#N/A</v>
      </c>
      <c r="AA372" s="10" t="e">
        <f t="shared" si="108"/>
        <v>#N/A</v>
      </c>
      <c r="AB372" s="10" t="e">
        <f t="shared" si="109"/>
        <v>#N/A</v>
      </c>
      <c r="AC372" s="10" t="e">
        <f t="shared" si="110"/>
        <v>#N/A</v>
      </c>
      <c r="AE372" s="10" t="str">
        <f t="shared" si="120"/>
        <v/>
      </c>
      <c r="AF372" s="10" t="str">
        <f t="shared" si="111"/>
        <v/>
      </c>
      <c r="AG372" s="10" t="str">
        <f t="shared" si="112"/>
        <v/>
      </c>
      <c r="AH372" s="10" t="str">
        <f t="shared" si="113"/>
        <v/>
      </c>
      <c r="AI372" s="10" t="str">
        <f t="shared" si="114"/>
        <v/>
      </c>
      <c r="AK372" s="10"/>
      <c r="AL372" s="10"/>
      <c r="AM372" s="10"/>
      <c r="AN372" s="10"/>
      <c r="AO372" s="10"/>
      <c r="AQ372" s="10"/>
      <c r="AR372" s="10"/>
      <c r="AS372" s="10"/>
      <c r="AT372" s="10"/>
      <c r="AU372" s="10"/>
      <c r="AW372" s="10" t="str">
        <f t="shared" si="121"/>
        <v/>
      </c>
      <c r="AX372" s="10" t="str">
        <f t="shared" si="115"/>
        <v/>
      </c>
      <c r="AY372" s="10" t="str">
        <f t="shared" si="116"/>
        <v/>
      </c>
      <c r="AZ372" s="10" t="str">
        <f t="shared" si="117"/>
        <v/>
      </c>
      <c r="BA372" s="10" t="str">
        <f t="shared" si="118"/>
        <v/>
      </c>
    </row>
    <row r="373" spans="6:53" x14ac:dyDescent="0.2">
      <c r="F373" s="10" t="str">
        <f t="shared" si="122"/>
        <v>2018/4/17</v>
      </c>
      <c r="G373" s="14">
        <v>43207</v>
      </c>
      <c r="H373" s="10">
        <v>5.4063514000000001</v>
      </c>
      <c r="I373" s="10">
        <v>-2.5802836</v>
      </c>
      <c r="J373" s="10">
        <v>2.8260678000000001</v>
      </c>
      <c r="K373" s="10">
        <f t="shared" si="123"/>
        <v>1860.9917299000017</v>
      </c>
      <c r="L373" s="10">
        <f t="shared" si="124"/>
        <v>-1346.4544683999995</v>
      </c>
      <c r="M373" s="10">
        <f t="shared" si="125"/>
        <v>514.53726150000011</v>
      </c>
      <c r="N373" s="10">
        <v>21.587846569571742</v>
      </c>
      <c r="O373" s="10">
        <v>19.084857938718663</v>
      </c>
      <c r="P373" s="10">
        <v>3769.4492357200029</v>
      </c>
      <c r="Y373" s="10" t="e">
        <f t="shared" si="119"/>
        <v>#N/A</v>
      </c>
      <c r="Z373" s="10" t="e">
        <f t="shared" si="107"/>
        <v>#N/A</v>
      </c>
      <c r="AA373" s="10" t="e">
        <f t="shared" si="108"/>
        <v>#N/A</v>
      </c>
      <c r="AB373" s="10" t="e">
        <f t="shared" si="109"/>
        <v>#N/A</v>
      </c>
      <c r="AC373" s="10" t="e">
        <f t="shared" si="110"/>
        <v>#N/A</v>
      </c>
      <c r="AE373" s="10" t="str">
        <f t="shared" si="120"/>
        <v/>
      </c>
      <c r="AF373" s="10" t="str">
        <f t="shared" si="111"/>
        <v/>
      </c>
      <c r="AG373" s="10" t="str">
        <f t="shared" si="112"/>
        <v/>
      </c>
      <c r="AH373" s="10" t="str">
        <f t="shared" si="113"/>
        <v/>
      </c>
      <c r="AI373" s="10" t="str">
        <f t="shared" si="114"/>
        <v/>
      </c>
      <c r="AK373" s="10"/>
      <c r="AL373" s="10"/>
      <c r="AM373" s="10"/>
      <c r="AN373" s="10"/>
      <c r="AO373" s="10"/>
      <c r="AQ373" s="10"/>
      <c r="AR373" s="10"/>
      <c r="AS373" s="10"/>
      <c r="AT373" s="10"/>
      <c r="AU373" s="10"/>
      <c r="AW373" s="10" t="str">
        <f t="shared" si="121"/>
        <v/>
      </c>
      <c r="AX373" s="10" t="str">
        <f t="shared" si="115"/>
        <v/>
      </c>
      <c r="AY373" s="10" t="str">
        <f t="shared" si="116"/>
        <v/>
      </c>
      <c r="AZ373" s="10" t="str">
        <f t="shared" si="117"/>
        <v/>
      </c>
      <c r="BA373" s="10" t="str">
        <f t="shared" si="118"/>
        <v/>
      </c>
    </row>
    <row r="374" spans="6:53" x14ac:dyDescent="0.2">
      <c r="F374" s="10" t="str">
        <f t="shared" si="122"/>
        <v>2018/4/18</v>
      </c>
      <c r="G374" s="14">
        <v>43208</v>
      </c>
      <c r="H374" s="10">
        <v>5.4331996999999994</v>
      </c>
      <c r="I374" s="10">
        <v>-4.3105120000000001</v>
      </c>
      <c r="J374" s="10">
        <v>1.1226876999999997</v>
      </c>
      <c r="K374" s="10">
        <f t="shared" si="123"/>
        <v>1866.4249296000016</v>
      </c>
      <c r="L374" s="10">
        <f t="shared" si="124"/>
        <v>-1350.7649803999996</v>
      </c>
      <c r="M374" s="10">
        <f t="shared" si="125"/>
        <v>515.65994920000014</v>
      </c>
      <c r="N374" s="10">
        <v>21.988416531539595</v>
      </c>
      <c r="O374" s="10">
        <v>19.476461838440105</v>
      </c>
      <c r="P374" s="10">
        <v>3795.3397065199997</v>
      </c>
      <c r="Y374" s="10" t="e">
        <f t="shared" si="119"/>
        <v>#N/A</v>
      </c>
      <c r="Z374" s="10" t="e">
        <f t="shared" si="107"/>
        <v>#N/A</v>
      </c>
      <c r="AA374" s="10" t="e">
        <f t="shared" si="108"/>
        <v>#N/A</v>
      </c>
      <c r="AB374" s="10" t="e">
        <f t="shared" si="109"/>
        <v>#N/A</v>
      </c>
      <c r="AC374" s="10" t="e">
        <f t="shared" si="110"/>
        <v>#N/A</v>
      </c>
      <c r="AE374" s="10" t="str">
        <f t="shared" si="120"/>
        <v/>
      </c>
      <c r="AF374" s="10" t="str">
        <f t="shared" si="111"/>
        <v/>
      </c>
      <c r="AG374" s="10" t="str">
        <f t="shared" si="112"/>
        <v/>
      </c>
      <c r="AH374" s="10" t="str">
        <f t="shared" si="113"/>
        <v/>
      </c>
      <c r="AI374" s="10" t="str">
        <f t="shared" si="114"/>
        <v/>
      </c>
      <c r="AK374" s="10"/>
      <c r="AL374" s="10"/>
      <c r="AM374" s="10"/>
      <c r="AN374" s="10"/>
      <c r="AO374" s="10"/>
      <c r="AQ374" s="10"/>
      <c r="AR374" s="10"/>
      <c r="AS374" s="10"/>
      <c r="AT374" s="10"/>
      <c r="AU374" s="10"/>
      <c r="AW374" s="10" t="str">
        <f t="shared" si="121"/>
        <v/>
      </c>
      <c r="AX374" s="10" t="str">
        <f t="shared" si="115"/>
        <v/>
      </c>
      <c r="AY374" s="10" t="str">
        <f t="shared" si="116"/>
        <v/>
      </c>
      <c r="AZ374" s="10" t="str">
        <f t="shared" si="117"/>
        <v/>
      </c>
      <c r="BA374" s="10" t="str">
        <f t="shared" si="118"/>
        <v/>
      </c>
    </row>
    <row r="375" spans="6:53" x14ac:dyDescent="0.2">
      <c r="F375" s="10" t="str">
        <f t="shared" si="122"/>
        <v>2018/4/19</v>
      </c>
      <c r="G375" s="14">
        <v>43209</v>
      </c>
      <c r="H375" s="10">
        <v>4.6189752000000013</v>
      </c>
      <c r="I375" s="10">
        <v>-4.1270435000000001</v>
      </c>
      <c r="J375" s="10">
        <v>0.49193170000000092</v>
      </c>
      <c r="K375" s="10">
        <f t="shared" si="123"/>
        <v>1871.0439048000017</v>
      </c>
      <c r="L375" s="10">
        <f t="shared" si="124"/>
        <v>-1354.8920238999995</v>
      </c>
      <c r="M375" s="10">
        <f t="shared" si="125"/>
        <v>516.15188090000015</v>
      </c>
      <c r="N375" s="10">
        <v>21.46793253272239</v>
      </c>
      <c r="O375" s="10">
        <v>18.982933426183852</v>
      </c>
      <c r="P375" s="10">
        <v>3807.3713823200005</v>
      </c>
      <c r="Y375" s="10" t="e">
        <f t="shared" si="119"/>
        <v>#N/A</v>
      </c>
      <c r="Z375" s="10" t="e">
        <f t="shared" si="107"/>
        <v>#N/A</v>
      </c>
      <c r="AA375" s="10" t="e">
        <f t="shared" si="108"/>
        <v>#N/A</v>
      </c>
      <c r="AB375" s="10" t="e">
        <f t="shared" si="109"/>
        <v>#N/A</v>
      </c>
      <c r="AC375" s="10" t="e">
        <f t="shared" si="110"/>
        <v>#N/A</v>
      </c>
      <c r="AE375" s="10" t="str">
        <f t="shared" si="120"/>
        <v/>
      </c>
      <c r="AF375" s="10" t="str">
        <f t="shared" si="111"/>
        <v/>
      </c>
      <c r="AG375" s="10" t="str">
        <f t="shared" si="112"/>
        <v/>
      </c>
      <c r="AH375" s="10" t="str">
        <f t="shared" si="113"/>
        <v/>
      </c>
      <c r="AI375" s="10" t="str">
        <f t="shared" si="114"/>
        <v/>
      </c>
      <c r="AK375" s="10"/>
      <c r="AL375" s="10"/>
      <c r="AM375" s="10"/>
      <c r="AN375" s="10"/>
      <c r="AO375" s="10"/>
      <c r="AQ375" s="10"/>
      <c r="AR375" s="10"/>
      <c r="AS375" s="10"/>
      <c r="AT375" s="10"/>
      <c r="AU375" s="10"/>
      <c r="AW375" s="10" t="str">
        <f t="shared" si="121"/>
        <v/>
      </c>
      <c r="AX375" s="10" t="str">
        <f t="shared" si="115"/>
        <v/>
      </c>
      <c r="AY375" s="10" t="str">
        <f t="shared" si="116"/>
        <v/>
      </c>
      <c r="AZ375" s="10" t="str">
        <f t="shared" si="117"/>
        <v/>
      </c>
      <c r="BA375" s="10" t="str">
        <f t="shared" si="118"/>
        <v/>
      </c>
    </row>
    <row r="376" spans="6:53" x14ac:dyDescent="0.2">
      <c r="F376" s="10" t="str">
        <f t="shared" si="122"/>
        <v>2018/4/20</v>
      </c>
      <c r="G376" s="14">
        <v>43210</v>
      </c>
      <c r="H376" s="10">
        <v>3.8901103999999997</v>
      </c>
      <c r="I376" s="10">
        <v>-6.0791715000000011</v>
      </c>
      <c r="J376" s="10">
        <v>-2.1890611</v>
      </c>
      <c r="K376" s="10">
        <f t="shared" si="123"/>
        <v>1874.9340152000016</v>
      </c>
      <c r="L376" s="10">
        <f t="shared" si="124"/>
        <v>-1360.9711953999995</v>
      </c>
      <c r="M376" s="10">
        <f t="shared" si="125"/>
        <v>513.96281980000015</v>
      </c>
      <c r="N376" s="10">
        <v>20.659171681884906</v>
      </c>
      <c r="O376" s="10">
        <v>18.249295821727014</v>
      </c>
      <c r="P376" s="10">
        <v>3791.7082033200004</v>
      </c>
      <c r="Y376" s="10" t="e">
        <f t="shared" si="119"/>
        <v>#N/A</v>
      </c>
      <c r="Z376" s="10" t="e">
        <f t="shared" si="107"/>
        <v>#N/A</v>
      </c>
      <c r="AA376" s="10" t="e">
        <f t="shared" si="108"/>
        <v>#N/A</v>
      </c>
      <c r="AB376" s="10" t="e">
        <f t="shared" si="109"/>
        <v>#N/A</v>
      </c>
      <c r="AC376" s="10" t="e">
        <f t="shared" si="110"/>
        <v>#N/A</v>
      </c>
      <c r="AE376" s="10" t="str">
        <f t="shared" si="120"/>
        <v/>
      </c>
      <c r="AF376" s="10" t="str">
        <f t="shared" si="111"/>
        <v/>
      </c>
      <c r="AG376" s="10" t="str">
        <f t="shared" si="112"/>
        <v/>
      </c>
      <c r="AH376" s="10" t="str">
        <f t="shared" si="113"/>
        <v/>
      </c>
      <c r="AI376" s="10" t="str">
        <f t="shared" si="114"/>
        <v/>
      </c>
      <c r="AK376" s="10"/>
      <c r="AL376" s="10"/>
      <c r="AM376" s="10"/>
      <c r="AN376" s="10"/>
      <c r="AO376" s="10"/>
      <c r="AQ376" s="10"/>
      <c r="AR376" s="10"/>
      <c r="AS376" s="10"/>
      <c r="AT376" s="10"/>
      <c r="AU376" s="10"/>
      <c r="AW376" s="10" t="str">
        <f t="shared" si="121"/>
        <v/>
      </c>
      <c r="AX376" s="10" t="str">
        <f t="shared" si="115"/>
        <v/>
      </c>
      <c r="AY376" s="10" t="str">
        <f t="shared" si="116"/>
        <v/>
      </c>
      <c r="AZ376" s="10" t="str">
        <f t="shared" si="117"/>
        <v/>
      </c>
      <c r="BA376" s="10" t="str">
        <f t="shared" si="118"/>
        <v/>
      </c>
    </row>
    <row r="377" spans="6:53" x14ac:dyDescent="0.2">
      <c r="F377" s="10" t="str">
        <f t="shared" si="122"/>
        <v>2018/4/23</v>
      </c>
      <c r="G377" s="14">
        <v>43213</v>
      </c>
      <c r="H377" s="10">
        <v>7.1364839999999994</v>
      </c>
      <c r="I377" s="10">
        <v>-5.484726600000001</v>
      </c>
      <c r="J377" s="10">
        <v>1.6517574000000008</v>
      </c>
      <c r="K377" s="10">
        <f t="shared" si="123"/>
        <v>1882.0704992000017</v>
      </c>
      <c r="L377" s="10">
        <f t="shared" si="124"/>
        <v>-1366.4559219999994</v>
      </c>
      <c r="M377" s="10">
        <f t="shared" si="125"/>
        <v>515.6145772000001</v>
      </c>
      <c r="N377" s="10">
        <v>20.353828477770278</v>
      </c>
      <c r="O377" s="10">
        <v>17.985078830083566</v>
      </c>
      <c r="P377" s="10">
        <v>3766.1457577200008</v>
      </c>
      <c r="Y377" s="10" t="e">
        <f t="shared" si="119"/>
        <v>#N/A</v>
      </c>
      <c r="Z377" s="10" t="e">
        <f t="shared" si="107"/>
        <v>#N/A</v>
      </c>
      <c r="AA377" s="10" t="e">
        <f t="shared" si="108"/>
        <v>#N/A</v>
      </c>
      <c r="AB377" s="10" t="e">
        <f t="shared" si="109"/>
        <v>#N/A</v>
      </c>
      <c r="AC377" s="10" t="e">
        <f t="shared" si="110"/>
        <v>#N/A</v>
      </c>
      <c r="AE377" s="10" t="str">
        <f t="shared" si="120"/>
        <v/>
      </c>
      <c r="AF377" s="10" t="str">
        <f t="shared" si="111"/>
        <v/>
      </c>
      <c r="AG377" s="10" t="str">
        <f t="shared" si="112"/>
        <v/>
      </c>
      <c r="AH377" s="10" t="str">
        <f t="shared" si="113"/>
        <v/>
      </c>
      <c r="AI377" s="10" t="str">
        <f t="shared" si="114"/>
        <v/>
      </c>
      <c r="AK377" s="10"/>
      <c r="AL377" s="10"/>
      <c r="AM377" s="10"/>
      <c r="AN377" s="10"/>
      <c r="AO377" s="10"/>
      <c r="AQ377" s="10"/>
      <c r="AR377" s="10"/>
      <c r="AS377" s="10"/>
      <c r="AT377" s="10"/>
      <c r="AU377" s="10"/>
      <c r="AW377" s="10" t="str">
        <f t="shared" si="121"/>
        <v/>
      </c>
      <c r="AX377" s="10" t="str">
        <f t="shared" si="115"/>
        <v/>
      </c>
      <c r="AY377" s="10" t="str">
        <f t="shared" si="116"/>
        <v/>
      </c>
      <c r="AZ377" s="10" t="str">
        <f t="shared" si="117"/>
        <v/>
      </c>
      <c r="BA377" s="10" t="str">
        <f t="shared" si="118"/>
        <v/>
      </c>
    </row>
    <row r="378" spans="6:53" x14ac:dyDescent="0.2">
      <c r="F378" s="10" t="str">
        <f t="shared" si="122"/>
        <v>2018/4/24</v>
      </c>
      <c r="G378" s="14">
        <v>43214</v>
      </c>
      <c r="H378" s="10">
        <v>4.0842179999999999</v>
      </c>
      <c r="I378" s="10">
        <v>-7.5294904999999996</v>
      </c>
      <c r="J378" s="10">
        <v>-3.4452725000000015</v>
      </c>
      <c r="K378" s="10">
        <f t="shared" si="123"/>
        <v>1886.1547172000016</v>
      </c>
      <c r="L378" s="10">
        <f t="shared" si="124"/>
        <v>-1373.9854124999995</v>
      </c>
      <c r="M378" s="10">
        <f t="shared" si="125"/>
        <v>512.16930470000011</v>
      </c>
      <c r="N378" s="10">
        <v>19.664177349054427</v>
      </c>
      <c r="O378" s="10">
        <v>17.595102506963798</v>
      </c>
      <c r="P378" s="10">
        <v>3758.8850847199978</v>
      </c>
      <c r="Y378" s="10" t="e">
        <f t="shared" si="119"/>
        <v>#N/A</v>
      </c>
      <c r="Z378" s="10" t="e">
        <f t="shared" si="107"/>
        <v>#N/A</v>
      </c>
      <c r="AA378" s="10" t="e">
        <f t="shared" si="108"/>
        <v>#N/A</v>
      </c>
      <c r="AB378" s="10" t="e">
        <f t="shared" si="109"/>
        <v>#N/A</v>
      </c>
      <c r="AC378" s="10" t="e">
        <f t="shared" si="110"/>
        <v>#N/A</v>
      </c>
      <c r="AE378" s="10" t="str">
        <f t="shared" si="120"/>
        <v/>
      </c>
      <c r="AF378" s="10" t="str">
        <f t="shared" si="111"/>
        <v/>
      </c>
      <c r="AG378" s="10" t="str">
        <f t="shared" si="112"/>
        <v/>
      </c>
      <c r="AH378" s="10" t="str">
        <f t="shared" si="113"/>
        <v/>
      </c>
      <c r="AI378" s="10" t="str">
        <f t="shared" si="114"/>
        <v/>
      </c>
      <c r="AK378" s="10"/>
      <c r="AL378" s="10"/>
      <c r="AM378" s="10"/>
      <c r="AN378" s="10"/>
      <c r="AO378" s="10"/>
      <c r="AQ378" s="10"/>
      <c r="AR378" s="10"/>
      <c r="AS378" s="10"/>
      <c r="AT378" s="10"/>
      <c r="AU378" s="10"/>
      <c r="AW378" s="10" t="str">
        <f t="shared" si="121"/>
        <v/>
      </c>
      <c r="AX378" s="10" t="str">
        <f t="shared" si="115"/>
        <v/>
      </c>
      <c r="AY378" s="10" t="str">
        <f t="shared" si="116"/>
        <v/>
      </c>
      <c r="AZ378" s="10" t="str">
        <f t="shared" si="117"/>
        <v/>
      </c>
      <c r="BA378" s="10" t="str">
        <f t="shared" si="118"/>
        <v/>
      </c>
    </row>
    <row r="379" spans="6:53" x14ac:dyDescent="0.2">
      <c r="F379" s="10" t="str">
        <f t="shared" si="122"/>
        <v>2018/4/25</v>
      </c>
      <c r="G379" s="14">
        <v>43215</v>
      </c>
      <c r="H379" s="10">
        <v>3.9064571999999993</v>
      </c>
      <c r="I379" s="10">
        <v>-4.6204754999999995</v>
      </c>
      <c r="J379" s="10">
        <v>-0.71401829999999977</v>
      </c>
      <c r="K379" s="10">
        <f t="shared" si="123"/>
        <v>1890.0611744000016</v>
      </c>
      <c r="L379" s="10">
        <f t="shared" si="124"/>
        <v>-1378.6058879999996</v>
      </c>
      <c r="M379" s="10">
        <f t="shared" si="125"/>
        <v>511.45528640000009</v>
      </c>
      <c r="N379" s="10">
        <v>19.415525905841012</v>
      </c>
      <c r="O379" s="10">
        <v>17.228616434540381</v>
      </c>
      <c r="P379" s="10">
        <v>3734.8237580199957</v>
      </c>
      <c r="Y379" s="10" t="e">
        <f t="shared" si="119"/>
        <v>#N/A</v>
      </c>
      <c r="Z379" s="10" t="e">
        <f t="shared" si="107"/>
        <v>#N/A</v>
      </c>
      <c r="AA379" s="10" t="e">
        <f t="shared" si="108"/>
        <v>#N/A</v>
      </c>
      <c r="AB379" s="10" t="e">
        <f t="shared" si="109"/>
        <v>#N/A</v>
      </c>
      <c r="AC379" s="10" t="e">
        <f t="shared" si="110"/>
        <v>#N/A</v>
      </c>
      <c r="AE379" s="10" t="str">
        <f t="shared" si="120"/>
        <v/>
      </c>
      <c r="AF379" s="10" t="str">
        <f t="shared" si="111"/>
        <v/>
      </c>
      <c r="AG379" s="10" t="str">
        <f t="shared" si="112"/>
        <v/>
      </c>
      <c r="AH379" s="10" t="str">
        <f t="shared" si="113"/>
        <v/>
      </c>
      <c r="AI379" s="10" t="str">
        <f t="shared" si="114"/>
        <v/>
      </c>
      <c r="AK379" s="10"/>
      <c r="AL379" s="10"/>
      <c r="AM379" s="10"/>
      <c r="AN379" s="10"/>
      <c r="AO379" s="10"/>
      <c r="AQ379" s="10"/>
      <c r="AR379" s="10"/>
      <c r="AS379" s="10"/>
      <c r="AT379" s="10"/>
      <c r="AU379" s="10"/>
      <c r="AW379" s="10" t="str">
        <f t="shared" si="121"/>
        <v/>
      </c>
      <c r="AX379" s="10" t="str">
        <f t="shared" si="115"/>
        <v/>
      </c>
      <c r="AY379" s="10" t="str">
        <f t="shared" si="116"/>
        <v/>
      </c>
      <c r="AZ379" s="10" t="str">
        <f t="shared" si="117"/>
        <v/>
      </c>
      <c r="BA379" s="10" t="str">
        <f t="shared" si="118"/>
        <v/>
      </c>
    </row>
    <row r="380" spans="6:53" x14ac:dyDescent="0.2">
      <c r="F380" s="10" t="str">
        <f t="shared" si="122"/>
        <v>2018/4/26</v>
      </c>
      <c r="G380" s="14">
        <v>43216</v>
      </c>
      <c r="H380" s="10">
        <v>5.2025249999999987</v>
      </c>
      <c r="I380" s="10">
        <v>-2.1639223999999997</v>
      </c>
      <c r="J380" s="10">
        <v>3.0386025999999999</v>
      </c>
      <c r="K380" s="10">
        <f t="shared" si="123"/>
        <v>1895.2636994000015</v>
      </c>
      <c r="L380" s="10">
        <f t="shared" si="124"/>
        <v>-1380.7698103999996</v>
      </c>
      <c r="M380" s="10">
        <f t="shared" si="125"/>
        <v>514.49388900000008</v>
      </c>
      <c r="N380" s="10">
        <v>20.25071013649849</v>
      </c>
      <c r="O380" s="10">
        <v>17.834988022284129</v>
      </c>
      <c r="P380" s="10">
        <v>3727.2845620699982</v>
      </c>
      <c r="Y380" s="10" t="e">
        <f t="shared" si="119"/>
        <v>#N/A</v>
      </c>
      <c r="Z380" s="10" t="e">
        <f t="shared" si="107"/>
        <v>#N/A</v>
      </c>
      <c r="AA380" s="10" t="e">
        <f t="shared" si="108"/>
        <v>#N/A</v>
      </c>
      <c r="AB380" s="10" t="e">
        <f t="shared" si="109"/>
        <v>#N/A</v>
      </c>
      <c r="AC380" s="10" t="e">
        <f t="shared" si="110"/>
        <v>#N/A</v>
      </c>
      <c r="AE380" s="10" t="str">
        <f t="shared" si="120"/>
        <v/>
      </c>
      <c r="AF380" s="10" t="str">
        <f t="shared" si="111"/>
        <v/>
      </c>
      <c r="AG380" s="10" t="str">
        <f t="shared" si="112"/>
        <v/>
      </c>
      <c r="AH380" s="10" t="str">
        <f t="shared" si="113"/>
        <v/>
      </c>
      <c r="AI380" s="10" t="str">
        <f t="shared" si="114"/>
        <v/>
      </c>
      <c r="AK380" s="10"/>
      <c r="AL380" s="10"/>
      <c r="AM380" s="10"/>
      <c r="AN380" s="10"/>
      <c r="AO380" s="10"/>
      <c r="AQ380" s="10"/>
      <c r="AR380" s="10"/>
      <c r="AS380" s="10"/>
      <c r="AT380" s="10"/>
      <c r="AU380" s="10"/>
      <c r="AW380" s="10" t="str">
        <f t="shared" si="121"/>
        <v/>
      </c>
      <c r="AX380" s="10" t="str">
        <f t="shared" si="115"/>
        <v/>
      </c>
      <c r="AY380" s="10" t="str">
        <f t="shared" si="116"/>
        <v/>
      </c>
      <c r="AZ380" s="10" t="str">
        <f t="shared" si="117"/>
        <v/>
      </c>
      <c r="BA380" s="10" t="str">
        <f t="shared" si="118"/>
        <v/>
      </c>
    </row>
    <row r="381" spans="6:53" x14ac:dyDescent="0.2">
      <c r="F381" s="10" t="str">
        <f t="shared" si="122"/>
        <v>2018/4/27</v>
      </c>
      <c r="G381" s="14">
        <v>43217</v>
      </c>
      <c r="H381" s="10">
        <v>4.2294634999999996</v>
      </c>
      <c r="I381" s="10">
        <v>-2.2657382999999993</v>
      </c>
      <c r="J381" s="10">
        <v>1.9637252000000001</v>
      </c>
      <c r="K381" s="10">
        <f t="shared" si="123"/>
        <v>1899.4931629000016</v>
      </c>
      <c r="L381" s="10">
        <f t="shared" si="124"/>
        <v>-1383.0355486999997</v>
      </c>
      <c r="M381" s="10">
        <f t="shared" si="125"/>
        <v>516.45761420000008</v>
      </c>
      <c r="N381" s="10">
        <v>20.484970298049596</v>
      </c>
      <c r="O381" s="10">
        <v>18.072239275766023</v>
      </c>
      <c r="P381" s="10">
        <v>3754.5744804199994</v>
      </c>
      <c r="Y381" s="10" t="e">
        <f t="shared" si="119"/>
        <v>#N/A</v>
      </c>
      <c r="Z381" s="10" t="e">
        <f t="shared" si="107"/>
        <v>#N/A</v>
      </c>
      <c r="AA381" s="10" t="e">
        <f t="shared" si="108"/>
        <v>#N/A</v>
      </c>
      <c r="AB381" s="10" t="e">
        <f t="shared" si="109"/>
        <v>#N/A</v>
      </c>
      <c r="AC381" s="10" t="e">
        <f t="shared" si="110"/>
        <v>#N/A</v>
      </c>
      <c r="AE381" s="10" t="str">
        <f t="shared" si="120"/>
        <v/>
      </c>
      <c r="AF381" s="10" t="str">
        <f t="shared" si="111"/>
        <v/>
      </c>
      <c r="AG381" s="10" t="str">
        <f t="shared" si="112"/>
        <v/>
      </c>
      <c r="AH381" s="10" t="str">
        <f t="shared" si="113"/>
        <v/>
      </c>
      <c r="AI381" s="10" t="str">
        <f t="shared" si="114"/>
        <v/>
      </c>
      <c r="AK381" s="10"/>
      <c r="AL381" s="10"/>
      <c r="AM381" s="10"/>
      <c r="AN381" s="10"/>
      <c r="AO381" s="10"/>
      <c r="AQ381" s="10"/>
      <c r="AR381" s="10"/>
      <c r="AS381" s="10"/>
      <c r="AT381" s="10"/>
      <c r="AU381" s="10"/>
      <c r="AW381" s="10" t="str">
        <f t="shared" si="121"/>
        <v/>
      </c>
      <c r="AX381" s="10" t="str">
        <f t="shared" si="115"/>
        <v/>
      </c>
      <c r="AY381" s="10" t="str">
        <f t="shared" si="116"/>
        <v/>
      </c>
      <c r="AZ381" s="10" t="str">
        <f t="shared" si="117"/>
        <v/>
      </c>
      <c r="BA381" s="10" t="str">
        <f t="shared" si="118"/>
        <v/>
      </c>
    </row>
    <row r="382" spans="6:53" x14ac:dyDescent="0.2">
      <c r="F382" s="10" t="str">
        <f t="shared" si="122"/>
        <v>2018/4/30</v>
      </c>
      <c r="G382" s="14">
        <v>43220</v>
      </c>
      <c r="H382" s="10">
        <v>1.9914445000000003</v>
      </c>
      <c r="I382" s="10">
        <v>-4.3081262999999996</v>
      </c>
      <c r="J382" s="10">
        <v>-2.3166817999999996</v>
      </c>
      <c r="K382" s="10">
        <f t="shared" si="123"/>
        <v>1901.4846074000016</v>
      </c>
      <c r="L382" s="10">
        <f t="shared" si="124"/>
        <v>-1387.3436749999996</v>
      </c>
      <c r="M382" s="10">
        <f t="shared" si="125"/>
        <v>514.14093240000011</v>
      </c>
      <c r="N382" s="10">
        <v>19.914683712715465</v>
      </c>
      <c r="O382" s="10">
        <v>17.734305060352835</v>
      </c>
      <c r="P382" s="10">
        <v>3763.2082795199995</v>
      </c>
      <c r="Y382" s="10" t="e">
        <f t="shared" si="119"/>
        <v>#N/A</v>
      </c>
      <c r="Z382" s="10" t="e">
        <f t="shared" si="107"/>
        <v>#N/A</v>
      </c>
      <c r="AA382" s="10" t="e">
        <f t="shared" si="108"/>
        <v>#N/A</v>
      </c>
      <c r="AB382" s="10" t="e">
        <f t="shared" si="109"/>
        <v>#N/A</v>
      </c>
      <c r="AC382" s="10" t="e">
        <f t="shared" si="110"/>
        <v>#N/A</v>
      </c>
      <c r="AE382" s="10" t="str">
        <f t="shared" si="120"/>
        <v/>
      </c>
      <c r="AF382" s="10" t="str">
        <f t="shared" si="111"/>
        <v/>
      </c>
      <c r="AG382" s="10" t="str">
        <f t="shared" si="112"/>
        <v/>
      </c>
      <c r="AH382" s="10" t="str">
        <f t="shared" si="113"/>
        <v/>
      </c>
      <c r="AI382" s="10" t="str">
        <f t="shared" si="114"/>
        <v/>
      </c>
      <c r="AK382" s="10"/>
      <c r="AL382" s="10"/>
      <c r="AM382" s="10"/>
      <c r="AN382" s="10"/>
      <c r="AO382" s="10"/>
      <c r="AQ382" s="10"/>
      <c r="AR382" s="10"/>
      <c r="AS382" s="10"/>
      <c r="AT382" s="10"/>
      <c r="AU382" s="10"/>
      <c r="AW382" s="10" t="str">
        <f t="shared" si="121"/>
        <v/>
      </c>
      <c r="AX382" s="10" t="str">
        <f t="shared" si="115"/>
        <v/>
      </c>
      <c r="AY382" s="10" t="str">
        <f t="shared" si="116"/>
        <v/>
      </c>
      <c r="AZ382" s="10" t="str">
        <f t="shared" si="117"/>
        <v/>
      </c>
      <c r="BA382" s="10" t="str">
        <f t="shared" si="118"/>
        <v/>
      </c>
    </row>
    <row r="383" spans="6:53" x14ac:dyDescent="0.2">
      <c r="F383" s="10" t="str">
        <f t="shared" si="122"/>
        <v>2018/5/1</v>
      </c>
      <c r="G383" s="14">
        <v>43221</v>
      </c>
      <c r="H383" s="10">
        <v>2.9656688</v>
      </c>
      <c r="I383" s="10">
        <v>-3.4271627000000007</v>
      </c>
      <c r="J383" s="10">
        <v>-0.46149389999999979</v>
      </c>
      <c r="K383" s="10">
        <f t="shared" si="123"/>
        <v>1904.4502762000016</v>
      </c>
      <c r="L383" s="10">
        <f t="shared" si="124"/>
        <v>-1390.7708376999997</v>
      </c>
      <c r="M383" s="10">
        <f t="shared" si="125"/>
        <v>513.67943850000006</v>
      </c>
      <c r="N383" s="10">
        <v>19.830996856002297</v>
      </c>
      <c r="O383" s="10">
        <v>17.497650510677811</v>
      </c>
      <c r="P383" s="10">
        <v>3743.5890044866669</v>
      </c>
      <c r="Y383" s="10" t="e">
        <f t="shared" si="119"/>
        <v>#N/A</v>
      </c>
      <c r="Z383" s="10" t="e">
        <f t="shared" si="107"/>
        <v>#N/A</v>
      </c>
      <c r="AA383" s="10" t="e">
        <f t="shared" si="108"/>
        <v>#N/A</v>
      </c>
      <c r="AB383" s="10" t="e">
        <f t="shared" si="109"/>
        <v>#N/A</v>
      </c>
      <c r="AC383" s="10" t="e">
        <f t="shared" si="110"/>
        <v>#N/A</v>
      </c>
      <c r="AE383" s="10" t="str">
        <f t="shared" si="120"/>
        <v/>
      </c>
      <c r="AF383" s="10" t="str">
        <f t="shared" si="111"/>
        <v/>
      </c>
      <c r="AG383" s="10" t="str">
        <f t="shared" si="112"/>
        <v/>
      </c>
      <c r="AH383" s="10" t="str">
        <f t="shared" si="113"/>
        <v/>
      </c>
      <c r="AI383" s="10" t="str">
        <f t="shared" si="114"/>
        <v/>
      </c>
      <c r="AK383" s="10"/>
      <c r="AL383" s="10"/>
      <c r="AM383" s="10"/>
      <c r="AN383" s="10"/>
      <c r="AO383" s="10"/>
      <c r="AQ383" s="10"/>
      <c r="AR383" s="10"/>
      <c r="AS383" s="10"/>
      <c r="AT383" s="10"/>
      <c r="AU383" s="10"/>
      <c r="AW383" s="10" t="str">
        <f t="shared" si="121"/>
        <v/>
      </c>
      <c r="AX383" s="10" t="str">
        <f t="shared" si="115"/>
        <v/>
      </c>
      <c r="AY383" s="10" t="str">
        <f t="shared" si="116"/>
        <v/>
      </c>
      <c r="AZ383" s="10" t="str">
        <f t="shared" si="117"/>
        <v/>
      </c>
      <c r="BA383" s="10" t="str">
        <f t="shared" si="118"/>
        <v/>
      </c>
    </row>
    <row r="384" spans="6:53" x14ac:dyDescent="0.2">
      <c r="F384" s="10" t="str">
        <f t="shared" si="122"/>
        <v>2018/5/2</v>
      </c>
      <c r="G384" s="14">
        <v>43222</v>
      </c>
      <c r="H384" s="10">
        <v>3.1927518000000004</v>
      </c>
      <c r="I384" s="10">
        <v>-5.2277231999999989</v>
      </c>
      <c r="J384" s="10">
        <v>-2.0349714000000003</v>
      </c>
      <c r="K384" s="10">
        <f t="shared" si="123"/>
        <v>1907.6430280000016</v>
      </c>
      <c r="L384" s="10">
        <f t="shared" si="124"/>
        <v>-1395.9985608999996</v>
      </c>
      <c r="M384" s="10">
        <f t="shared" si="125"/>
        <v>511.64446710000004</v>
      </c>
      <c r="N384" s="10">
        <v>19.381989981053927</v>
      </c>
      <c r="O384" s="10">
        <v>17.16717465181058</v>
      </c>
      <c r="P384" s="10">
        <v>3741.4468771333331</v>
      </c>
      <c r="Y384" s="10" t="e">
        <f t="shared" si="119"/>
        <v>#N/A</v>
      </c>
      <c r="Z384" s="10" t="e">
        <f t="shared" si="107"/>
        <v>#N/A</v>
      </c>
      <c r="AA384" s="10" t="e">
        <f t="shared" si="108"/>
        <v>#N/A</v>
      </c>
      <c r="AB384" s="10" t="e">
        <f t="shared" si="109"/>
        <v>#N/A</v>
      </c>
      <c r="AC384" s="10" t="e">
        <f t="shared" si="110"/>
        <v>#N/A</v>
      </c>
      <c r="AE384" s="10" t="str">
        <f t="shared" si="120"/>
        <v/>
      </c>
      <c r="AF384" s="10" t="str">
        <f t="shared" si="111"/>
        <v/>
      </c>
      <c r="AG384" s="10" t="str">
        <f t="shared" si="112"/>
        <v/>
      </c>
      <c r="AH384" s="10" t="str">
        <f t="shared" si="113"/>
        <v/>
      </c>
      <c r="AI384" s="10" t="str">
        <f t="shared" si="114"/>
        <v/>
      </c>
      <c r="AK384" s="10"/>
      <c r="AL384" s="10"/>
      <c r="AM384" s="10"/>
      <c r="AN384" s="10"/>
      <c r="AO384" s="10"/>
      <c r="AQ384" s="10"/>
      <c r="AR384" s="10"/>
      <c r="AS384" s="10"/>
      <c r="AT384" s="10"/>
      <c r="AU384" s="10"/>
      <c r="AW384" s="10" t="str">
        <f t="shared" si="121"/>
        <v/>
      </c>
      <c r="AX384" s="10" t="str">
        <f t="shared" si="115"/>
        <v/>
      </c>
      <c r="AY384" s="10" t="str">
        <f t="shared" si="116"/>
        <v/>
      </c>
      <c r="AZ384" s="10" t="str">
        <f t="shared" si="117"/>
        <v/>
      </c>
      <c r="BA384" s="10" t="str">
        <f t="shared" si="118"/>
        <v/>
      </c>
    </row>
    <row r="385" spans="6:53" x14ac:dyDescent="0.2">
      <c r="F385" s="10" t="str">
        <f t="shared" si="122"/>
        <v>2018/5/3</v>
      </c>
      <c r="G385" s="14">
        <v>43223</v>
      </c>
      <c r="H385" s="10">
        <v>8.0089617999999998</v>
      </c>
      <c r="I385" s="10">
        <v>-7.2385890000000011</v>
      </c>
      <c r="J385" s="10">
        <v>0.77037280000000141</v>
      </c>
      <c r="K385" s="10">
        <f t="shared" si="123"/>
        <v>1915.6519898000015</v>
      </c>
      <c r="L385" s="10">
        <f t="shared" si="124"/>
        <v>-1403.2371498999996</v>
      </c>
      <c r="M385" s="10">
        <f t="shared" si="125"/>
        <v>512.41483990000006</v>
      </c>
      <c r="N385" s="10">
        <v>19.22251349933957</v>
      </c>
      <c r="O385" s="10">
        <v>16.972711699164339</v>
      </c>
      <c r="P385" s="10">
        <v>3724.4238146199987</v>
      </c>
      <c r="Y385" s="10" t="e">
        <f t="shared" si="119"/>
        <v>#N/A</v>
      </c>
      <c r="Z385" s="10" t="e">
        <f t="shared" si="107"/>
        <v>#N/A</v>
      </c>
      <c r="AA385" s="10" t="e">
        <f t="shared" si="108"/>
        <v>#N/A</v>
      </c>
      <c r="AB385" s="10" t="e">
        <f t="shared" si="109"/>
        <v>#N/A</v>
      </c>
      <c r="AC385" s="10" t="e">
        <f t="shared" si="110"/>
        <v>#N/A</v>
      </c>
      <c r="AE385" s="10" t="str">
        <f t="shared" si="120"/>
        <v/>
      </c>
      <c r="AF385" s="10" t="str">
        <f t="shared" si="111"/>
        <v/>
      </c>
      <c r="AG385" s="10" t="str">
        <f t="shared" si="112"/>
        <v/>
      </c>
      <c r="AH385" s="10" t="str">
        <f t="shared" si="113"/>
        <v/>
      </c>
      <c r="AI385" s="10" t="str">
        <f t="shared" si="114"/>
        <v/>
      </c>
      <c r="AK385" s="10"/>
      <c r="AL385" s="10"/>
      <c r="AM385" s="10"/>
      <c r="AN385" s="10"/>
      <c r="AO385" s="10"/>
      <c r="AQ385" s="10"/>
      <c r="AR385" s="10"/>
      <c r="AS385" s="10"/>
      <c r="AT385" s="10"/>
      <c r="AU385" s="10"/>
      <c r="AW385" s="10" t="str">
        <f t="shared" si="121"/>
        <v/>
      </c>
      <c r="AX385" s="10" t="str">
        <f t="shared" si="115"/>
        <v/>
      </c>
      <c r="AY385" s="10" t="str">
        <f t="shared" si="116"/>
        <v/>
      </c>
      <c r="AZ385" s="10" t="str">
        <f t="shared" si="117"/>
        <v/>
      </c>
      <c r="BA385" s="10" t="str">
        <f t="shared" si="118"/>
        <v/>
      </c>
    </row>
    <row r="386" spans="6:53" x14ac:dyDescent="0.2">
      <c r="F386" s="10" t="str">
        <f t="shared" si="122"/>
        <v>2018/5/4</v>
      </c>
      <c r="G386" s="14">
        <v>43224</v>
      </c>
      <c r="H386" s="10">
        <v>4.9295714999999998</v>
      </c>
      <c r="I386" s="10">
        <v>-3.7123720999999996</v>
      </c>
      <c r="J386" s="10">
        <v>1.2171994000000008</v>
      </c>
      <c r="K386" s="10">
        <f t="shared" si="123"/>
        <v>1920.5815613000016</v>
      </c>
      <c r="L386" s="10">
        <f t="shared" si="124"/>
        <v>-1406.9495219999997</v>
      </c>
      <c r="M386" s="10">
        <f t="shared" si="125"/>
        <v>513.63203930000009</v>
      </c>
      <c r="N386" s="10">
        <v>20.166151516242735</v>
      </c>
      <c r="O386" s="10">
        <v>17.668847075208909</v>
      </c>
      <c r="P386" s="10">
        <v>3720.1164666533336</v>
      </c>
      <c r="Y386" s="10" t="e">
        <f t="shared" si="119"/>
        <v>#N/A</v>
      </c>
      <c r="Z386" s="10" t="e">
        <f t="shared" si="107"/>
        <v>#N/A</v>
      </c>
      <c r="AA386" s="10" t="e">
        <f t="shared" si="108"/>
        <v>#N/A</v>
      </c>
      <c r="AB386" s="10" t="e">
        <f t="shared" si="109"/>
        <v>#N/A</v>
      </c>
      <c r="AC386" s="10" t="e">
        <f t="shared" si="110"/>
        <v>#N/A</v>
      </c>
      <c r="AE386" s="10" t="str">
        <f t="shared" si="120"/>
        <v/>
      </c>
      <c r="AF386" s="10" t="str">
        <f t="shared" si="111"/>
        <v/>
      </c>
      <c r="AG386" s="10" t="str">
        <f t="shared" si="112"/>
        <v/>
      </c>
      <c r="AH386" s="10" t="str">
        <f t="shared" si="113"/>
        <v/>
      </c>
      <c r="AI386" s="10" t="str">
        <f t="shared" si="114"/>
        <v/>
      </c>
      <c r="AK386" s="10"/>
      <c r="AL386" s="10"/>
      <c r="AM386" s="10"/>
      <c r="AN386" s="10"/>
      <c r="AO386" s="10"/>
      <c r="AQ386" s="10"/>
      <c r="AR386" s="10"/>
      <c r="AS386" s="10"/>
      <c r="AT386" s="10"/>
      <c r="AU386" s="10"/>
      <c r="AW386" s="10" t="str">
        <f t="shared" si="121"/>
        <v/>
      </c>
      <c r="AX386" s="10" t="str">
        <f t="shared" si="115"/>
        <v/>
      </c>
      <c r="AY386" s="10" t="str">
        <f t="shared" si="116"/>
        <v/>
      </c>
      <c r="AZ386" s="10" t="str">
        <f t="shared" si="117"/>
        <v/>
      </c>
      <c r="BA386" s="10" t="str">
        <f t="shared" si="118"/>
        <v/>
      </c>
    </row>
    <row r="387" spans="6:53" x14ac:dyDescent="0.2">
      <c r="F387" s="10" t="str">
        <f t="shared" si="122"/>
        <v>2018/5/7</v>
      </c>
      <c r="G387" s="14">
        <v>43227</v>
      </c>
      <c r="H387" s="10">
        <v>4.4858367000000001</v>
      </c>
      <c r="I387" s="10">
        <v>-2.2609629999999994</v>
      </c>
      <c r="J387" s="10">
        <v>2.2248736999999998</v>
      </c>
      <c r="K387" s="10">
        <f t="shared" si="123"/>
        <v>1925.0673980000015</v>
      </c>
      <c r="L387" s="10">
        <f t="shared" si="124"/>
        <v>-1409.2104849999996</v>
      </c>
      <c r="M387" s="10">
        <f t="shared" si="125"/>
        <v>515.85691300000008</v>
      </c>
      <c r="N387" s="10">
        <v>20.428160982423162</v>
      </c>
      <c r="O387" s="10">
        <v>17.875256824512537</v>
      </c>
      <c r="P387" s="10">
        <v>3749.0545622866671</v>
      </c>
      <c r="Y387" s="10" t="e">
        <f t="shared" si="119"/>
        <v>#N/A</v>
      </c>
      <c r="Z387" s="10" t="e">
        <f t="shared" si="107"/>
        <v>#N/A</v>
      </c>
      <c r="AA387" s="10" t="e">
        <f t="shared" si="108"/>
        <v>#N/A</v>
      </c>
      <c r="AB387" s="10" t="e">
        <f t="shared" si="109"/>
        <v>#N/A</v>
      </c>
      <c r="AC387" s="10" t="e">
        <f t="shared" si="110"/>
        <v>#N/A</v>
      </c>
      <c r="AE387" s="10" t="str">
        <f t="shared" si="120"/>
        <v/>
      </c>
      <c r="AF387" s="10" t="str">
        <f t="shared" si="111"/>
        <v/>
      </c>
      <c r="AG387" s="10" t="str">
        <f t="shared" si="112"/>
        <v/>
      </c>
      <c r="AH387" s="10" t="str">
        <f t="shared" si="113"/>
        <v/>
      </c>
      <c r="AI387" s="10" t="str">
        <f t="shared" si="114"/>
        <v/>
      </c>
      <c r="AK387" s="10"/>
      <c r="AL387" s="10"/>
      <c r="AM387" s="10"/>
      <c r="AN387" s="10"/>
      <c r="AO387" s="10"/>
      <c r="AQ387" s="10"/>
      <c r="AR387" s="10"/>
      <c r="AS387" s="10"/>
      <c r="AT387" s="10"/>
      <c r="AU387" s="10"/>
      <c r="AW387" s="10" t="str">
        <f t="shared" si="121"/>
        <v/>
      </c>
      <c r="AX387" s="10" t="str">
        <f t="shared" si="115"/>
        <v/>
      </c>
      <c r="AY387" s="10" t="str">
        <f t="shared" si="116"/>
        <v/>
      </c>
      <c r="AZ387" s="10" t="str">
        <f t="shared" si="117"/>
        <v/>
      </c>
      <c r="BA387" s="10" t="str">
        <f t="shared" si="118"/>
        <v/>
      </c>
    </row>
    <row r="388" spans="6:53" x14ac:dyDescent="0.2">
      <c r="F388" s="10" t="str">
        <f t="shared" si="122"/>
        <v>2018/5/8</v>
      </c>
      <c r="G388" s="14">
        <v>43228</v>
      </c>
      <c r="H388" s="10">
        <v>7.2374465999999966</v>
      </c>
      <c r="I388" s="10">
        <v>-4.1005886</v>
      </c>
      <c r="J388" s="10">
        <v>3.1368579999999993</v>
      </c>
      <c r="K388" s="10">
        <f t="shared" si="123"/>
        <v>1932.3048446000014</v>
      </c>
      <c r="L388" s="10">
        <f t="shared" si="124"/>
        <v>-1413.3110735999996</v>
      </c>
      <c r="M388" s="10">
        <f t="shared" si="125"/>
        <v>518.99377100000004</v>
      </c>
      <c r="N388" s="10">
        <v>20.556854187546861</v>
      </c>
      <c r="O388" s="10">
        <v>17.934264345403896</v>
      </c>
      <c r="P388" s="10">
        <v>3764.7026945300013</v>
      </c>
      <c r="Y388" s="10" t="e">
        <f t="shared" si="119"/>
        <v>#N/A</v>
      </c>
      <c r="Z388" s="10" t="e">
        <f t="shared" si="107"/>
        <v>#N/A</v>
      </c>
      <c r="AA388" s="10" t="e">
        <f t="shared" si="108"/>
        <v>#N/A</v>
      </c>
      <c r="AB388" s="10" t="e">
        <f t="shared" si="109"/>
        <v>#N/A</v>
      </c>
      <c r="AC388" s="10" t="e">
        <f t="shared" si="110"/>
        <v>#N/A</v>
      </c>
      <c r="AE388" s="10" t="str">
        <f t="shared" si="120"/>
        <v/>
      </c>
      <c r="AF388" s="10" t="str">
        <f t="shared" si="111"/>
        <v/>
      </c>
      <c r="AG388" s="10" t="str">
        <f t="shared" si="112"/>
        <v/>
      </c>
      <c r="AH388" s="10" t="str">
        <f t="shared" si="113"/>
        <v/>
      </c>
      <c r="AI388" s="10" t="str">
        <f t="shared" si="114"/>
        <v/>
      </c>
      <c r="AK388" s="10"/>
      <c r="AL388" s="10"/>
      <c r="AM388" s="10"/>
      <c r="AN388" s="10"/>
      <c r="AO388" s="10"/>
      <c r="AQ388" s="10"/>
      <c r="AR388" s="10"/>
      <c r="AS388" s="10"/>
      <c r="AT388" s="10"/>
      <c r="AU388" s="10"/>
      <c r="AW388" s="10" t="str">
        <f t="shared" si="121"/>
        <v/>
      </c>
      <c r="AX388" s="10" t="str">
        <f t="shared" si="115"/>
        <v/>
      </c>
      <c r="AY388" s="10" t="str">
        <f t="shared" si="116"/>
        <v/>
      </c>
      <c r="AZ388" s="10" t="str">
        <f t="shared" si="117"/>
        <v/>
      </c>
      <c r="BA388" s="10" t="str">
        <f t="shared" si="118"/>
        <v/>
      </c>
    </row>
    <row r="389" spans="6:53" x14ac:dyDescent="0.2">
      <c r="F389" s="10" t="str">
        <f t="shared" si="122"/>
        <v>2018/5/9</v>
      </c>
      <c r="G389" s="14">
        <v>43229</v>
      </c>
      <c r="H389" s="10">
        <v>4.6382232999999999</v>
      </c>
      <c r="I389" s="10">
        <v>-3.0703571999999992</v>
      </c>
      <c r="J389" s="10">
        <v>1.5678661000000003</v>
      </c>
      <c r="K389" s="10">
        <f t="shared" si="123"/>
        <v>1936.9430679000013</v>
      </c>
      <c r="L389" s="10">
        <f t="shared" si="124"/>
        <v>-1416.3814307999996</v>
      </c>
      <c r="M389" s="10">
        <f t="shared" si="125"/>
        <v>520.56163709999998</v>
      </c>
      <c r="N389" s="10">
        <v>21.043916669135534</v>
      </c>
      <c r="O389" s="10">
        <v>18.293811699164348</v>
      </c>
      <c r="P389" s="10">
        <v>3765.5833232199984</v>
      </c>
      <c r="Y389" s="10" t="e">
        <f t="shared" si="119"/>
        <v>#N/A</v>
      </c>
      <c r="Z389" s="10" t="e">
        <f t="shared" si="107"/>
        <v>#N/A</v>
      </c>
      <c r="AA389" s="10" t="e">
        <f t="shared" si="108"/>
        <v>#N/A</v>
      </c>
      <c r="AB389" s="10" t="e">
        <f t="shared" si="109"/>
        <v>#N/A</v>
      </c>
      <c r="AC389" s="10" t="e">
        <f t="shared" si="110"/>
        <v>#N/A</v>
      </c>
      <c r="AE389" s="10" t="str">
        <f t="shared" si="120"/>
        <v/>
      </c>
      <c r="AF389" s="10" t="str">
        <f t="shared" si="111"/>
        <v/>
      </c>
      <c r="AG389" s="10" t="str">
        <f t="shared" si="112"/>
        <v/>
      </c>
      <c r="AH389" s="10" t="str">
        <f t="shared" si="113"/>
        <v/>
      </c>
      <c r="AI389" s="10" t="str">
        <f t="shared" si="114"/>
        <v/>
      </c>
      <c r="AK389" s="10"/>
      <c r="AL389" s="10"/>
      <c r="AM389" s="10"/>
      <c r="AN389" s="10"/>
      <c r="AO389" s="10"/>
      <c r="AQ389" s="10"/>
      <c r="AR389" s="10"/>
      <c r="AS389" s="10"/>
      <c r="AT389" s="10"/>
      <c r="AU389" s="10"/>
      <c r="AW389" s="10" t="str">
        <f t="shared" si="121"/>
        <v/>
      </c>
      <c r="AX389" s="10" t="str">
        <f t="shared" si="115"/>
        <v/>
      </c>
      <c r="AY389" s="10" t="str">
        <f t="shared" si="116"/>
        <v/>
      </c>
      <c r="AZ389" s="10" t="str">
        <f t="shared" si="117"/>
        <v/>
      </c>
      <c r="BA389" s="10" t="str">
        <f t="shared" si="118"/>
        <v/>
      </c>
    </row>
    <row r="390" spans="6:53" x14ac:dyDescent="0.2">
      <c r="F390" s="10" t="str">
        <f t="shared" si="122"/>
        <v>2018/5/10</v>
      </c>
      <c r="G390" s="14">
        <v>43230</v>
      </c>
      <c r="H390" s="10">
        <v>7.503056299999999</v>
      </c>
      <c r="I390" s="10">
        <v>-2.7501049000000002</v>
      </c>
      <c r="J390" s="10">
        <v>4.7529514000000006</v>
      </c>
      <c r="K390" s="10">
        <f t="shared" si="123"/>
        <v>1944.4461242000013</v>
      </c>
      <c r="L390" s="10">
        <f t="shared" si="124"/>
        <v>-1419.1315356999996</v>
      </c>
      <c r="M390" s="10">
        <f t="shared" si="125"/>
        <v>525.31458850000001</v>
      </c>
      <c r="N390" s="10">
        <v>22.067461625310436</v>
      </c>
      <c r="O390" s="10">
        <v>19.21317019498607</v>
      </c>
      <c r="P390" s="10">
        <v>3781.5748832200002</v>
      </c>
      <c r="Y390" s="10" t="e">
        <f t="shared" si="119"/>
        <v>#N/A</v>
      </c>
      <c r="Z390" s="10" t="e">
        <f t="shared" si="107"/>
        <v>#N/A</v>
      </c>
      <c r="AA390" s="10" t="e">
        <f t="shared" si="108"/>
        <v>#N/A</v>
      </c>
      <c r="AB390" s="10" t="e">
        <f t="shared" si="109"/>
        <v>#N/A</v>
      </c>
      <c r="AC390" s="10" t="e">
        <f t="shared" si="110"/>
        <v>#N/A</v>
      </c>
      <c r="AE390" s="10" t="str">
        <f t="shared" si="120"/>
        <v/>
      </c>
      <c r="AF390" s="10" t="str">
        <f t="shared" si="111"/>
        <v/>
      </c>
      <c r="AG390" s="10" t="str">
        <f t="shared" si="112"/>
        <v/>
      </c>
      <c r="AH390" s="10" t="str">
        <f t="shared" si="113"/>
        <v/>
      </c>
      <c r="AI390" s="10" t="str">
        <f t="shared" si="114"/>
        <v/>
      </c>
      <c r="AK390" s="10"/>
      <c r="AL390" s="10"/>
      <c r="AM390" s="10"/>
      <c r="AN390" s="10"/>
      <c r="AO390" s="10"/>
      <c r="AQ390" s="10"/>
      <c r="AR390" s="10"/>
      <c r="AS390" s="10"/>
      <c r="AT390" s="10"/>
      <c r="AU390" s="10"/>
      <c r="AW390" s="10" t="str">
        <f t="shared" si="121"/>
        <v/>
      </c>
      <c r="AX390" s="10" t="str">
        <f t="shared" si="115"/>
        <v/>
      </c>
      <c r="AY390" s="10" t="str">
        <f t="shared" si="116"/>
        <v/>
      </c>
      <c r="AZ390" s="10" t="str">
        <f t="shared" si="117"/>
        <v/>
      </c>
      <c r="BA390" s="10" t="str">
        <f t="shared" si="118"/>
        <v/>
      </c>
    </row>
    <row r="391" spans="6:53" x14ac:dyDescent="0.2">
      <c r="F391" s="10" t="str">
        <f t="shared" si="122"/>
        <v>2018/5/11</v>
      </c>
      <c r="G391" s="14">
        <v>43231</v>
      </c>
      <c r="H391" s="10">
        <v>8.3142976000000015</v>
      </c>
      <c r="I391" s="10">
        <v>-2.9937000999999999</v>
      </c>
      <c r="J391" s="10">
        <v>5.320597499999999</v>
      </c>
      <c r="K391" s="10">
        <f t="shared" si="123"/>
        <v>1952.7604218000013</v>
      </c>
      <c r="L391" s="10">
        <f t="shared" si="124"/>
        <v>-1422.1252357999997</v>
      </c>
      <c r="M391" s="10">
        <f t="shared" si="125"/>
        <v>530.63518599999998</v>
      </c>
      <c r="N391" s="10">
        <v>22.397497305403032</v>
      </c>
      <c r="O391" s="10">
        <v>19.478669359331469</v>
      </c>
      <c r="P391" s="10">
        <v>3823.3654691399993</v>
      </c>
      <c r="Y391" s="10" t="e">
        <f t="shared" si="119"/>
        <v>#N/A</v>
      </c>
      <c r="Z391" s="10" t="e">
        <f t="shared" si="107"/>
        <v>#N/A</v>
      </c>
      <c r="AA391" s="10" t="e">
        <f t="shared" si="108"/>
        <v>#N/A</v>
      </c>
      <c r="AB391" s="10" t="e">
        <f t="shared" si="109"/>
        <v>#N/A</v>
      </c>
      <c r="AC391" s="10" t="e">
        <f t="shared" si="110"/>
        <v>#N/A</v>
      </c>
      <c r="AE391" s="10" t="str">
        <f t="shared" si="120"/>
        <v/>
      </c>
      <c r="AF391" s="10" t="str">
        <f t="shared" si="111"/>
        <v/>
      </c>
      <c r="AG391" s="10" t="str">
        <f t="shared" si="112"/>
        <v/>
      </c>
      <c r="AH391" s="10" t="str">
        <f t="shared" si="113"/>
        <v/>
      </c>
      <c r="AI391" s="10" t="str">
        <f t="shared" si="114"/>
        <v/>
      </c>
      <c r="AK391" s="10"/>
      <c r="AL391" s="10"/>
      <c r="AM391" s="10"/>
      <c r="AN391" s="10"/>
      <c r="AO391" s="10"/>
      <c r="AQ391" s="10"/>
      <c r="AR391" s="10"/>
      <c r="AS391" s="10"/>
      <c r="AT391" s="10"/>
      <c r="AU391" s="10"/>
      <c r="AW391" s="10" t="str">
        <f t="shared" si="121"/>
        <v/>
      </c>
      <c r="AX391" s="10" t="str">
        <f t="shared" si="115"/>
        <v/>
      </c>
      <c r="AY391" s="10" t="str">
        <f t="shared" si="116"/>
        <v/>
      </c>
      <c r="AZ391" s="10" t="str">
        <f t="shared" si="117"/>
        <v/>
      </c>
      <c r="BA391" s="10" t="str">
        <f t="shared" si="118"/>
        <v/>
      </c>
    </row>
    <row r="392" spans="6:53" x14ac:dyDescent="0.2">
      <c r="F392" s="10" t="str">
        <f t="shared" si="122"/>
        <v>2018/5/14</v>
      </c>
      <c r="G392" s="14">
        <v>43234</v>
      </c>
      <c r="H392" s="10">
        <v>4.0896563000000006</v>
      </c>
      <c r="I392" s="10">
        <v>-3.7093487999999999</v>
      </c>
      <c r="J392" s="10">
        <v>0.3803074999999998</v>
      </c>
      <c r="K392" s="10">
        <f t="shared" si="123"/>
        <v>1956.8500781000012</v>
      </c>
      <c r="L392" s="10">
        <f t="shared" si="124"/>
        <v>-1425.8345845999997</v>
      </c>
      <c r="M392" s="10">
        <f t="shared" si="125"/>
        <v>531.01549349999993</v>
      </c>
      <c r="N392" s="10">
        <v>22.513177460498902</v>
      </c>
      <c r="O392" s="10">
        <v>19.615135654596095</v>
      </c>
      <c r="P392" s="10">
        <v>3830.8647165200005</v>
      </c>
      <c r="Y392" s="10" t="e">
        <f t="shared" si="119"/>
        <v>#N/A</v>
      </c>
      <c r="Z392" s="10" t="e">
        <f t="shared" si="107"/>
        <v>#N/A</v>
      </c>
      <c r="AA392" s="10" t="e">
        <f t="shared" si="108"/>
        <v>#N/A</v>
      </c>
      <c r="AB392" s="10" t="e">
        <f t="shared" si="109"/>
        <v>#N/A</v>
      </c>
      <c r="AC392" s="10" t="e">
        <f t="shared" si="110"/>
        <v>#N/A</v>
      </c>
      <c r="AE392" s="10" t="str">
        <f t="shared" si="120"/>
        <v/>
      </c>
      <c r="AF392" s="10" t="str">
        <f t="shared" si="111"/>
        <v/>
      </c>
      <c r="AG392" s="10" t="str">
        <f t="shared" si="112"/>
        <v/>
      </c>
      <c r="AH392" s="10" t="str">
        <f t="shared" si="113"/>
        <v/>
      </c>
      <c r="AI392" s="10" t="str">
        <f t="shared" si="114"/>
        <v/>
      </c>
      <c r="AK392" s="10"/>
      <c r="AL392" s="10"/>
      <c r="AM392" s="10"/>
      <c r="AN392" s="10"/>
      <c r="AO392" s="10"/>
      <c r="AQ392" s="10"/>
      <c r="AR392" s="10"/>
      <c r="AS392" s="10"/>
      <c r="AT392" s="10"/>
      <c r="AU392" s="10"/>
      <c r="AW392" s="10" t="str">
        <f t="shared" si="121"/>
        <v/>
      </c>
      <c r="AX392" s="10" t="str">
        <f t="shared" si="115"/>
        <v/>
      </c>
      <c r="AY392" s="10" t="str">
        <f t="shared" si="116"/>
        <v/>
      </c>
      <c r="AZ392" s="10" t="str">
        <f t="shared" si="117"/>
        <v/>
      </c>
      <c r="BA392" s="10" t="str">
        <f t="shared" si="118"/>
        <v/>
      </c>
    </row>
    <row r="393" spans="6:53" x14ac:dyDescent="0.2">
      <c r="F393" s="10" t="str">
        <f t="shared" si="122"/>
        <v>2018/5/15</v>
      </c>
      <c r="G393" s="14">
        <v>43235</v>
      </c>
      <c r="H393" s="10">
        <v>5.7002278999999998</v>
      </c>
      <c r="I393" s="10">
        <v>-3.3909820999999996</v>
      </c>
      <c r="J393" s="10">
        <v>2.3092457999999998</v>
      </c>
      <c r="K393" s="10">
        <f t="shared" si="123"/>
        <v>1962.5503060000012</v>
      </c>
      <c r="L393" s="10">
        <f t="shared" si="124"/>
        <v>-1429.2255666999997</v>
      </c>
      <c r="M393" s="10">
        <f t="shared" si="125"/>
        <v>533.32473929999992</v>
      </c>
      <c r="N393" s="10">
        <v>21.542088394971437</v>
      </c>
      <c r="O393" s="10">
        <v>18.679149582172709</v>
      </c>
      <c r="P393" s="10">
        <v>3833.9418569199993</v>
      </c>
      <c r="Y393" s="10" t="e">
        <f t="shared" si="119"/>
        <v>#N/A</v>
      </c>
      <c r="Z393" s="10" t="e">
        <f t="shared" si="107"/>
        <v>#N/A</v>
      </c>
      <c r="AA393" s="10" t="e">
        <f t="shared" si="108"/>
        <v>#N/A</v>
      </c>
      <c r="AB393" s="10" t="e">
        <f t="shared" si="109"/>
        <v>#N/A</v>
      </c>
      <c r="AC393" s="10" t="e">
        <f t="shared" si="110"/>
        <v>#N/A</v>
      </c>
      <c r="AE393" s="10" t="str">
        <f t="shared" si="120"/>
        <v/>
      </c>
      <c r="AF393" s="10" t="str">
        <f t="shared" si="111"/>
        <v/>
      </c>
      <c r="AG393" s="10" t="str">
        <f t="shared" si="112"/>
        <v/>
      </c>
      <c r="AH393" s="10" t="str">
        <f t="shared" si="113"/>
        <v/>
      </c>
      <c r="AI393" s="10" t="str">
        <f t="shared" si="114"/>
        <v/>
      </c>
      <c r="AK393" s="10"/>
      <c r="AL393" s="10"/>
      <c r="AM393" s="10"/>
      <c r="AN393" s="10"/>
      <c r="AO393" s="10"/>
      <c r="AQ393" s="10"/>
      <c r="AR393" s="10"/>
      <c r="AS393" s="10"/>
      <c r="AT393" s="10"/>
      <c r="AU393" s="10"/>
      <c r="AW393" s="10" t="str">
        <f t="shared" si="121"/>
        <v/>
      </c>
      <c r="AX393" s="10" t="str">
        <f t="shared" si="115"/>
        <v/>
      </c>
      <c r="AY393" s="10" t="str">
        <f t="shared" si="116"/>
        <v/>
      </c>
      <c r="AZ393" s="10" t="str">
        <f t="shared" si="117"/>
        <v/>
      </c>
      <c r="BA393" s="10" t="str">
        <f t="shared" si="118"/>
        <v/>
      </c>
    </row>
    <row r="394" spans="6:53" x14ac:dyDescent="0.2">
      <c r="F394" s="10" t="str">
        <f t="shared" si="122"/>
        <v>2018/5/16</v>
      </c>
      <c r="G394" s="14">
        <v>43236</v>
      </c>
      <c r="H394" s="10">
        <v>5.0485222999999992</v>
      </c>
      <c r="I394" s="10">
        <v>-3.8750736999999988</v>
      </c>
      <c r="J394" s="10">
        <v>1.1734486</v>
      </c>
      <c r="K394" s="10">
        <f t="shared" si="123"/>
        <v>1967.5988283000013</v>
      </c>
      <c r="L394" s="10">
        <f t="shared" si="124"/>
        <v>-1433.1006403999997</v>
      </c>
      <c r="M394" s="10">
        <f t="shared" si="125"/>
        <v>534.49818789999995</v>
      </c>
      <c r="N394" s="10">
        <v>21.983008192668784</v>
      </c>
      <c r="O394" s="10">
        <v>18.967412534818937</v>
      </c>
      <c r="P394" s="10">
        <v>3807.5373977200002</v>
      </c>
      <c r="Y394" s="10" t="e">
        <f t="shared" si="119"/>
        <v>#N/A</v>
      </c>
      <c r="Z394" s="10" t="e">
        <f t="shared" si="107"/>
        <v>#N/A</v>
      </c>
      <c r="AA394" s="10" t="e">
        <f t="shared" si="108"/>
        <v>#N/A</v>
      </c>
      <c r="AB394" s="10" t="e">
        <f t="shared" si="109"/>
        <v>#N/A</v>
      </c>
      <c r="AC394" s="10" t="e">
        <f t="shared" si="110"/>
        <v>#N/A</v>
      </c>
      <c r="AE394" s="10" t="str">
        <f t="shared" si="120"/>
        <v/>
      </c>
      <c r="AF394" s="10" t="str">
        <f t="shared" si="111"/>
        <v/>
      </c>
      <c r="AG394" s="10" t="str">
        <f t="shared" si="112"/>
        <v/>
      </c>
      <c r="AH394" s="10" t="str">
        <f t="shared" si="113"/>
        <v/>
      </c>
      <c r="AI394" s="10" t="str">
        <f t="shared" si="114"/>
        <v/>
      </c>
      <c r="AK394" s="10"/>
      <c r="AL394" s="10"/>
      <c r="AM394" s="10"/>
      <c r="AN394" s="10"/>
      <c r="AO394" s="10"/>
      <c r="AQ394" s="10"/>
      <c r="AR394" s="10"/>
      <c r="AS394" s="10"/>
      <c r="AT394" s="10"/>
      <c r="AU394" s="10"/>
      <c r="AW394" s="10" t="str">
        <f t="shared" si="121"/>
        <v/>
      </c>
      <c r="AX394" s="10" t="str">
        <f t="shared" si="115"/>
        <v/>
      </c>
      <c r="AY394" s="10" t="str">
        <f t="shared" si="116"/>
        <v/>
      </c>
      <c r="AZ394" s="10" t="str">
        <f t="shared" si="117"/>
        <v/>
      </c>
      <c r="BA394" s="10" t="str">
        <f t="shared" si="118"/>
        <v/>
      </c>
    </row>
    <row r="395" spans="6:53" x14ac:dyDescent="0.2">
      <c r="F395" s="10" t="str">
        <f t="shared" si="122"/>
        <v>2018/5/17</v>
      </c>
      <c r="G395" s="14">
        <v>43237</v>
      </c>
      <c r="H395" s="10">
        <v>7.2436026999999976</v>
      </c>
      <c r="I395" s="10">
        <v>-3.5367257000000007</v>
      </c>
      <c r="J395" s="10">
        <v>3.7068770000000013</v>
      </c>
      <c r="K395" s="10">
        <f t="shared" si="123"/>
        <v>1974.8424310000014</v>
      </c>
      <c r="L395" s="10">
        <f t="shared" si="124"/>
        <v>-1436.6373660999998</v>
      </c>
      <c r="M395" s="10">
        <f t="shared" si="125"/>
        <v>538.20506489999991</v>
      </c>
      <c r="N395" s="10">
        <v>21.876541677927889</v>
      </c>
      <c r="O395" s="10">
        <v>18.916727298050127</v>
      </c>
      <c r="P395" s="10">
        <v>3822.09722852</v>
      </c>
      <c r="Y395" s="10" t="e">
        <f t="shared" si="119"/>
        <v>#N/A</v>
      </c>
      <c r="Z395" s="10" t="e">
        <f t="shared" ref="Z395:Z458" si="126">IF($W$5=1,IF(AL395="",NA(),AL395),IF($W$5=2,IF(AF395="",NA(),AF395),IF($W$5=3,IF(AX395="",NA(),AX395),IF($W$5=4,IF(AR395="",NA(),AR395)))))</f>
        <v>#N/A</v>
      </c>
      <c r="AA395" s="10" t="e">
        <f t="shared" ref="AA395:AA458" si="127">IF($W$5=1,IF(AM395="",NA(),AM395),IF($W$5=2,IF(AG395="",NA(),AG395),IF($W$5=3,IF(AY395="",NA(),AY395),IF($W$5=4,IF(AS395="",NA(),AS395)))))</f>
        <v>#N/A</v>
      </c>
      <c r="AB395" s="10" t="e">
        <f t="shared" ref="AB395:AB458" si="128">IF($W$5=1,IF(AN395="",NA(),AN395),IF($W$5=2,IF(AH395="",NA(),AH395),IF($W$5=3,IF(AZ395="",NA(),AZ395),IF($W$5=4,IF(AT395="",NA(),AT395)))))</f>
        <v>#N/A</v>
      </c>
      <c r="AC395" s="10" t="e">
        <f t="shared" ref="AC395:AC458" si="129">IF($W$5=1,IF(AO395="",NA(),AO395),IF($W$5=2,IF(AI395="",NA(),AI395),IF($W$5=3,IF(BA395="",NA(),BA395),IF($W$5=4,IF(AU395="",NA(),AU395)))))</f>
        <v>#N/A</v>
      </c>
      <c r="AE395" s="10" t="str">
        <f t="shared" si="120"/>
        <v/>
      </c>
      <c r="AF395" s="10" t="str">
        <f t="shared" ref="AF395:AF458" si="130">IF(AL395="","",AL395/AR395*100)</f>
        <v/>
      </c>
      <c r="AG395" s="10" t="str">
        <f t="shared" ref="AG395:AG458" si="131">IF(AM395="","",AM395/AS395*100)</f>
        <v/>
      </c>
      <c r="AH395" s="10" t="str">
        <f t="shared" ref="AH395:AH458" si="132">IF(AN395="","",AN395/AT395*100)</f>
        <v/>
      </c>
      <c r="AI395" s="10" t="str">
        <f t="shared" ref="AI395:AI458" si="133">IF(AO395="","",AO395/AU395*100)</f>
        <v/>
      </c>
      <c r="AK395" s="10"/>
      <c r="AL395" s="10"/>
      <c r="AM395" s="10"/>
      <c r="AN395" s="10"/>
      <c r="AO395" s="10"/>
      <c r="AQ395" s="10"/>
      <c r="AR395" s="10"/>
      <c r="AS395" s="10"/>
      <c r="AT395" s="10"/>
      <c r="AU395" s="10"/>
      <c r="AW395" s="10" t="str">
        <f t="shared" si="121"/>
        <v/>
      </c>
      <c r="AX395" s="10" t="str">
        <f t="shared" ref="AX395:AX458" si="134">IF(AL$11="","",100+AF395)</f>
        <v/>
      </c>
      <c r="AY395" s="10" t="str">
        <f t="shared" ref="AY395:AY458" si="135">IF(AM$11="","",100+AG395)</f>
        <v/>
      </c>
      <c r="AZ395" s="10" t="str">
        <f t="shared" ref="AZ395:AZ458" si="136">IF(AN$11="","",100+AH395)</f>
        <v/>
      </c>
      <c r="BA395" s="10" t="str">
        <f t="shared" ref="BA395:BA458" si="137">IF(AO$11="","",100+AI395)</f>
        <v/>
      </c>
    </row>
    <row r="396" spans="6:53" x14ac:dyDescent="0.2">
      <c r="F396" s="10" t="str">
        <f t="shared" si="122"/>
        <v>2018/5/18</v>
      </c>
      <c r="G396" s="14">
        <v>43238</v>
      </c>
      <c r="H396" s="10">
        <v>2.2639793999999998</v>
      </c>
      <c r="I396" s="10">
        <v>-7.8520183999999995</v>
      </c>
      <c r="J396" s="10">
        <v>-5.5880390000000011</v>
      </c>
      <c r="K396" s="10">
        <f t="shared" si="123"/>
        <v>1977.1064104000013</v>
      </c>
      <c r="L396" s="10">
        <f t="shared" si="124"/>
        <v>-1444.4893844999997</v>
      </c>
      <c r="M396" s="10">
        <f t="shared" si="125"/>
        <v>532.61702589999993</v>
      </c>
      <c r="N396" s="10">
        <v>21.656467380013336</v>
      </c>
      <c r="O396" s="10">
        <v>18.716921727019503</v>
      </c>
      <c r="P396" s="10">
        <v>3823.1491950200007</v>
      </c>
      <c r="Y396" s="10" t="e">
        <f t="shared" ref="Y396:Y459" si="138">IF($W$5=1,IF(AK396="",NA(),AK396),IF($W$5=2,IF(AE396="",NA(),AE396),IF($W$5=3,IF(AW396="",NA(),AW396),IF($W$5=4,IF(AQ396="",NA(),AQ396)))))</f>
        <v>#N/A</v>
      </c>
      <c r="Z396" s="10" t="e">
        <f t="shared" si="126"/>
        <v>#N/A</v>
      </c>
      <c r="AA396" s="10" t="e">
        <f t="shared" si="127"/>
        <v>#N/A</v>
      </c>
      <c r="AB396" s="10" t="e">
        <f t="shared" si="128"/>
        <v>#N/A</v>
      </c>
      <c r="AC396" s="10" t="e">
        <f t="shared" si="129"/>
        <v>#N/A</v>
      </c>
      <c r="AE396" s="10" t="str">
        <f t="shared" ref="AE396:AE459" si="139">IF(AK396="","",AK396/AQ396*100)</f>
        <v/>
      </c>
      <c r="AF396" s="10" t="str">
        <f t="shared" si="130"/>
        <v/>
      </c>
      <c r="AG396" s="10" t="str">
        <f t="shared" si="131"/>
        <v/>
      </c>
      <c r="AH396" s="10" t="str">
        <f t="shared" si="132"/>
        <v/>
      </c>
      <c r="AI396" s="10" t="str">
        <f t="shared" si="133"/>
        <v/>
      </c>
      <c r="AK396" s="10"/>
      <c r="AL396" s="10"/>
      <c r="AM396" s="10"/>
      <c r="AN396" s="10"/>
      <c r="AO396" s="10"/>
      <c r="AQ396" s="10"/>
      <c r="AR396" s="10"/>
      <c r="AS396" s="10"/>
      <c r="AT396" s="10"/>
      <c r="AU396" s="10"/>
      <c r="AW396" s="10" t="str">
        <f t="shared" ref="AW396:AW459" si="140">IF(AK$11="","",100+AE396)</f>
        <v/>
      </c>
      <c r="AX396" s="10" t="str">
        <f t="shared" si="134"/>
        <v/>
      </c>
      <c r="AY396" s="10" t="str">
        <f t="shared" si="135"/>
        <v/>
      </c>
      <c r="AZ396" s="10" t="str">
        <f t="shared" si="136"/>
        <v/>
      </c>
      <c r="BA396" s="10" t="str">
        <f t="shared" si="137"/>
        <v/>
      </c>
    </row>
    <row r="397" spans="6:53" x14ac:dyDescent="0.2">
      <c r="F397" s="10" t="str">
        <f t="shared" si="122"/>
        <v>2018/5/21</v>
      </c>
      <c r="G397" s="14">
        <v>43241</v>
      </c>
      <c r="H397" s="10">
        <v>5.4631888999999996</v>
      </c>
      <c r="I397" s="10">
        <v>-3.1820586</v>
      </c>
      <c r="J397" s="10">
        <v>2.2811303000000001</v>
      </c>
      <c r="K397" s="10">
        <f t="shared" si="123"/>
        <v>1982.5695993000013</v>
      </c>
      <c r="L397" s="10">
        <f t="shared" si="124"/>
        <v>-1447.6714430999996</v>
      </c>
      <c r="M397" s="10">
        <f t="shared" si="125"/>
        <v>534.8981561999999</v>
      </c>
      <c r="N397" s="10">
        <v>22.263441772984919</v>
      </c>
      <c r="O397" s="10">
        <v>19.201639972144839</v>
      </c>
      <c r="P397" s="10">
        <v>3813.9251697199998</v>
      </c>
      <c r="Y397" s="10" t="e">
        <f t="shared" si="138"/>
        <v>#N/A</v>
      </c>
      <c r="Z397" s="10" t="e">
        <f t="shared" si="126"/>
        <v>#N/A</v>
      </c>
      <c r="AA397" s="10" t="e">
        <f t="shared" si="127"/>
        <v>#N/A</v>
      </c>
      <c r="AB397" s="10" t="e">
        <f t="shared" si="128"/>
        <v>#N/A</v>
      </c>
      <c r="AC397" s="10" t="e">
        <f t="shared" si="129"/>
        <v>#N/A</v>
      </c>
      <c r="AE397" s="10" t="str">
        <f t="shared" si="139"/>
        <v/>
      </c>
      <c r="AF397" s="10" t="str">
        <f t="shared" si="130"/>
        <v/>
      </c>
      <c r="AG397" s="10" t="str">
        <f t="shared" si="131"/>
        <v/>
      </c>
      <c r="AH397" s="10" t="str">
        <f t="shared" si="132"/>
        <v/>
      </c>
      <c r="AI397" s="10" t="str">
        <f t="shared" si="133"/>
        <v/>
      </c>
      <c r="AK397" s="10"/>
      <c r="AL397" s="10"/>
      <c r="AM397" s="10"/>
      <c r="AN397" s="10"/>
      <c r="AO397" s="10"/>
      <c r="AQ397" s="10"/>
      <c r="AR397" s="10"/>
      <c r="AS397" s="10"/>
      <c r="AT397" s="10"/>
      <c r="AU397" s="10"/>
      <c r="AW397" s="10" t="str">
        <f t="shared" si="140"/>
        <v/>
      </c>
      <c r="AX397" s="10" t="str">
        <f t="shared" si="134"/>
        <v/>
      </c>
      <c r="AY397" s="10" t="str">
        <f t="shared" si="135"/>
        <v/>
      </c>
      <c r="AZ397" s="10" t="str">
        <f t="shared" si="136"/>
        <v/>
      </c>
      <c r="BA397" s="10" t="str">
        <f t="shared" si="137"/>
        <v/>
      </c>
    </row>
    <row r="398" spans="6:53" x14ac:dyDescent="0.2">
      <c r="F398" s="10" t="str">
        <f t="shared" si="122"/>
        <v>2018/5/22</v>
      </c>
      <c r="G398" s="14">
        <v>43242</v>
      </c>
      <c r="H398" s="10">
        <v>5.2093170999999989</v>
      </c>
      <c r="I398" s="10">
        <v>-4.1766332999999998</v>
      </c>
      <c r="J398" s="10">
        <v>1.0326838000000003</v>
      </c>
      <c r="K398" s="10">
        <f t="shared" si="123"/>
        <v>1987.7789164000012</v>
      </c>
      <c r="L398" s="10">
        <f t="shared" si="124"/>
        <v>-1451.8480763999996</v>
      </c>
      <c r="M398" s="10">
        <f t="shared" si="125"/>
        <v>535.93083999999988</v>
      </c>
      <c r="N398" s="10">
        <v>22.068990244379272</v>
      </c>
      <c r="O398" s="10">
        <v>19.112827994428965</v>
      </c>
      <c r="P398" s="10">
        <v>3839.0726169100008</v>
      </c>
      <c r="Y398" s="10" t="e">
        <f t="shared" si="138"/>
        <v>#N/A</v>
      </c>
      <c r="Z398" s="10" t="e">
        <f t="shared" si="126"/>
        <v>#N/A</v>
      </c>
      <c r="AA398" s="10" t="e">
        <f t="shared" si="127"/>
        <v>#N/A</v>
      </c>
      <c r="AB398" s="10" t="e">
        <f t="shared" si="128"/>
        <v>#N/A</v>
      </c>
      <c r="AC398" s="10" t="e">
        <f t="shared" si="129"/>
        <v>#N/A</v>
      </c>
      <c r="AE398" s="10" t="str">
        <f t="shared" si="139"/>
        <v/>
      </c>
      <c r="AF398" s="10" t="str">
        <f t="shared" si="130"/>
        <v/>
      </c>
      <c r="AG398" s="10" t="str">
        <f t="shared" si="131"/>
        <v/>
      </c>
      <c r="AH398" s="10" t="str">
        <f t="shared" si="132"/>
        <v/>
      </c>
      <c r="AI398" s="10" t="str">
        <f t="shared" si="133"/>
        <v/>
      </c>
      <c r="AK398" s="10"/>
      <c r="AL398" s="10"/>
      <c r="AM398" s="10"/>
      <c r="AN398" s="10"/>
      <c r="AO398" s="10"/>
      <c r="AQ398" s="10"/>
      <c r="AR398" s="10"/>
      <c r="AS398" s="10"/>
      <c r="AT398" s="10"/>
      <c r="AU398" s="10"/>
      <c r="AW398" s="10" t="str">
        <f t="shared" si="140"/>
        <v/>
      </c>
      <c r="AX398" s="10" t="str">
        <f t="shared" si="134"/>
        <v/>
      </c>
      <c r="AY398" s="10" t="str">
        <f t="shared" si="135"/>
        <v/>
      </c>
      <c r="AZ398" s="10" t="str">
        <f t="shared" si="136"/>
        <v/>
      </c>
      <c r="BA398" s="10" t="str">
        <f t="shared" si="137"/>
        <v/>
      </c>
    </row>
    <row r="399" spans="6:53" x14ac:dyDescent="0.2">
      <c r="F399" s="10" t="str">
        <f t="shared" si="122"/>
        <v>2018/5/23</v>
      </c>
      <c r="G399" s="14">
        <v>43243</v>
      </c>
      <c r="H399" s="10">
        <v>6.4723216999999948</v>
      </c>
      <c r="I399" s="10">
        <v>-2.6194955000000006</v>
      </c>
      <c r="J399" s="10">
        <v>3.8528262000000013</v>
      </c>
      <c r="K399" s="10">
        <f t="shared" si="123"/>
        <v>1994.2512381000013</v>
      </c>
      <c r="L399" s="10">
        <f t="shared" si="124"/>
        <v>-1454.4675718999997</v>
      </c>
      <c r="M399" s="10">
        <f t="shared" si="125"/>
        <v>539.78366619999986</v>
      </c>
      <c r="N399" s="10">
        <v>21.914300892063547</v>
      </c>
      <c r="O399" s="10">
        <v>18.728850139275757</v>
      </c>
      <c r="P399" s="10">
        <v>3827.2364102199981</v>
      </c>
      <c r="Y399" s="10" t="e">
        <f t="shared" si="138"/>
        <v>#N/A</v>
      </c>
      <c r="Z399" s="10" t="e">
        <f t="shared" si="126"/>
        <v>#N/A</v>
      </c>
      <c r="AA399" s="10" t="e">
        <f t="shared" si="127"/>
        <v>#N/A</v>
      </c>
      <c r="AB399" s="10" t="e">
        <f t="shared" si="128"/>
        <v>#N/A</v>
      </c>
      <c r="AC399" s="10" t="e">
        <f t="shared" si="129"/>
        <v>#N/A</v>
      </c>
      <c r="AE399" s="10" t="str">
        <f t="shared" si="139"/>
        <v/>
      </c>
      <c r="AF399" s="10" t="str">
        <f t="shared" si="130"/>
        <v/>
      </c>
      <c r="AG399" s="10" t="str">
        <f t="shared" si="131"/>
        <v/>
      </c>
      <c r="AH399" s="10" t="str">
        <f t="shared" si="132"/>
        <v/>
      </c>
      <c r="AI399" s="10" t="str">
        <f t="shared" si="133"/>
        <v/>
      </c>
      <c r="AK399" s="10"/>
      <c r="AL399" s="10"/>
      <c r="AM399" s="10"/>
      <c r="AN399" s="10"/>
      <c r="AO399" s="10"/>
      <c r="AQ399" s="10"/>
      <c r="AR399" s="10"/>
      <c r="AS399" s="10"/>
      <c r="AT399" s="10"/>
      <c r="AU399" s="10"/>
      <c r="AW399" s="10" t="str">
        <f t="shared" si="140"/>
        <v/>
      </c>
      <c r="AX399" s="10" t="str">
        <f t="shared" si="134"/>
        <v/>
      </c>
      <c r="AY399" s="10" t="str">
        <f t="shared" si="135"/>
        <v/>
      </c>
      <c r="AZ399" s="10" t="str">
        <f t="shared" si="136"/>
        <v/>
      </c>
      <c r="BA399" s="10" t="str">
        <f t="shared" si="137"/>
        <v/>
      </c>
    </row>
    <row r="400" spans="6:53" x14ac:dyDescent="0.2">
      <c r="F400" s="10" t="str">
        <f t="shared" si="122"/>
        <v>2018/5/24</v>
      </c>
      <c r="G400" s="14">
        <v>43244</v>
      </c>
      <c r="H400" s="10">
        <v>4.6686035999999991</v>
      </c>
      <c r="I400" s="10">
        <v>-2.9832414000000003</v>
      </c>
      <c r="J400" s="10">
        <v>1.6853621999999997</v>
      </c>
      <c r="K400" s="10">
        <f t="shared" si="123"/>
        <v>1998.9198417000014</v>
      </c>
      <c r="L400" s="10">
        <f t="shared" si="124"/>
        <v>-1457.4508132999997</v>
      </c>
      <c r="M400" s="10">
        <f t="shared" si="125"/>
        <v>541.46902839999984</v>
      </c>
      <c r="N400" s="10">
        <v>21.757064225502379</v>
      </c>
      <c r="O400" s="10">
        <v>18.648499164345402</v>
      </c>
      <c r="P400" s="10">
        <v>3826.9062377199998</v>
      </c>
      <c r="Y400" s="10" t="e">
        <f t="shared" si="138"/>
        <v>#N/A</v>
      </c>
      <c r="Z400" s="10" t="e">
        <f t="shared" si="126"/>
        <v>#N/A</v>
      </c>
      <c r="AA400" s="10" t="e">
        <f t="shared" si="127"/>
        <v>#N/A</v>
      </c>
      <c r="AB400" s="10" t="e">
        <f t="shared" si="128"/>
        <v>#N/A</v>
      </c>
      <c r="AC400" s="10" t="e">
        <f t="shared" si="129"/>
        <v>#N/A</v>
      </c>
      <c r="AE400" s="10" t="str">
        <f t="shared" si="139"/>
        <v/>
      </c>
      <c r="AF400" s="10" t="str">
        <f t="shared" si="130"/>
        <v/>
      </c>
      <c r="AG400" s="10" t="str">
        <f t="shared" si="131"/>
        <v/>
      </c>
      <c r="AH400" s="10" t="str">
        <f t="shared" si="132"/>
        <v/>
      </c>
      <c r="AI400" s="10" t="str">
        <f t="shared" si="133"/>
        <v/>
      </c>
      <c r="AK400" s="10"/>
      <c r="AL400" s="10"/>
      <c r="AM400" s="10"/>
      <c r="AN400" s="10"/>
      <c r="AO400" s="10"/>
      <c r="AQ400" s="10"/>
      <c r="AR400" s="10"/>
      <c r="AS400" s="10"/>
      <c r="AT400" s="10"/>
      <c r="AU400" s="10"/>
      <c r="AW400" s="10" t="str">
        <f t="shared" si="140"/>
        <v/>
      </c>
      <c r="AX400" s="10" t="str">
        <f t="shared" si="134"/>
        <v/>
      </c>
      <c r="AY400" s="10" t="str">
        <f t="shared" si="135"/>
        <v/>
      </c>
      <c r="AZ400" s="10" t="str">
        <f t="shared" si="136"/>
        <v/>
      </c>
      <c r="BA400" s="10" t="str">
        <f t="shared" si="137"/>
        <v/>
      </c>
    </row>
    <row r="401" spans="6:53" x14ac:dyDescent="0.2">
      <c r="F401" s="10" t="str">
        <f t="shared" si="122"/>
        <v>2018/5/25</v>
      </c>
      <c r="G401" s="14">
        <v>43245</v>
      </c>
      <c r="H401" s="10">
        <v>3.2012991</v>
      </c>
      <c r="I401" s="10">
        <v>-4.8034338000000005</v>
      </c>
      <c r="J401" s="10">
        <v>-1.6021346999999995</v>
      </c>
      <c r="K401" s="10">
        <f t="shared" si="123"/>
        <v>2002.1211408000013</v>
      </c>
      <c r="L401" s="10">
        <f t="shared" si="124"/>
        <v>-1462.2542470999997</v>
      </c>
      <c r="M401" s="10">
        <f t="shared" si="125"/>
        <v>539.86689369999988</v>
      </c>
      <c r="N401" s="10">
        <v>21.523536016920708</v>
      </c>
      <c r="O401" s="10">
        <v>18.402418384401113</v>
      </c>
      <c r="P401" s="10">
        <v>3824.3900181200011</v>
      </c>
      <c r="Y401" s="10" t="e">
        <f t="shared" si="138"/>
        <v>#N/A</v>
      </c>
      <c r="Z401" s="10" t="e">
        <f t="shared" si="126"/>
        <v>#N/A</v>
      </c>
      <c r="AA401" s="10" t="e">
        <f t="shared" si="127"/>
        <v>#N/A</v>
      </c>
      <c r="AB401" s="10" t="e">
        <f t="shared" si="128"/>
        <v>#N/A</v>
      </c>
      <c r="AC401" s="10" t="e">
        <f t="shared" si="129"/>
        <v>#N/A</v>
      </c>
      <c r="AE401" s="10" t="str">
        <f t="shared" si="139"/>
        <v/>
      </c>
      <c r="AF401" s="10" t="str">
        <f t="shared" si="130"/>
        <v/>
      </c>
      <c r="AG401" s="10" t="str">
        <f t="shared" si="131"/>
        <v/>
      </c>
      <c r="AH401" s="10" t="str">
        <f t="shared" si="132"/>
        <v/>
      </c>
      <c r="AI401" s="10" t="str">
        <f t="shared" si="133"/>
        <v/>
      </c>
      <c r="AK401" s="10"/>
      <c r="AL401" s="10"/>
      <c r="AM401" s="10"/>
      <c r="AN401" s="10"/>
      <c r="AO401" s="10"/>
      <c r="AQ401" s="10"/>
      <c r="AR401" s="10"/>
      <c r="AS401" s="10"/>
      <c r="AT401" s="10"/>
      <c r="AU401" s="10"/>
      <c r="AW401" s="10" t="str">
        <f t="shared" si="140"/>
        <v/>
      </c>
      <c r="AX401" s="10" t="str">
        <f t="shared" si="134"/>
        <v/>
      </c>
      <c r="AY401" s="10" t="str">
        <f t="shared" si="135"/>
        <v/>
      </c>
      <c r="AZ401" s="10" t="str">
        <f t="shared" si="136"/>
        <v/>
      </c>
      <c r="BA401" s="10" t="str">
        <f t="shared" si="137"/>
        <v/>
      </c>
    </row>
    <row r="402" spans="6:53" x14ac:dyDescent="0.2">
      <c r="F402" s="10" t="str">
        <f t="shared" si="122"/>
        <v>2018/5/28</v>
      </c>
      <c r="G402" s="14">
        <v>43248</v>
      </c>
      <c r="H402" s="10">
        <v>0.80001929999999999</v>
      </c>
      <c r="I402" s="10">
        <v>-0.72982539999999974</v>
      </c>
      <c r="J402" s="10">
        <v>7.0193900000000059E-2</v>
      </c>
      <c r="K402" s="10">
        <f t="shared" si="123"/>
        <v>2002.9211601000013</v>
      </c>
      <c r="L402" s="10">
        <f t="shared" si="124"/>
        <v>-1462.9840724999997</v>
      </c>
      <c r="M402" s="10">
        <f t="shared" si="125"/>
        <v>539.93708759999993</v>
      </c>
      <c r="N402" s="10">
        <v>20.986839526976645</v>
      </c>
      <c r="O402" s="10">
        <v>17.979216573816164</v>
      </c>
      <c r="P402" s="10">
        <v>3815.109498320001</v>
      </c>
      <c r="Y402" s="10" t="e">
        <f t="shared" si="138"/>
        <v>#N/A</v>
      </c>
      <c r="Z402" s="10" t="e">
        <f t="shared" si="126"/>
        <v>#N/A</v>
      </c>
      <c r="AA402" s="10" t="e">
        <f t="shared" si="127"/>
        <v>#N/A</v>
      </c>
      <c r="AB402" s="10" t="e">
        <f t="shared" si="128"/>
        <v>#N/A</v>
      </c>
      <c r="AC402" s="10" t="e">
        <f t="shared" si="129"/>
        <v>#N/A</v>
      </c>
      <c r="AE402" s="10" t="str">
        <f t="shared" si="139"/>
        <v/>
      </c>
      <c r="AF402" s="10" t="str">
        <f t="shared" si="130"/>
        <v/>
      </c>
      <c r="AG402" s="10" t="str">
        <f t="shared" si="131"/>
        <v/>
      </c>
      <c r="AH402" s="10" t="str">
        <f t="shared" si="132"/>
        <v/>
      </c>
      <c r="AI402" s="10" t="str">
        <f t="shared" si="133"/>
        <v/>
      </c>
      <c r="AK402" s="10"/>
      <c r="AL402" s="10"/>
      <c r="AM402" s="10"/>
      <c r="AN402" s="10"/>
      <c r="AO402" s="10"/>
      <c r="AQ402" s="10"/>
      <c r="AR402" s="10"/>
      <c r="AS402" s="10"/>
      <c r="AT402" s="10"/>
      <c r="AU402" s="10"/>
      <c r="AW402" s="10" t="str">
        <f t="shared" si="140"/>
        <v/>
      </c>
      <c r="AX402" s="10" t="str">
        <f t="shared" si="134"/>
        <v/>
      </c>
      <c r="AY402" s="10" t="str">
        <f t="shared" si="135"/>
        <v/>
      </c>
      <c r="AZ402" s="10" t="str">
        <f t="shared" si="136"/>
        <v/>
      </c>
      <c r="BA402" s="10" t="str">
        <f t="shared" si="137"/>
        <v/>
      </c>
    </row>
    <row r="403" spans="6:53" x14ac:dyDescent="0.2">
      <c r="F403" s="10" t="str">
        <f t="shared" si="122"/>
        <v>2018/5/29</v>
      </c>
      <c r="G403" s="14">
        <v>43249</v>
      </c>
      <c r="H403" s="10">
        <v>7.7645455000000014</v>
      </c>
      <c r="I403" s="10">
        <v>-6.3194120000000007</v>
      </c>
      <c r="J403" s="10">
        <v>1.4451334999999994</v>
      </c>
      <c r="K403" s="10">
        <f t="shared" si="123"/>
        <v>2010.6857056000013</v>
      </c>
      <c r="L403" s="10">
        <f t="shared" si="124"/>
        <v>-1469.3034844999997</v>
      </c>
      <c r="M403" s="10">
        <f t="shared" si="125"/>
        <v>541.38222109999992</v>
      </c>
      <c r="N403" s="10">
        <v>20.365192889932349</v>
      </c>
      <c r="O403" s="10">
        <v>17.294279108635099</v>
      </c>
      <c r="P403" s="10">
        <v>3800.5800054699994</v>
      </c>
      <c r="Y403" s="10" t="e">
        <f t="shared" si="138"/>
        <v>#N/A</v>
      </c>
      <c r="Z403" s="10" t="e">
        <f t="shared" si="126"/>
        <v>#N/A</v>
      </c>
      <c r="AA403" s="10" t="e">
        <f t="shared" si="127"/>
        <v>#N/A</v>
      </c>
      <c r="AB403" s="10" t="e">
        <f t="shared" si="128"/>
        <v>#N/A</v>
      </c>
      <c r="AC403" s="10" t="e">
        <f t="shared" si="129"/>
        <v>#N/A</v>
      </c>
      <c r="AE403" s="10" t="str">
        <f t="shared" si="139"/>
        <v/>
      </c>
      <c r="AF403" s="10" t="str">
        <f t="shared" si="130"/>
        <v/>
      </c>
      <c r="AG403" s="10" t="str">
        <f t="shared" si="131"/>
        <v/>
      </c>
      <c r="AH403" s="10" t="str">
        <f t="shared" si="132"/>
        <v/>
      </c>
      <c r="AI403" s="10" t="str">
        <f t="shared" si="133"/>
        <v/>
      </c>
      <c r="AK403" s="10"/>
      <c r="AL403" s="10"/>
      <c r="AM403" s="10"/>
      <c r="AN403" s="10"/>
      <c r="AO403" s="10"/>
      <c r="AQ403" s="10"/>
      <c r="AR403" s="10"/>
      <c r="AS403" s="10"/>
      <c r="AT403" s="10"/>
      <c r="AU403" s="10"/>
      <c r="AW403" s="10" t="str">
        <f t="shared" si="140"/>
        <v/>
      </c>
      <c r="AX403" s="10" t="str">
        <f t="shared" si="134"/>
        <v/>
      </c>
      <c r="AY403" s="10" t="str">
        <f t="shared" si="135"/>
        <v/>
      </c>
      <c r="AZ403" s="10" t="str">
        <f t="shared" si="136"/>
        <v/>
      </c>
      <c r="BA403" s="10" t="str">
        <f t="shared" si="137"/>
        <v/>
      </c>
    </row>
    <row r="404" spans="6:53" x14ac:dyDescent="0.2">
      <c r="F404" s="10" t="str">
        <f t="shared" si="122"/>
        <v>2018/5/30</v>
      </c>
      <c r="G404" s="14">
        <v>43250</v>
      </c>
      <c r="H404" s="10">
        <v>4.9342608000000006</v>
      </c>
      <c r="I404" s="10">
        <v>-4.3381214000000003</v>
      </c>
      <c r="J404" s="10">
        <v>0.59613939999999965</v>
      </c>
      <c r="K404" s="10">
        <f t="shared" si="123"/>
        <v>2015.6199664000012</v>
      </c>
      <c r="L404" s="10">
        <f t="shared" si="124"/>
        <v>-1473.6416058999998</v>
      </c>
      <c r="M404" s="10">
        <f t="shared" si="125"/>
        <v>541.97836049999989</v>
      </c>
      <c r="N404" s="10">
        <v>21.350298761524105</v>
      </c>
      <c r="O404" s="10">
        <v>18.175594986072429</v>
      </c>
      <c r="P404" s="10">
        <v>3782.8023263199989</v>
      </c>
      <c r="Y404" s="10" t="e">
        <f t="shared" si="138"/>
        <v>#N/A</v>
      </c>
      <c r="Z404" s="10" t="e">
        <f t="shared" si="126"/>
        <v>#N/A</v>
      </c>
      <c r="AA404" s="10" t="e">
        <f t="shared" si="127"/>
        <v>#N/A</v>
      </c>
      <c r="AB404" s="10" t="e">
        <f t="shared" si="128"/>
        <v>#N/A</v>
      </c>
      <c r="AC404" s="10" t="e">
        <f t="shared" si="129"/>
        <v>#N/A</v>
      </c>
      <c r="AE404" s="10" t="str">
        <f t="shared" si="139"/>
        <v/>
      </c>
      <c r="AF404" s="10" t="str">
        <f t="shared" si="130"/>
        <v/>
      </c>
      <c r="AG404" s="10" t="str">
        <f t="shared" si="131"/>
        <v/>
      </c>
      <c r="AH404" s="10" t="str">
        <f t="shared" si="132"/>
        <v/>
      </c>
      <c r="AI404" s="10" t="str">
        <f t="shared" si="133"/>
        <v/>
      </c>
      <c r="AK404" s="10"/>
      <c r="AL404" s="10"/>
      <c r="AM404" s="10"/>
      <c r="AN404" s="10"/>
      <c r="AO404" s="10"/>
      <c r="AQ404" s="10"/>
      <c r="AR404" s="10"/>
      <c r="AS404" s="10"/>
      <c r="AT404" s="10"/>
      <c r="AU404" s="10"/>
      <c r="AW404" s="10" t="str">
        <f t="shared" si="140"/>
        <v/>
      </c>
      <c r="AX404" s="10" t="str">
        <f t="shared" si="134"/>
        <v/>
      </c>
      <c r="AY404" s="10" t="str">
        <f t="shared" si="135"/>
        <v/>
      </c>
      <c r="AZ404" s="10" t="str">
        <f t="shared" si="136"/>
        <v/>
      </c>
      <c r="BA404" s="10" t="str">
        <f t="shared" si="137"/>
        <v/>
      </c>
    </row>
    <row r="405" spans="6:53" x14ac:dyDescent="0.2">
      <c r="F405" s="10" t="str">
        <f t="shared" si="122"/>
        <v>2018/5/31</v>
      </c>
      <c r="G405" s="14">
        <v>43251</v>
      </c>
      <c r="H405" s="10">
        <v>6.2189682999999993</v>
      </c>
      <c r="I405" s="10">
        <v>-8.2114806000000016</v>
      </c>
      <c r="J405" s="10">
        <v>-1.9925122999999991</v>
      </c>
      <c r="K405" s="10">
        <f t="shared" si="123"/>
        <v>2021.8389347000011</v>
      </c>
      <c r="L405" s="10">
        <f t="shared" si="124"/>
        <v>-1481.8530864999998</v>
      </c>
      <c r="M405" s="10">
        <f t="shared" si="125"/>
        <v>539.98584819999985</v>
      </c>
      <c r="N405" s="10">
        <v>20.943874065305117</v>
      </c>
      <c r="O405" s="10">
        <v>17.864816155988866</v>
      </c>
      <c r="P405" s="10">
        <v>3813.4060950199996</v>
      </c>
      <c r="Y405" s="10" t="e">
        <f t="shared" si="138"/>
        <v>#N/A</v>
      </c>
      <c r="Z405" s="10" t="e">
        <f t="shared" si="126"/>
        <v>#N/A</v>
      </c>
      <c r="AA405" s="10" t="e">
        <f t="shared" si="127"/>
        <v>#N/A</v>
      </c>
      <c r="AB405" s="10" t="e">
        <f t="shared" si="128"/>
        <v>#N/A</v>
      </c>
      <c r="AC405" s="10" t="e">
        <f t="shared" si="129"/>
        <v>#N/A</v>
      </c>
      <c r="AE405" s="10" t="str">
        <f t="shared" si="139"/>
        <v/>
      </c>
      <c r="AF405" s="10" t="str">
        <f t="shared" si="130"/>
        <v/>
      </c>
      <c r="AG405" s="10" t="str">
        <f t="shared" si="131"/>
        <v/>
      </c>
      <c r="AH405" s="10" t="str">
        <f t="shared" si="132"/>
        <v/>
      </c>
      <c r="AI405" s="10" t="str">
        <f t="shared" si="133"/>
        <v/>
      </c>
      <c r="AK405" s="10"/>
      <c r="AL405" s="10"/>
      <c r="AM405" s="10"/>
      <c r="AN405" s="10"/>
      <c r="AO405" s="10"/>
      <c r="AQ405" s="10"/>
      <c r="AR405" s="10"/>
      <c r="AS405" s="10"/>
      <c r="AT405" s="10"/>
      <c r="AU405" s="10"/>
      <c r="AW405" s="10" t="str">
        <f t="shared" si="140"/>
        <v/>
      </c>
      <c r="AX405" s="10" t="str">
        <f t="shared" si="134"/>
        <v/>
      </c>
      <c r="AY405" s="10" t="str">
        <f t="shared" si="135"/>
        <v/>
      </c>
      <c r="AZ405" s="10" t="str">
        <f t="shared" si="136"/>
        <v/>
      </c>
      <c r="BA405" s="10" t="str">
        <f t="shared" si="137"/>
        <v/>
      </c>
    </row>
    <row r="406" spans="6:53" x14ac:dyDescent="0.2">
      <c r="F406" s="10" t="str">
        <f t="shared" si="122"/>
        <v>2018/6/1</v>
      </c>
      <c r="G406" s="14">
        <v>43252</v>
      </c>
      <c r="H406" s="10">
        <v>2.5552674999999994</v>
      </c>
      <c r="I406" s="10">
        <v>-6.9127836000000009</v>
      </c>
      <c r="J406" s="10">
        <v>-4.3575160999999998</v>
      </c>
      <c r="K406" s="10">
        <f t="shared" si="123"/>
        <v>2024.394202200001</v>
      </c>
      <c r="L406" s="10">
        <f t="shared" si="124"/>
        <v>-1488.7658700999998</v>
      </c>
      <c r="M406" s="10">
        <f t="shared" si="125"/>
        <v>535.62833209999985</v>
      </c>
      <c r="N406" s="10">
        <v>21.732764779683674</v>
      </c>
      <c r="O406" s="10">
        <v>18.450751253481883</v>
      </c>
      <c r="P406" s="10">
        <v>3798.5299273199976</v>
      </c>
      <c r="Y406" s="10" t="e">
        <f t="shared" si="138"/>
        <v>#N/A</v>
      </c>
      <c r="Z406" s="10" t="e">
        <f t="shared" si="126"/>
        <v>#N/A</v>
      </c>
      <c r="AA406" s="10" t="e">
        <f t="shared" si="127"/>
        <v>#N/A</v>
      </c>
      <c r="AB406" s="10" t="e">
        <f t="shared" si="128"/>
        <v>#N/A</v>
      </c>
      <c r="AC406" s="10" t="e">
        <f t="shared" si="129"/>
        <v>#N/A</v>
      </c>
      <c r="AE406" s="10" t="str">
        <f t="shared" si="139"/>
        <v/>
      </c>
      <c r="AF406" s="10" t="str">
        <f t="shared" si="130"/>
        <v/>
      </c>
      <c r="AG406" s="10" t="str">
        <f t="shared" si="131"/>
        <v/>
      </c>
      <c r="AH406" s="10" t="str">
        <f t="shared" si="132"/>
        <v/>
      </c>
      <c r="AI406" s="10" t="str">
        <f t="shared" si="133"/>
        <v/>
      </c>
      <c r="AK406" s="10"/>
      <c r="AL406" s="10"/>
      <c r="AM406" s="10"/>
      <c r="AN406" s="10"/>
      <c r="AO406" s="10"/>
      <c r="AQ406" s="10"/>
      <c r="AR406" s="10"/>
      <c r="AS406" s="10"/>
      <c r="AT406" s="10"/>
      <c r="AU406" s="10"/>
      <c r="AW406" s="10" t="str">
        <f t="shared" si="140"/>
        <v/>
      </c>
      <c r="AX406" s="10" t="str">
        <f t="shared" si="134"/>
        <v/>
      </c>
      <c r="AY406" s="10" t="str">
        <f t="shared" si="135"/>
        <v/>
      </c>
      <c r="AZ406" s="10" t="str">
        <f t="shared" si="136"/>
        <v/>
      </c>
      <c r="BA406" s="10" t="str">
        <f t="shared" si="137"/>
        <v/>
      </c>
    </row>
    <row r="407" spans="6:53" x14ac:dyDescent="0.2">
      <c r="F407" s="10" t="str">
        <f t="shared" si="122"/>
        <v>2018/6/4</v>
      </c>
      <c r="G407" s="14">
        <v>43255</v>
      </c>
      <c r="H407" s="10">
        <v>7.7993620000000004</v>
      </c>
      <c r="I407" s="10">
        <v>-2.5861429</v>
      </c>
      <c r="J407" s="10">
        <v>5.2132191000000008</v>
      </c>
      <c r="K407" s="10">
        <f t="shared" si="123"/>
        <v>2032.193564200001</v>
      </c>
      <c r="L407" s="10">
        <f t="shared" si="124"/>
        <v>-1491.3520129999997</v>
      </c>
      <c r="M407" s="10">
        <f t="shared" si="125"/>
        <v>540.8415511999998</v>
      </c>
      <c r="N407" s="10">
        <v>22.402165717665188</v>
      </c>
      <c r="O407" s="10">
        <v>18.97677688022284</v>
      </c>
      <c r="P407" s="10">
        <v>3816.4458737200021</v>
      </c>
      <c r="Y407" s="10" t="e">
        <f t="shared" si="138"/>
        <v>#N/A</v>
      </c>
      <c r="Z407" s="10" t="e">
        <f t="shared" si="126"/>
        <v>#N/A</v>
      </c>
      <c r="AA407" s="10" t="e">
        <f t="shared" si="127"/>
        <v>#N/A</v>
      </c>
      <c r="AB407" s="10" t="e">
        <f t="shared" si="128"/>
        <v>#N/A</v>
      </c>
      <c r="AC407" s="10" t="e">
        <f t="shared" si="129"/>
        <v>#N/A</v>
      </c>
      <c r="AE407" s="10" t="str">
        <f t="shared" si="139"/>
        <v/>
      </c>
      <c r="AF407" s="10" t="str">
        <f t="shared" si="130"/>
        <v/>
      </c>
      <c r="AG407" s="10" t="str">
        <f t="shared" si="131"/>
        <v/>
      </c>
      <c r="AH407" s="10" t="str">
        <f t="shared" si="132"/>
        <v/>
      </c>
      <c r="AI407" s="10" t="str">
        <f t="shared" si="133"/>
        <v/>
      </c>
      <c r="AK407" s="10"/>
      <c r="AL407" s="10"/>
      <c r="AM407" s="10"/>
      <c r="AN407" s="10"/>
      <c r="AO407" s="10"/>
      <c r="AQ407" s="10"/>
      <c r="AR407" s="10"/>
      <c r="AS407" s="10"/>
      <c r="AT407" s="10"/>
      <c r="AU407" s="10"/>
      <c r="AW407" s="10" t="str">
        <f t="shared" si="140"/>
        <v/>
      </c>
      <c r="AX407" s="10" t="str">
        <f t="shared" si="134"/>
        <v/>
      </c>
      <c r="AY407" s="10" t="str">
        <f t="shared" si="135"/>
        <v/>
      </c>
      <c r="AZ407" s="10" t="str">
        <f t="shared" si="136"/>
        <v/>
      </c>
      <c r="BA407" s="10" t="str">
        <f t="shared" si="137"/>
        <v/>
      </c>
    </row>
    <row r="408" spans="6:53" x14ac:dyDescent="0.2">
      <c r="F408" s="10" t="str">
        <f t="shared" si="122"/>
        <v>2018/6/5</v>
      </c>
      <c r="G408" s="14">
        <v>43256</v>
      </c>
      <c r="H408" s="10">
        <v>7.1598034000000004</v>
      </c>
      <c r="I408" s="10">
        <v>-6.8189656999999997</v>
      </c>
      <c r="J408" s="10">
        <v>0.3408376999999993</v>
      </c>
      <c r="K408" s="10">
        <f t="shared" si="123"/>
        <v>2039.3533676000011</v>
      </c>
      <c r="L408" s="10">
        <f t="shared" si="124"/>
        <v>-1498.1709786999998</v>
      </c>
      <c r="M408" s="10">
        <f t="shared" si="125"/>
        <v>541.18238889999975</v>
      </c>
      <c r="N408" s="10">
        <v>22.503265684831234</v>
      </c>
      <c r="O408" s="10">
        <v>19.079489136490253</v>
      </c>
      <c r="P408" s="10">
        <v>3838.8316813200022</v>
      </c>
      <c r="Y408" s="10" t="e">
        <f t="shared" si="138"/>
        <v>#N/A</v>
      </c>
      <c r="Z408" s="10" t="e">
        <f t="shared" si="126"/>
        <v>#N/A</v>
      </c>
      <c r="AA408" s="10" t="e">
        <f t="shared" si="127"/>
        <v>#N/A</v>
      </c>
      <c r="AB408" s="10" t="e">
        <f t="shared" si="128"/>
        <v>#N/A</v>
      </c>
      <c r="AC408" s="10" t="e">
        <f t="shared" si="129"/>
        <v>#N/A</v>
      </c>
      <c r="AE408" s="10" t="str">
        <f t="shared" si="139"/>
        <v/>
      </c>
      <c r="AF408" s="10" t="str">
        <f t="shared" si="130"/>
        <v/>
      </c>
      <c r="AG408" s="10" t="str">
        <f t="shared" si="131"/>
        <v/>
      </c>
      <c r="AH408" s="10" t="str">
        <f t="shared" si="132"/>
        <v/>
      </c>
      <c r="AI408" s="10" t="str">
        <f t="shared" si="133"/>
        <v/>
      </c>
      <c r="AK408" s="10"/>
      <c r="AL408" s="10"/>
      <c r="AM408" s="10"/>
      <c r="AN408" s="10"/>
      <c r="AO408" s="10"/>
      <c r="AQ408" s="10"/>
      <c r="AR408" s="10"/>
      <c r="AS408" s="10"/>
      <c r="AT408" s="10"/>
      <c r="AU408" s="10"/>
      <c r="AW408" s="10" t="str">
        <f t="shared" si="140"/>
        <v/>
      </c>
      <c r="AX408" s="10" t="str">
        <f t="shared" si="134"/>
        <v/>
      </c>
      <c r="AY408" s="10" t="str">
        <f t="shared" si="135"/>
        <v/>
      </c>
      <c r="AZ408" s="10" t="str">
        <f t="shared" si="136"/>
        <v/>
      </c>
      <c r="BA408" s="10" t="str">
        <f t="shared" si="137"/>
        <v/>
      </c>
    </row>
    <row r="409" spans="6:53" x14ac:dyDescent="0.2">
      <c r="F409" s="10" t="str">
        <f t="shared" si="122"/>
        <v>2018/6/6</v>
      </c>
      <c r="G409" s="14">
        <v>43257</v>
      </c>
      <c r="H409" s="10">
        <v>4.7878781000000021</v>
      </c>
      <c r="I409" s="10">
        <v>-4.0813866000000001</v>
      </c>
      <c r="J409" s="10">
        <v>0.70649150000000016</v>
      </c>
      <c r="K409" s="10">
        <f t="shared" si="123"/>
        <v>2044.141245700001</v>
      </c>
      <c r="L409" s="10">
        <f t="shared" si="124"/>
        <v>-1502.2523652999998</v>
      </c>
      <c r="M409" s="10">
        <f t="shared" si="125"/>
        <v>541.88888039999972</v>
      </c>
      <c r="N409" s="10">
        <v>23.270078283473751</v>
      </c>
      <c r="O409" s="10">
        <v>19.659727576601675</v>
      </c>
      <c r="P409" s="10">
        <v>3841.7814836200005</v>
      </c>
      <c r="Y409" s="10" t="e">
        <f t="shared" si="138"/>
        <v>#N/A</v>
      </c>
      <c r="Z409" s="10" t="e">
        <f t="shared" si="126"/>
        <v>#N/A</v>
      </c>
      <c r="AA409" s="10" t="e">
        <f t="shared" si="127"/>
        <v>#N/A</v>
      </c>
      <c r="AB409" s="10" t="e">
        <f t="shared" si="128"/>
        <v>#N/A</v>
      </c>
      <c r="AC409" s="10" t="e">
        <f t="shared" si="129"/>
        <v>#N/A</v>
      </c>
      <c r="AE409" s="10" t="str">
        <f t="shared" si="139"/>
        <v/>
      </c>
      <c r="AF409" s="10" t="str">
        <f t="shared" si="130"/>
        <v/>
      </c>
      <c r="AG409" s="10" t="str">
        <f t="shared" si="131"/>
        <v/>
      </c>
      <c r="AH409" s="10" t="str">
        <f t="shared" si="132"/>
        <v/>
      </c>
      <c r="AI409" s="10" t="str">
        <f t="shared" si="133"/>
        <v/>
      </c>
      <c r="AK409" s="10"/>
      <c r="AL409" s="10"/>
      <c r="AM409" s="10"/>
      <c r="AN409" s="10"/>
      <c r="AO409" s="10"/>
      <c r="AQ409" s="10"/>
      <c r="AR409" s="10"/>
      <c r="AS409" s="10"/>
      <c r="AT409" s="10"/>
      <c r="AU409" s="10"/>
      <c r="AW409" s="10" t="str">
        <f t="shared" si="140"/>
        <v/>
      </c>
      <c r="AX409" s="10" t="str">
        <f t="shared" si="134"/>
        <v/>
      </c>
      <c r="AY409" s="10" t="str">
        <f t="shared" si="135"/>
        <v/>
      </c>
      <c r="AZ409" s="10" t="str">
        <f t="shared" si="136"/>
        <v/>
      </c>
      <c r="BA409" s="10" t="str">
        <f t="shared" si="137"/>
        <v/>
      </c>
    </row>
    <row r="410" spans="6:53" x14ac:dyDescent="0.2">
      <c r="F410" s="10" t="str">
        <f t="shared" si="122"/>
        <v>2018/6/7</v>
      </c>
      <c r="G410" s="14">
        <v>43258</v>
      </c>
      <c r="H410" s="10">
        <v>5.3416174000000005</v>
      </c>
      <c r="I410" s="10">
        <v>-5.9055711000000013</v>
      </c>
      <c r="J410" s="10">
        <v>-0.56395370000000056</v>
      </c>
      <c r="K410" s="10">
        <f t="shared" si="123"/>
        <v>2049.4828631000009</v>
      </c>
      <c r="L410" s="10">
        <f t="shared" si="124"/>
        <v>-1508.1579363999999</v>
      </c>
      <c r="M410" s="10">
        <f t="shared" si="125"/>
        <v>541.32492669999976</v>
      </c>
      <c r="N410" s="10">
        <v>23.108773481525592</v>
      </c>
      <c r="O410" s="10">
        <v>19.573872980501385</v>
      </c>
      <c r="P410" s="10">
        <v>3865.7455984199973</v>
      </c>
      <c r="Y410" s="10" t="e">
        <f t="shared" si="138"/>
        <v>#N/A</v>
      </c>
      <c r="Z410" s="10" t="e">
        <f t="shared" si="126"/>
        <v>#N/A</v>
      </c>
      <c r="AA410" s="10" t="e">
        <f t="shared" si="127"/>
        <v>#N/A</v>
      </c>
      <c r="AB410" s="10" t="e">
        <f t="shared" si="128"/>
        <v>#N/A</v>
      </c>
      <c r="AC410" s="10" t="e">
        <f t="shared" si="129"/>
        <v>#N/A</v>
      </c>
      <c r="AE410" s="10" t="str">
        <f t="shared" si="139"/>
        <v/>
      </c>
      <c r="AF410" s="10" t="str">
        <f t="shared" si="130"/>
        <v/>
      </c>
      <c r="AG410" s="10" t="str">
        <f t="shared" si="131"/>
        <v/>
      </c>
      <c r="AH410" s="10" t="str">
        <f t="shared" si="132"/>
        <v/>
      </c>
      <c r="AI410" s="10" t="str">
        <f t="shared" si="133"/>
        <v/>
      </c>
      <c r="AK410" s="10"/>
      <c r="AL410" s="10"/>
      <c r="AM410" s="10"/>
      <c r="AN410" s="10"/>
      <c r="AO410" s="10"/>
      <c r="AQ410" s="10"/>
      <c r="AR410" s="10"/>
      <c r="AS410" s="10"/>
      <c r="AT410" s="10"/>
      <c r="AU410" s="10"/>
      <c r="AW410" s="10" t="str">
        <f t="shared" si="140"/>
        <v/>
      </c>
      <c r="AX410" s="10" t="str">
        <f t="shared" si="134"/>
        <v/>
      </c>
      <c r="AY410" s="10" t="str">
        <f t="shared" si="135"/>
        <v/>
      </c>
      <c r="AZ410" s="10" t="str">
        <f t="shared" si="136"/>
        <v/>
      </c>
      <c r="BA410" s="10" t="str">
        <f t="shared" si="137"/>
        <v/>
      </c>
    </row>
    <row r="411" spans="6:53" x14ac:dyDescent="0.2">
      <c r="F411" s="10" t="str">
        <f t="shared" si="122"/>
        <v>2018/6/8</v>
      </c>
      <c r="G411" s="14">
        <v>43259</v>
      </c>
      <c r="H411" s="10">
        <v>3.5701725000000004</v>
      </c>
      <c r="I411" s="10">
        <v>-6.2712750999999995</v>
      </c>
      <c r="J411" s="10">
        <v>-2.7011026000000009</v>
      </c>
      <c r="K411" s="10">
        <f t="shared" si="123"/>
        <v>2053.0530356000008</v>
      </c>
      <c r="L411" s="10">
        <f t="shared" si="124"/>
        <v>-1514.4292114999998</v>
      </c>
      <c r="M411" s="10">
        <f t="shared" si="125"/>
        <v>538.62382409999975</v>
      </c>
      <c r="N411" s="10">
        <v>23.213743856268554</v>
      </c>
      <c r="O411" s="10">
        <v>19.54761364902507</v>
      </c>
      <c r="P411" s="10">
        <v>3860.5831423200025</v>
      </c>
      <c r="Y411" s="10" t="e">
        <f t="shared" si="138"/>
        <v>#N/A</v>
      </c>
      <c r="Z411" s="10" t="e">
        <f t="shared" si="126"/>
        <v>#N/A</v>
      </c>
      <c r="AA411" s="10" t="e">
        <f t="shared" si="127"/>
        <v>#N/A</v>
      </c>
      <c r="AB411" s="10" t="e">
        <f t="shared" si="128"/>
        <v>#N/A</v>
      </c>
      <c r="AC411" s="10" t="e">
        <f t="shared" si="129"/>
        <v>#N/A</v>
      </c>
      <c r="AE411" s="10" t="str">
        <f t="shared" si="139"/>
        <v/>
      </c>
      <c r="AF411" s="10" t="str">
        <f t="shared" si="130"/>
        <v/>
      </c>
      <c r="AG411" s="10" t="str">
        <f t="shared" si="131"/>
        <v/>
      </c>
      <c r="AH411" s="10" t="str">
        <f t="shared" si="132"/>
        <v/>
      </c>
      <c r="AI411" s="10" t="str">
        <f t="shared" si="133"/>
        <v/>
      </c>
      <c r="AK411" s="10"/>
      <c r="AL411" s="10"/>
      <c r="AM411" s="10"/>
      <c r="AN411" s="10"/>
      <c r="AO411" s="10"/>
      <c r="AQ411" s="10"/>
      <c r="AR411" s="10"/>
      <c r="AS411" s="10"/>
      <c r="AT411" s="10"/>
      <c r="AU411" s="10"/>
      <c r="AW411" s="10" t="str">
        <f t="shared" si="140"/>
        <v/>
      </c>
      <c r="AX411" s="10" t="str">
        <f t="shared" si="134"/>
        <v/>
      </c>
      <c r="AY411" s="10" t="str">
        <f t="shared" si="135"/>
        <v/>
      </c>
      <c r="AZ411" s="10" t="str">
        <f t="shared" si="136"/>
        <v/>
      </c>
      <c r="BA411" s="10" t="str">
        <f t="shared" si="137"/>
        <v/>
      </c>
    </row>
    <row r="412" spans="6:53" x14ac:dyDescent="0.2">
      <c r="F412" s="10" t="str">
        <f t="shared" si="122"/>
        <v>2018/6/11</v>
      </c>
      <c r="G412" s="14">
        <v>43262</v>
      </c>
      <c r="H412" s="10">
        <v>3.7077216000000002</v>
      </c>
      <c r="I412" s="10">
        <v>-6.0079029000000013</v>
      </c>
      <c r="J412" s="10">
        <v>-2.3001812999999998</v>
      </c>
      <c r="K412" s="10">
        <f t="shared" si="123"/>
        <v>2056.7607572000006</v>
      </c>
      <c r="L412" s="10">
        <f t="shared" si="124"/>
        <v>-1520.4371143999999</v>
      </c>
      <c r="M412" s="10">
        <f t="shared" si="125"/>
        <v>536.32364279999979</v>
      </c>
      <c r="N412" s="10">
        <v>23.447922406339579</v>
      </c>
      <c r="O412" s="10">
        <v>19.847212256267415</v>
      </c>
      <c r="P412" s="10">
        <v>3860.0298193200015</v>
      </c>
      <c r="Y412" s="10" t="e">
        <f t="shared" si="138"/>
        <v>#N/A</v>
      </c>
      <c r="Z412" s="10" t="e">
        <f t="shared" si="126"/>
        <v>#N/A</v>
      </c>
      <c r="AA412" s="10" t="e">
        <f t="shared" si="127"/>
        <v>#N/A</v>
      </c>
      <c r="AB412" s="10" t="e">
        <f t="shared" si="128"/>
        <v>#N/A</v>
      </c>
      <c r="AC412" s="10" t="e">
        <f t="shared" si="129"/>
        <v>#N/A</v>
      </c>
      <c r="AE412" s="10" t="str">
        <f t="shared" si="139"/>
        <v/>
      </c>
      <c r="AF412" s="10" t="str">
        <f t="shared" si="130"/>
        <v/>
      </c>
      <c r="AG412" s="10" t="str">
        <f t="shared" si="131"/>
        <v/>
      </c>
      <c r="AH412" s="10" t="str">
        <f t="shared" si="132"/>
        <v/>
      </c>
      <c r="AI412" s="10" t="str">
        <f t="shared" si="133"/>
        <v/>
      </c>
      <c r="AK412" s="10"/>
      <c r="AL412" s="10"/>
      <c r="AM412" s="10"/>
      <c r="AN412" s="10"/>
      <c r="AO412" s="10"/>
      <c r="AQ412" s="10"/>
      <c r="AR412" s="10"/>
      <c r="AS412" s="10"/>
      <c r="AT412" s="10"/>
      <c r="AU412" s="10"/>
      <c r="AW412" s="10" t="str">
        <f t="shared" si="140"/>
        <v/>
      </c>
      <c r="AX412" s="10" t="str">
        <f t="shared" si="134"/>
        <v/>
      </c>
      <c r="AY412" s="10" t="str">
        <f t="shared" si="135"/>
        <v/>
      </c>
      <c r="AZ412" s="10" t="str">
        <f t="shared" si="136"/>
        <v/>
      </c>
      <c r="BA412" s="10" t="str">
        <f t="shared" si="137"/>
        <v/>
      </c>
    </row>
    <row r="413" spans="6:53" x14ac:dyDescent="0.2">
      <c r="F413" s="10" t="str">
        <f t="shared" si="122"/>
        <v>2018/6/12</v>
      </c>
      <c r="G413" s="14">
        <v>43263</v>
      </c>
      <c r="H413" s="10">
        <v>15.9507195</v>
      </c>
      <c r="I413" s="10">
        <v>-3.2897083</v>
      </c>
      <c r="J413" s="10">
        <v>12.661011200000001</v>
      </c>
      <c r="K413" s="10">
        <f t="shared" si="123"/>
        <v>2072.7114767000007</v>
      </c>
      <c r="L413" s="10">
        <f t="shared" si="124"/>
        <v>-1523.7268227</v>
      </c>
      <c r="M413" s="10">
        <f t="shared" si="125"/>
        <v>548.98465399999975</v>
      </c>
      <c r="N413" s="10">
        <v>23.494458184974157</v>
      </c>
      <c r="O413" s="10">
        <v>19.846840668523694</v>
      </c>
      <c r="P413" s="10">
        <v>3866.0890617200021</v>
      </c>
      <c r="Y413" s="10" t="e">
        <f t="shared" si="138"/>
        <v>#N/A</v>
      </c>
      <c r="Z413" s="10" t="e">
        <f t="shared" si="126"/>
        <v>#N/A</v>
      </c>
      <c r="AA413" s="10" t="e">
        <f t="shared" si="127"/>
        <v>#N/A</v>
      </c>
      <c r="AB413" s="10" t="e">
        <f t="shared" si="128"/>
        <v>#N/A</v>
      </c>
      <c r="AC413" s="10" t="e">
        <f t="shared" si="129"/>
        <v>#N/A</v>
      </c>
      <c r="AE413" s="10" t="str">
        <f t="shared" si="139"/>
        <v/>
      </c>
      <c r="AF413" s="10" t="str">
        <f t="shared" si="130"/>
        <v/>
      </c>
      <c r="AG413" s="10" t="str">
        <f t="shared" si="131"/>
        <v/>
      </c>
      <c r="AH413" s="10" t="str">
        <f t="shared" si="132"/>
        <v/>
      </c>
      <c r="AI413" s="10" t="str">
        <f t="shared" si="133"/>
        <v/>
      </c>
      <c r="AK413" s="10"/>
      <c r="AL413" s="10"/>
      <c r="AM413" s="10"/>
      <c r="AN413" s="10"/>
      <c r="AO413" s="10"/>
      <c r="AQ413" s="10"/>
      <c r="AR413" s="10"/>
      <c r="AS413" s="10"/>
      <c r="AT413" s="10"/>
      <c r="AU413" s="10"/>
      <c r="AW413" s="10" t="str">
        <f t="shared" si="140"/>
        <v/>
      </c>
      <c r="AX413" s="10" t="str">
        <f t="shared" si="134"/>
        <v/>
      </c>
      <c r="AY413" s="10" t="str">
        <f t="shared" si="135"/>
        <v/>
      </c>
      <c r="AZ413" s="10" t="str">
        <f t="shared" si="136"/>
        <v/>
      </c>
      <c r="BA413" s="10" t="str">
        <f t="shared" si="137"/>
        <v/>
      </c>
    </row>
    <row r="414" spans="6:53" x14ac:dyDescent="0.2">
      <c r="F414" s="10" t="str">
        <f t="shared" si="122"/>
        <v>2018/6/13</v>
      </c>
      <c r="G414" s="14">
        <v>43264</v>
      </c>
      <c r="H414" s="10">
        <v>6.9893711999999981</v>
      </c>
      <c r="I414" s="10">
        <v>-3.3241984999999996</v>
      </c>
      <c r="J414" s="10">
        <v>3.6651726999999998</v>
      </c>
      <c r="K414" s="10">
        <f t="shared" si="123"/>
        <v>2079.7008479000006</v>
      </c>
      <c r="L414" s="10">
        <f t="shared" si="124"/>
        <v>-1527.0510211999999</v>
      </c>
      <c r="M414" s="10">
        <f t="shared" si="125"/>
        <v>552.64982669999972</v>
      </c>
      <c r="N414" s="10">
        <v>23.199385235488002</v>
      </c>
      <c r="O414" s="10">
        <v>19.578351532033427</v>
      </c>
      <c r="P414" s="10">
        <v>3879.3013756200016</v>
      </c>
      <c r="Y414" s="10" t="e">
        <f t="shared" si="138"/>
        <v>#N/A</v>
      </c>
      <c r="Z414" s="10" t="e">
        <f t="shared" si="126"/>
        <v>#N/A</v>
      </c>
      <c r="AA414" s="10" t="e">
        <f t="shared" si="127"/>
        <v>#N/A</v>
      </c>
      <c r="AB414" s="10" t="e">
        <f t="shared" si="128"/>
        <v>#N/A</v>
      </c>
      <c r="AC414" s="10" t="e">
        <f t="shared" si="129"/>
        <v>#N/A</v>
      </c>
      <c r="AE414" s="10" t="str">
        <f t="shared" si="139"/>
        <v/>
      </c>
      <c r="AF414" s="10" t="str">
        <f t="shared" si="130"/>
        <v/>
      </c>
      <c r="AG414" s="10" t="str">
        <f t="shared" si="131"/>
        <v/>
      </c>
      <c r="AH414" s="10" t="str">
        <f t="shared" si="132"/>
        <v/>
      </c>
      <c r="AI414" s="10" t="str">
        <f t="shared" si="133"/>
        <v/>
      </c>
      <c r="AK414" s="10"/>
      <c r="AL414" s="10"/>
      <c r="AM414" s="10"/>
      <c r="AN414" s="10"/>
      <c r="AO414" s="10"/>
      <c r="AQ414" s="10"/>
      <c r="AR414" s="10"/>
      <c r="AS414" s="10"/>
      <c r="AT414" s="10"/>
      <c r="AU414" s="10"/>
      <c r="AW414" s="10" t="str">
        <f t="shared" si="140"/>
        <v/>
      </c>
      <c r="AX414" s="10" t="str">
        <f t="shared" si="134"/>
        <v/>
      </c>
      <c r="AY414" s="10" t="str">
        <f t="shared" si="135"/>
        <v/>
      </c>
      <c r="AZ414" s="10" t="str">
        <f t="shared" si="136"/>
        <v/>
      </c>
      <c r="BA414" s="10" t="str">
        <f t="shared" si="137"/>
        <v/>
      </c>
    </row>
    <row r="415" spans="6:53" x14ac:dyDescent="0.2">
      <c r="F415" s="10" t="str">
        <f t="shared" si="122"/>
        <v>2018/6/14</v>
      </c>
      <c r="G415" s="14">
        <v>43265</v>
      </c>
      <c r="H415" s="10">
        <v>5.349811400000001</v>
      </c>
      <c r="I415" s="10">
        <v>-9.4206755000000033</v>
      </c>
      <c r="J415" s="10">
        <v>-4.0708641000000041</v>
      </c>
      <c r="K415" s="10">
        <f t="shared" si="123"/>
        <v>2085.0506593000005</v>
      </c>
      <c r="L415" s="10">
        <f t="shared" si="124"/>
        <v>-1536.4716966999999</v>
      </c>
      <c r="M415" s="10">
        <f t="shared" si="125"/>
        <v>548.57896259999973</v>
      </c>
      <c r="N415" s="10">
        <v>23.205292441798505</v>
      </c>
      <c r="O415" s="10">
        <v>19.497623119777153</v>
      </c>
      <c r="P415" s="10">
        <v>3873.828431219998</v>
      </c>
      <c r="Y415" s="10" t="e">
        <f t="shared" si="138"/>
        <v>#N/A</v>
      </c>
      <c r="Z415" s="10" t="e">
        <f t="shared" si="126"/>
        <v>#N/A</v>
      </c>
      <c r="AA415" s="10" t="e">
        <f t="shared" si="127"/>
        <v>#N/A</v>
      </c>
      <c r="AB415" s="10" t="e">
        <f t="shared" si="128"/>
        <v>#N/A</v>
      </c>
      <c r="AC415" s="10" t="e">
        <f t="shared" si="129"/>
        <v>#N/A</v>
      </c>
      <c r="AE415" s="10" t="str">
        <f t="shared" si="139"/>
        <v/>
      </c>
      <c r="AF415" s="10" t="str">
        <f t="shared" si="130"/>
        <v/>
      </c>
      <c r="AG415" s="10" t="str">
        <f t="shared" si="131"/>
        <v/>
      </c>
      <c r="AH415" s="10" t="str">
        <f t="shared" si="132"/>
        <v/>
      </c>
      <c r="AI415" s="10" t="str">
        <f t="shared" si="133"/>
        <v/>
      </c>
      <c r="AK415" s="10"/>
      <c r="AL415" s="10"/>
      <c r="AM415" s="10"/>
      <c r="AN415" s="10"/>
      <c r="AO415" s="10"/>
      <c r="AQ415" s="10"/>
      <c r="AR415" s="10"/>
      <c r="AS415" s="10"/>
      <c r="AT415" s="10"/>
      <c r="AU415" s="10"/>
      <c r="AW415" s="10" t="str">
        <f t="shared" si="140"/>
        <v/>
      </c>
      <c r="AX415" s="10" t="str">
        <f t="shared" si="134"/>
        <v/>
      </c>
      <c r="AY415" s="10" t="str">
        <f t="shared" si="135"/>
        <v/>
      </c>
      <c r="AZ415" s="10" t="str">
        <f t="shared" si="136"/>
        <v/>
      </c>
      <c r="BA415" s="10" t="str">
        <f t="shared" si="137"/>
        <v/>
      </c>
    </row>
    <row r="416" spans="6:53" x14ac:dyDescent="0.2">
      <c r="F416" s="10" t="str">
        <f t="shared" si="122"/>
        <v>2018/6/15</v>
      </c>
      <c r="G416" s="14">
        <v>43266</v>
      </c>
      <c r="H416" s="10">
        <v>7.9084833999999997</v>
      </c>
      <c r="I416" s="10">
        <v>-9.5785827000000019</v>
      </c>
      <c r="J416" s="10">
        <v>-1.6700993000000011</v>
      </c>
      <c r="K416" s="10">
        <f t="shared" si="123"/>
        <v>2092.9591427000005</v>
      </c>
      <c r="L416" s="10">
        <f t="shared" si="124"/>
        <v>-1546.0502793999999</v>
      </c>
      <c r="M416" s="10">
        <f t="shared" si="125"/>
        <v>546.90886329999978</v>
      </c>
      <c r="N416" s="10">
        <v>22.872631224153825</v>
      </c>
      <c r="O416" s="10">
        <v>19.00156323119776</v>
      </c>
      <c r="P416" s="10">
        <v>3869.678605619999</v>
      </c>
      <c r="Y416" s="10" t="e">
        <f t="shared" si="138"/>
        <v>#N/A</v>
      </c>
      <c r="Z416" s="10" t="e">
        <f t="shared" si="126"/>
        <v>#N/A</v>
      </c>
      <c r="AA416" s="10" t="e">
        <f t="shared" si="127"/>
        <v>#N/A</v>
      </c>
      <c r="AB416" s="10" t="e">
        <f t="shared" si="128"/>
        <v>#N/A</v>
      </c>
      <c r="AC416" s="10" t="e">
        <f t="shared" si="129"/>
        <v>#N/A</v>
      </c>
      <c r="AE416" s="10" t="str">
        <f t="shared" si="139"/>
        <v/>
      </c>
      <c r="AF416" s="10" t="str">
        <f t="shared" si="130"/>
        <v/>
      </c>
      <c r="AG416" s="10" t="str">
        <f t="shared" si="131"/>
        <v/>
      </c>
      <c r="AH416" s="10" t="str">
        <f t="shared" si="132"/>
        <v/>
      </c>
      <c r="AI416" s="10" t="str">
        <f t="shared" si="133"/>
        <v/>
      </c>
      <c r="AK416" s="10"/>
      <c r="AL416" s="10"/>
      <c r="AM416" s="10"/>
      <c r="AN416" s="10"/>
      <c r="AO416" s="10"/>
      <c r="AQ416" s="10"/>
      <c r="AR416" s="10"/>
      <c r="AS416" s="10"/>
      <c r="AT416" s="10"/>
      <c r="AU416" s="10"/>
      <c r="AW416" s="10" t="str">
        <f t="shared" si="140"/>
        <v/>
      </c>
      <c r="AX416" s="10" t="str">
        <f t="shared" si="134"/>
        <v/>
      </c>
      <c r="AY416" s="10" t="str">
        <f t="shared" si="135"/>
        <v/>
      </c>
      <c r="AZ416" s="10" t="str">
        <f t="shared" si="136"/>
        <v/>
      </c>
      <c r="BA416" s="10" t="str">
        <f t="shared" si="137"/>
        <v/>
      </c>
    </row>
    <row r="417" spans="6:53" x14ac:dyDescent="0.2">
      <c r="F417" s="10" t="str">
        <f t="shared" si="122"/>
        <v>2018/6/18</v>
      </c>
      <c r="G417" s="14">
        <v>43269</v>
      </c>
      <c r="H417" s="10">
        <v>6.3297976999999985</v>
      </c>
      <c r="I417" s="10">
        <v>-11.216758200000001</v>
      </c>
      <c r="J417" s="10">
        <v>-4.8869605000000016</v>
      </c>
      <c r="K417" s="10">
        <f t="shared" si="123"/>
        <v>2099.2889404000007</v>
      </c>
      <c r="L417" s="10">
        <f t="shared" si="124"/>
        <v>-1557.2670375999999</v>
      </c>
      <c r="M417" s="10">
        <f t="shared" si="125"/>
        <v>542.02190279999979</v>
      </c>
      <c r="N417" s="10">
        <v>22.478387086567931</v>
      </c>
      <c r="O417" s="10">
        <v>18.589620334261841</v>
      </c>
      <c r="P417" s="10">
        <v>3855.484828019999</v>
      </c>
      <c r="Y417" s="10" t="e">
        <f t="shared" si="138"/>
        <v>#N/A</v>
      </c>
      <c r="Z417" s="10" t="e">
        <f t="shared" si="126"/>
        <v>#N/A</v>
      </c>
      <c r="AA417" s="10" t="e">
        <f t="shared" si="127"/>
        <v>#N/A</v>
      </c>
      <c r="AB417" s="10" t="e">
        <f t="shared" si="128"/>
        <v>#N/A</v>
      </c>
      <c r="AC417" s="10" t="e">
        <f t="shared" si="129"/>
        <v>#N/A</v>
      </c>
      <c r="AE417" s="10" t="str">
        <f t="shared" si="139"/>
        <v/>
      </c>
      <c r="AF417" s="10" t="str">
        <f t="shared" si="130"/>
        <v/>
      </c>
      <c r="AG417" s="10" t="str">
        <f t="shared" si="131"/>
        <v/>
      </c>
      <c r="AH417" s="10" t="str">
        <f t="shared" si="132"/>
        <v/>
      </c>
      <c r="AI417" s="10" t="str">
        <f t="shared" si="133"/>
        <v/>
      </c>
      <c r="AK417" s="10"/>
      <c r="AL417" s="10"/>
      <c r="AM417" s="10"/>
      <c r="AN417" s="10"/>
      <c r="AO417" s="10"/>
      <c r="AQ417" s="10"/>
      <c r="AR417" s="10"/>
      <c r="AS417" s="10"/>
      <c r="AT417" s="10"/>
      <c r="AU417" s="10"/>
      <c r="AW417" s="10" t="str">
        <f t="shared" si="140"/>
        <v/>
      </c>
      <c r="AX417" s="10" t="str">
        <f t="shared" si="134"/>
        <v/>
      </c>
      <c r="AY417" s="10" t="str">
        <f t="shared" si="135"/>
        <v/>
      </c>
      <c r="AZ417" s="10" t="str">
        <f t="shared" si="136"/>
        <v/>
      </c>
      <c r="BA417" s="10" t="str">
        <f t="shared" si="137"/>
        <v/>
      </c>
    </row>
    <row r="418" spans="6:53" x14ac:dyDescent="0.2">
      <c r="F418" s="10" t="str">
        <f t="shared" si="122"/>
        <v>2018/6/19</v>
      </c>
      <c r="G418" s="14">
        <v>43270</v>
      </c>
      <c r="H418" s="10">
        <v>6.7689245999999983</v>
      </c>
      <c r="I418" s="10">
        <v>-6.205692</v>
      </c>
      <c r="J418" s="10">
        <v>0.56323260000000031</v>
      </c>
      <c r="K418" s="10">
        <f t="shared" si="123"/>
        <v>2106.0578650000007</v>
      </c>
      <c r="L418" s="10">
        <f t="shared" si="124"/>
        <v>-1563.4727295999999</v>
      </c>
      <c r="M418" s="10">
        <f t="shared" si="125"/>
        <v>542.58513539999979</v>
      </c>
      <c r="N418" s="10">
        <v>21.820346192553249</v>
      </c>
      <c r="O418" s="10">
        <v>17.931945403899725</v>
      </c>
      <c r="P418" s="10">
        <v>3837.6596037200002</v>
      </c>
      <c r="Y418" s="10" t="e">
        <f t="shared" si="138"/>
        <v>#N/A</v>
      </c>
      <c r="Z418" s="10" t="e">
        <f t="shared" si="126"/>
        <v>#N/A</v>
      </c>
      <c r="AA418" s="10" t="e">
        <f t="shared" si="127"/>
        <v>#N/A</v>
      </c>
      <c r="AB418" s="10" t="e">
        <f t="shared" si="128"/>
        <v>#N/A</v>
      </c>
      <c r="AC418" s="10" t="e">
        <f t="shared" si="129"/>
        <v>#N/A</v>
      </c>
      <c r="AE418" s="10" t="str">
        <f t="shared" si="139"/>
        <v/>
      </c>
      <c r="AF418" s="10" t="str">
        <f t="shared" si="130"/>
        <v/>
      </c>
      <c r="AG418" s="10" t="str">
        <f t="shared" si="131"/>
        <v/>
      </c>
      <c r="AH418" s="10" t="str">
        <f t="shared" si="132"/>
        <v/>
      </c>
      <c r="AI418" s="10" t="str">
        <f t="shared" si="133"/>
        <v/>
      </c>
      <c r="AK418" s="10"/>
      <c r="AL418" s="10"/>
      <c r="AM418" s="10"/>
      <c r="AN418" s="10"/>
      <c r="AO418" s="10"/>
      <c r="AQ418" s="10"/>
      <c r="AR418" s="10"/>
      <c r="AS418" s="10"/>
      <c r="AT418" s="10"/>
      <c r="AU418" s="10"/>
      <c r="AW418" s="10" t="str">
        <f t="shared" si="140"/>
        <v/>
      </c>
      <c r="AX418" s="10" t="str">
        <f t="shared" si="134"/>
        <v/>
      </c>
      <c r="AY418" s="10" t="str">
        <f t="shared" si="135"/>
        <v/>
      </c>
      <c r="AZ418" s="10" t="str">
        <f t="shared" si="136"/>
        <v/>
      </c>
      <c r="BA418" s="10" t="str">
        <f t="shared" si="137"/>
        <v/>
      </c>
    </row>
    <row r="419" spans="6:53" x14ac:dyDescent="0.2">
      <c r="F419" s="10" t="str">
        <f t="shared" si="122"/>
        <v>2018/6/20</v>
      </c>
      <c r="G419" s="14">
        <v>43271</v>
      </c>
      <c r="H419" s="10">
        <v>20.688271799999999</v>
      </c>
      <c r="I419" s="10">
        <v>-6.8379692999999993</v>
      </c>
      <c r="J419" s="10">
        <v>13.8503025</v>
      </c>
      <c r="K419" s="10">
        <f t="shared" si="123"/>
        <v>2126.7461368000008</v>
      </c>
      <c r="L419" s="10">
        <f t="shared" si="124"/>
        <v>-1570.3106988999998</v>
      </c>
      <c r="M419" s="10">
        <f t="shared" si="125"/>
        <v>556.43543789999978</v>
      </c>
      <c r="N419" s="10">
        <v>22.187766145364375</v>
      </c>
      <c r="O419" s="10">
        <v>18.263798328690811</v>
      </c>
      <c r="P419" s="10">
        <v>3815.5921388199981</v>
      </c>
      <c r="Y419" s="10" t="e">
        <f t="shared" si="138"/>
        <v>#N/A</v>
      </c>
      <c r="Z419" s="10" t="e">
        <f t="shared" si="126"/>
        <v>#N/A</v>
      </c>
      <c r="AA419" s="10" t="e">
        <f t="shared" si="127"/>
        <v>#N/A</v>
      </c>
      <c r="AB419" s="10" t="e">
        <f t="shared" si="128"/>
        <v>#N/A</v>
      </c>
      <c r="AC419" s="10" t="e">
        <f t="shared" si="129"/>
        <v>#N/A</v>
      </c>
      <c r="AE419" s="10" t="str">
        <f t="shared" si="139"/>
        <v/>
      </c>
      <c r="AF419" s="10" t="str">
        <f t="shared" si="130"/>
        <v/>
      </c>
      <c r="AG419" s="10" t="str">
        <f t="shared" si="131"/>
        <v/>
      </c>
      <c r="AH419" s="10" t="str">
        <f t="shared" si="132"/>
        <v/>
      </c>
      <c r="AI419" s="10" t="str">
        <f t="shared" si="133"/>
        <v/>
      </c>
      <c r="AK419" s="10"/>
      <c r="AL419" s="10"/>
      <c r="AM419" s="10"/>
      <c r="AN419" s="10"/>
      <c r="AO419" s="10"/>
      <c r="AQ419" s="10"/>
      <c r="AR419" s="10"/>
      <c r="AS419" s="10"/>
      <c r="AT419" s="10"/>
      <c r="AU419" s="10"/>
      <c r="AW419" s="10" t="str">
        <f t="shared" si="140"/>
        <v/>
      </c>
      <c r="AX419" s="10" t="str">
        <f t="shared" si="134"/>
        <v/>
      </c>
      <c r="AY419" s="10" t="str">
        <f t="shared" si="135"/>
        <v/>
      </c>
      <c r="AZ419" s="10" t="str">
        <f t="shared" si="136"/>
        <v/>
      </c>
      <c r="BA419" s="10" t="str">
        <f t="shared" si="137"/>
        <v/>
      </c>
    </row>
    <row r="420" spans="6:53" x14ac:dyDescent="0.2">
      <c r="F420" s="10" t="str">
        <f t="shared" si="122"/>
        <v>2018/6/21</v>
      </c>
      <c r="G420" s="14">
        <v>43272</v>
      </c>
      <c r="H420" s="10">
        <v>5.5400409999999995</v>
      </c>
      <c r="I420" s="10">
        <v>-18.877712200000001</v>
      </c>
      <c r="J420" s="10">
        <v>-13.337671200000003</v>
      </c>
      <c r="K420" s="10">
        <f t="shared" si="123"/>
        <v>2132.286177800001</v>
      </c>
      <c r="L420" s="10">
        <f t="shared" si="124"/>
        <v>-1589.1884110999997</v>
      </c>
      <c r="M420" s="10">
        <f t="shared" si="125"/>
        <v>543.09776669999974</v>
      </c>
      <c r="N420" s="10">
        <v>21.44978181813865</v>
      </c>
      <c r="O420" s="10">
        <v>17.612727019498607</v>
      </c>
      <c r="P420" s="10">
        <v>3837.2215518199996</v>
      </c>
      <c r="Y420" s="10" t="e">
        <f t="shared" si="138"/>
        <v>#N/A</v>
      </c>
      <c r="Z420" s="10" t="e">
        <f t="shared" si="126"/>
        <v>#N/A</v>
      </c>
      <c r="AA420" s="10" t="e">
        <f t="shared" si="127"/>
        <v>#N/A</v>
      </c>
      <c r="AB420" s="10" t="e">
        <f t="shared" si="128"/>
        <v>#N/A</v>
      </c>
      <c r="AC420" s="10" t="e">
        <f t="shared" si="129"/>
        <v>#N/A</v>
      </c>
      <c r="AE420" s="10" t="str">
        <f t="shared" si="139"/>
        <v/>
      </c>
      <c r="AF420" s="10" t="str">
        <f t="shared" si="130"/>
        <v/>
      </c>
      <c r="AG420" s="10" t="str">
        <f t="shared" si="131"/>
        <v/>
      </c>
      <c r="AH420" s="10" t="str">
        <f t="shared" si="132"/>
        <v/>
      </c>
      <c r="AI420" s="10" t="str">
        <f t="shared" si="133"/>
        <v/>
      </c>
      <c r="AK420" s="10"/>
      <c r="AL420" s="10"/>
      <c r="AM420" s="10"/>
      <c r="AN420" s="10"/>
      <c r="AO420" s="10"/>
      <c r="AQ420" s="10"/>
      <c r="AR420" s="10"/>
      <c r="AS420" s="10"/>
      <c r="AT420" s="10"/>
      <c r="AU420" s="10"/>
      <c r="AW420" s="10" t="str">
        <f t="shared" si="140"/>
        <v/>
      </c>
      <c r="AX420" s="10" t="str">
        <f t="shared" si="134"/>
        <v/>
      </c>
      <c r="AY420" s="10" t="str">
        <f t="shared" si="135"/>
        <v/>
      </c>
      <c r="AZ420" s="10" t="str">
        <f t="shared" si="136"/>
        <v/>
      </c>
      <c r="BA420" s="10" t="str">
        <f t="shared" si="137"/>
        <v/>
      </c>
    </row>
    <row r="421" spans="6:53" x14ac:dyDescent="0.2">
      <c r="F421" s="10" t="str">
        <f t="shared" si="122"/>
        <v>2018/6/22</v>
      </c>
      <c r="G421" s="14">
        <v>43273</v>
      </c>
      <c r="H421" s="10">
        <v>4.7612265000000003</v>
      </c>
      <c r="I421" s="10">
        <v>-5.4349635999999997</v>
      </c>
      <c r="J421" s="10">
        <v>-0.67373709999999998</v>
      </c>
      <c r="K421" s="10">
        <f t="shared" si="123"/>
        <v>2137.0474043000008</v>
      </c>
      <c r="L421" s="10">
        <f t="shared" si="124"/>
        <v>-1594.6233746999997</v>
      </c>
      <c r="M421" s="10">
        <f t="shared" si="125"/>
        <v>542.4240295999997</v>
      </c>
      <c r="N421" s="10">
        <v>21.756061191846804</v>
      </c>
      <c r="O421" s="10">
        <v>18.108140111420607</v>
      </c>
      <c r="P421" s="10">
        <v>3802.970432319999</v>
      </c>
      <c r="Y421" s="10" t="e">
        <f t="shared" si="138"/>
        <v>#N/A</v>
      </c>
      <c r="Z421" s="10" t="e">
        <f t="shared" si="126"/>
        <v>#N/A</v>
      </c>
      <c r="AA421" s="10" t="e">
        <f t="shared" si="127"/>
        <v>#N/A</v>
      </c>
      <c r="AB421" s="10" t="e">
        <f t="shared" si="128"/>
        <v>#N/A</v>
      </c>
      <c r="AC421" s="10" t="e">
        <f t="shared" si="129"/>
        <v>#N/A</v>
      </c>
      <c r="AE421" s="10" t="str">
        <f t="shared" si="139"/>
        <v/>
      </c>
      <c r="AF421" s="10" t="str">
        <f t="shared" si="130"/>
        <v/>
      </c>
      <c r="AG421" s="10" t="str">
        <f t="shared" si="131"/>
        <v/>
      </c>
      <c r="AH421" s="10" t="str">
        <f t="shared" si="132"/>
        <v/>
      </c>
      <c r="AI421" s="10" t="str">
        <f t="shared" si="133"/>
        <v/>
      </c>
      <c r="AK421" s="10"/>
      <c r="AL421" s="10"/>
      <c r="AM421" s="10"/>
      <c r="AN421" s="10"/>
      <c r="AO421" s="10"/>
      <c r="AQ421" s="10"/>
      <c r="AR421" s="10"/>
      <c r="AS421" s="10"/>
      <c r="AT421" s="10"/>
      <c r="AU421" s="10"/>
      <c r="AW421" s="10" t="str">
        <f t="shared" si="140"/>
        <v/>
      </c>
      <c r="AX421" s="10" t="str">
        <f t="shared" si="134"/>
        <v/>
      </c>
      <c r="AY421" s="10" t="str">
        <f t="shared" si="135"/>
        <v/>
      </c>
      <c r="AZ421" s="10" t="str">
        <f t="shared" si="136"/>
        <v/>
      </c>
      <c r="BA421" s="10" t="str">
        <f t="shared" si="137"/>
        <v/>
      </c>
    </row>
    <row r="422" spans="6:53" x14ac:dyDescent="0.2">
      <c r="F422" s="10" t="str">
        <f t="shared" ref="F422:F485" si="141">IF($G422="","",YEAR($G422)&amp;"/"&amp;MONTH($G422)&amp;"/"&amp;DAY($G422))</f>
        <v>2018/6/25</v>
      </c>
      <c r="G422" s="14">
        <v>43276</v>
      </c>
      <c r="H422" s="10">
        <v>4.4092823000000001</v>
      </c>
      <c r="I422" s="10">
        <v>-7.3002189</v>
      </c>
      <c r="J422" s="10">
        <v>-2.8909366000000003</v>
      </c>
      <c r="K422" s="10">
        <f t="shared" si="123"/>
        <v>2141.4566866000009</v>
      </c>
      <c r="L422" s="10">
        <f t="shared" si="124"/>
        <v>-1601.9235935999995</v>
      </c>
      <c r="M422" s="10">
        <f t="shared" si="125"/>
        <v>539.53309299999967</v>
      </c>
      <c r="N422" s="10">
        <v>20.313693946869435</v>
      </c>
      <c r="O422" s="10">
        <v>16.894755153203334</v>
      </c>
      <c r="P422" s="10">
        <v>3810.2235648200012</v>
      </c>
      <c r="Y422" s="10" t="e">
        <f t="shared" si="138"/>
        <v>#N/A</v>
      </c>
      <c r="Z422" s="10" t="e">
        <f t="shared" si="126"/>
        <v>#N/A</v>
      </c>
      <c r="AA422" s="10" t="e">
        <f t="shared" si="127"/>
        <v>#N/A</v>
      </c>
      <c r="AB422" s="10" t="e">
        <f t="shared" si="128"/>
        <v>#N/A</v>
      </c>
      <c r="AC422" s="10" t="e">
        <f t="shared" si="129"/>
        <v>#N/A</v>
      </c>
      <c r="AE422" s="10" t="str">
        <f t="shared" si="139"/>
        <v/>
      </c>
      <c r="AF422" s="10" t="str">
        <f t="shared" si="130"/>
        <v/>
      </c>
      <c r="AG422" s="10" t="str">
        <f t="shared" si="131"/>
        <v/>
      </c>
      <c r="AH422" s="10" t="str">
        <f t="shared" si="132"/>
        <v/>
      </c>
      <c r="AI422" s="10" t="str">
        <f t="shared" si="133"/>
        <v/>
      </c>
      <c r="AK422" s="10"/>
      <c r="AL422" s="10"/>
      <c r="AM422" s="10"/>
      <c r="AN422" s="10"/>
      <c r="AO422" s="10"/>
      <c r="AQ422" s="10"/>
      <c r="AR422" s="10"/>
      <c r="AS422" s="10"/>
      <c r="AT422" s="10"/>
      <c r="AU422" s="10"/>
      <c r="AW422" s="10" t="str">
        <f t="shared" si="140"/>
        <v/>
      </c>
      <c r="AX422" s="10" t="str">
        <f t="shared" si="134"/>
        <v/>
      </c>
      <c r="AY422" s="10" t="str">
        <f t="shared" si="135"/>
        <v/>
      </c>
      <c r="AZ422" s="10" t="str">
        <f t="shared" si="136"/>
        <v/>
      </c>
      <c r="BA422" s="10" t="str">
        <f t="shared" si="137"/>
        <v/>
      </c>
    </row>
    <row r="423" spans="6:53" x14ac:dyDescent="0.2">
      <c r="F423" s="10" t="str">
        <f t="shared" si="141"/>
        <v>2018/6/26</v>
      </c>
      <c r="G423" s="14">
        <v>43277</v>
      </c>
      <c r="H423" s="10">
        <v>5.1534739999999992</v>
      </c>
      <c r="I423" s="10">
        <v>-7.955402799999999</v>
      </c>
      <c r="J423" s="10">
        <v>-2.8019287999999993</v>
      </c>
      <c r="K423" s="10">
        <f t="shared" ref="K423:K486" si="142">IF($H423="","",K422+H423)</f>
        <v>2146.6101606000011</v>
      </c>
      <c r="L423" s="10">
        <f t="shared" ref="L423:L486" si="143">IF($I423="","",L422+I423)</f>
        <v>-1609.8789963999996</v>
      </c>
      <c r="M423" s="10">
        <f t="shared" ref="M423:M486" si="144">IF($J423="","",M422+J423)</f>
        <v>536.73116419999963</v>
      </c>
      <c r="N423" s="10">
        <v>20.442987841314451</v>
      </c>
      <c r="O423" s="10">
        <v>16.973179665738162</v>
      </c>
      <c r="P423" s="10">
        <v>3765.6156253200006</v>
      </c>
      <c r="Y423" s="10" t="e">
        <f t="shared" si="138"/>
        <v>#N/A</v>
      </c>
      <c r="Z423" s="10" t="e">
        <f t="shared" si="126"/>
        <v>#N/A</v>
      </c>
      <c r="AA423" s="10" t="e">
        <f t="shared" si="127"/>
        <v>#N/A</v>
      </c>
      <c r="AB423" s="10" t="e">
        <f t="shared" si="128"/>
        <v>#N/A</v>
      </c>
      <c r="AC423" s="10" t="e">
        <f t="shared" si="129"/>
        <v>#N/A</v>
      </c>
      <c r="AE423" s="10" t="str">
        <f t="shared" si="139"/>
        <v/>
      </c>
      <c r="AF423" s="10" t="str">
        <f t="shared" si="130"/>
        <v/>
      </c>
      <c r="AG423" s="10" t="str">
        <f t="shared" si="131"/>
        <v/>
      </c>
      <c r="AH423" s="10" t="str">
        <f t="shared" si="132"/>
        <v/>
      </c>
      <c r="AI423" s="10" t="str">
        <f t="shared" si="133"/>
        <v/>
      </c>
      <c r="AK423" s="10"/>
      <c r="AL423" s="10"/>
      <c r="AM423" s="10"/>
      <c r="AN423" s="10"/>
      <c r="AO423" s="10"/>
      <c r="AQ423" s="10"/>
      <c r="AR423" s="10"/>
      <c r="AS423" s="10"/>
      <c r="AT423" s="10"/>
      <c r="AU423" s="10"/>
      <c r="AW423" s="10" t="str">
        <f t="shared" si="140"/>
        <v/>
      </c>
      <c r="AX423" s="10" t="str">
        <f t="shared" si="134"/>
        <v/>
      </c>
      <c r="AY423" s="10" t="str">
        <f t="shared" si="135"/>
        <v/>
      </c>
      <c r="AZ423" s="10" t="str">
        <f t="shared" si="136"/>
        <v/>
      </c>
      <c r="BA423" s="10" t="str">
        <f t="shared" si="137"/>
        <v/>
      </c>
    </row>
    <row r="424" spans="6:53" x14ac:dyDescent="0.2">
      <c r="F424" s="10" t="str">
        <f t="shared" si="141"/>
        <v>2018/6/27</v>
      </c>
      <c r="G424" s="14">
        <v>43278</v>
      </c>
      <c r="H424" s="10">
        <v>3.9111352999999998</v>
      </c>
      <c r="I424" s="10">
        <v>-5.5406112999999984</v>
      </c>
      <c r="J424" s="10">
        <v>-1.6294759999999999</v>
      </c>
      <c r="K424" s="10">
        <f t="shared" si="142"/>
        <v>2150.521295900001</v>
      </c>
      <c r="L424" s="10">
        <f t="shared" si="143"/>
        <v>-1615.4196076999995</v>
      </c>
      <c r="M424" s="10">
        <f t="shared" si="144"/>
        <v>535.10168819999967</v>
      </c>
      <c r="N424" s="10">
        <v>19.454183847736488</v>
      </c>
      <c r="O424" s="10">
        <v>16.175020334261848</v>
      </c>
      <c r="P424" s="10">
        <v>3764.1843035199986</v>
      </c>
      <c r="Y424" s="10" t="e">
        <f t="shared" si="138"/>
        <v>#N/A</v>
      </c>
      <c r="Z424" s="10" t="e">
        <f t="shared" si="126"/>
        <v>#N/A</v>
      </c>
      <c r="AA424" s="10" t="e">
        <f t="shared" si="127"/>
        <v>#N/A</v>
      </c>
      <c r="AB424" s="10" t="e">
        <f t="shared" si="128"/>
        <v>#N/A</v>
      </c>
      <c r="AC424" s="10" t="e">
        <f t="shared" si="129"/>
        <v>#N/A</v>
      </c>
      <c r="AE424" s="10" t="str">
        <f t="shared" si="139"/>
        <v/>
      </c>
      <c r="AF424" s="10" t="str">
        <f t="shared" si="130"/>
        <v/>
      </c>
      <c r="AG424" s="10" t="str">
        <f t="shared" si="131"/>
        <v/>
      </c>
      <c r="AH424" s="10" t="str">
        <f t="shared" si="132"/>
        <v/>
      </c>
      <c r="AI424" s="10" t="str">
        <f t="shared" si="133"/>
        <v/>
      </c>
      <c r="AK424" s="10"/>
      <c r="AL424" s="10"/>
      <c r="AM424" s="10"/>
      <c r="AN424" s="10"/>
      <c r="AO424" s="10"/>
      <c r="AQ424" s="10"/>
      <c r="AR424" s="10"/>
      <c r="AS424" s="10"/>
      <c r="AT424" s="10"/>
      <c r="AU424" s="10"/>
      <c r="AW424" s="10" t="str">
        <f t="shared" si="140"/>
        <v/>
      </c>
      <c r="AX424" s="10" t="str">
        <f t="shared" si="134"/>
        <v/>
      </c>
      <c r="AY424" s="10" t="str">
        <f t="shared" si="135"/>
        <v/>
      </c>
      <c r="AZ424" s="10" t="str">
        <f t="shared" si="136"/>
        <v/>
      </c>
      <c r="BA424" s="10" t="str">
        <f t="shared" si="137"/>
        <v/>
      </c>
    </row>
    <row r="425" spans="6:53" x14ac:dyDescent="0.2">
      <c r="F425" s="10" t="str">
        <f t="shared" si="141"/>
        <v>2018/6/28</v>
      </c>
      <c r="G425" s="14">
        <v>43279</v>
      </c>
      <c r="H425" s="10">
        <v>4.2295077000000001</v>
      </c>
      <c r="I425" s="10">
        <v>-3.9269981000000005</v>
      </c>
      <c r="J425" s="10">
        <v>0.30250959999999932</v>
      </c>
      <c r="K425" s="10">
        <f t="shared" si="142"/>
        <v>2154.7508036000008</v>
      </c>
      <c r="L425" s="10">
        <f t="shared" si="143"/>
        <v>-1619.3466057999995</v>
      </c>
      <c r="M425" s="10">
        <f t="shared" si="144"/>
        <v>535.40419779999968</v>
      </c>
      <c r="N425" s="10">
        <v>19.835220605659579</v>
      </c>
      <c r="O425" s="10">
        <v>16.326840111420612</v>
      </c>
      <c r="P425" s="10">
        <v>3734.2672014199993</v>
      </c>
      <c r="Y425" s="10" t="e">
        <f t="shared" si="138"/>
        <v>#N/A</v>
      </c>
      <c r="Z425" s="10" t="e">
        <f t="shared" si="126"/>
        <v>#N/A</v>
      </c>
      <c r="AA425" s="10" t="e">
        <f t="shared" si="127"/>
        <v>#N/A</v>
      </c>
      <c r="AB425" s="10" t="e">
        <f t="shared" si="128"/>
        <v>#N/A</v>
      </c>
      <c r="AC425" s="10" t="e">
        <f t="shared" si="129"/>
        <v>#N/A</v>
      </c>
      <c r="AE425" s="10" t="str">
        <f t="shared" si="139"/>
        <v/>
      </c>
      <c r="AF425" s="10" t="str">
        <f t="shared" si="130"/>
        <v/>
      </c>
      <c r="AG425" s="10" t="str">
        <f t="shared" si="131"/>
        <v/>
      </c>
      <c r="AH425" s="10" t="str">
        <f t="shared" si="132"/>
        <v/>
      </c>
      <c r="AI425" s="10" t="str">
        <f t="shared" si="133"/>
        <v/>
      </c>
      <c r="AK425" s="10"/>
      <c r="AL425" s="10"/>
      <c r="AM425" s="10"/>
      <c r="AN425" s="10"/>
      <c r="AO425" s="10"/>
      <c r="AQ425" s="10"/>
      <c r="AR425" s="10"/>
      <c r="AS425" s="10"/>
      <c r="AT425" s="10"/>
      <c r="AU425" s="10"/>
      <c r="AW425" s="10" t="str">
        <f t="shared" si="140"/>
        <v/>
      </c>
      <c r="AX425" s="10" t="str">
        <f t="shared" si="134"/>
        <v/>
      </c>
      <c r="AY425" s="10" t="str">
        <f t="shared" si="135"/>
        <v/>
      </c>
      <c r="AZ425" s="10" t="str">
        <f t="shared" si="136"/>
        <v/>
      </c>
      <c r="BA425" s="10" t="str">
        <f t="shared" si="137"/>
        <v/>
      </c>
    </row>
    <row r="426" spans="6:53" x14ac:dyDescent="0.2">
      <c r="F426" s="10" t="str">
        <f t="shared" si="141"/>
        <v>2018/6/29</v>
      </c>
      <c r="G426" s="14">
        <v>43280</v>
      </c>
      <c r="H426" s="10">
        <v>3.3365109999999998</v>
      </c>
      <c r="I426" s="10">
        <v>-5.7713601000000008</v>
      </c>
      <c r="J426" s="10">
        <v>-2.4348490999999997</v>
      </c>
      <c r="K426" s="10">
        <f t="shared" si="142"/>
        <v>2158.0873146000008</v>
      </c>
      <c r="L426" s="10">
        <f t="shared" si="143"/>
        <v>-1625.1179658999995</v>
      </c>
      <c r="M426" s="10">
        <f t="shared" si="144"/>
        <v>532.96934869999973</v>
      </c>
      <c r="N426" s="10">
        <v>20.241747586706946</v>
      </c>
      <c r="O426" s="10">
        <v>16.962817827298046</v>
      </c>
      <c r="P426" s="10">
        <v>3744.11908202</v>
      </c>
      <c r="Y426" s="10" t="e">
        <f t="shared" si="138"/>
        <v>#N/A</v>
      </c>
      <c r="Z426" s="10" t="e">
        <f t="shared" si="126"/>
        <v>#N/A</v>
      </c>
      <c r="AA426" s="10" t="e">
        <f t="shared" si="127"/>
        <v>#N/A</v>
      </c>
      <c r="AB426" s="10" t="e">
        <f t="shared" si="128"/>
        <v>#N/A</v>
      </c>
      <c r="AC426" s="10" t="e">
        <f t="shared" si="129"/>
        <v>#N/A</v>
      </c>
      <c r="AE426" s="10" t="str">
        <f t="shared" si="139"/>
        <v/>
      </c>
      <c r="AF426" s="10" t="str">
        <f t="shared" si="130"/>
        <v/>
      </c>
      <c r="AG426" s="10" t="str">
        <f t="shared" si="131"/>
        <v/>
      </c>
      <c r="AH426" s="10" t="str">
        <f t="shared" si="132"/>
        <v/>
      </c>
      <c r="AI426" s="10" t="str">
        <f t="shared" si="133"/>
        <v/>
      </c>
      <c r="AK426" s="10"/>
      <c r="AL426" s="10"/>
      <c r="AM426" s="10"/>
      <c r="AN426" s="10"/>
      <c r="AO426" s="10"/>
      <c r="AQ426" s="10"/>
      <c r="AR426" s="10"/>
      <c r="AS426" s="10"/>
      <c r="AT426" s="10"/>
      <c r="AU426" s="10"/>
      <c r="AW426" s="10" t="str">
        <f t="shared" si="140"/>
        <v/>
      </c>
      <c r="AX426" s="10" t="str">
        <f t="shared" si="134"/>
        <v/>
      </c>
      <c r="AY426" s="10" t="str">
        <f t="shared" si="135"/>
        <v/>
      </c>
      <c r="AZ426" s="10" t="str">
        <f t="shared" si="136"/>
        <v/>
      </c>
      <c r="BA426" s="10" t="str">
        <f t="shared" si="137"/>
        <v/>
      </c>
    </row>
    <row r="427" spans="6:53" x14ac:dyDescent="0.2">
      <c r="F427" s="10" t="str">
        <f t="shared" si="141"/>
        <v>2018/7/2</v>
      </c>
      <c r="G427" s="14">
        <v>43283</v>
      </c>
      <c r="H427" s="10">
        <v>4.6365396000000008</v>
      </c>
      <c r="I427" s="10">
        <v>-8.2464853999999974</v>
      </c>
      <c r="J427" s="10">
        <v>-3.6099458000000006</v>
      </c>
      <c r="K427" s="10">
        <f t="shared" si="142"/>
        <v>2162.7238542000009</v>
      </c>
      <c r="L427" s="10">
        <f t="shared" si="143"/>
        <v>-1633.3644512999995</v>
      </c>
      <c r="M427" s="10">
        <f t="shared" si="144"/>
        <v>529.35940289999974</v>
      </c>
      <c r="N427" s="10">
        <v>19.830688491807411</v>
      </c>
      <c r="O427" s="10">
        <v>16.283572841225634</v>
      </c>
      <c r="P427" s="10">
        <v>3754.90669742</v>
      </c>
      <c r="Y427" s="10" t="e">
        <f t="shared" si="138"/>
        <v>#N/A</v>
      </c>
      <c r="Z427" s="10" t="e">
        <f t="shared" si="126"/>
        <v>#N/A</v>
      </c>
      <c r="AA427" s="10" t="e">
        <f t="shared" si="127"/>
        <v>#N/A</v>
      </c>
      <c r="AB427" s="10" t="e">
        <f t="shared" si="128"/>
        <v>#N/A</v>
      </c>
      <c r="AC427" s="10" t="e">
        <f t="shared" si="129"/>
        <v>#N/A</v>
      </c>
      <c r="AE427" s="10" t="str">
        <f t="shared" si="139"/>
        <v/>
      </c>
      <c r="AF427" s="10" t="str">
        <f t="shared" si="130"/>
        <v/>
      </c>
      <c r="AG427" s="10" t="str">
        <f t="shared" si="131"/>
        <v/>
      </c>
      <c r="AH427" s="10" t="str">
        <f t="shared" si="132"/>
        <v/>
      </c>
      <c r="AI427" s="10" t="str">
        <f t="shared" si="133"/>
        <v/>
      </c>
      <c r="AK427" s="10"/>
      <c r="AL427" s="10"/>
      <c r="AM427" s="10"/>
      <c r="AN427" s="10"/>
      <c r="AO427" s="10"/>
      <c r="AQ427" s="10"/>
      <c r="AR427" s="10"/>
      <c r="AS427" s="10"/>
      <c r="AT427" s="10"/>
      <c r="AU427" s="10"/>
      <c r="AW427" s="10" t="str">
        <f t="shared" si="140"/>
        <v/>
      </c>
      <c r="AX427" s="10" t="str">
        <f t="shared" si="134"/>
        <v/>
      </c>
      <c r="AY427" s="10" t="str">
        <f t="shared" si="135"/>
        <v/>
      </c>
      <c r="AZ427" s="10" t="str">
        <f t="shared" si="136"/>
        <v/>
      </c>
      <c r="BA427" s="10" t="str">
        <f t="shared" si="137"/>
        <v/>
      </c>
    </row>
    <row r="428" spans="6:53" x14ac:dyDescent="0.2">
      <c r="F428" s="10" t="str">
        <f t="shared" si="141"/>
        <v>2018/7/3</v>
      </c>
      <c r="G428" s="14">
        <v>43284</v>
      </c>
      <c r="H428" s="10">
        <v>9.4200673000000013</v>
      </c>
      <c r="I428" s="10">
        <v>-2.1526535999999998</v>
      </c>
      <c r="J428" s="10">
        <v>7.2674137000000014</v>
      </c>
      <c r="K428" s="10">
        <f t="shared" si="142"/>
        <v>2172.1439215000009</v>
      </c>
      <c r="L428" s="10">
        <f t="shared" si="143"/>
        <v>-1635.5171048999994</v>
      </c>
      <c r="M428" s="10">
        <f t="shared" si="144"/>
        <v>536.62681659999976</v>
      </c>
      <c r="N428" s="10">
        <v>19.829482096509356</v>
      </c>
      <c r="O428" s="10">
        <v>16.546079944289701</v>
      </c>
      <c r="P428" s="10">
        <v>3734.4552003700005</v>
      </c>
      <c r="Y428" s="10" t="e">
        <f t="shared" si="138"/>
        <v>#N/A</v>
      </c>
      <c r="Z428" s="10" t="e">
        <f t="shared" si="126"/>
        <v>#N/A</v>
      </c>
      <c r="AA428" s="10" t="e">
        <f t="shared" si="127"/>
        <v>#N/A</v>
      </c>
      <c r="AB428" s="10" t="e">
        <f t="shared" si="128"/>
        <v>#N/A</v>
      </c>
      <c r="AC428" s="10" t="e">
        <f t="shared" si="129"/>
        <v>#N/A</v>
      </c>
      <c r="AE428" s="10" t="str">
        <f t="shared" si="139"/>
        <v/>
      </c>
      <c r="AF428" s="10" t="str">
        <f t="shared" si="130"/>
        <v/>
      </c>
      <c r="AG428" s="10" t="str">
        <f t="shared" si="131"/>
        <v/>
      </c>
      <c r="AH428" s="10" t="str">
        <f t="shared" si="132"/>
        <v/>
      </c>
      <c r="AI428" s="10" t="str">
        <f t="shared" si="133"/>
        <v/>
      </c>
      <c r="AK428" s="10"/>
      <c r="AL428" s="10"/>
      <c r="AM428" s="10"/>
      <c r="AN428" s="10"/>
      <c r="AO428" s="10"/>
      <c r="AQ428" s="10"/>
      <c r="AR428" s="10"/>
      <c r="AS428" s="10"/>
      <c r="AT428" s="10"/>
      <c r="AU428" s="10"/>
      <c r="AW428" s="10" t="str">
        <f t="shared" si="140"/>
        <v/>
      </c>
      <c r="AX428" s="10" t="str">
        <f t="shared" si="134"/>
        <v/>
      </c>
      <c r="AY428" s="10" t="str">
        <f t="shared" si="135"/>
        <v/>
      </c>
      <c r="AZ428" s="10" t="str">
        <f t="shared" si="136"/>
        <v/>
      </c>
      <c r="BA428" s="10" t="str">
        <f t="shared" si="137"/>
        <v/>
      </c>
    </row>
    <row r="429" spans="6:53" x14ac:dyDescent="0.2">
      <c r="F429" s="10" t="str">
        <f t="shared" si="141"/>
        <v>2018/7/4</v>
      </c>
      <c r="G429" s="14">
        <v>43285</v>
      </c>
      <c r="H429" s="10">
        <v>2.5450815999999996</v>
      </c>
      <c r="I429" s="10">
        <v>-0.50030330000000001</v>
      </c>
      <c r="J429" s="10">
        <v>2.0447782999999999</v>
      </c>
      <c r="K429" s="10">
        <f t="shared" si="142"/>
        <v>2174.6890031000007</v>
      </c>
      <c r="L429" s="10">
        <f t="shared" si="143"/>
        <v>-1636.0174081999994</v>
      </c>
      <c r="M429" s="10">
        <f t="shared" si="144"/>
        <v>538.67159489999972</v>
      </c>
      <c r="N429" s="10">
        <v>20.155424978899063</v>
      </c>
      <c r="O429" s="10">
        <v>16.767044289693594</v>
      </c>
      <c r="P429" s="10">
        <v>3744.0398295200011</v>
      </c>
      <c r="Y429" s="10" t="e">
        <f t="shared" si="138"/>
        <v>#N/A</v>
      </c>
      <c r="Z429" s="10" t="e">
        <f t="shared" si="126"/>
        <v>#N/A</v>
      </c>
      <c r="AA429" s="10" t="e">
        <f t="shared" si="127"/>
        <v>#N/A</v>
      </c>
      <c r="AB429" s="10" t="e">
        <f t="shared" si="128"/>
        <v>#N/A</v>
      </c>
      <c r="AC429" s="10" t="e">
        <f t="shared" si="129"/>
        <v>#N/A</v>
      </c>
      <c r="AE429" s="10" t="str">
        <f t="shared" si="139"/>
        <v/>
      </c>
      <c r="AF429" s="10" t="str">
        <f t="shared" si="130"/>
        <v/>
      </c>
      <c r="AG429" s="10" t="str">
        <f t="shared" si="131"/>
        <v/>
      </c>
      <c r="AH429" s="10" t="str">
        <f t="shared" si="132"/>
        <v/>
      </c>
      <c r="AI429" s="10" t="str">
        <f t="shared" si="133"/>
        <v/>
      </c>
      <c r="AK429" s="10"/>
      <c r="AL429" s="10"/>
      <c r="AM429" s="10"/>
      <c r="AN429" s="10"/>
      <c r="AO429" s="10"/>
      <c r="AQ429" s="10"/>
      <c r="AR429" s="10"/>
      <c r="AS429" s="10"/>
      <c r="AT429" s="10"/>
      <c r="AU429" s="10"/>
      <c r="AW429" s="10" t="str">
        <f t="shared" si="140"/>
        <v/>
      </c>
      <c r="AX429" s="10" t="str">
        <f t="shared" si="134"/>
        <v/>
      </c>
      <c r="AY429" s="10" t="str">
        <f t="shared" si="135"/>
        <v/>
      </c>
      <c r="AZ429" s="10" t="str">
        <f t="shared" si="136"/>
        <v/>
      </c>
      <c r="BA429" s="10" t="str">
        <f t="shared" si="137"/>
        <v/>
      </c>
    </row>
    <row r="430" spans="6:53" x14ac:dyDescent="0.2">
      <c r="F430" s="10" t="str">
        <f t="shared" si="141"/>
        <v>2018/7/5</v>
      </c>
      <c r="G430" s="14">
        <v>43286</v>
      </c>
      <c r="H430" s="10">
        <v>3.9929818999999993</v>
      </c>
      <c r="I430" s="10">
        <v>-3.4470859999999997</v>
      </c>
      <c r="J430" s="10">
        <v>0.54589589999999966</v>
      </c>
      <c r="K430" s="10">
        <f t="shared" si="142"/>
        <v>2178.6819850000006</v>
      </c>
      <c r="L430" s="10">
        <f t="shared" si="143"/>
        <v>-1639.4644941999993</v>
      </c>
      <c r="M430" s="10">
        <f t="shared" si="144"/>
        <v>539.21749079999972</v>
      </c>
      <c r="N430" s="10">
        <v>20.451702859865957</v>
      </c>
      <c r="O430" s="10">
        <v>17.070330362116984</v>
      </c>
      <c r="P430" s="10">
        <v>3753.6438122200016</v>
      </c>
      <c r="Y430" s="10" t="e">
        <f t="shared" si="138"/>
        <v>#N/A</v>
      </c>
      <c r="Z430" s="10" t="e">
        <f t="shared" si="126"/>
        <v>#N/A</v>
      </c>
      <c r="AA430" s="10" t="e">
        <f t="shared" si="127"/>
        <v>#N/A</v>
      </c>
      <c r="AB430" s="10" t="e">
        <f t="shared" si="128"/>
        <v>#N/A</v>
      </c>
      <c r="AC430" s="10" t="e">
        <f t="shared" si="129"/>
        <v>#N/A</v>
      </c>
      <c r="AE430" s="10" t="str">
        <f t="shared" si="139"/>
        <v/>
      </c>
      <c r="AF430" s="10" t="str">
        <f t="shared" si="130"/>
        <v/>
      </c>
      <c r="AG430" s="10" t="str">
        <f t="shared" si="131"/>
        <v/>
      </c>
      <c r="AH430" s="10" t="str">
        <f t="shared" si="132"/>
        <v/>
      </c>
      <c r="AI430" s="10" t="str">
        <f t="shared" si="133"/>
        <v/>
      </c>
      <c r="AK430" s="10"/>
      <c r="AL430" s="10"/>
      <c r="AM430" s="10"/>
      <c r="AN430" s="10"/>
      <c r="AO430" s="10"/>
      <c r="AQ430" s="10"/>
      <c r="AR430" s="10"/>
      <c r="AS430" s="10"/>
      <c r="AT430" s="10"/>
      <c r="AU430" s="10"/>
      <c r="AW430" s="10" t="str">
        <f t="shared" si="140"/>
        <v/>
      </c>
      <c r="AX430" s="10" t="str">
        <f t="shared" si="134"/>
        <v/>
      </c>
      <c r="AY430" s="10" t="str">
        <f t="shared" si="135"/>
        <v/>
      </c>
      <c r="AZ430" s="10" t="str">
        <f t="shared" si="136"/>
        <v/>
      </c>
      <c r="BA430" s="10" t="str">
        <f t="shared" si="137"/>
        <v/>
      </c>
    </row>
    <row r="431" spans="6:53" x14ac:dyDescent="0.2">
      <c r="F431" s="10" t="str">
        <f t="shared" si="141"/>
        <v>2018/7/6</v>
      </c>
      <c r="G431" s="14">
        <v>43287</v>
      </c>
      <c r="H431" s="10">
        <v>7.7641982</v>
      </c>
      <c r="I431" s="10">
        <v>-2.4388425000000002</v>
      </c>
      <c r="J431" s="10">
        <v>5.3253557000000002</v>
      </c>
      <c r="K431" s="10">
        <f t="shared" si="142"/>
        <v>2186.4461832000006</v>
      </c>
      <c r="L431" s="10">
        <f t="shared" si="143"/>
        <v>-1641.9033366999993</v>
      </c>
      <c r="M431" s="10">
        <f t="shared" si="144"/>
        <v>544.54284649999977</v>
      </c>
      <c r="N431" s="10">
        <v>21.403965104994302</v>
      </c>
      <c r="O431" s="10">
        <v>17.893307242339834</v>
      </c>
      <c r="P431" s="10">
        <v>3763.2829659199983</v>
      </c>
      <c r="Y431" s="10" t="e">
        <f t="shared" si="138"/>
        <v>#N/A</v>
      </c>
      <c r="Z431" s="10" t="e">
        <f t="shared" si="126"/>
        <v>#N/A</v>
      </c>
      <c r="AA431" s="10" t="e">
        <f t="shared" si="127"/>
        <v>#N/A</v>
      </c>
      <c r="AB431" s="10" t="e">
        <f t="shared" si="128"/>
        <v>#N/A</v>
      </c>
      <c r="AC431" s="10" t="e">
        <f t="shared" si="129"/>
        <v>#N/A</v>
      </c>
      <c r="AE431" s="10" t="str">
        <f t="shared" si="139"/>
        <v/>
      </c>
      <c r="AF431" s="10" t="str">
        <f t="shared" si="130"/>
        <v/>
      </c>
      <c r="AG431" s="10" t="str">
        <f t="shared" si="131"/>
        <v/>
      </c>
      <c r="AH431" s="10" t="str">
        <f t="shared" si="132"/>
        <v/>
      </c>
      <c r="AI431" s="10" t="str">
        <f t="shared" si="133"/>
        <v/>
      </c>
      <c r="AK431" s="10"/>
      <c r="AL431" s="10"/>
      <c r="AM431" s="10"/>
      <c r="AN431" s="10"/>
      <c r="AO431" s="10"/>
      <c r="AQ431" s="10"/>
      <c r="AR431" s="10"/>
      <c r="AS431" s="10"/>
      <c r="AT431" s="10"/>
      <c r="AU431" s="10"/>
      <c r="AW431" s="10" t="str">
        <f t="shared" si="140"/>
        <v/>
      </c>
      <c r="AX431" s="10" t="str">
        <f t="shared" si="134"/>
        <v/>
      </c>
      <c r="AY431" s="10" t="str">
        <f t="shared" si="135"/>
        <v/>
      </c>
      <c r="AZ431" s="10" t="str">
        <f t="shared" si="136"/>
        <v/>
      </c>
      <c r="BA431" s="10" t="str">
        <f t="shared" si="137"/>
        <v/>
      </c>
    </row>
    <row r="432" spans="6:53" x14ac:dyDescent="0.2">
      <c r="F432" s="10" t="str">
        <f t="shared" si="141"/>
        <v>2018/7/9</v>
      </c>
      <c r="G432" s="14">
        <v>43290</v>
      </c>
      <c r="H432" s="10">
        <v>6.3599302</v>
      </c>
      <c r="I432" s="10">
        <v>-4.6223540999999999</v>
      </c>
      <c r="J432" s="10">
        <v>1.7375761000000003</v>
      </c>
      <c r="K432" s="10">
        <f t="shared" si="142"/>
        <v>2192.8061134000004</v>
      </c>
      <c r="L432" s="10">
        <f t="shared" si="143"/>
        <v>-1646.5256907999992</v>
      </c>
      <c r="M432" s="10">
        <f t="shared" si="144"/>
        <v>546.28042259999972</v>
      </c>
      <c r="N432" s="10">
        <v>22.351841546727936</v>
      </c>
      <c r="O432" s="10">
        <v>18.666312813370478</v>
      </c>
      <c r="P432" s="10">
        <v>3792.6616342200005</v>
      </c>
      <c r="Y432" s="10" t="e">
        <f t="shared" si="138"/>
        <v>#N/A</v>
      </c>
      <c r="Z432" s="10" t="e">
        <f t="shared" si="126"/>
        <v>#N/A</v>
      </c>
      <c r="AA432" s="10" t="e">
        <f t="shared" si="127"/>
        <v>#N/A</v>
      </c>
      <c r="AB432" s="10" t="e">
        <f t="shared" si="128"/>
        <v>#N/A</v>
      </c>
      <c r="AC432" s="10" t="e">
        <f t="shared" si="129"/>
        <v>#N/A</v>
      </c>
      <c r="AE432" s="10" t="str">
        <f t="shared" si="139"/>
        <v/>
      </c>
      <c r="AF432" s="10" t="str">
        <f t="shared" si="130"/>
        <v/>
      </c>
      <c r="AG432" s="10" t="str">
        <f t="shared" si="131"/>
        <v/>
      </c>
      <c r="AH432" s="10" t="str">
        <f t="shared" si="132"/>
        <v/>
      </c>
      <c r="AI432" s="10" t="str">
        <f t="shared" si="133"/>
        <v/>
      </c>
      <c r="AK432" s="10"/>
      <c r="AL432" s="10"/>
      <c r="AM432" s="10"/>
      <c r="AN432" s="10"/>
      <c r="AO432" s="10"/>
      <c r="AQ432" s="10"/>
      <c r="AR432" s="10"/>
      <c r="AS432" s="10"/>
      <c r="AT432" s="10"/>
      <c r="AU432" s="10"/>
      <c r="AW432" s="10" t="str">
        <f t="shared" si="140"/>
        <v/>
      </c>
      <c r="AX432" s="10" t="str">
        <f t="shared" si="134"/>
        <v/>
      </c>
      <c r="AY432" s="10" t="str">
        <f t="shared" si="135"/>
        <v/>
      </c>
      <c r="AZ432" s="10" t="str">
        <f t="shared" si="136"/>
        <v/>
      </c>
      <c r="BA432" s="10" t="str">
        <f t="shared" si="137"/>
        <v/>
      </c>
    </row>
    <row r="433" spans="6:53" x14ac:dyDescent="0.2">
      <c r="F433" s="10" t="str">
        <f t="shared" si="141"/>
        <v>2018/7/10</v>
      </c>
      <c r="G433" s="14">
        <v>43291</v>
      </c>
      <c r="H433" s="10">
        <v>6.8705506000000005</v>
      </c>
      <c r="I433" s="10">
        <v>-5.7258373000000011</v>
      </c>
      <c r="J433" s="10">
        <v>1.1447133</v>
      </c>
      <c r="K433" s="10">
        <f t="shared" si="142"/>
        <v>2199.6766640000005</v>
      </c>
      <c r="L433" s="10">
        <f t="shared" si="143"/>
        <v>-1652.2515280999992</v>
      </c>
      <c r="M433" s="10">
        <f t="shared" si="144"/>
        <v>547.42513589999976</v>
      </c>
      <c r="N433" s="10">
        <v>22.491314918122555</v>
      </c>
      <c r="O433" s="10">
        <v>18.764513091922016</v>
      </c>
      <c r="P433" s="10">
        <v>3825.0660750200004</v>
      </c>
      <c r="Y433" s="10" t="e">
        <f t="shared" si="138"/>
        <v>#N/A</v>
      </c>
      <c r="Z433" s="10" t="e">
        <f t="shared" si="126"/>
        <v>#N/A</v>
      </c>
      <c r="AA433" s="10" t="e">
        <f t="shared" si="127"/>
        <v>#N/A</v>
      </c>
      <c r="AB433" s="10" t="e">
        <f t="shared" si="128"/>
        <v>#N/A</v>
      </c>
      <c r="AC433" s="10" t="e">
        <f t="shared" si="129"/>
        <v>#N/A</v>
      </c>
      <c r="AE433" s="10" t="str">
        <f t="shared" si="139"/>
        <v/>
      </c>
      <c r="AF433" s="10" t="str">
        <f t="shared" si="130"/>
        <v/>
      </c>
      <c r="AG433" s="10" t="str">
        <f t="shared" si="131"/>
        <v/>
      </c>
      <c r="AH433" s="10" t="str">
        <f t="shared" si="132"/>
        <v/>
      </c>
      <c r="AI433" s="10" t="str">
        <f t="shared" si="133"/>
        <v/>
      </c>
      <c r="AK433" s="10"/>
      <c r="AL433" s="10"/>
      <c r="AM433" s="10"/>
      <c r="AN433" s="10"/>
      <c r="AO433" s="10"/>
      <c r="AQ433" s="10"/>
      <c r="AR433" s="10"/>
      <c r="AS433" s="10"/>
      <c r="AT433" s="10"/>
      <c r="AU433" s="10"/>
      <c r="AW433" s="10" t="str">
        <f t="shared" si="140"/>
        <v/>
      </c>
      <c r="AX433" s="10" t="str">
        <f t="shared" si="134"/>
        <v/>
      </c>
      <c r="AY433" s="10" t="str">
        <f t="shared" si="135"/>
        <v/>
      </c>
      <c r="AZ433" s="10" t="str">
        <f t="shared" si="136"/>
        <v/>
      </c>
      <c r="BA433" s="10" t="str">
        <f t="shared" si="137"/>
        <v/>
      </c>
    </row>
    <row r="434" spans="6:53" x14ac:dyDescent="0.2">
      <c r="F434" s="10" t="str">
        <f t="shared" si="141"/>
        <v>2018/7/11</v>
      </c>
      <c r="G434" s="14">
        <v>43292</v>
      </c>
      <c r="H434" s="10">
        <v>8.1007882999999996</v>
      </c>
      <c r="I434" s="10">
        <v>-2.1271450999999999</v>
      </c>
      <c r="J434" s="10">
        <v>5.9736431999999979</v>
      </c>
      <c r="K434" s="10">
        <f t="shared" si="142"/>
        <v>2207.7774523000007</v>
      </c>
      <c r="L434" s="10">
        <f t="shared" si="143"/>
        <v>-1654.3786731999992</v>
      </c>
      <c r="M434" s="10">
        <f t="shared" si="144"/>
        <v>553.39877909999973</v>
      </c>
      <c r="N434" s="10">
        <v>21.37648619285654</v>
      </c>
      <c r="O434" s="10">
        <v>17.687756545960998</v>
      </c>
      <c r="P434" s="10">
        <v>3828.8401365199989</v>
      </c>
      <c r="Y434" s="10" t="e">
        <f t="shared" si="138"/>
        <v>#N/A</v>
      </c>
      <c r="Z434" s="10" t="e">
        <f t="shared" si="126"/>
        <v>#N/A</v>
      </c>
      <c r="AA434" s="10" t="e">
        <f t="shared" si="127"/>
        <v>#N/A</v>
      </c>
      <c r="AB434" s="10" t="e">
        <f t="shared" si="128"/>
        <v>#N/A</v>
      </c>
      <c r="AC434" s="10" t="e">
        <f t="shared" si="129"/>
        <v>#N/A</v>
      </c>
      <c r="AE434" s="10" t="str">
        <f t="shared" si="139"/>
        <v/>
      </c>
      <c r="AF434" s="10" t="str">
        <f t="shared" si="130"/>
        <v/>
      </c>
      <c r="AG434" s="10" t="str">
        <f t="shared" si="131"/>
        <v/>
      </c>
      <c r="AH434" s="10" t="str">
        <f t="shared" si="132"/>
        <v/>
      </c>
      <c r="AI434" s="10" t="str">
        <f t="shared" si="133"/>
        <v/>
      </c>
      <c r="AK434" s="10"/>
      <c r="AL434" s="10"/>
      <c r="AM434" s="10"/>
      <c r="AN434" s="10"/>
      <c r="AO434" s="10"/>
      <c r="AQ434" s="10"/>
      <c r="AR434" s="10"/>
      <c r="AS434" s="10"/>
      <c r="AT434" s="10"/>
      <c r="AU434" s="10"/>
      <c r="AW434" s="10" t="str">
        <f t="shared" si="140"/>
        <v/>
      </c>
      <c r="AX434" s="10" t="str">
        <f t="shared" si="134"/>
        <v/>
      </c>
      <c r="AY434" s="10" t="str">
        <f t="shared" si="135"/>
        <v/>
      </c>
      <c r="AZ434" s="10" t="str">
        <f t="shared" si="136"/>
        <v/>
      </c>
      <c r="BA434" s="10" t="str">
        <f t="shared" si="137"/>
        <v/>
      </c>
    </row>
    <row r="435" spans="6:53" x14ac:dyDescent="0.2">
      <c r="F435" s="10" t="str">
        <f t="shared" si="141"/>
        <v>2018/7/12</v>
      </c>
      <c r="G435" s="14">
        <v>43293</v>
      </c>
      <c r="H435" s="10">
        <v>5.3343848999999999</v>
      </c>
      <c r="I435" s="10">
        <v>-3.5077892999999998</v>
      </c>
      <c r="J435" s="10">
        <v>1.8265955999999997</v>
      </c>
      <c r="K435" s="10">
        <f t="shared" si="142"/>
        <v>2213.1118372000005</v>
      </c>
      <c r="L435" s="10">
        <f t="shared" si="143"/>
        <v>-1657.8864624999992</v>
      </c>
      <c r="M435" s="10">
        <f t="shared" si="144"/>
        <v>555.22537469999975</v>
      </c>
      <c r="N435" s="10">
        <v>22.243908598411071</v>
      </c>
      <c r="O435" s="10">
        <v>18.38056880222841</v>
      </c>
      <c r="P435" s="10">
        <v>3800.3641314199999</v>
      </c>
      <c r="Y435" s="10" t="e">
        <f t="shared" si="138"/>
        <v>#N/A</v>
      </c>
      <c r="Z435" s="10" t="e">
        <f t="shared" si="126"/>
        <v>#N/A</v>
      </c>
      <c r="AA435" s="10" t="e">
        <f t="shared" si="127"/>
        <v>#N/A</v>
      </c>
      <c r="AB435" s="10" t="e">
        <f t="shared" si="128"/>
        <v>#N/A</v>
      </c>
      <c r="AC435" s="10" t="e">
        <f t="shared" si="129"/>
        <v>#N/A</v>
      </c>
      <c r="AE435" s="10" t="str">
        <f t="shared" si="139"/>
        <v/>
      </c>
      <c r="AF435" s="10" t="str">
        <f t="shared" si="130"/>
        <v/>
      </c>
      <c r="AG435" s="10" t="str">
        <f t="shared" si="131"/>
        <v/>
      </c>
      <c r="AH435" s="10" t="str">
        <f t="shared" si="132"/>
        <v/>
      </c>
      <c r="AI435" s="10" t="str">
        <f t="shared" si="133"/>
        <v/>
      </c>
      <c r="AK435" s="10"/>
      <c r="AL435" s="10"/>
      <c r="AM435" s="10"/>
      <c r="AN435" s="10"/>
      <c r="AO435" s="10"/>
      <c r="AQ435" s="10"/>
      <c r="AR435" s="10"/>
      <c r="AS435" s="10"/>
      <c r="AT435" s="10"/>
      <c r="AU435" s="10"/>
      <c r="AW435" s="10" t="str">
        <f t="shared" si="140"/>
        <v/>
      </c>
      <c r="AX435" s="10" t="str">
        <f t="shared" si="134"/>
        <v/>
      </c>
      <c r="AY435" s="10" t="str">
        <f t="shared" si="135"/>
        <v/>
      </c>
      <c r="AZ435" s="10" t="str">
        <f t="shared" si="136"/>
        <v/>
      </c>
      <c r="BA435" s="10" t="str">
        <f t="shared" si="137"/>
        <v/>
      </c>
    </row>
    <row r="436" spans="6:53" x14ac:dyDescent="0.2">
      <c r="F436" s="10" t="str">
        <f t="shared" si="141"/>
        <v>2018/7/13</v>
      </c>
      <c r="G436" s="14">
        <v>43294</v>
      </c>
      <c r="H436" s="10">
        <v>3.5479915000000011</v>
      </c>
      <c r="I436" s="10">
        <v>-4.3915233000000002</v>
      </c>
      <c r="J436" s="10">
        <v>-0.84353179999999872</v>
      </c>
      <c r="K436" s="10">
        <f t="shared" si="142"/>
        <v>2216.6598287000006</v>
      </c>
      <c r="L436" s="10">
        <f t="shared" si="143"/>
        <v>-1662.2779857999992</v>
      </c>
      <c r="M436" s="10">
        <f t="shared" si="144"/>
        <v>554.3818428999997</v>
      </c>
      <c r="N436" s="10">
        <v>22.462207646571624</v>
      </c>
      <c r="O436" s="10">
        <v>18.515698885793874</v>
      </c>
      <c r="P436" s="10">
        <v>3826.3745182200018</v>
      </c>
      <c r="Y436" s="10" t="e">
        <f t="shared" si="138"/>
        <v>#N/A</v>
      </c>
      <c r="Z436" s="10" t="e">
        <f t="shared" si="126"/>
        <v>#N/A</v>
      </c>
      <c r="AA436" s="10" t="e">
        <f t="shared" si="127"/>
        <v>#N/A</v>
      </c>
      <c r="AB436" s="10" t="e">
        <f t="shared" si="128"/>
        <v>#N/A</v>
      </c>
      <c r="AC436" s="10" t="e">
        <f t="shared" si="129"/>
        <v>#N/A</v>
      </c>
      <c r="AE436" s="10" t="str">
        <f t="shared" si="139"/>
        <v/>
      </c>
      <c r="AF436" s="10" t="str">
        <f t="shared" si="130"/>
        <v/>
      </c>
      <c r="AG436" s="10" t="str">
        <f t="shared" si="131"/>
        <v/>
      </c>
      <c r="AH436" s="10" t="str">
        <f t="shared" si="132"/>
        <v/>
      </c>
      <c r="AI436" s="10" t="str">
        <f t="shared" si="133"/>
        <v/>
      </c>
      <c r="AK436" s="10"/>
      <c r="AL436" s="10"/>
      <c r="AM436" s="10"/>
      <c r="AN436" s="10"/>
      <c r="AO436" s="10"/>
      <c r="AQ436" s="10"/>
      <c r="AR436" s="10"/>
      <c r="AS436" s="10"/>
      <c r="AT436" s="10"/>
      <c r="AU436" s="10"/>
      <c r="AW436" s="10" t="str">
        <f t="shared" si="140"/>
        <v/>
      </c>
      <c r="AX436" s="10" t="str">
        <f t="shared" si="134"/>
        <v/>
      </c>
      <c r="AY436" s="10" t="str">
        <f t="shared" si="135"/>
        <v/>
      </c>
      <c r="AZ436" s="10" t="str">
        <f t="shared" si="136"/>
        <v/>
      </c>
      <c r="BA436" s="10" t="str">
        <f t="shared" si="137"/>
        <v/>
      </c>
    </row>
    <row r="437" spans="6:53" x14ac:dyDescent="0.2">
      <c r="F437" s="10" t="str">
        <f t="shared" si="141"/>
        <v>2018/7/16</v>
      </c>
      <c r="G437" s="14">
        <v>43297</v>
      </c>
      <c r="H437" s="10">
        <v>3.8642260999999993</v>
      </c>
      <c r="I437" s="10">
        <v>-1.5390018999999999</v>
      </c>
      <c r="J437" s="10">
        <v>2.3252242000000001</v>
      </c>
      <c r="K437" s="10">
        <f t="shared" si="142"/>
        <v>2220.5240548000006</v>
      </c>
      <c r="L437" s="10">
        <f t="shared" si="143"/>
        <v>-1663.8169876999991</v>
      </c>
      <c r="M437" s="10">
        <f t="shared" si="144"/>
        <v>556.70706709999968</v>
      </c>
      <c r="N437" s="10">
        <v>22.292846093972297</v>
      </c>
      <c r="O437" s="10">
        <v>18.324029108635095</v>
      </c>
      <c r="P437" s="10">
        <v>3831.7597474199983</v>
      </c>
      <c r="Y437" s="10" t="e">
        <f t="shared" si="138"/>
        <v>#N/A</v>
      </c>
      <c r="Z437" s="10" t="e">
        <f t="shared" si="126"/>
        <v>#N/A</v>
      </c>
      <c r="AA437" s="10" t="e">
        <f t="shared" si="127"/>
        <v>#N/A</v>
      </c>
      <c r="AB437" s="10" t="e">
        <f t="shared" si="128"/>
        <v>#N/A</v>
      </c>
      <c r="AC437" s="10" t="e">
        <f t="shared" si="129"/>
        <v>#N/A</v>
      </c>
      <c r="AE437" s="10" t="str">
        <f t="shared" si="139"/>
        <v/>
      </c>
      <c r="AF437" s="10" t="str">
        <f t="shared" si="130"/>
        <v/>
      </c>
      <c r="AG437" s="10" t="str">
        <f t="shared" si="131"/>
        <v/>
      </c>
      <c r="AH437" s="10" t="str">
        <f t="shared" si="132"/>
        <v/>
      </c>
      <c r="AI437" s="10" t="str">
        <f t="shared" si="133"/>
        <v/>
      </c>
      <c r="AK437" s="10"/>
      <c r="AL437" s="10"/>
      <c r="AM437" s="10"/>
      <c r="AN437" s="10"/>
      <c r="AO437" s="10"/>
      <c r="AQ437" s="10"/>
      <c r="AR437" s="10"/>
      <c r="AS437" s="10"/>
      <c r="AT437" s="10"/>
      <c r="AU437" s="10"/>
      <c r="AW437" s="10" t="str">
        <f t="shared" si="140"/>
        <v/>
      </c>
      <c r="AX437" s="10" t="str">
        <f t="shared" si="134"/>
        <v/>
      </c>
      <c r="AY437" s="10" t="str">
        <f t="shared" si="135"/>
        <v/>
      </c>
      <c r="AZ437" s="10" t="str">
        <f t="shared" si="136"/>
        <v/>
      </c>
      <c r="BA437" s="10" t="str">
        <f t="shared" si="137"/>
        <v/>
      </c>
    </row>
    <row r="438" spans="6:53" x14ac:dyDescent="0.2">
      <c r="F438" s="10" t="str">
        <f t="shared" si="141"/>
        <v>2018/7/17</v>
      </c>
      <c r="G438" s="14">
        <v>43298</v>
      </c>
      <c r="H438" s="10">
        <v>3.4153692999999992</v>
      </c>
      <c r="I438" s="10">
        <v>-2.2412232999999997</v>
      </c>
      <c r="J438" s="10">
        <v>1.1741460000000004</v>
      </c>
      <c r="K438" s="10">
        <f t="shared" si="142"/>
        <v>2223.9394241000005</v>
      </c>
      <c r="L438" s="10">
        <f t="shared" si="143"/>
        <v>-1666.0582109999991</v>
      </c>
      <c r="M438" s="10">
        <f t="shared" si="144"/>
        <v>557.88121309999963</v>
      </c>
      <c r="N438" s="10">
        <v>22.628667867634146</v>
      </c>
      <c r="O438" s="10">
        <v>18.457454317548741</v>
      </c>
      <c r="P438" s="10">
        <v>3829.152394870001</v>
      </c>
      <c r="Y438" s="10" t="e">
        <f t="shared" si="138"/>
        <v>#N/A</v>
      </c>
      <c r="Z438" s="10" t="e">
        <f t="shared" si="126"/>
        <v>#N/A</v>
      </c>
      <c r="AA438" s="10" t="e">
        <f t="shared" si="127"/>
        <v>#N/A</v>
      </c>
      <c r="AB438" s="10" t="e">
        <f t="shared" si="128"/>
        <v>#N/A</v>
      </c>
      <c r="AC438" s="10" t="e">
        <f t="shared" si="129"/>
        <v>#N/A</v>
      </c>
      <c r="AE438" s="10" t="str">
        <f t="shared" si="139"/>
        <v/>
      </c>
      <c r="AF438" s="10" t="str">
        <f t="shared" si="130"/>
        <v/>
      </c>
      <c r="AG438" s="10" t="str">
        <f t="shared" si="131"/>
        <v/>
      </c>
      <c r="AH438" s="10" t="str">
        <f t="shared" si="132"/>
        <v/>
      </c>
      <c r="AI438" s="10" t="str">
        <f t="shared" si="133"/>
        <v/>
      </c>
      <c r="AK438" s="10"/>
      <c r="AL438" s="10"/>
      <c r="AM438" s="10"/>
      <c r="AN438" s="10"/>
      <c r="AO438" s="10"/>
      <c r="AQ438" s="10"/>
      <c r="AR438" s="10"/>
      <c r="AS438" s="10"/>
      <c r="AT438" s="10"/>
      <c r="AU438" s="10"/>
      <c r="AW438" s="10" t="str">
        <f t="shared" si="140"/>
        <v/>
      </c>
      <c r="AX438" s="10" t="str">
        <f t="shared" si="134"/>
        <v/>
      </c>
      <c r="AY438" s="10" t="str">
        <f t="shared" si="135"/>
        <v/>
      </c>
      <c r="AZ438" s="10" t="str">
        <f t="shared" si="136"/>
        <v/>
      </c>
      <c r="BA438" s="10" t="str">
        <f t="shared" si="137"/>
        <v/>
      </c>
    </row>
    <row r="439" spans="6:53" x14ac:dyDescent="0.2">
      <c r="F439" s="10" t="str">
        <f t="shared" si="141"/>
        <v>2018/7/18</v>
      </c>
      <c r="G439" s="14">
        <v>43299</v>
      </c>
      <c r="H439" s="10">
        <v>5.3418451999999998</v>
      </c>
      <c r="I439" s="10">
        <v>-4.5252311000000009</v>
      </c>
      <c r="J439" s="10">
        <v>0.81661409999999979</v>
      </c>
      <c r="K439" s="10">
        <f t="shared" si="142"/>
        <v>2229.2812693000005</v>
      </c>
      <c r="L439" s="10">
        <f t="shared" si="143"/>
        <v>-1670.583442099999</v>
      </c>
      <c r="M439" s="10">
        <f t="shared" si="144"/>
        <v>558.69782719999967</v>
      </c>
      <c r="N439" s="10">
        <v>22.796261814576688</v>
      </c>
      <c r="O439" s="10">
        <v>18.576245682451248</v>
      </c>
      <c r="P439" s="10">
        <v>3838.7838090200007</v>
      </c>
      <c r="Y439" s="10" t="e">
        <f t="shared" si="138"/>
        <v>#N/A</v>
      </c>
      <c r="Z439" s="10" t="e">
        <f t="shared" si="126"/>
        <v>#N/A</v>
      </c>
      <c r="AA439" s="10" t="e">
        <f t="shared" si="127"/>
        <v>#N/A</v>
      </c>
      <c r="AB439" s="10" t="e">
        <f t="shared" si="128"/>
        <v>#N/A</v>
      </c>
      <c r="AC439" s="10" t="e">
        <f t="shared" si="129"/>
        <v>#N/A</v>
      </c>
      <c r="AE439" s="10" t="str">
        <f t="shared" si="139"/>
        <v/>
      </c>
      <c r="AF439" s="10" t="str">
        <f t="shared" si="130"/>
        <v/>
      </c>
      <c r="AG439" s="10" t="str">
        <f t="shared" si="131"/>
        <v/>
      </c>
      <c r="AH439" s="10" t="str">
        <f t="shared" si="132"/>
        <v/>
      </c>
      <c r="AI439" s="10" t="str">
        <f t="shared" si="133"/>
        <v/>
      </c>
      <c r="AK439" s="10"/>
      <c r="AL439" s="10"/>
      <c r="AM439" s="10"/>
      <c r="AN439" s="10"/>
      <c r="AO439" s="10"/>
      <c r="AQ439" s="10"/>
      <c r="AR439" s="10"/>
      <c r="AS439" s="10"/>
      <c r="AT439" s="10"/>
      <c r="AU439" s="10"/>
      <c r="AW439" s="10" t="str">
        <f t="shared" si="140"/>
        <v/>
      </c>
      <c r="AX439" s="10" t="str">
        <f t="shared" si="134"/>
        <v/>
      </c>
      <c r="AY439" s="10" t="str">
        <f t="shared" si="135"/>
        <v/>
      </c>
      <c r="AZ439" s="10" t="str">
        <f t="shared" si="136"/>
        <v/>
      </c>
      <c r="BA439" s="10" t="str">
        <f t="shared" si="137"/>
        <v/>
      </c>
    </row>
    <row r="440" spans="6:53" x14ac:dyDescent="0.2">
      <c r="F440" s="10" t="str">
        <f t="shared" si="141"/>
        <v>2018/7/19</v>
      </c>
      <c r="G440" s="14">
        <v>43300</v>
      </c>
      <c r="H440" s="10">
        <v>4.1500895999999994</v>
      </c>
      <c r="I440" s="10">
        <v>-4.176642600000001</v>
      </c>
      <c r="J440" s="10">
        <v>-2.6553000000000437E-2</v>
      </c>
      <c r="K440" s="10">
        <f t="shared" si="142"/>
        <v>2233.4313589000003</v>
      </c>
      <c r="L440" s="10">
        <f t="shared" si="143"/>
        <v>-1674.760084699999</v>
      </c>
      <c r="M440" s="10">
        <f t="shared" si="144"/>
        <v>558.67127419999963</v>
      </c>
      <c r="N440" s="10">
        <v>22.478377493126125</v>
      </c>
      <c r="O440" s="10">
        <v>18.246111420612813</v>
      </c>
      <c r="P440" s="10">
        <v>3844.8280703200003</v>
      </c>
      <c r="Y440" s="10" t="e">
        <f t="shared" si="138"/>
        <v>#N/A</v>
      </c>
      <c r="Z440" s="10" t="e">
        <f t="shared" si="126"/>
        <v>#N/A</v>
      </c>
      <c r="AA440" s="10" t="e">
        <f t="shared" si="127"/>
        <v>#N/A</v>
      </c>
      <c r="AB440" s="10" t="e">
        <f t="shared" si="128"/>
        <v>#N/A</v>
      </c>
      <c r="AC440" s="10" t="e">
        <f t="shared" si="129"/>
        <v>#N/A</v>
      </c>
      <c r="AE440" s="10" t="str">
        <f t="shared" si="139"/>
        <v/>
      </c>
      <c r="AF440" s="10" t="str">
        <f t="shared" si="130"/>
        <v/>
      </c>
      <c r="AG440" s="10" t="str">
        <f t="shared" si="131"/>
        <v/>
      </c>
      <c r="AH440" s="10" t="str">
        <f t="shared" si="132"/>
        <v/>
      </c>
      <c r="AI440" s="10" t="str">
        <f t="shared" si="133"/>
        <v/>
      </c>
      <c r="AK440" s="10"/>
      <c r="AL440" s="10"/>
      <c r="AM440" s="10"/>
      <c r="AN440" s="10"/>
      <c r="AO440" s="10"/>
      <c r="AQ440" s="10"/>
      <c r="AR440" s="10"/>
      <c r="AS440" s="10"/>
      <c r="AT440" s="10"/>
      <c r="AU440" s="10"/>
      <c r="AW440" s="10" t="str">
        <f t="shared" si="140"/>
        <v/>
      </c>
      <c r="AX440" s="10" t="str">
        <f t="shared" si="134"/>
        <v/>
      </c>
      <c r="AY440" s="10" t="str">
        <f t="shared" si="135"/>
        <v/>
      </c>
      <c r="AZ440" s="10" t="str">
        <f t="shared" si="136"/>
        <v/>
      </c>
      <c r="BA440" s="10" t="str">
        <f t="shared" si="137"/>
        <v/>
      </c>
    </row>
    <row r="441" spans="6:53" x14ac:dyDescent="0.2">
      <c r="F441" s="10" t="str">
        <f t="shared" si="141"/>
        <v>2018/7/20</v>
      </c>
      <c r="G441" s="14">
        <v>43301</v>
      </c>
      <c r="H441" s="10">
        <v>3.3033467000000001</v>
      </c>
      <c r="I441" s="10">
        <v>-6.1053352999999992</v>
      </c>
      <c r="J441" s="10">
        <v>-2.8019886000000005</v>
      </c>
      <c r="K441" s="10">
        <f t="shared" si="142"/>
        <v>2236.7347056000003</v>
      </c>
      <c r="L441" s="10">
        <f t="shared" si="143"/>
        <v>-1680.8654199999989</v>
      </c>
      <c r="M441" s="10">
        <f t="shared" si="144"/>
        <v>555.86928559999967</v>
      </c>
      <c r="N441" s="10">
        <v>22.664883363387567</v>
      </c>
      <c r="O441" s="10">
        <v>18.59939415041783</v>
      </c>
      <c r="P441" s="10">
        <v>3836.130133719998</v>
      </c>
      <c r="Y441" s="10" t="e">
        <f t="shared" si="138"/>
        <v>#N/A</v>
      </c>
      <c r="Z441" s="10" t="e">
        <f t="shared" si="126"/>
        <v>#N/A</v>
      </c>
      <c r="AA441" s="10" t="e">
        <f t="shared" si="127"/>
        <v>#N/A</v>
      </c>
      <c r="AB441" s="10" t="e">
        <f t="shared" si="128"/>
        <v>#N/A</v>
      </c>
      <c r="AC441" s="10" t="e">
        <f t="shared" si="129"/>
        <v>#N/A</v>
      </c>
      <c r="AE441" s="10" t="str">
        <f t="shared" si="139"/>
        <v/>
      </c>
      <c r="AF441" s="10" t="str">
        <f t="shared" si="130"/>
        <v/>
      </c>
      <c r="AG441" s="10" t="str">
        <f t="shared" si="131"/>
        <v/>
      </c>
      <c r="AH441" s="10" t="str">
        <f t="shared" si="132"/>
        <v/>
      </c>
      <c r="AI441" s="10" t="str">
        <f t="shared" si="133"/>
        <v/>
      </c>
      <c r="AK441" s="10"/>
      <c r="AL441" s="10"/>
      <c r="AM441" s="10"/>
      <c r="AN441" s="10"/>
      <c r="AO441" s="10"/>
      <c r="AQ441" s="10"/>
      <c r="AR441" s="10"/>
      <c r="AS441" s="10"/>
      <c r="AT441" s="10"/>
      <c r="AU441" s="10"/>
      <c r="AW441" s="10" t="str">
        <f t="shared" si="140"/>
        <v/>
      </c>
      <c r="AX441" s="10" t="str">
        <f t="shared" si="134"/>
        <v/>
      </c>
      <c r="AY441" s="10" t="str">
        <f t="shared" si="135"/>
        <v/>
      </c>
      <c r="AZ441" s="10" t="str">
        <f t="shared" si="136"/>
        <v/>
      </c>
      <c r="BA441" s="10" t="str">
        <f t="shared" si="137"/>
        <v/>
      </c>
    </row>
    <row r="442" spans="6:53" x14ac:dyDescent="0.2">
      <c r="F442" s="10" t="str">
        <f t="shared" si="141"/>
        <v>2018/7/23</v>
      </c>
      <c r="G442" s="14">
        <v>43304</v>
      </c>
      <c r="H442" s="10">
        <v>5.6886533999999997</v>
      </c>
      <c r="I442" s="10">
        <v>-2.6399217000000004</v>
      </c>
      <c r="J442" s="10">
        <v>3.0487317000000003</v>
      </c>
      <c r="K442" s="10">
        <f t="shared" si="142"/>
        <v>2242.4233590000003</v>
      </c>
      <c r="L442" s="10">
        <f t="shared" si="143"/>
        <v>-1683.505341699999</v>
      </c>
      <c r="M442" s="10">
        <f t="shared" si="144"/>
        <v>558.91801729999963</v>
      </c>
      <c r="N442" s="10">
        <v>22.586748988794167</v>
      </c>
      <c r="O442" s="10">
        <v>18.427334818941503</v>
      </c>
      <c r="P442" s="10">
        <v>3839.1156900199994</v>
      </c>
      <c r="Y442" s="10" t="e">
        <f t="shared" si="138"/>
        <v>#N/A</v>
      </c>
      <c r="Z442" s="10" t="e">
        <f t="shared" si="126"/>
        <v>#N/A</v>
      </c>
      <c r="AA442" s="10" t="e">
        <f t="shared" si="127"/>
        <v>#N/A</v>
      </c>
      <c r="AB442" s="10" t="e">
        <f t="shared" si="128"/>
        <v>#N/A</v>
      </c>
      <c r="AC442" s="10" t="e">
        <f t="shared" si="129"/>
        <v>#N/A</v>
      </c>
      <c r="AE442" s="10" t="str">
        <f t="shared" si="139"/>
        <v/>
      </c>
      <c r="AF442" s="10" t="str">
        <f t="shared" si="130"/>
        <v/>
      </c>
      <c r="AG442" s="10" t="str">
        <f t="shared" si="131"/>
        <v/>
      </c>
      <c r="AH442" s="10" t="str">
        <f t="shared" si="132"/>
        <v/>
      </c>
      <c r="AI442" s="10" t="str">
        <f t="shared" si="133"/>
        <v/>
      </c>
      <c r="AK442" s="10"/>
      <c r="AL442" s="10"/>
      <c r="AM442" s="10"/>
      <c r="AN442" s="10"/>
      <c r="AO442" s="10"/>
      <c r="AQ442" s="10"/>
      <c r="AR442" s="10"/>
      <c r="AS442" s="10"/>
      <c r="AT442" s="10"/>
      <c r="AU442" s="10"/>
      <c r="AW442" s="10" t="str">
        <f t="shared" si="140"/>
        <v/>
      </c>
      <c r="AX442" s="10" t="str">
        <f t="shared" si="134"/>
        <v/>
      </c>
      <c r="AY442" s="10" t="str">
        <f t="shared" si="135"/>
        <v/>
      </c>
      <c r="AZ442" s="10" t="str">
        <f t="shared" si="136"/>
        <v/>
      </c>
      <c r="BA442" s="10" t="str">
        <f t="shared" si="137"/>
        <v/>
      </c>
    </row>
    <row r="443" spans="6:53" x14ac:dyDescent="0.2">
      <c r="F443" s="10" t="str">
        <f t="shared" si="141"/>
        <v>2018/7/24</v>
      </c>
      <c r="G443" s="14">
        <v>43305</v>
      </c>
      <c r="H443" s="10">
        <v>5.878579600000001</v>
      </c>
      <c r="I443" s="10">
        <v>-2.3195138000000002</v>
      </c>
      <c r="J443" s="10">
        <v>3.5590658000000008</v>
      </c>
      <c r="K443" s="10">
        <f t="shared" si="142"/>
        <v>2248.3019386000005</v>
      </c>
      <c r="L443" s="10">
        <f t="shared" si="143"/>
        <v>-1685.8248554999991</v>
      </c>
      <c r="M443" s="10">
        <f t="shared" si="144"/>
        <v>562.47708309999962</v>
      </c>
      <c r="N443" s="10">
        <v>23.017941125779398</v>
      </c>
      <c r="O443" s="10">
        <v>18.873024791086369</v>
      </c>
      <c r="P443" s="10">
        <v>3838.9086329199972</v>
      </c>
      <c r="Y443" s="10" t="e">
        <f t="shared" si="138"/>
        <v>#N/A</v>
      </c>
      <c r="Z443" s="10" t="e">
        <f t="shared" si="126"/>
        <v>#N/A</v>
      </c>
      <c r="AA443" s="10" t="e">
        <f t="shared" si="127"/>
        <v>#N/A</v>
      </c>
      <c r="AB443" s="10" t="e">
        <f t="shared" si="128"/>
        <v>#N/A</v>
      </c>
      <c r="AC443" s="10" t="e">
        <f t="shared" si="129"/>
        <v>#N/A</v>
      </c>
      <c r="AE443" s="10" t="str">
        <f t="shared" si="139"/>
        <v/>
      </c>
      <c r="AF443" s="10" t="str">
        <f t="shared" si="130"/>
        <v/>
      </c>
      <c r="AG443" s="10" t="str">
        <f t="shared" si="131"/>
        <v/>
      </c>
      <c r="AH443" s="10" t="str">
        <f t="shared" si="132"/>
        <v/>
      </c>
      <c r="AI443" s="10" t="str">
        <f t="shared" si="133"/>
        <v/>
      </c>
      <c r="AK443" s="10"/>
      <c r="AL443" s="10"/>
      <c r="AM443" s="10"/>
      <c r="AN443" s="10"/>
      <c r="AO443" s="10"/>
      <c r="AQ443" s="10"/>
      <c r="AR443" s="10"/>
      <c r="AS443" s="10"/>
      <c r="AT443" s="10"/>
      <c r="AU443" s="10"/>
      <c r="AW443" s="10" t="str">
        <f t="shared" si="140"/>
        <v/>
      </c>
      <c r="AX443" s="10" t="str">
        <f t="shared" si="134"/>
        <v/>
      </c>
      <c r="AY443" s="10" t="str">
        <f t="shared" si="135"/>
        <v/>
      </c>
      <c r="AZ443" s="10" t="str">
        <f t="shared" si="136"/>
        <v/>
      </c>
      <c r="BA443" s="10" t="str">
        <f t="shared" si="137"/>
        <v/>
      </c>
    </row>
    <row r="444" spans="6:53" x14ac:dyDescent="0.2">
      <c r="F444" s="10" t="str">
        <f t="shared" si="141"/>
        <v>2018/7/25</v>
      </c>
      <c r="G444" s="14">
        <v>43306</v>
      </c>
      <c r="H444" s="10">
        <v>5.5961431999999993</v>
      </c>
      <c r="I444" s="10">
        <v>-3.1037806999999997</v>
      </c>
      <c r="J444" s="10">
        <v>2.4923625000000005</v>
      </c>
      <c r="K444" s="10">
        <f t="shared" si="142"/>
        <v>2253.8980818000005</v>
      </c>
      <c r="L444" s="10">
        <f t="shared" si="143"/>
        <v>-1688.9286361999991</v>
      </c>
      <c r="M444" s="10">
        <f t="shared" si="144"/>
        <v>564.96944559999963</v>
      </c>
      <c r="N444" s="10">
        <v>23.908816315019223</v>
      </c>
      <c r="O444" s="10">
        <v>19.506266295264624</v>
      </c>
      <c r="P444" s="10">
        <v>3855.4556063199971</v>
      </c>
      <c r="Y444" s="10" t="e">
        <f t="shared" si="138"/>
        <v>#N/A</v>
      </c>
      <c r="Z444" s="10" t="e">
        <f t="shared" si="126"/>
        <v>#N/A</v>
      </c>
      <c r="AA444" s="10" t="e">
        <f t="shared" si="127"/>
        <v>#N/A</v>
      </c>
      <c r="AB444" s="10" t="e">
        <f t="shared" si="128"/>
        <v>#N/A</v>
      </c>
      <c r="AC444" s="10" t="e">
        <f t="shared" si="129"/>
        <v>#N/A</v>
      </c>
      <c r="AE444" s="10" t="str">
        <f t="shared" si="139"/>
        <v/>
      </c>
      <c r="AF444" s="10" t="str">
        <f t="shared" si="130"/>
        <v/>
      </c>
      <c r="AG444" s="10" t="str">
        <f t="shared" si="131"/>
        <v/>
      </c>
      <c r="AH444" s="10" t="str">
        <f t="shared" si="132"/>
        <v/>
      </c>
      <c r="AI444" s="10" t="str">
        <f t="shared" si="133"/>
        <v/>
      </c>
      <c r="AK444" s="10"/>
      <c r="AL444" s="10"/>
      <c r="AM444" s="10"/>
      <c r="AN444" s="10"/>
      <c r="AO444" s="10"/>
      <c r="AQ444" s="10"/>
      <c r="AR444" s="10"/>
      <c r="AS444" s="10"/>
      <c r="AT444" s="10"/>
      <c r="AU444" s="10"/>
      <c r="AW444" s="10" t="str">
        <f t="shared" si="140"/>
        <v/>
      </c>
      <c r="AX444" s="10" t="str">
        <f t="shared" si="134"/>
        <v/>
      </c>
      <c r="AY444" s="10" t="str">
        <f t="shared" si="135"/>
        <v/>
      </c>
      <c r="AZ444" s="10" t="str">
        <f t="shared" si="136"/>
        <v/>
      </c>
      <c r="BA444" s="10" t="str">
        <f t="shared" si="137"/>
        <v/>
      </c>
    </row>
    <row r="445" spans="6:53" x14ac:dyDescent="0.2">
      <c r="F445" s="10" t="str">
        <f t="shared" si="141"/>
        <v>2018/7/26</v>
      </c>
      <c r="G445" s="14">
        <v>43307</v>
      </c>
      <c r="H445" s="10">
        <v>4.5022680999999993</v>
      </c>
      <c r="I445" s="10">
        <v>-4.7516648999999997</v>
      </c>
      <c r="J445" s="10">
        <v>-0.24939679999999986</v>
      </c>
      <c r="K445" s="10">
        <f t="shared" si="142"/>
        <v>2258.4003499000005</v>
      </c>
      <c r="L445" s="10">
        <f t="shared" si="143"/>
        <v>-1693.680301099999</v>
      </c>
      <c r="M445" s="10">
        <f t="shared" si="144"/>
        <v>564.72004879999963</v>
      </c>
      <c r="N445" s="10">
        <v>23.727594525554583</v>
      </c>
      <c r="O445" s="10">
        <v>19.469530919220052</v>
      </c>
      <c r="P445" s="10">
        <v>3883.3473644200012</v>
      </c>
      <c r="Y445" s="10" t="e">
        <f t="shared" si="138"/>
        <v>#N/A</v>
      </c>
      <c r="Z445" s="10" t="e">
        <f t="shared" si="126"/>
        <v>#N/A</v>
      </c>
      <c r="AA445" s="10" t="e">
        <f t="shared" si="127"/>
        <v>#N/A</v>
      </c>
      <c r="AB445" s="10" t="e">
        <f t="shared" si="128"/>
        <v>#N/A</v>
      </c>
      <c r="AC445" s="10" t="e">
        <f t="shared" si="129"/>
        <v>#N/A</v>
      </c>
      <c r="AE445" s="10" t="str">
        <f t="shared" si="139"/>
        <v/>
      </c>
      <c r="AF445" s="10" t="str">
        <f t="shared" si="130"/>
        <v/>
      </c>
      <c r="AG445" s="10" t="str">
        <f t="shared" si="131"/>
        <v/>
      </c>
      <c r="AH445" s="10" t="str">
        <f t="shared" si="132"/>
        <v/>
      </c>
      <c r="AI445" s="10" t="str">
        <f t="shared" si="133"/>
        <v/>
      </c>
      <c r="AK445" s="10"/>
      <c r="AL445" s="10"/>
      <c r="AM445" s="10"/>
      <c r="AN445" s="10"/>
      <c r="AO445" s="10"/>
      <c r="AQ445" s="10"/>
      <c r="AR445" s="10"/>
      <c r="AS445" s="10"/>
      <c r="AT445" s="10"/>
      <c r="AU445" s="10"/>
      <c r="AW445" s="10" t="str">
        <f t="shared" si="140"/>
        <v/>
      </c>
      <c r="AX445" s="10" t="str">
        <f t="shared" si="134"/>
        <v/>
      </c>
      <c r="AY445" s="10" t="str">
        <f t="shared" si="135"/>
        <v/>
      </c>
      <c r="AZ445" s="10" t="str">
        <f t="shared" si="136"/>
        <v/>
      </c>
      <c r="BA445" s="10" t="str">
        <f t="shared" si="137"/>
        <v/>
      </c>
    </row>
    <row r="446" spans="6:53" x14ac:dyDescent="0.2">
      <c r="F446" s="10" t="str">
        <f t="shared" si="141"/>
        <v>2018/7/27</v>
      </c>
      <c r="G446" s="14">
        <v>43308</v>
      </c>
      <c r="H446" s="10">
        <v>6.5922470000000004</v>
      </c>
      <c r="I446" s="10">
        <v>-4.4705158000000003</v>
      </c>
      <c r="J446" s="10">
        <v>2.1217311999999993</v>
      </c>
      <c r="K446" s="10">
        <f t="shared" si="142"/>
        <v>2264.9925969000005</v>
      </c>
      <c r="L446" s="10">
        <f t="shared" si="143"/>
        <v>-1698.150816899999</v>
      </c>
      <c r="M446" s="10">
        <f t="shared" si="144"/>
        <v>566.84177999999963</v>
      </c>
      <c r="N446" s="10">
        <v>23.2348000565419</v>
      </c>
      <c r="O446" s="10">
        <v>19.171405013927579</v>
      </c>
      <c r="P446" s="10">
        <v>3879.1580657199997</v>
      </c>
      <c r="Y446" s="10" t="e">
        <f t="shared" si="138"/>
        <v>#N/A</v>
      </c>
      <c r="Z446" s="10" t="e">
        <f t="shared" si="126"/>
        <v>#N/A</v>
      </c>
      <c r="AA446" s="10" t="e">
        <f t="shared" si="127"/>
        <v>#N/A</v>
      </c>
      <c r="AB446" s="10" t="e">
        <f t="shared" si="128"/>
        <v>#N/A</v>
      </c>
      <c r="AC446" s="10" t="e">
        <f t="shared" si="129"/>
        <v>#N/A</v>
      </c>
      <c r="AE446" s="10" t="str">
        <f t="shared" si="139"/>
        <v/>
      </c>
      <c r="AF446" s="10" t="str">
        <f t="shared" si="130"/>
        <v/>
      </c>
      <c r="AG446" s="10" t="str">
        <f t="shared" si="131"/>
        <v/>
      </c>
      <c r="AH446" s="10" t="str">
        <f t="shared" si="132"/>
        <v/>
      </c>
      <c r="AI446" s="10" t="str">
        <f t="shared" si="133"/>
        <v/>
      </c>
      <c r="AK446" s="10"/>
      <c r="AL446" s="10"/>
      <c r="AM446" s="10"/>
      <c r="AN446" s="10"/>
      <c r="AO446" s="10"/>
      <c r="AQ446" s="10"/>
      <c r="AR446" s="10"/>
      <c r="AS446" s="10"/>
      <c r="AT446" s="10"/>
      <c r="AU446" s="10"/>
      <c r="AW446" s="10" t="str">
        <f t="shared" si="140"/>
        <v/>
      </c>
      <c r="AX446" s="10" t="str">
        <f t="shared" si="134"/>
        <v/>
      </c>
      <c r="AY446" s="10" t="str">
        <f t="shared" si="135"/>
        <v/>
      </c>
      <c r="AZ446" s="10" t="str">
        <f t="shared" si="136"/>
        <v/>
      </c>
      <c r="BA446" s="10" t="str">
        <f t="shared" si="137"/>
        <v/>
      </c>
    </row>
    <row r="447" spans="6:53" x14ac:dyDescent="0.2">
      <c r="F447" s="10" t="str">
        <f t="shared" si="141"/>
        <v>2018/7/30</v>
      </c>
      <c r="G447" s="14">
        <v>43311</v>
      </c>
      <c r="H447" s="10">
        <v>3.8870612000000002</v>
      </c>
      <c r="I447" s="10">
        <v>-4.7069638000000005</v>
      </c>
      <c r="J447" s="10">
        <v>-0.81990259999999993</v>
      </c>
      <c r="K447" s="10">
        <f t="shared" si="142"/>
        <v>2268.8796581000006</v>
      </c>
      <c r="L447" s="10">
        <f t="shared" si="143"/>
        <v>-1702.857780699999</v>
      </c>
      <c r="M447" s="10">
        <f t="shared" si="144"/>
        <v>566.02187739999965</v>
      </c>
      <c r="N447" s="10">
        <v>22.700907087210464</v>
      </c>
      <c r="O447" s="10">
        <v>18.882967130919212</v>
      </c>
      <c r="P447" s="10">
        <v>3868.0369429200009</v>
      </c>
      <c r="Y447" s="10" t="e">
        <f t="shared" si="138"/>
        <v>#N/A</v>
      </c>
      <c r="Z447" s="10" t="e">
        <f t="shared" si="126"/>
        <v>#N/A</v>
      </c>
      <c r="AA447" s="10" t="e">
        <f t="shared" si="127"/>
        <v>#N/A</v>
      </c>
      <c r="AB447" s="10" t="e">
        <f t="shared" si="128"/>
        <v>#N/A</v>
      </c>
      <c r="AC447" s="10" t="e">
        <f t="shared" si="129"/>
        <v>#N/A</v>
      </c>
      <c r="AE447" s="10" t="str">
        <f t="shared" si="139"/>
        <v/>
      </c>
      <c r="AF447" s="10" t="str">
        <f t="shared" si="130"/>
        <v/>
      </c>
      <c r="AG447" s="10" t="str">
        <f t="shared" si="131"/>
        <v/>
      </c>
      <c r="AH447" s="10" t="str">
        <f t="shared" si="132"/>
        <v/>
      </c>
      <c r="AI447" s="10" t="str">
        <f t="shared" si="133"/>
        <v/>
      </c>
      <c r="AK447" s="10"/>
      <c r="AL447" s="10"/>
      <c r="AM447" s="10"/>
      <c r="AN447" s="10"/>
      <c r="AO447" s="10"/>
      <c r="AQ447" s="10"/>
      <c r="AR447" s="10"/>
      <c r="AS447" s="10"/>
      <c r="AT447" s="10"/>
      <c r="AU447" s="10"/>
      <c r="AW447" s="10" t="str">
        <f t="shared" si="140"/>
        <v/>
      </c>
      <c r="AX447" s="10" t="str">
        <f t="shared" si="134"/>
        <v/>
      </c>
      <c r="AY447" s="10" t="str">
        <f t="shared" si="135"/>
        <v/>
      </c>
      <c r="AZ447" s="10" t="str">
        <f t="shared" si="136"/>
        <v/>
      </c>
      <c r="BA447" s="10" t="str">
        <f t="shared" si="137"/>
        <v/>
      </c>
    </row>
    <row r="448" spans="6:53" x14ac:dyDescent="0.2">
      <c r="F448" s="10" t="str">
        <f t="shared" si="141"/>
        <v>2018/7/31</v>
      </c>
      <c r="G448" s="14">
        <v>43312</v>
      </c>
      <c r="H448" s="10">
        <v>6.0553769999999991</v>
      </c>
      <c r="I448" s="10">
        <v>-5.4333424999999993</v>
      </c>
      <c r="J448" s="10">
        <v>0.62203450000000005</v>
      </c>
      <c r="K448" s="10">
        <f t="shared" si="142"/>
        <v>2274.9350351000007</v>
      </c>
      <c r="L448" s="10">
        <f t="shared" si="143"/>
        <v>-1708.291123199999</v>
      </c>
      <c r="M448" s="10">
        <f t="shared" si="144"/>
        <v>566.64391189999969</v>
      </c>
      <c r="N448" s="10">
        <v>23.101998411569635</v>
      </c>
      <c r="O448" s="10">
        <v>19.24208607242339</v>
      </c>
      <c r="P448" s="10">
        <v>3853.5203421199985</v>
      </c>
      <c r="Y448" s="10" t="e">
        <f t="shared" si="138"/>
        <v>#N/A</v>
      </c>
      <c r="Z448" s="10" t="e">
        <f t="shared" si="126"/>
        <v>#N/A</v>
      </c>
      <c r="AA448" s="10" t="e">
        <f t="shared" si="127"/>
        <v>#N/A</v>
      </c>
      <c r="AB448" s="10" t="e">
        <f t="shared" si="128"/>
        <v>#N/A</v>
      </c>
      <c r="AC448" s="10" t="e">
        <f t="shared" si="129"/>
        <v>#N/A</v>
      </c>
      <c r="AE448" s="10" t="str">
        <f t="shared" si="139"/>
        <v/>
      </c>
      <c r="AF448" s="10" t="str">
        <f t="shared" si="130"/>
        <v/>
      </c>
      <c r="AG448" s="10" t="str">
        <f t="shared" si="131"/>
        <v/>
      </c>
      <c r="AH448" s="10" t="str">
        <f t="shared" si="132"/>
        <v/>
      </c>
      <c r="AI448" s="10" t="str">
        <f t="shared" si="133"/>
        <v/>
      </c>
      <c r="AK448" s="10"/>
      <c r="AL448" s="10"/>
      <c r="AM448" s="10"/>
      <c r="AN448" s="10"/>
      <c r="AO448" s="10"/>
      <c r="AQ448" s="10"/>
      <c r="AR448" s="10"/>
      <c r="AS448" s="10"/>
      <c r="AT448" s="10"/>
      <c r="AU448" s="10"/>
      <c r="AW448" s="10" t="str">
        <f t="shared" si="140"/>
        <v/>
      </c>
      <c r="AX448" s="10" t="str">
        <f t="shared" si="134"/>
        <v/>
      </c>
      <c r="AY448" s="10" t="str">
        <f t="shared" si="135"/>
        <v/>
      </c>
      <c r="AZ448" s="10" t="str">
        <f t="shared" si="136"/>
        <v/>
      </c>
      <c r="BA448" s="10" t="str">
        <f t="shared" si="137"/>
        <v/>
      </c>
    </row>
    <row r="449" spans="6:53" x14ac:dyDescent="0.2">
      <c r="F449" s="10" t="str">
        <f t="shared" si="141"/>
        <v>2018/8/1</v>
      </c>
      <c r="G449" s="14">
        <v>43313</v>
      </c>
      <c r="H449" s="10">
        <v>4.9787908999999999</v>
      </c>
      <c r="I449" s="10">
        <v>-5.1455757999999987</v>
      </c>
      <c r="J449" s="10">
        <v>-0.16678489999999979</v>
      </c>
      <c r="K449" s="10">
        <f t="shared" si="142"/>
        <v>2279.9138260000009</v>
      </c>
      <c r="L449" s="10">
        <f t="shared" si="143"/>
        <v>-1713.436698999999</v>
      </c>
      <c r="M449" s="10">
        <f t="shared" si="144"/>
        <v>566.47712699999965</v>
      </c>
      <c r="N449" s="10">
        <v>22.927923597673644</v>
      </c>
      <c r="O449" s="10">
        <v>18.876710445682463</v>
      </c>
      <c r="P449" s="10">
        <v>3865.5630565199976</v>
      </c>
      <c r="Y449" s="10" t="e">
        <f t="shared" si="138"/>
        <v>#N/A</v>
      </c>
      <c r="Z449" s="10" t="e">
        <f t="shared" si="126"/>
        <v>#N/A</v>
      </c>
      <c r="AA449" s="10" t="e">
        <f t="shared" si="127"/>
        <v>#N/A</v>
      </c>
      <c r="AB449" s="10" t="e">
        <f t="shared" si="128"/>
        <v>#N/A</v>
      </c>
      <c r="AC449" s="10" t="e">
        <f t="shared" si="129"/>
        <v>#N/A</v>
      </c>
      <c r="AE449" s="10" t="str">
        <f t="shared" si="139"/>
        <v/>
      </c>
      <c r="AF449" s="10" t="str">
        <f t="shared" si="130"/>
        <v/>
      </c>
      <c r="AG449" s="10" t="str">
        <f t="shared" si="131"/>
        <v/>
      </c>
      <c r="AH449" s="10" t="str">
        <f t="shared" si="132"/>
        <v/>
      </c>
      <c r="AI449" s="10" t="str">
        <f t="shared" si="133"/>
        <v/>
      </c>
      <c r="AK449" s="10"/>
      <c r="AL449" s="10"/>
      <c r="AM449" s="10"/>
      <c r="AN449" s="10"/>
      <c r="AO449" s="10"/>
      <c r="AQ449" s="10"/>
      <c r="AR449" s="10"/>
      <c r="AS449" s="10"/>
      <c r="AT449" s="10"/>
      <c r="AU449" s="10"/>
      <c r="AW449" s="10" t="str">
        <f t="shared" si="140"/>
        <v/>
      </c>
      <c r="AX449" s="10" t="str">
        <f t="shared" si="134"/>
        <v/>
      </c>
      <c r="AY449" s="10" t="str">
        <f t="shared" si="135"/>
        <v/>
      </c>
      <c r="AZ449" s="10" t="str">
        <f t="shared" si="136"/>
        <v/>
      </c>
      <c r="BA449" s="10" t="str">
        <f t="shared" si="137"/>
        <v/>
      </c>
    </row>
    <row r="450" spans="6:53" x14ac:dyDescent="0.2">
      <c r="F450" s="10" t="str">
        <f t="shared" si="141"/>
        <v>2018/8/2</v>
      </c>
      <c r="G450" s="14">
        <v>43314</v>
      </c>
      <c r="H450" s="10">
        <v>5.6156094999999997</v>
      </c>
      <c r="I450" s="10">
        <v>-6.4639550999999997</v>
      </c>
      <c r="J450" s="10">
        <v>-0.84834560000000203</v>
      </c>
      <c r="K450" s="10">
        <f t="shared" si="142"/>
        <v>2285.529435500001</v>
      </c>
      <c r="L450" s="10">
        <f t="shared" si="143"/>
        <v>-1719.900654099999</v>
      </c>
      <c r="M450" s="10">
        <f t="shared" si="144"/>
        <v>565.62878139999964</v>
      </c>
      <c r="N450" s="10">
        <v>22.936185658902652</v>
      </c>
      <c r="O450" s="10">
        <v>18.607753481894157</v>
      </c>
      <c r="P450" s="10">
        <v>3864.427890389999</v>
      </c>
      <c r="Y450" s="10" t="e">
        <f t="shared" si="138"/>
        <v>#N/A</v>
      </c>
      <c r="Z450" s="10" t="e">
        <f t="shared" si="126"/>
        <v>#N/A</v>
      </c>
      <c r="AA450" s="10" t="e">
        <f t="shared" si="127"/>
        <v>#N/A</v>
      </c>
      <c r="AB450" s="10" t="e">
        <f t="shared" si="128"/>
        <v>#N/A</v>
      </c>
      <c r="AC450" s="10" t="e">
        <f t="shared" si="129"/>
        <v>#N/A</v>
      </c>
      <c r="AE450" s="10" t="str">
        <f t="shared" si="139"/>
        <v/>
      </c>
      <c r="AF450" s="10" t="str">
        <f t="shared" si="130"/>
        <v/>
      </c>
      <c r="AG450" s="10" t="str">
        <f t="shared" si="131"/>
        <v/>
      </c>
      <c r="AH450" s="10" t="str">
        <f t="shared" si="132"/>
        <v/>
      </c>
      <c r="AI450" s="10" t="str">
        <f t="shared" si="133"/>
        <v/>
      </c>
      <c r="AK450" s="10"/>
      <c r="AL450" s="10"/>
      <c r="AM450" s="10"/>
      <c r="AN450" s="10"/>
      <c r="AO450" s="10"/>
      <c r="AQ450" s="10"/>
      <c r="AR450" s="10"/>
      <c r="AS450" s="10"/>
      <c r="AT450" s="10"/>
      <c r="AU450" s="10"/>
      <c r="AW450" s="10" t="str">
        <f t="shared" si="140"/>
        <v/>
      </c>
      <c r="AX450" s="10" t="str">
        <f t="shared" si="134"/>
        <v/>
      </c>
      <c r="AY450" s="10" t="str">
        <f t="shared" si="135"/>
        <v/>
      </c>
      <c r="AZ450" s="10" t="str">
        <f t="shared" si="136"/>
        <v/>
      </c>
      <c r="BA450" s="10" t="str">
        <f t="shared" si="137"/>
        <v/>
      </c>
    </row>
    <row r="451" spans="6:53" x14ac:dyDescent="0.2">
      <c r="F451" s="10" t="str">
        <f t="shared" si="141"/>
        <v>2018/8/3</v>
      </c>
      <c r="G451" s="14">
        <v>43315</v>
      </c>
      <c r="H451" s="10">
        <v>3.3951973000000004</v>
      </c>
      <c r="I451" s="10">
        <v>-3.6858521999999998</v>
      </c>
      <c r="J451" s="10">
        <v>-0.29065489999999972</v>
      </c>
      <c r="K451" s="10">
        <f t="shared" si="142"/>
        <v>2288.9246328000008</v>
      </c>
      <c r="L451" s="10">
        <f t="shared" si="143"/>
        <v>-1723.586506299999</v>
      </c>
      <c r="M451" s="10">
        <f t="shared" si="144"/>
        <v>565.33812649999959</v>
      </c>
      <c r="N451" s="10">
        <v>23.29904675563504</v>
      </c>
      <c r="O451" s="10">
        <v>18.924915877437332</v>
      </c>
      <c r="P451" s="10">
        <v>3855.7059873200005</v>
      </c>
      <c r="Y451" s="10" t="e">
        <f t="shared" si="138"/>
        <v>#N/A</v>
      </c>
      <c r="Z451" s="10" t="e">
        <f t="shared" si="126"/>
        <v>#N/A</v>
      </c>
      <c r="AA451" s="10" t="e">
        <f t="shared" si="127"/>
        <v>#N/A</v>
      </c>
      <c r="AB451" s="10" t="e">
        <f t="shared" si="128"/>
        <v>#N/A</v>
      </c>
      <c r="AC451" s="10" t="e">
        <f t="shared" si="129"/>
        <v>#N/A</v>
      </c>
      <c r="AE451" s="10" t="str">
        <f t="shared" si="139"/>
        <v/>
      </c>
      <c r="AF451" s="10" t="str">
        <f t="shared" si="130"/>
        <v/>
      </c>
      <c r="AG451" s="10" t="str">
        <f t="shared" si="131"/>
        <v/>
      </c>
      <c r="AH451" s="10" t="str">
        <f t="shared" si="132"/>
        <v/>
      </c>
      <c r="AI451" s="10" t="str">
        <f t="shared" si="133"/>
        <v/>
      </c>
      <c r="AK451" s="10"/>
      <c r="AL451" s="10"/>
      <c r="AM451" s="10"/>
      <c r="AN451" s="10"/>
      <c r="AO451" s="10"/>
      <c r="AQ451" s="10"/>
      <c r="AR451" s="10"/>
      <c r="AS451" s="10"/>
      <c r="AT451" s="10"/>
      <c r="AU451" s="10"/>
      <c r="AW451" s="10" t="str">
        <f t="shared" si="140"/>
        <v/>
      </c>
      <c r="AX451" s="10" t="str">
        <f t="shared" si="134"/>
        <v/>
      </c>
      <c r="AY451" s="10" t="str">
        <f t="shared" si="135"/>
        <v/>
      </c>
      <c r="AZ451" s="10" t="str">
        <f t="shared" si="136"/>
        <v/>
      </c>
      <c r="BA451" s="10" t="str">
        <f t="shared" si="137"/>
        <v/>
      </c>
    </row>
    <row r="452" spans="6:53" x14ac:dyDescent="0.2">
      <c r="F452" s="10" t="str">
        <f t="shared" si="141"/>
        <v>2018/8/6</v>
      </c>
      <c r="G452" s="14">
        <v>43318</v>
      </c>
      <c r="H452" s="10">
        <v>3.3282247999999992</v>
      </c>
      <c r="I452" s="10">
        <v>-2.4824961000000001</v>
      </c>
      <c r="J452" s="10">
        <v>0.84572870000000011</v>
      </c>
      <c r="K452" s="10">
        <f t="shared" si="142"/>
        <v>2292.2528576000009</v>
      </c>
      <c r="L452" s="10">
        <f t="shared" si="143"/>
        <v>-1726.0690023999989</v>
      </c>
      <c r="M452" s="10">
        <f t="shared" si="144"/>
        <v>566.18385519999958</v>
      </c>
      <c r="N452" s="10">
        <v>23.390989135304451</v>
      </c>
      <c r="O452" s="10">
        <v>18.865127019498608</v>
      </c>
      <c r="P452" s="10">
        <v>3866.7508918199992</v>
      </c>
      <c r="Y452" s="10" t="e">
        <f t="shared" si="138"/>
        <v>#N/A</v>
      </c>
      <c r="Z452" s="10" t="e">
        <f t="shared" si="126"/>
        <v>#N/A</v>
      </c>
      <c r="AA452" s="10" t="e">
        <f t="shared" si="127"/>
        <v>#N/A</v>
      </c>
      <c r="AB452" s="10" t="e">
        <f t="shared" si="128"/>
        <v>#N/A</v>
      </c>
      <c r="AC452" s="10" t="e">
        <f t="shared" si="129"/>
        <v>#N/A</v>
      </c>
      <c r="AE452" s="10" t="str">
        <f t="shared" si="139"/>
        <v/>
      </c>
      <c r="AF452" s="10" t="str">
        <f t="shared" si="130"/>
        <v/>
      </c>
      <c r="AG452" s="10" t="str">
        <f t="shared" si="131"/>
        <v/>
      </c>
      <c r="AH452" s="10" t="str">
        <f t="shared" si="132"/>
        <v/>
      </c>
      <c r="AI452" s="10" t="str">
        <f t="shared" si="133"/>
        <v/>
      </c>
      <c r="AK452" s="10"/>
      <c r="AL452" s="10"/>
      <c r="AM452" s="10"/>
      <c r="AN452" s="10"/>
      <c r="AO452" s="10"/>
      <c r="AQ452" s="10"/>
      <c r="AR452" s="10"/>
      <c r="AS452" s="10"/>
      <c r="AT452" s="10"/>
      <c r="AU452" s="10"/>
      <c r="AW452" s="10" t="str">
        <f t="shared" si="140"/>
        <v/>
      </c>
      <c r="AX452" s="10" t="str">
        <f t="shared" si="134"/>
        <v/>
      </c>
      <c r="AY452" s="10" t="str">
        <f t="shared" si="135"/>
        <v/>
      </c>
      <c r="AZ452" s="10" t="str">
        <f t="shared" si="136"/>
        <v/>
      </c>
      <c r="BA452" s="10" t="str">
        <f t="shared" si="137"/>
        <v/>
      </c>
    </row>
    <row r="453" spans="6:53" x14ac:dyDescent="0.2">
      <c r="F453" s="10" t="str">
        <f t="shared" si="141"/>
        <v>2018/8/7</v>
      </c>
      <c r="G453" s="14">
        <v>43319</v>
      </c>
      <c r="H453" s="10">
        <v>6.7529239000000016</v>
      </c>
      <c r="I453" s="10">
        <v>-1.7156007</v>
      </c>
      <c r="J453" s="10">
        <v>5.0373232000000003</v>
      </c>
      <c r="K453" s="10">
        <f t="shared" si="142"/>
        <v>2299.0057815000009</v>
      </c>
      <c r="L453" s="10">
        <f t="shared" si="143"/>
        <v>-1727.784603099999</v>
      </c>
      <c r="M453" s="10">
        <f t="shared" si="144"/>
        <v>571.22117839999953</v>
      </c>
      <c r="N453" s="10">
        <v>23.919813032944351</v>
      </c>
      <c r="O453" s="10">
        <v>19.37967075208913</v>
      </c>
      <c r="P453" s="10">
        <v>3869.3204166200012</v>
      </c>
      <c r="Y453" s="10" t="e">
        <f t="shared" si="138"/>
        <v>#N/A</v>
      </c>
      <c r="Z453" s="10" t="e">
        <f t="shared" si="126"/>
        <v>#N/A</v>
      </c>
      <c r="AA453" s="10" t="e">
        <f t="shared" si="127"/>
        <v>#N/A</v>
      </c>
      <c r="AB453" s="10" t="e">
        <f t="shared" si="128"/>
        <v>#N/A</v>
      </c>
      <c r="AC453" s="10" t="e">
        <f t="shared" si="129"/>
        <v>#N/A</v>
      </c>
      <c r="AE453" s="10" t="str">
        <f t="shared" si="139"/>
        <v/>
      </c>
      <c r="AF453" s="10" t="str">
        <f t="shared" si="130"/>
        <v/>
      </c>
      <c r="AG453" s="10" t="str">
        <f t="shared" si="131"/>
        <v/>
      </c>
      <c r="AH453" s="10" t="str">
        <f t="shared" si="132"/>
        <v/>
      </c>
      <c r="AI453" s="10" t="str">
        <f t="shared" si="133"/>
        <v/>
      </c>
      <c r="AK453" s="10"/>
      <c r="AL453" s="10"/>
      <c r="AM453" s="10"/>
      <c r="AN453" s="10"/>
      <c r="AO453" s="10"/>
      <c r="AQ453" s="10"/>
      <c r="AR453" s="10"/>
      <c r="AS453" s="10"/>
      <c r="AT453" s="10"/>
      <c r="AU453" s="10"/>
      <c r="AW453" s="10" t="str">
        <f t="shared" si="140"/>
        <v/>
      </c>
      <c r="AX453" s="10" t="str">
        <f t="shared" si="134"/>
        <v/>
      </c>
      <c r="AY453" s="10" t="str">
        <f t="shared" si="135"/>
        <v/>
      </c>
      <c r="AZ453" s="10" t="str">
        <f t="shared" si="136"/>
        <v/>
      </c>
      <c r="BA453" s="10" t="str">
        <f t="shared" si="137"/>
        <v/>
      </c>
    </row>
    <row r="454" spans="6:53" x14ac:dyDescent="0.2">
      <c r="F454" s="10" t="str">
        <f t="shared" si="141"/>
        <v>2018/8/8</v>
      </c>
      <c r="G454" s="14">
        <v>43320</v>
      </c>
      <c r="H454" s="10">
        <v>7.9404599999999999</v>
      </c>
      <c r="I454" s="10">
        <v>-3.0736892000000005</v>
      </c>
      <c r="J454" s="10">
        <v>4.8667708000000021</v>
      </c>
      <c r="K454" s="10">
        <f t="shared" si="142"/>
        <v>2306.9462415000007</v>
      </c>
      <c r="L454" s="10">
        <f t="shared" si="143"/>
        <v>-1730.858292299999</v>
      </c>
      <c r="M454" s="10">
        <f t="shared" si="144"/>
        <v>576.08794919999957</v>
      </c>
      <c r="N454" s="10">
        <v>23.868856285689947</v>
      </c>
      <c r="O454" s="10">
        <v>19.225703899721449</v>
      </c>
      <c r="P454" s="10">
        <v>3889.4128352199996</v>
      </c>
      <c r="Y454" s="10" t="e">
        <f t="shared" si="138"/>
        <v>#N/A</v>
      </c>
      <c r="Z454" s="10" t="e">
        <f t="shared" si="126"/>
        <v>#N/A</v>
      </c>
      <c r="AA454" s="10" t="e">
        <f t="shared" si="127"/>
        <v>#N/A</v>
      </c>
      <c r="AB454" s="10" t="e">
        <f t="shared" si="128"/>
        <v>#N/A</v>
      </c>
      <c r="AC454" s="10" t="e">
        <f t="shared" si="129"/>
        <v>#N/A</v>
      </c>
      <c r="AE454" s="10" t="str">
        <f t="shared" si="139"/>
        <v/>
      </c>
      <c r="AF454" s="10" t="str">
        <f t="shared" si="130"/>
        <v/>
      </c>
      <c r="AG454" s="10" t="str">
        <f t="shared" si="131"/>
        <v/>
      </c>
      <c r="AH454" s="10" t="str">
        <f t="shared" si="132"/>
        <v/>
      </c>
      <c r="AI454" s="10" t="str">
        <f t="shared" si="133"/>
        <v/>
      </c>
      <c r="AK454" s="10"/>
      <c r="AL454" s="10"/>
      <c r="AM454" s="10"/>
      <c r="AN454" s="10"/>
      <c r="AO454" s="10"/>
      <c r="AQ454" s="10"/>
      <c r="AR454" s="10"/>
      <c r="AS454" s="10"/>
      <c r="AT454" s="10"/>
      <c r="AU454" s="10"/>
      <c r="AW454" s="10" t="str">
        <f t="shared" si="140"/>
        <v/>
      </c>
      <c r="AX454" s="10" t="str">
        <f t="shared" si="134"/>
        <v/>
      </c>
      <c r="AY454" s="10" t="str">
        <f t="shared" si="135"/>
        <v/>
      </c>
      <c r="AZ454" s="10" t="str">
        <f t="shared" si="136"/>
        <v/>
      </c>
      <c r="BA454" s="10" t="str">
        <f t="shared" si="137"/>
        <v/>
      </c>
    </row>
    <row r="455" spans="6:53" x14ac:dyDescent="0.2">
      <c r="F455" s="10" t="str">
        <f t="shared" si="141"/>
        <v>2018/8/9</v>
      </c>
      <c r="G455" s="14">
        <v>43321</v>
      </c>
      <c r="H455" s="10">
        <v>5.3603859999999992</v>
      </c>
      <c r="I455" s="10">
        <v>-3.2951289000000004</v>
      </c>
      <c r="J455" s="10">
        <v>2.0652571000000002</v>
      </c>
      <c r="K455" s="10">
        <f t="shared" si="142"/>
        <v>2312.3066275000006</v>
      </c>
      <c r="L455" s="10">
        <f t="shared" si="143"/>
        <v>-1734.153421199999</v>
      </c>
      <c r="M455" s="10">
        <f t="shared" si="144"/>
        <v>578.15320629999962</v>
      </c>
      <c r="N455" s="10">
        <v>23.756373888733204</v>
      </c>
      <c r="O455" s="10">
        <v>19.193750139275757</v>
      </c>
      <c r="P455" s="10">
        <v>3891.8959570200009</v>
      </c>
      <c r="Y455" s="10" t="e">
        <f t="shared" si="138"/>
        <v>#N/A</v>
      </c>
      <c r="Z455" s="10" t="e">
        <f t="shared" si="126"/>
        <v>#N/A</v>
      </c>
      <c r="AA455" s="10" t="e">
        <f t="shared" si="127"/>
        <v>#N/A</v>
      </c>
      <c r="AB455" s="10" t="e">
        <f t="shared" si="128"/>
        <v>#N/A</v>
      </c>
      <c r="AC455" s="10" t="e">
        <f t="shared" si="129"/>
        <v>#N/A</v>
      </c>
      <c r="AE455" s="10" t="str">
        <f t="shared" si="139"/>
        <v/>
      </c>
      <c r="AF455" s="10" t="str">
        <f t="shared" si="130"/>
        <v/>
      </c>
      <c r="AG455" s="10" t="str">
        <f t="shared" si="131"/>
        <v/>
      </c>
      <c r="AH455" s="10" t="str">
        <f t="shared" si="132"/>
        <v/>
      </c>
      <c r="AI455" s="10" t="str">
        <f t="shared" si="133"/>
        <v/>
      </c>
      <c r="AK455" s="10"/>
      <c r="AL455" s="10"/>
      <c r="AM455" s="10"/>
      <c r="AN455" s="10"/>
      <c r="AO455" s="10"/>
      <c r="AQ455" s="10"/>
      <c r="AR455" s="10"/>
      <c r="AS455" s="10"/>
      <c r="AT455" s="10"/>
      <c r="AU455" s="10"/>
      <c r="AW455" s="10" t="str">
        <f t="shared" si="140"/>
        <v/>
      </c>
      <c r="AX455" s="10" t="str">
        <f t="shared" si="134"/>
        <v/>
      </c>
      <c r="AY455" s="10" t="str">
        <f t="shared" si="135"/>
        <v/>
      </c>
      <c r="AZ455" s="10" t="str">
        <f t="shared" si="136"/>
        <v/>
      </c>
      <c r="BA455" s="10" t="str">
        <f t="shared" si="137"/>
        <v/>
      </c>
    </row>
    <row r="456" spans="6:53" x14ac:dyDescent="0.2">
      <c r="F456" s="10" t="str">
        <f t="shared" si="141"/>
        <v>2018/8/10</v>
      </c>
      <c r="G456" s="14">
        <v>43322</v>
      </c>
      <c r="H456" s="10">
        <v>2.6347654999999999</v>
      </c>
      <c r="I456" s="10">
        <v>-8.1245378000000006</v>
      </c>
      <c r="J456" s="10">
        <v>-5.4897723000000012</v>
      </c>
      <c r="K456" s="10">
        <f t="shared" si="142"/>
        <v>2314.9413930000005</v>
      </c>
      <c r="L456" s="10">
        <f t="shared" si="143"/>
        <v>-1742.2779589999991</v>
      </c>
      <c r="M456" s="10">
        <f t="shared" si="144"/>
        <v>572.6634339999996</v>
      </c>
      <c r="N456" s="10">
        <v>22.66359008900978</v>
      </c>
      <c r="O456" s="10">
        <v>18.057101114206134</v>
      </c>
      <c r="P456" s="10">
        <v>3890.8025513199996</v>
      </c>
      <c r="Y456" s="10" t="e">
        <f t="shared" si="138"/>
        <v>#N/A</v>
      </c>
      <c r="Z456" s="10" t="e">
        <f t="shared" si="126"/>
        <v>#N/A</v>
      </c>
      <c r="AA456" s="10" t="e">
        <f t="shared" si="127"/>
        <v>#N/A</v>
      </c>
      <c r="AB456" s="10" t="e">
        <f t="shared" si="128"/>
        <v>#N/A</v>
      </c>
      <c r="AC456" s="10" t="e">
        <f t="shared" si="129"/>
        <v>#N/A</v>
      </c>
      <c r="AE456" s="10" t="str">
        <f t="shared" si="139"/>
        <v/>
      </c>
      <c r="AF456" s="10" t="str">
        <f t="shared" si="130"/>
        <v/>
      </c>
      <c r="AG456" s="10" t="str">
        <f t="shared" si="131"/>
        <v/>
      </c>
      <c r="AH456" s="10" t="str">
        <f t="shared" si="132"/>
        <v/>
      </c>
      <c r="AI456" s="10" t="str">
        <f t="shared" si="133"/>
        <v/>
      </c>
      <c r="AK456" s="10"/>
      <c r="AL456" s="10"/>
      <c r="AM456" s="10"/>
      <c r="AN456" s="10"/>
      <c r="AO456" s="10"/>
      <c r="AQ456" s="10"/>
      <c r="AR456" s="10"/>
      <c r="AS456" s="10"/>
      <c r="AT456" s="10"/>
      <c r="AU456" s="10"/>
      <c r="AW456" s="10" t="str">
        <f t="shared" si="140"/>
        <v/>
      </c>
      <c r="AX456" s="10" t="str">
        <f t="shared" si="134"/>
        <v/>
      </c>
      <c r="AY456" s="10" t="str">
        <f t="shared" si="135"/>
        <v/>
      </c>
      <c r="AZ456" s="10" t="str">
        <f t="shared" si="136"/>
        <v/>
      </c>
      <c r="BA456" s="10" t="str">
        <f t="shared" si="137"/>
        <v/>
      </c>
    </row>
    <row r="457" spans="6:53" x14ac:dyDescent="0.2">
      <c r="F457" s="10" t="str">
        <f t="shared" si="141"/>
        <v>2018/8/13</v>
      </c>
      <c r="G457" s="14">
        <v>43325</v>
      </c>
      <c r="H457" s="10">
        <v>6.1244457000000008</v>
      </c>
      <c r="I457" s="10">
        <v>-5.1304761999999995</v>
      </c>
      <c r="J457" s="10">
        <v>0.99396949999999984</v>
      </c>
      <c r="K457" s="10">
        <f t="shared" si="142"/>
        <v>2321.0658387000003</v>
      </c>
      <c r="L457" s="10">
        <f t="shared" si="143"/>
        <v>-1747.4084351999991</v>
      </c>
      <c r="M457" s="10">
        <f t="shared" si="144"/>
        <v>573.65740349999965</v>
      </c>
      <c r="N457" s="10">
        <v>21.945026588063566</v>
      </c>
      <c r="O457" s="10">
        <v>17.360654038997222</v>
      </c>
      <c r="P457" s="10">
        <v>3852.61585612</v>
      </c>
      <c r="Y457" s="10" t="e">
        <f t="shared" si="138"/>
        <v>#N/A</v>
      </c>
      <c r="Z457" s="10" t="e">
        <f t="shared" si="126"/>
        <v>#N/A</v>
      </c>
      <c r="AA457" s="10" t="e">
        <f t="shared" si="127"/>
        <v>#N/A</v>
      </c>
      <c r="AB457" s="10" t="e">
        <f t="shared" si="128"/>
        <v>#N/A</v>
      </c>
      <c r="AC457" s="10" t="e">
        <f t="shared" si="129"/>
        <v>#N/A</v>
      </c>
      <c r="AE457" s="10" t="str">
        <f t="shared" si="139"/>
        <v/>
      </c>
      <c r="AF457" s="10" t="str">
        <f t="shared" si="130"/>
        <v/>
      </c>
      <c r="AG457" s="10" t="str">
        <f t="shared" si="131"/>
        <v/>
      </c>
      <c r="AH457" s="10" t="str">
        <f t="shared" si="132"/>
        <v/>
      </c>
      <c r="AI457" s="10" t="str">
        <f t="shared" si="133"/>
        <v/>
      </c>
      <c r="AK457" s="10"/>
      <c r="AL457" s="10"/>
      <c r="AM457" s="10"/>
      <c r="AN457" s="10"/>
      <c r="AO457" s="10"/>
      <c r="AQ457" s="10"/>
      <c r="AR457" s="10"/>
      <c r="AS457" s="10"/>
      <c r="AT457" s="10"/>
      <c r="AU457" s="10"/>
      <c r="AW457" s="10" t="str">
        <f t="shared" si="140"/>
        <v/>
      </c>
      <c r="AX457" s="10" t="str">
        <f t="shared" si="134"/>
        <v/>
      </c>
      <c r="AY457" s="10" t="str">
        <f t="shared" si="135"/>
        <v/>
      </c>
      <c r="AZ457" s="10" t="str">
        <f t="shared" si="136"/>
        <v/>
      </c>
      <c r="BA457" s="10" t="str">
        <f t="shared" si="137"/>
        <v/>
      </c>
    </row>
    <row r="458" spans="6:53" x14ac:dyDescent="0.2">
      <c r="F458" s="10" t="str">
        <f t="shared" si="141"/>
        <v>2018/8/14</v>
      </c>
      <c r="G458" s="14">
        <v>43326</v>
      </c>
      <c r="H458" s="10">
        <v>3.148628</v>
      </c>
      <c r="I458" s="10">
        <v>-4.2817648000000004</v>
      </c>
      <c r="J458" s="10">
        <v>-1.1331367999999997</v>
      </c>
      <c r="K458" s="10">
        <f t="shared" si="142"/>
        <v>2324.2144667000002</v>
      </c>
      <c r="L458" s="10">
        <f t="shared" si="143"/>
        <v>-1751.6901999999991</v>
      </c>
      <c r="M458" s="10">
        <f t="shared" si="144"/>
        <v>572.52426669999966</v>
      </c>
      <c r="N458" s="10">
        <v>22.613191672661952</v>
      </c>
      <c r="O458" s="10">
        <v>17.79178133704735</v>
      </c>
      <c r="P458" s="10">
        <v>3831.0336630199995</v>
      </c>
      <c r="Y458" s="10" t="e">
        <f t="shared" si="138"/>
        <v>#N/A</v>
      </c>
      <c r="Z458" s="10" t="e">
        <f t="shared" si="126"/>
        <v>#N/A</v>
      </c>
      <c r="AA458" s="10" t="e">
        <f t="shared" si="127"/>
        <v>#N/A</v>
      </c>
      <c r="AB458" s="10" t="e">
        <f t="shared" si="128"/>
        <v>#N/A</v>
      </c>
      <c r="AC458" s="10" t="e">
        <f t="shared" si="129"/>
        <v>#N/A</v>
      </c>
      <c r="AE458" s="10" t="str">
        <f t="shared" si="139"/>
        <v/>
      </c>
      <c r="AF458" s="10" t="str">
        <f t="shared" si="130"/>
        <v/>
      </c>
      <c r="AG458" s="10" t="str">
        <f t="shared" si="131"/>
        <v/>
      </c>
      <c r="AH458" s="10" t="str">
        <f t="shared" si="132"/>
        <v/>
      </c>
      <c r="AI458" s="10" t="str">
        <f t="shared" si="133"/>
        <v/>
      </c>
      <c r="AK458" s="10"/>
      <c r="AL458" s="10"/>
      <c r="AM458" s="10"/>
      <c r="AN458" s="10"/>
      <c r="AO458" s="10"/>
      <c r="AQ458" s="10"/>
      <c r="AR458" s="10"/>
      <c r="AS458" s="10"/>
      <c r="AT458" s="10"/>
      <c r="AU458" s="10"/>
      <c r="AW458" s="10" t="str">
        <f t="shared" si="140"/>
        <v/>
      </c>
      <c r="AX458" s="10" t="str">
        <f t="shared" si="134"/>
        <v/>
      </c>
      <c r="AY458" s="10" t="str">
        <f t="shared" si="135"/>
        <v/>
      </c>
      <c r="AZ458" s="10" t="str">
        <f t="shared" si="136"/>
        <v/>
      </c>
      <c r="BA458" s="10" t="str">
        <f t="shared" si="137"/>
        <v/>
      </c>
    </row>
    <row r="459" spans="6:53" x14ac:dyDescent="0.2">
      <c r="F459" s="10" t="str">
        <f t="shared" si="141"/>
        <v>2018/8/15</v>
      </c>
      <c r="G459" s="14">
        <v>43327</v>
      </c>
      <c r="H459" s="10">
        <v>5.375276099999998</v>
      </c>
      <c r="I459" s="10">
        <v>-2.9351631</v>
      </c>
      <c r="J459" s="10">
        <v>2.4401130000000002</v>
      </c>
      <c r="K459" s="10">
        <f t="shared" si="142"/>
        <v>2329.5897428000003</v>
      </c>
      <c r="L459" s="10">
        <f t="shared" si="143"/>
        <v>-1754.625363099999</v>
      </c>
      <c r="M459" s="10">
        <f t="shared" si="144"/>
        <v>574.96437969999965</v>
      </c>
      <c r="N459" s="10">
        <v>21.484522041626693</v>
      </c>
      <c r="O459" s="10">
        <v>16.611947353760449</v>
      </c>
      <c r="P459" s="10">
        <v>3849.0100073199992</v>
      </c>
      <c r="Y459" s="10" t="e">
        <f t="shared" si="138"/>
        <v>#N/A</v>
      </c>
      <c r="Z459" s="10" t="e">
        <f t="shared" ref="Z459:Z510" si="145">IF($W$5=1,IF(AL459="",NA(),AL459),IF($W$5=2,IF(AF459="",NA(),AF459),IF($W$5=3,IF(AX459="",NA(),AX459),IF($W$5=4,IF(AR459="",NA(),AR459)))))</f>
        <v>#N/A</v>
      </c>
      <c r="AA459" s="10" t="e">
        <f t="shared" ref="AA459:AA510" si="146">IF($W$5=1,IF(AM459="",NA(),AM459),IF($W$5=2,IF(AG459="",NA(),AG459),IF($W$5=3,IF(AY459="",NA(),AY459),IF($W$5=4,IF(AS459="",NA(),AS459)))))</f>
        <v>#N/A</v>
      </c>
      <c r="AB459" s="10" t="e">
        <f t="shared" ref="AB459:AB510" si="147">IF($W$5=1,IF(AN459="",NA(),AN459),IF($W$5=2,IF(AH459="",NA(),AH459),IF($W$5=3,IF(AZ459="",NA(),AZ459),IF($W$5=4,IF(AT459="",NA(),AT459)))))</f>
        <v>#N/A</v>
      </c>
      <c r="AC459" s="10" t="e">
        <f t="shared" ref="AC459:AC510" si="148">IF($W$5=1,IF(AO459="",NA(),AO459),IF($W$5=2,IF(AI459="",NA(),AI459),IF($W$5=3,IF(BA459="",NA(),BA459),IF($W$5=4,IF(AU459="",NA(),AU459)))))</f>
        <v>#N/A</v>
      </c>
      <c r="AE459" s="10" t="str">
        <f t="shared" si="139"/>
        <v/>
      </c>
      <c r="AF459" s="10" t="str">
        <f t="shared" ref="AF459:AF510" si="149">IF(AL459="","",AL459/AR459*100)</f>
        <v/>
      </c>
      <c r="AG459" s="10" t="str">
        <f t="shared" ref="AG459:AG510" si="150">IF(AM459="","",AM459/AS459*100)</f>
        <v/>
      </c>
      <c r="AH459" s="10" t="str">
        <f t="shared" ref="AH459:AH510" si="151">IF(AN459="","",AN459/AT459*100)</f>
        <v/>
      </c>
      <c r="AI459" s="10" t="str">
        <f t="shared" ref="AI459:AI510" si="152">IF(AO459="","",AO459/AU459*100)</f>
        <v/>
      </c>
      <c r="AK459" s="10"/>
      <c r="AL459" s="10"/>
      <c r="AM459" s="10"/>
      <c r="AN459" s="10"/>
      <c r="AO459" s="10"/>
      <c r="AQ459" s="10"/>
      <c r="AR459" s="10"/>
      <c r="AS459" s="10"/>
      <c r="AT459" s="10"/>
      <c r="AU459" s="10"/>
      <c r="AW459" s="10" t="str">
        <f t="shared" si="140"/>
        <v/>
      </c>
      <c r="AX459" s="10" t="str">
        <f t="shared" ref="AX459:AX510" si="153">IF(AL$11="","",100+AF459)</f>
        <v/>
      </c>
      <c r="AY459" s="10" t="str">
        <f t="shared" ref="AY459:AY510" si="154">IF(AM$11="","",100+AG459)</f>
        <v/>
      </c>
      <c r="AZ459" s="10" t="str">
        <f t="shared" ref="AZ459:AZ510" si="155">IF(AN$11="","",100+AH459)</f>
        <v/>
      </c>
      <c r="BA459" s="10" t="str">
        <f t="shared" ref="BA459:BA510" si="156">IF(AO$11="","",100+AI459)</f>
        <v/>
      </c>
    </row>
    <row r="460" spans="6:53" x14ac:dyDescent="0.2">
      <c r="F460" s="10" t="str">
        <f t="shared" si="141"/>
        <v>2018/8/16</v>
      </c>
      <c r="G460" s="14">
        <v>43328</v>
      </c>
      <c r="H460" s="10">
        <v>5.4944954999999993</v>
      </c>
      <c r="I460" s="10">
        <v>-2.4489840999999997</v>
      </c>
      <c r="J460" s="10">
        <v>3.0455113999999992</v>
      </c>
      <c r="K460" s="10">
        <f t="shared" si="142"/>
        <v>2335.0842383000004</v>
      </c>
      <c r="L460" s="10">
        <f t="shared" si="143"/>
        <v>-1757.074347199999</v>
      </c>
      <c r="M460" s="10">
        <f t="shared" si="144"/>
        <v>578.00989109999966</v>
      </c>
      <c r="N460" s="10">
        <v>22.22000792247481</v>
      </c>
      <c r="O460" s="10">
        <v>17.259312813370467</v>
      </c>
      <c r="P460" s="10">
        <v>3816.4964417200022</v>
      </c>
      <c r="Y460" s="10" t="e">
        <f t="shared" ref="Y460:Y510" si="157">IF($W$5=1,IF(AK460="",NA(),AK460),IF($W$5=2,IF(AE460="",NA(),AE460),IF($W$5=3,IF(AW460="",NA(),AW460),IF($W$5=4,IF(AQ460="",NA(),AQ460)))))</f>
        <v>#N/A</v>
      </c>
      <c r="Z460" s="10" t="e">
        <f t="shared" si="145"/>
        <v>#N/A</v>
      </c>
      <c r="AA460" s="10" t="e">
        <f t="shared" si="146"/>
        <v>#N/A</v>
      </c>
      <c r="AB460" s="10" t="e">
        <f t="shared" si="147"/>
        <v>#N/A</v>
      </c>
      <c r="AC460" s="10" t="e">
        <f t="shared" si="148"/>
        <v>#N/A</v>
      </c>
      <c r="AE460" s="10" t="str">
        <f t="shared" ref="AE460:AE510" si="158">IF(AK460="","",AK460/AQ460*100)</f>
        <v/>
      </c>
      <c r="AF460" s="10" t="str">
        <f t="shared" si="149"/>
        <v/>
      </c>
      <c r="AG460" s="10" t="str">
        <f t="shared" si="150"/>
        <v/>
      </c>
      <c r="AH460" s="10" t="str">
        <f t="shared" si="151"/>
        <v/>
      </c>
      <c r="AI460" s="10" t="str">
        <f t="shared" si="152"/>
        <v/>
      </c>
      <c r="AK460" s="10"/>
      <c r="AL460" s="10"/>
      <c r="AM460" s="10"/>
      <c r="AN460" s="10"/>
      <c r="AO460" s="10"/>
      <c r="AQ460" s="10"/>
      <c r="AR460" s="10"/>
      <c r="AS460" s="10"/>
      <c r="AT460" s="10"/>
      <c r="AU460" s="10"/>
      <c r="AW460" s="10" t="str">
        <f t="shared" ref="AW460:AW510" si="159">IF(AK$11="","",100+AE460)</f>
        <v/>
      </c>
      <c r="AX460" s="10" t="str">
        <f t="shared" si="153"/>
        <v/>
      </c>
      <c r="AY460" s="10" t="str">
        <f t="shared" si="154"/>
        <v/>
      </c>
      <c r="AZ460" s="10" t="str">
        <f t="shared" si="155"/>
        <v/>
      </c>
      <c r="BA460" s="10" t="str">
        <f t="shared" si="156"/>
        <v/>
      </c>
    </row>
    <row r="461" spans="6:53" x14ac:dyDescent="0.2">
      <c r="F461" s="10" t="str">
        <f t="shared" si="141"/>
        <v>2018/8/17</v>
      </c>
      <c r="G461" s="14">
        <v>43329</v>
      </c>
      <c r="H461" s="10">
        <v>2.4504322000000003</v>
      </c>
      <c r="I461" s="10">
        <v>-4.1420661000000001</v>
      </c>
      <c r="J461" s="10">
        <v>-1.6916339</v>
      </c>
      <c r="K461" s="10">
        <f t="shared" si="142"/>
        <v>2337.5346705000002</v>
      </c>
      <c r="L461" s="10">
        <f t="shared" si="143"/>
        <v>-1761.216413299999</v>
      </c>
      <c r="M461" s="10">
        <f t="shared" si="144"/>
        <v>576.31825719999961</v>
      </c>
      <c r="N461" s="10">
        <v>22.723662881463326</v>
      </c>
      <c r="O461" s="10">
        <v>17.688276601671308</v>
      </c>
      <c r="P461" s="10">
        <v>3840.8053521199995</v>
      </c>
      <c r="Y461" s="10" t="e">
        <f t="shared" si="157"/>
        <v>#N/A</v>
      </c>
      <c r="Z461" s="10" t="e">
        <f t="shared" si="145"/>
        <v>#N/A</v>
      </c>
      <c r="AA461" s="10" t="e">
        <f t="shared" si="146"/>
        <v>#N/A</v>
      </c>
      <c r="AB461" s="10" t="e">
        <f t="shared" si="147"/>
        <v>#N/A</v>
      </c>
      <c r="AC461" s="10" t="e">
        <f t="shared" si="148"/>
        <v>#N/A</v>
      </c>
      <c r="AE461" s="10" t="str">
        <f t="shared" si="158"/>
        <v/>
      </c>
      <c r="AF461" s="10" t="str">
        <f t="shared" si="149"/>
        <v/>
      </c>
      <c r="AG461" s="10" t="str">
        <f t="shared" si="150"/>
        <v/>
      </c>
      <c r="AH461" s="10" t="str">
        <f t="shared" si="151"/>
        <v/>
      </c>
      <c r="AI461" s="10" t="str">
        <f t="shared" si="152"/>
        <v/>
      </c>
      <c r="AK461" s="10"/>
      <c r="AL461" s="10"/>
      <c r="AM461" s="10"/>
      <c r="AN461" s="10"/>
      <c r="AO461" s="10"/>
      <c r="AQ461" s="10"/>
      <c r="AR461" s="10"/>
      <c r="AS461" s="10"/>
      <c r="AT461" s="10"/>
      <c r="AU461" s="10"/>
      <c r="AW461" s="10" t="str">
        <f t="shared" si="159"/>
        <v/>
      </c>
      <c r="AX461" s="10" t="str">
        <f t="shared" si="153"/>
        <v/>
      </c>
      <c r="AY461" s="10" t="str">
        <f t="shared" si="154"/>
        <v/>
      </c>
      <c r="AZ461" s="10" t="str">
        <f t="shared" si="155"/>
        <v/>
      </c>
      <c r="BA461" s="10" t="str">
        <f t="shared" si="156"/>
        <v/>
      </c>
    </row>
    <row r="462" spans="6:53" x14ac:dyDescent="0.2">
      <c r="F462" s="10" t="str">
        <f t="shared" si="141"/>
        <v>2018/8/20</v>
      </c>
      <c r="G462" s="14">
        <v>43332</v>
      </c>
      <c r="H462" s="10">
        <v>5.2790650000000001</v>
      </c>
      <c r="I462" s="10">
        <v>-2.2523922000000001</v>
      </c>
      <c r="J462" s="10">
        <v>3.0266728000000009</v>
      </c>
      <c r="K462" s="10">
        <f t="shared" si="142"/>
        <v>2342.8137355000003</v>
      </c>
      <c r="L462" s="10">
        <f t="shared" si="143"/>
        <v>-1763.468805499999</v>
      </c>
      <c r="M462" s="10">
        <f t="shared" si="144"/>
        <v>579.34492999999964</v>
      </c>
      <c r="N462" s="10">
        <v>23.075282167182678</v>
      </c>
      <c r="O462" s="10">
        <v>18.176364623955436</v>
      </c>
      <c r="P462" s="10">
        <v>3854.8586599199994</v>
      </c>
      <c r="Y462" s="10" t="e">
        <f t="shared" si="157"/>
        <v>#N/A</v>
      </c>
      <c r="Z462" s="10" t="e">
        <f t="shared" si="145"/>
        <v>#N/A</v>
      </c>
      <c r="AA462" s="10" t="e">
        <f t="shared" si="146"/>
        <v>#N/A</v>
      </c>
      <c r="AB462" s="10" t="e">
        <f t="shared" si="147"/>
        <v>#N/A</v>
      </c>
      <c r="AC462" s="10" t="e">
        <f t="shared" si="148"/>
        <v>#N/A</v>
      </c>
      <c r="AE462" s="10" t="str">
        <f t="shared" si="158"/>
        <v/>
      </c>
      <c r="AF462" s="10" t="str">
        <f t="shared" si="149"/>
        <v/>
      </c>
      <c r="AG462" s="10" t="str">
        <f t="shared" si="150"/>
        <v/>
      </c>
      <c r="AH462" s="10" t="str">
        <f t="shared" si="151"/>
        <v/>
      </c>
      <c r="AI462" s="10" t="str">
        <f t="shared" si="152"/>
        <v/>
      </c>
      <c r="AK462" s="10"/>
      <c r="AL462" s="10"/>
      <c r="AM462" s="10"/>
      <c r="AN462" s="10"/>
      <c r="AO462" s="10"/>
      <c r="AQ462" s="10"/>
      <c r="AR462" s="10"/>
      <c r="AS462" s="10"/>
      <c r="AT462" s="10"/>
      <c r="AU462" s="10"/>
      <c r="AW462" s="10" t="str">
        <f t="shared" si="159"/>
        <v/>
      </c>
      <c r="AX462" s="10" t="str">
        <f t="shared" si="153"/>
        <v/>
      </c>
      <c r="AY462" s="10" t="str">
        <f t="shared" si="154"/>
        <v/>
      </c>
      <c r="AZ462" s="10" t="str">
        <f t="shared" si="155"/>
        <v/>
      </c>
      <c r="BA462" s="10" t="str">
        <f t="shared" si="156"/>
        <v/>
      </c>
    </row>
    <row r="463" spans="6:53" x14ac:dyDescent="0.2">
      <c r="F463" s="10" t="str">
        <f t="shared" si="141"/>
        <v>2018/8/21</v>
      </c>
      <c r="G463" s="14">
        <v>43333</v>
      </c>
      <c r="H463" s="10">
        <v>3.9110135000000001</v>
      </c>
      <c r="I463" s="10">
        <v>-4.4472992000000007</v>
      </c>
      <c r="J463" s="10">
        <v>-0.53628570000000031</v>
      </c>
      <c r="K463" s="10">
        <f t="shared" si="142"/>
        <v>2346.7247490000004</v>
      </c>
      <c r="L463" s="10">
        <f t="shared" si="143"/>
        <v>-1767.9161046999991</v>
      </c>
      <c r="M463" s="10">
        <f t="shared" si="144"/>
        <v>578.80864429999963</v>
      </c>
      <c r="N463" s="10">
        <v>23.543189001791237</v>
      </c>
      <c r="O463" s="10">
        <v>18.702931476323112</v>
      </c>
      <c r="P463" s="10">
        <v>3869.5768754199999</v>
      </c>
      <c r="Y463" s="10" t="e">
        <f t="shared" si="157"/>
        <v>#N/A</v>
      </c>
      <c r="Z463" s="10" t="e">
        <f t="shared" si="145"/>
        <v>#N/A</v>
      </c>
      <c r="AA463" s="10" t="e">
        <f t="shared" si="146"/>
        <v>#N/A</v>
      </c>
      <c r="AB463" s="10" t="e">
        <f t="shared" si="147"/>
        <v>#N/A</v>
      </c>
      <c r="AC463" s="10" t="e">
        <f t="shared" si="148"/>
        <v>#N/A</v>
      </c>
      <c r="AE463" s="10" t="str">
        <f t="shared" si="158"/>
        <v/>
      </c>
      <c r="AF463" s="10" t="str">
        <f t="shared" si="149"/>
        <v/>
      </c>
      <c r="AG463" s="10" t="str">
        <f t="shared" si="150"/>
        <v/>
      </c>
      <c r="AH463" s="10" t="str">
        <f t="shared" si="151"/>
        <v/>
      </c>
      <c r="AI463" s="10" t="str">
        <f t="shared" si="152"/>
        <v/>
      </c>
      <c r="AK463" s="10"/>
      <c r="AL463" s="10"/>
      <c r="AM463" s="10"/>
      <c r="AN463" s="10"/>
      <c r="AO463" s="10"/>
      <c r="AQ463" s="10"/>
      <c r="AR463" s="10"/>
      <c r="AS463" s="10"/>
      <c r="AT463" s="10"/>
      <c r="AU463" s="10"/>
      <c r="AW463" s="10" t="str">
        <f t="shared" si="159"/>
        <v/>
      </c>
      <c r="AX463" s="10" t="str">
        <f t="shared" si="153"/>
        <v/>
      </c>
      <c r="AY463" s="10" t="str">
        <f t="shared" si="154"/>
        <v/>
      </c>
      <c r="AZ463" s="10" t="str">
        <f t="shared" si="155"/>
        <v/>
      </c>
      <c r="BA463" s="10" t="str">
        <f t="shared" si="156"/>
        <v/>
      </c>
    </row>
    <row r="464" spans="6:53" x14ac:dyDescent="0.2">
      <c r="F464" s="10" t="str">
        <f t="shared" si="141"/>
        <v>2018/8/22</v>
      </c>
      <c r="G464" s="14">
        <v>43334</v>
      </c>
      <c r="H464" s="10">
        <v>5.9698465000000001</v>
      </c>
      <c r="I464" s="10">
        <v>-3.5834260999999996</v>
      </c>
      <c r="J464" s="10">
        <v>2.3864204000000009</v>
      </c>
      <c r="K464" s="10">
        <f t="shared" si="142"/>
        <v>2352.6945955000006</v>
      </c>
      <c r="L464" s="10">
        <f t="shared" si="143"/>
        <v>-1771.4995307999991</v>
      </c>
      <c r="M464" s="10">
        <f t="shared" si="144"/>
        <v>581.19506469999965</v>
      </c>
      <c r="N464" s="10">
        <v>23.745440977870324</v>
      </c>
      <c r="O464" s="10">
        <v>18.919745403899714</v>
      </c>
      <c r="P464" s="10">
        <v>3884.5759410199985</v>
      </c>
      <c r="Y464" s="10" t="e">
        <f t="shared" si="157"/>
        <v>#N/A</v>
      </c>
      <c r="Z464" s="10" t="e">
        <f t="shared" si="145"/>
        <v>#N/A</v>
      </c>
      <c r="AA464" s="10" t="e">
        <f t="shared" si="146"/>
        <v>#N/A</v>
      </c>
      <c r="AB464" s="10" t="e">
        <f t="shared" si="147"/>
        <v>#N/A</v>
      </c>
      <c r="AC464" s="10" t="e">
        <f t="shared" si="148"/>
        <v>#N/A</v>
      </c>
      <c r="AE464" s="10" t="str">
        <f t="shared" si="158"/>
        <v/>
      </c>
      <c r="AF464" s="10" t="str">
        <f t="shared" si="149"/>
        <v/>
      </c>
      <c r="AG464" s="10" t="str">
        <f t="shared" si="150"/>
        <v/>
      </c>
      <c r="AH464" s="10" t="str">
        <f t="shared" si="151"/>
        <v/>
      </c>
      <c r="AI464" s="10" t="str">
        <f t="shared" si="152"/>
        <v/>
      </c>
      <c r="AK464" s="10"/>
      <c r="AL464" s="10"/>
      <c r="AM464" s="10"/>
      <c r="AN464" s="10"/>
      <c r="AO464" s="10"/>
      <c r="AQ464" s="10"/>
      <c r="AR464" s="10"/>
      <c r="AS464" s="10"/>
      <c r="AT464" s="10"/>
      <c r="AU464" s="10"/>
      <c r="AW464" s="10" t="str">
        <f t="shared" si="159"/>
        <v/>
      </c>
      <c r="AX464" s="10" t="str">
        <f t="shared" si="153"/>
        <v/>
      </c>
      <c r="AY464" s="10" t="str">
        <f t="shared" si="154"/>
        <v/>
      </c>
      <c r="AZ464" s="10" t="str">
        <f t="shared" si="155"/>
        <v/>
      </c>
      <c r="BA464" s="10" t="str">
        <f t="shared" si="156"/>
        <v/>
      </c>
    </row>
    <row r="465" spans="6:53" x14ac:dyDescent="0.2">
      <c r="F465" s="10" t="str">
        <f t="shared" si="141"/>
        <v>2018/8/23</v>
      </c>
      <c r="G465" s="14">
        <v>43335</v>
      </c>
      <c r="H465" s="10">
        <v>3.0796492000000004</v>
      </c>
      <c r="I465" s="10">
        <v>-2.7093478000000002</v>
      </c>
      <c r="J465" s="10">
        <v>0.37030140000000039</v>
      </c>
      <c r="K465" s="10">
        <f t="shared" si="142"/>
        <v>2355.7742447000005</v>
      </c>
      <c r="L465" s="10">
        <f t="shared" si="143"/>
        <v>-1774.208878599999</v>
      </c>
      <c r="M465" s="10">
        <f t="shared" si="144"/>
        <v>581.56536609999966</v>
      </c>
      <c r="N465" s="10">
        <v>23.304421918345195</v>
      </c>
      <c r="O465" s="10">
        <v>18.429269359331478</v>
      </c>
      <c r="P465" s="10">
        <v>3891.4078375699996</v>
      </c>
      <c r="Y465" s="10" t="e">
        <f t="shared" si="157"/>
        <v>#N/A</v>
      </c>
      <c r="Z465" s="10" t="e">
        <f t="shared" si="145"/>
        <v>#N/A</v>
      </c>
      <c r="AA465" s="10" t="e">
        <f t="shared" si="146"/>
        <v>#N/A</v>
      </c>
      <c r="AB465" s="10" t="e">
        <f t="shared" si="147"/>
        <v>#N/A</v>
      </c>
      <c r="AC465" s="10" t="e">
        <f t="shared" si="148"/>
        <v>#N/A</v>
      </c>
      <c r="AE465" s="10" t="str">
        <f t="shared" si="158"/>
        <v/>
      </c>
      <c r="AF465" s="10" t="str">
        <f t="shared" si="149"/>
        <v/>
      </c>
      <c r="AG465" s="10" t="str">
        <f t="shared" si="150"/>
        <v/>
      </c>
      <c r="AH465" s="10" t="str">
        <f t="shared" si="151"/>
        <v/>
      </c>
      <c r="AI465" s="10" t="str">
        <f t="shared" si="152"/>
        <v/>
      </c>
      <c r="AK465" s="10"/>
      <c r="AL465" s="10"/>
      <c r="AM465" s="10"/>
      <c r="AN465" s="10"/>
      <c r="AO465" s="10"/>
      <c r="AQ465" s="10"/>
      <c r="AR465" s="10"/>
      <c r="AS465" s="10"/>
      <c r="AT465" s="10"/>
      <c r="AU465" s="10"/>
      <c r="AW465" s="10" t="str">
        <f t="shared" si="159"/>
        <v/>
      </c>
      <c r="AX465" s="10" t="str">
        <f t="shared" si="153"/>
        <v/>
      </c>
      <c r="AY465" s="10" t="str">
        <f t="shared" si="154"/>
        <v/>
      </c>
      <c r="AZ465" s="10" t="str">
        <f t="shared" si="155"/>
        <v/>
      </c>
      <c r="BA465" s="10" t="str">
        <f t="shared" si="156"/>
        <v/>
      </c>
    </row>
    <row r="466" spans="6:53" x14ac:dyDescent="0.2">
      <c r="F466" s="10" t="str">
        <f t="shared" si="141"/>
        <v>2018/8/24</v>
      </c>
      <c r="G466" s="14">
        <v>43336</v>
      </c>
      <c r="H466" s="10">
        <v>2.8804669999999999</v>
      </c>
      <c r="I466" s="10">
        <v>-2.4066533000000003</v>
      </c>
      <c r="J466" s="10">
        <v>0.47381370000000012</v>
      </c>
      <c r="K466" s="10">
        <f t="shared" si="142"/>
        <v>2358.6547117000005</v>
      </c>
      <c r="L466" s="10">
        <f t="shared" si="143"/>
        <v>-1776.615531899999</v>
      </c>
      <c r="M466" s="10">
        <f t="shared" si="144"/>
        <v>582.03917979999972</v>
      </c>
      <c r="N466" s="10">
        <v>24.112240878455857</v>
      </c>
      <c r="O466" s="10">
        <v>19.18312980501393</v>
      </c>
      <c r="P466" s="10">
        <v>3877.0271990200013</v>
      </c>
      <c r="Y466" s="10" t="e">
        <f t="shared" si="157"/>
        <v>#N/A</v>
      </c>
      <c r="Z466" s="10" t="e">
        <f t="shared" si="145"/>
        <v>#N/A</v>
      </c>
      <c r="AA466" s="10" t="e">
        <f t="shared" si="146"/>
        <v>#N/A</v>
      </c>
      <c r="AB466" s="10" t="e">
        <f t="shared" si="147"/>
        <v>#N/A</v>
      </c>
      <c r="AC466" s="10" t="e">
        <f t="shared" si="148"/>
        <v>#N/A</v>
      </c>
      <c r="AE466" s="10" t="str">
        <f t="shared" si="158"/>
        <v/>
      </c>
      <c r="AF466" s="10" t="str">
        <f t="shared" si="149"/>
        <v/>
      </c>
      <c r="AG466" s="10" t="str">
        <f t="shared" si="150"/>
        <v/>
      </c>
      <c r="AH466" s="10" t="str">
        <f t="shared" si="151"/>
        <v/>
      </c>
      <c r="AI466" s="10" t="str">
        <f t="shared" si="152"/>
        <v/>
      </c>
      <c r="AK466" s="10"/>
      <c r="AL466" s="10"/>
      <c r="AM466" s="10"/>
      <c r="AN466" s="10"/>
      <c r="AO466" s="10"/>
      <c r="AQ466" s="10"/>
      <c r="AR466" s="10"/>
      <c r="AS466" s="10"/>
      <c r="AT466" s="10"/>
      <c r="AU466" s="10"/>
      <c r="AW466" s="10" t="str">
        <f t="shared" si="159"/>
        <v/>
      </c>
      <c r="AX466" s="10" t="str">
        <f t="shared" si="153"/>
        <v/>
      </c>
      <c r="AY466" s="10" t="str">
        <f t="shared" si="154"/>
        <v/>
      </c>
      <c r="AZ466" s="10" t="str">
        <f t="shared" si="155"/>
        <v/>
      </c>
      <c r="BA466" s="10" t="str">
        <f t="shared" si="156"/>
        <v/>
      </c>
    </row>
    <row r="467" spans="6:53" x14ac:dyDescent="0.2">
      <c r="F467" s="10" t="str">
        <f t="shared" si="141"/>
        <v>2018/8/27</v>
      </c>
      <c r="G467" s="14">
        <v>43339</v>
      </c>
      <c r="H467" s="10">
        <v>9.5116364000000004</v>
      </c>
      <c r="I467" s="10">
        <v>-1.2677981999999999</v>
      </c>
      <c r="J467" s="10">
        <v>8.2438382000000008</v>
      </c>
      <c r="K467" s="10">
        <f t="shared" si="142"/>
        <v>2368.1663481000005</v>
      </c>
      <c r="L467" s="10">
        <f t="shared" si="143"/>
        <v>-1777.8833300999991</v>
      </c>
      <c r="M467" s="10">
        <f t="shared" si="144"/>
        <v>590.28301799999974</v>
      </c>
      <c r="N467" s="10">
        <v>25.084518918551041</v>
      </c>
      <c r="O467" s="10">
        <v>20.044851810584955</v>
      </c>
      <c r="P467" s="10">
        <v>3901.4414767199987</v>
      </c>
      <c r="Y467" s="10" t="e">
        <f t="shared" si="157"/>
        <v>#N/A</v>
      </c>
      <c r="Z467" s="10" t="e">
        <f t="shared" si="145"/>
        <v>#N/A</v>
      </c>
      <c r="AA467" s="10" t="e">
        <f t="shared" si="146"/>
        <v>#N/A</v>
      </c>
      <c r="AB467" s="10" t="e">
        <f t="shared" si="147"/>
        <v>#N/A</v>
      </c>
      <c r="AC467" s="10" t="e">
        <f t="shared" si="148"/>
        <v>#N/A</v>
      </c>
      <c r="AE467" s="10" t="str">
        <f t="shared" si="158"/>
        <v/>
      </c>
      <c r="AF467" s="10" t="str">
        <f t="shared" si="149"/>
        <v/>
      </c>
      <c r="AG467" s="10" t="str">
        <f t="shared" si="150"/>
        <v/>
      </c>
      <c r="AH467" s="10" t="str">
        <f t="shared" si="151"/>
        <v/>
      </c>
      <c r="AI467" s="10" t="str">
        <f t="shared" si="152"/>
        <v/>
      </c>
      <c r="AK467" s="10"/>
      <c r="AL467" s="10"/>
      <c r="AM467" s="10"/>
      <c r="AN467" s="10"/>
      <c r="AO467" s="10"/>
      <c r="AQ467" s="10"/>
      <c r="AR467" s="10"/>
      <c r="AS467" s="10"/>
      <c r="AT467" s="10"/>
      <c r="AU467" s="10"/>
      <c r="AW467" s="10" t="str">
        <f t="shared" si="159"/>
        <v/>
      </c>
      <c r="AX467" s="10" t="str">
        <f t="shared" si="153"/>
        <v/>
      </c>
      <c r="AY467" s="10" t="str">
        <f t="shared" si="154"/>
        <v/>
      </c>
      <c r="AZ467" s="10" t="str">
        <f t="shared" si="155"/>
        <v/>
      </c>
      <c r="BA467" s="10" t="str">
        <f t="shared" si="156"/>
        <v/>
      </c>
    </row>
    <row r="468" spans="6:53" x14ac:dyDescent="0.2">
      <c r="F468" s="10" t="str">
        <f t="shared" si="141"/>
        <v>2018/8/28</v>
      </c>
      <c r="G468" s="14">
        <v>43340</v>
      </c>
      <c r="H468" s="10">
        <v>3.9302747</v>
      </c>
      <c r="I468" s="10">
        <v>-5.8079678000000019</v>
      </c>
      <c r="J468" s="10">
        <v>-1.8776930999999999</v>
      </c>
      <c r="K468" s="10">
        <f t="shared" si="142"/>
        <v>2372.0966228000007</v>
      </c>
      <c r="L468" s="10">
        <f t="shared" si="143"/>
        <v>-1783.691297899999</v>
      </c>
      <c r="M468" s="10">
        <f t="shared" si="144"/>
        <v>588.40532489999975</v>
      </c>
      <c r="N468" s="10">
        <v>25.110759126448372</v>
      </c>
      <c r="O468" s="10">
        <v>20.053203899721446</v>
      </c>
      <c r="P468" s="10">
        <v>3943.784880369999</v>
      </c>
      <c r="Y468" s="10" t="e">
        <f t="shared" si="157"/>
        <v>#N/A</v>
      </c>
      <c r="Z468" s="10" t="e">
        <f t="shared" si="145"/>
        <v>#N/A</v>
      </c>
      <c r="AA468" s="10" t="e">
        <f t="shared" si="146"/>
        <v>#N/A</v>
      </c>
      <c r="AB468" s="10" t="e">
        <f t="shared" si="147"/>
        <v>#N/A</v>
      </c>
      <c r="AC468" s="10" t="e">
        <f t="shared" si="148"/>
        <v>#N/A</v>
      </c>
      <c r="AE468" s="10" t="str">
        <f t="shared" si="158"/>
        <v/>
      </c>
      <c r="AF468" s="10" t="str">
        <f t="shared" si="149"/>
        <v/>
      </c>
      <c r="AG468" s="10" t="str">
        <f t="shared" si="150"/>
        <v/>
      </c>
      <c r="AH468" s="10" t="str">
        <f t="shared" si="151"/>
        <v/>
      </c>
      <c r="AI468" s="10" t="str">
        <f t="shared" si="152"/>
        <v/>
      </c>
      <c r="AK468" s="10"/>
      <c r="AL468" s="10"/>
      <c r="AM468" s="10"/>
      <c r="AN468" s="10"/>
      <c r="AO468" s="10"/>
      <c r="AQ468" s="10"/>
      <c r="AR468" s="10"/>
      <c r="AS468" s="10"/>
      <c r="AT468" s="10"/>
      <c r="AU468" s="10"/>
      <c r="AW468" s="10" t="str">
        <f t="shared" si="159"/>
        <v/>
      </c>
      <c r="AX468" s="10" t="str">
        <f t="shared" si="153"/>
        <v/>
      </c>
      <c r="AY468" s="10" t="str">
        <f t="shared" si="154"/>
        <v/>
      </c>
      <c r="AZ468" s="10" t="str">
        <f t="shared" si="155"/>
        <v/>
      </c>
      <c r="BA468" s="10" t="str">
        <f t="shared" si="156"/>
        <v/>
      </c>
    </row>
    <row r="469" spans="6:53" x14ac:dyDescent="0.2">
      <c r="F469" s="10" t="str">
        <f t="shared" si="141"/>
        <v>2018/8/29</v>
      </c>
      <c r="G469" s="14">
        <v>43341</v>
      </c>
      <c r="H469" s="10">
        <v>5.0389308999999995</v>
      </c>
      <c r="I469" s="10">
        <v>-2.4947598999999996</v>
      </c>
      <c r="J469" s="10">
        <v>2.5441709999999995</v>
      </c>
      <c r="K469" s="10">
        <f t="shared" si="142"/>
        <v>2377.1355537000009</v>
      </c>
      <c r="L469" s="10">
        <f t="shared" si="143"/>
        <v>-1786.1860577999989</v>
      </c>
      <c r="M469" s="10">
        <f t="shared" si="144"/>
        <v>590.94949589999976</v>
      </c>
      <c r="N469" s="10">
        <v>25.585958792452999</v>
      </c>
      <c r="O469" s="10">
        <v>20.357437047353766</v>
      </c>
      <c r="P469" s="10">
        <v>3936.2120744199974</v>
      </c>
      <c r="Y469" s="10" t="e">
        <f t="shared" si="157"/>
        <v>#N/A</v>
      </c>
      <c r="Z469" s="10" t="e">
        <f t="shared" si="145"/>
        <v>#N/A</v>
      </c>
      <c r="AA469" s="10" t="e">
        <f t="shared" si="146"/>
        <v>#N/A</v>
      </c>
      <c r="AB469" s="10" t="e">
        <f t="shared" si="147"/>
        <v>#N/A</v>
      </c>
      <c r="AC469" s="10" t="e">
        <f t="shared" si="148"/>
        <v>#N/A</v>
      </c>
      <c r="AE469" s="10" t="str">
        <f t="shared" si="158"/>
        <v/>
      </c>
      <c r="AF469" s="10" t="str">
        <f t="shared" si="149"/>
        <v/>
      </c>
      <c r="AG469" s="10" t="str">
        <f t="shared" si="150"/>
        <v/>
      </c>
      <c r="AH469" s="10" t="str">
        <f t="shared" si="151"/>
        <v/>
      </c>
      <c r="AI469" s="10" t="str">
        <f t="shared" si="152"/>
        <v/>
      </c>
      <c r="AK469" s="10"/>
      <c r="AL469" s="10"/>
      <c r="AM469" s="10"/>
      <c r="AN469" s="10"/>
      <c r="AO469" s="10"/>
      <c r="AQ469" s="10"/>
      <c r="AR469" s="10"/>
      <c r="AS469" s="10"/>
      <c r="AT469" s="10"/>
      <c r="AU469" s="10"/>
      <c r="AW469" s="10" t="str">
        <f t="shared" si="159"/>
        <v/>
      </c>
      <c r="AX469" s="10" t="str">
        <f t="shared" si="153"/>
        <v/>
      </c>
      <c r="AY469" s="10" t="str">
        <f t="shared" si="154"/>
        <v/>
      </c>
      <c r="AZ469" s="10" t="str">
        <f t="shared" si="155"/>
        <v/>
      </c>
      <c r="BA469" s="10" t="str">
        <f t="shared" si="156"/>
        <v/>
      </c>
    </row>
    <row r="470" spans="6:53" x14ac:dyDescent="0.2">
      <c r="F470" s="10" t="str">
        <f t="shared" si="141"/>
        <v>2018/8/30</v>
      </c>
      <c r="G470" s="14">
        <v>43342</v>
      </c>
      <c r="H470" s="10">
        <v>7.809400000000001</v>
      </c>
      <c r="I470" s="10">
        <v>-8.1529831000000001</v>
      </c>
      <c r="J470" s="10">
        <v>-0.34358309999999909</v>
      </c>
      <c r="K470" s="10">
        <f t="shared" si="142"/>
        <v>2384.944953700001</v>
      </c>
      <c r="L470" s="10">
        <f t="shared" si="143"/>
        <v>-1794.339040899999</v>
      </c>
      <c r="M470" s="10">
        <f t="shared" si="144"/>
        <v>590.60591279999971</v>
      </c>
      <c r="N470" s="10">
        <v>24.968041749756534</v>
      </c>
      <c r="O470" s="10">
        <v>19.668542896935929</v>
      </c>
      <c r="P470" s="10">
        <v>3951.1529253199992</v>
      </c>
      <c r="Y470" s="10" t="e">
        <f t="shared" si="157"/>
        <v>#N/A</v>
      </c>
      <c r="Z470" s="10" t="e">
        <f t="shared" si="145"/>
        <v>#N/A</v>
      </c>
      <c r="AA470" s="10" t="e">
        <f t="shared" si="146"/>
        <v>#N/A</v>
      </c>
      <c r="AB470" s="10" t="e">
        <f t="shared" si="147"/>
        <v>#N/A</v>
      </c>
      <c r="AC470" s="10" t="e">
        <f t="shared" si="148"/>
        <v>#N/A</v>
      </c>
      <c r="AE470" s="10" t="str">
        <f t="shared" si="158"/>
        <v/>
      </c>
      <c r="AF470" s="10" t="str">
        <f t="shared" si="149"/>
        <v/>
      </c>
      <c r="AG470" s="10" t="str">
        <f t="shared" si="150"/>
        <v/>
      </c>
      <c r="AH470" s="10" t="str">
        <f t="shared" si="151"/>
        <v/>
      </c>
      <c r="AI470" s="10" t="str">
        <f t="shared" si="152"/>
        <v/>
      </c>
      <c r="AK470" s="10"/>
      <c r="AL470" s="10"/>
      <c r="AM470" s="10"/>
      <c r="AN470" s="10"/>
      <c r="AO470" s="10"/>
      <c r="AQ470" s="10"/>
      <c r="AR470" s="10"/>
      <c r="AS470" s="10"/>
      <c r="AT470" s="10"/>
      <c r="AU470" s="10"/>
      <c r="AW470" s="10" t="str">
        <f t="shared" si="159"/>
        <v/>
      </c>
      <c r="AX470" s="10" t="str">
        <f t="shared" si="153"/>
        <v/>
      </c>
      <c r="AY470" s="10" t="str">
        <f t="shared" si="154"/>
        <v/>
      </c>
      <c r="AZ470" s="10" t="str">
        <f t="shared" si="155"/>
        <v/>
      </c>
      <c r="BA470" s="10" t="str">
        <f t="shared" si="156"/>
        <v/>
      </c>
    </row>
    <row r="471" spans="6:53" x14ac:dyDescent="0.2">
      <c r="F471" s="10" t="str">
        <f t="shared" si="141"/>
        <v>2018/8/31</v>
      </c>
      <c r="G471" s="14">
        <v>43343</v>
      </c>
      <c r="H471" s="10">
        <v>2.7332874</v>
      </c>
      <c r="I471" s="10">
        <v>-4.0012058000000001</v>
      </c>
      <c r="J471" s="10">
        <v>-1.2679183999999997</v>
      </c>
      <c r="K471" s="10">
        <f t="shared" si="142"/>
        <v>2387.6782411000008</v>
      </c>
      <c r="L471" s="10">
        <f t="shared" si="143"/>
        <v>-1798.3402466999989</v>
      </c>
      <c r="M471" s="10">
        <f t="shared" si="144"/>
        <v>589.33799439999973</v>
      </c>
      <c r="N471" s="10">
        <v>24.899934666811134</v>
      </c>
      <c r="O471" s="10">
        <v>19.449397771587748</v>
      </c>
      <c r="P471" s="10">
        <v>3931.8879148200017</v>
      </c>
      <c r="Y471" s="10" t="e">
        <f t="shared" si="157"/>
        <v>#N/A</v>
      </c>
      <c r="Z471" s="10" t="e">
        <f t="shared" si="145"/>
        <v>#N/A</v>
      </c>
      <c r="AA471" s="10" t="e">
        <f t="shared" si="146"/>
        <v>#N/A</v>
      </c>
      <c r="AB471" s="10" t="e">
        <f t="shared" si="147"/>
        <v>#N/A</v>
      </c>
      <c r="AC471" s="10" t="e">
        <f t="shared" si="148"/>
        <v>#N/A</v>
      </c>
      <c r="AE471" s="10" t="str">
        <f t="shared" si="158"/>
        <v/>
      </c>
      <c r="AF471" s="10" t="str">
        <f t="shared" si="149"/>
        <v/>
      </c>
      <c r="AG471" s="10" t="str">
        <f t="shared" si="150"/>
        <v/>
      </c>
      <c r="AH471" s="10" t="str">
        <f t="shared" si="151"/>
        <v/>
      </c>
      <c r="AI471" s="10" t="str">
        <f t="shared" si="152"/>
        <v/>
      </c>
      <c r="AK471" s="10"/>
      <c r="AL471" s="10"/>
      <c r="AM471" s="10"/>
      <c r="AN471" s="10"/>
      <c r="AO471" s="10"/>
      <c r="AQ471" s="10"/>
      <c r="AR471" s="10"/>
      <c r="AS471" s="10"/>
      <c r="AT471" s="10"/>
      <c r="AU471" s="10"/>
      <c r="AW471" s="10" t="str">
        <f t="shared" si="159"/>
        <v/>
      </c>
      <c r="AX471" s="10" t="str">
        <f t="shared" si="153"/>
        <v/>
      </c>
      <c r="AY471" s="10" t="str">
        <f t="shared" si="154"/>
        <v/>
      </c>
      <c r="AZ471" s="10" t="str">
        <f t="shared" si="155"/>
        <v/>
      </c>
      <c r="BA471" s="10" t="str">
        <f t="shared" si="156"/>
        <v/>
      </c>
    </row>
    <row r="472" spans="6:53" x14ac:dyDescent="0.2">
      <c r="F472" s="10" t="str">
        <f t="shared" si="141"/>
        <v>2018/9/3</v>
      </c>
      <c r="G472" s="14">
        <v>43346</v>
      </c>
      <c r="H472" s="10">
        <v>0.81174199999999996</v>
      </c>
      <c r="I472" s="10">
        <v>-0.51186959999999992</v>
      </c>
      <c r="J472" s="10">
        <v>0.29987239999999998</v>
      </c>
      <c r="K472" s="10">
        <f t="shared" si="142"/>
        <v>2388.4899831000007</v>
      </c>
      <c r="L472" s="10">
        <f t="shared" si="143"/>
        <v>-1798.8521162999989</v>
      </c>
      <c r="M472" s="10">
        <f t="shared" si="144"/>
        <v>589.63786679999976</v>
      </c>
      <c r="N472" s="10">
        <v>24.649032297454927</v>
      </c>
      <c r="O472" s="10">
        <v>19.251201671309186</v>
      </c>
      <c r="P472" s="10">
        <v>3927.2981180200036</v>
      </c>
      <c r="Y472" s="10" t="e">
        <f t="shared" si="157"/>
        <v>#N/A</v>
      </c>
      <c r="Z472" s="10" t="e">
        <f t="shared" si="145"/>
        <v>#N/A</v>
      </c>
      <c r="AA472" s="10" t="e">
        <f t="shared" si="146"/>
        <v>#N/A</v>
      </c>
      <c r="AB472" s="10" t="e">
        <f t="shared" si="147"/>
        <v>#N/A</v>
      </c>
      <c r="AC472" s="10" t="e">
        <f t="shared" si="148"/>
        <v>#N/A</v>
      </c>
      <c r="AE472" s="10" t="str">
        <f t="shared" si="158"/>
        <v/>
      </c>
      <c r="AF472" s="10" t="str">
        <f t="shared" si="149"/>
        <v/>
      </c>
      <c r="AG472" s="10" t="str">
        <f t="shared" si="150"/>
        <v/>
      </c>
      <c r="AH472" s="10" t="str">
        <f t="shared" si="151"/>
        <v/>
      </c>
      <c r="AI472" s="10" t="str">
        <f t="shared" si="152"/>
        <v/>
      </c>
      <c r="AK472" s="10"/>
      <c r="AL472" s="10"/>
      <c r="AM472" s="10"/>
      <c r="AN472" s="10"/>
      <c r="AO472" s="10"/>
      <c r="AQ472" s="10"/>
      <c r="AR472" s="10"/>
      <c r="AS472" s="10"/>
      <c r="AT472" s="10"/>
      <c r="AU472" s="10"/>
      <c r="AW472" s="10" t="str">
        <f t="shared" si="159"/>
        <v/>
      </c>
      <c r="AX472" s="10" t="str">
        <f t="shared" si="153"/>
        <v/>
      </c>
      <c r="AY472" s="10" t="str">
        <f t="shared" si="154"/>
        <v/>
      </c>
      <c r="AZ472" s="10" t="str">
        <f t="shared" si="155"/>
        <v/>
      </c>
      <c r="BA472" s="10" t="str">
        <f t="shared" si="156"/>
        <v/>
      </c>
    </row>
    <row r="473" spans="6:53" x14ac:dyDescent="0.2">
      <c r="F473" s="10" t="str">
        <f t="shared" si="141"/>
        <v>2018/9/4</v>
      </c>
      <c r="G473" s="14">
        <v>43347</v>
      </c>
      <c r="H473" s="10">
        <v>2.8499555999999999</v>
      </c>
      <c r="I473" s="10">
        <v>-7.4422098000000014</v>
      </c>
      <c r="J473" s="10">
        <v>-4.592254200000002</v>
      </c>
      <c r="K473" s="10">
        <f t="shared" si="142"/>
        <v>2391.3399387000009</v>
      </c>
      <c r="L473" s="10">
        <f t="shared" si="143"/>
        <v>-1806.2943260999989</v>
      </c>
      <c r="M473" s="10">
        <f t="shared" si="144"/>
        <v>585.0456125999998</v>
      </c>
      <c r="N473" s="10">
        <v>24.338252187127885</v>
      </c>
      <c r="O473" s="10">
        <v>18.852983008356549</v>
      </c>
      <c r="P473" s="10">
        <v>3918.7172273699994</v>
      </c>
      <c r="Y473" s="10" t="e">
        <f t="shared" si="157"/>
        <v>#N/A</v>
      </c>
      <c r="Z473" s="10" t="e">
        <f t="shared" si="145"/>
        <v>#N/A</v>
      </c>
      <c r="AA473" s="10" t="e">
        <f t="shared" si="146"/>
        <v>#N/A</v>
      </c>
      <c r="AB473" s="10" t="e">
        <f t="shared" si="147"/>
        <v>#N/A</v>
      </c>
      <c r="AC473" s="10" t="e">
        <f t="shared" si="148"/>
        <v>#N/A</v>
      </c>
      <c r="AE473" s="10" t="str">
        <f t="shared" si="158"/>
        <v/>
      </c>
      <c r="AF473" s="10" t="str">
        <f t="shared" si="149"/>
        <v/>
      </c>
      <c r="AG473" s="10" t="str">
        <f t="shared" si="150"/>
        <v/>
      </c>
      <c r="AH473" s="10" t="str">
        <f t="shared" si="151"/>
        <v/>
      </c>
      <c r="AI473" s="10" t="str">
        <f t="shared" si="152"/>
        <v/>
      </c>
      <c r="AK473" s="10"/>
      <c r="AL473" s="10"/>
      <c r="AM473" s="10"/>
      <c r="AN473" s="10"/>
      <c r="AO473" s="10"/>
      <c r="AQ473" s="10"/>
      <c r="AR473" s="10"/>
      <c r="AS473" s="10"/>
      <c r="AT473" s="10"/>
      <c r="AU473" s="10"/>
      <c r="AW473" s="10" t="str">
        <f t="shared" si="159"/>
        <v/>
      </c>
      <c r="AX473" s="10" t="str">
        <f t="shared" si="153"/>
        <v/>
      </c>
      <c r="AY473" s="10" t="str">
        <f t="shared" si="154"/>
        <v/>
      </c>
      <c r="AZ473" s="10" t="str">
        <f t="shared" si="155"/>
        <v/>
      </c>
      <c r="BA473" s="10" t="str">
        <f t="shared" si="156"/>
        <v/>
      </c>
    </row>
    <row r="474" spans="6:53" x14ac:dyDescent="0.2">
      <c r="F474" s="10" t="str">
        <f t="shared" si="141"/>
        <v>2018/9/5</v>
      </c>
      <c r="G474" s="14">
        <v>43348</v>
      </c>
      <c r="H474" s="10">
        <v>12.184513900000004</v>
      </c>
      <c r="I474" s="10">
        <v>-2.750505</v>
      </c>
      <c r="J474" s="10">
        <v>9.4340088999999985</v>
      </c>
      <c r="K474" s="10">
        <f t="shared" si="142"/>
        <v>2403.524452600001</v>
      </c>
      <c r="L474" s="10">
        <f t="shared" si="143"/>
        <v>-1809.0448310999989</v>
      </c>
      <c r="M474" s="10">
        <f t="shared" si="144"/>
        <v>594.47962149999978</v>
      </c>
      <c r="N474" s="10">
        <v>23.790385146690198</v>
      </c>
      <c r="O474" s="10">
        <v>18.359570194986073</v>
      </c>
      <c r="P474" s="10">
        <v>3904.1537200200005</v>
      </c>
      <c r="Y474" s="10" t="e">
        <f t="shared" si="157"/>
        <v>#N/A</v>
      </c>
      <c r="Z474" s="10" t="e">
        <f t="shared" si="145"/>
        <v>#N/A</v>
      </c>
      <c r="AA474" s="10" t="e">
        <f t="shared" si="146"/>
        <v>#N/A</v>
      </c>
      <c r="AB474" s="10" t="e">
        <f t="shared" si="147"/>
        <v>#N/A</v>
      </c>
      <c r="AC474" s="10" t="e">
        <f t="shared" si="148"/>
        <v>#N/A</v>
      </c>
      <c r="AE474" s="10" t="str">
        <f t="shared" si="158"/>
        <v/>
      </c>
      <c r="AF474" s="10" t="str">
        <f t="shared" si="149"/>
        <v/>
      </c>
      <c r="AG474" s="10" t="str">
        <f t="shared" si="150"/>
        <v/>
      </c>
      <c r="AH474" s="10" t="str">
        <f t="shared" si="151"/>
        <v/>
      </c>
      <c r="AI474" s="10" t="str">
        <f t="shared" si="152"/>
        <v/>
      </c>
      <c r="AK474" s="10"/>
      <c r="AL474" s="10"/>
      <c r="AM474" s="10"/>
      <c r="AN474" s="10"/>
      <c r="AO474" s="10"/>
      <c r="AQ474" s="10"/>
      <c r="AR474" s="10"/>
      <c r="AS474" s="10"/>
      <c r="AT474" s="10"/>
      <c r="AU474" s="10"/>
      <c r="AW474" s="10" t="str">
        <f t="shared" si="159"/>
        <v/>
      </c>
      <c r="AX474" s="10" t="str">
        <f t="shared" si="153"/>
        <v/>
      </c>
      <c r="AY474" s="10" t="str">
        <f t="shared" si="154"/>
        <v/>
      </c>
      <c r="AZ474" s="10" t="str">
        <f t="shared" si="155"/>
        <v/>
      </c>
      <c r="BA474" s="10" t="str">
        <f t="shared" si="156"/>
        <v/>
      </c>
    </row>
    <row r="475" spans="6:53" x14ac:dyDescent="0.2">
      <c r="F475" s="10" t="str">
        <f t="shared" si="141"/>
        <v>2018/9/6</v>
      </c>
      <c r="G475" s="14">
        <v>43349</v>
      </c>
      <c r="H475" s="10">
        <v>3.2369245000000002</v>
      </c>
      <c r="I475" s="10">
        <v>-6.7463213</v>
      </c>
      <c r="J475" s="10">
        <v>-3.5093968000000002</v>
      </c>
      <c r="K475" s="10">
        <f t="shared" si="142"/>
        <v>2406.761377100001</v>
      </c>
      <c r="L475" s="10">
        <f t="shared" si="143"/>
        <v>-1815.791152399999</v>
      </c>
      <c r="M475" s="10">
        <f t="shared" si="144"/>
        <v>590.97022469999979</v>
      </c>
      <c r="N475" s="10">
        <v>23.480623453701867</v>
      </c>
      <c r="O475" s="10">
        <v>18.100679108635099</v>
      </c>
      <c r="P475" s="10">
        <v>3897.92710382</v>
      </c>
      <c r="Y475" s="10" t="e">
        <f t="shared" si="157"/>
        <v>#N/A</v>
      </c>
      <c r="Z475" s="10" t="e">
        <f t="shared" si="145"/>
        <v>#N/A</v>
      </c>
      <c r="AA475" s="10" t="e">
        <f t="shared" si="146"/>
        <v>#N/A</v>
      </c>
      <c r="AB475" s="10" t="e">
        <f t="shared" si="147"/>
        <v>#N/A</v>
      </c>
      <c r="AC475" s="10" t="e">
        <f t="shared" si="148"/>
        <v>#N/A</v>
      </c>
      <c r="AE475" s="10" t="str">
        <f t="shared" si="158"/>
        <v/>
      </c>
      <c r="AF475" s="10" t="str">
        <f t="shared" si="149"/>
        <v/>
      </c>
      <c r="AG475" s="10" t="str">
        <f t="shared" si="150"/>
        <v/>
      </c>
      <c r="AH475" s="10" t="str">
        <f t="shared" si="151"/>
        <v/>
      </c>
      <c r="AI475" s="10" t="str">
        <f t="shared" si="152"/>
        <v/>
      </c>
      <c r="AK475" s="10"/>
      <c r="AL475" s="10"/>
      <c r="AM475" s="10"/>
      <c r="AN475" s="10"/>
      <c r="AO475" s="10"/>
      <c r="AQ475" s="10"/>
      <c r="AR475" s="10"/>
      <c r="AS475" s="10"/>
      <c r="AT475" s="10"/>
      <c r="AU475" s="10"/>
      <c r="AW475" s="10" t="str">
        <f t="shared" si="159"/>
        <v/>
      </c>
      <c r="AX475" s="10" t="str">
        <f t="shared" si="153"/>
        <v/>
      </c>
      <c r="AY475" s="10" t="str">
        <f t="shared" si="154"/>
        <v/>
      </c>
      <c r="AZ475" s="10" t="str">
        <f t="shared" si="155"/>
        <v/>
      </c>
      <c r="BA475" s="10" t="str">
        <f t="shared" si="156"/>
        <v/>
      </c>
    </row>
    <row r="476" spans="6:53" x14ac:dyDescent="0.2">
      <c r="F476" s="10" t="str">
        <f t="shared" si="141"/>
        <v>2018/9/7</v>
      </c>
      <c r="G476" s="14">
        <v>43350</v>
      </c>
      <c r="H476" s="10">
        <v>5.8298512000000002</v>
      </c>
      <c r="I476" s="10">
        <v>-3.7108304000000003</v>
      </c>
      <c r="J476" s="10">
        <v>2.1190208000000004</v>
      </c>
      <c r="K476" s="10">
        <f t="shared" si="142"/>
        <v>2412.5912283000011</v>
      </c>
      <c r="L476" s="10">
        <f t="shared" si="143"/>
        <v>-1819.501982799999</v>
      </c>
      <c r="M476" s="10">
        <f t="shared" si="144"/>
        <v>593.08924549999983</v>
      </c>
      <c r="N476" s="10">
        <v>23.033761724908889</v>
      </c>
      <c r="O476" s="10">
        <v>17.696991922005566</v>
      </c>
      <c r="P476" s="10">
        <v>3886.3422424200012</v>
      </c>
      <c r="Y476" s="10" t="e">
        <f t="shared" si="157"/>
        <v>#N/A</v>
      </c>
      <c r="Z476" s="10" t="e">
        <f t="shared" si="145"/>
        <v>#N/A</v>
      </c>
      <c r="AA476" s="10" t="e">
        <f t="shared" si="146"/>
        <v>#N/A</v>
      </c>
      <c r="AB476" s="10" t="e">
        <f t="shared" si="147"/>
        <v>#N/A</v>
      </c>
      <c r="AC476" s="10" t="e">
        <f t="shared" si="148"/>
        <v>#N/A</v>
      </c>
      <c r="AE476" s="10" t="str">
        <f t="shared" si="158"/>
        <v/>
      </c>
      <c r="AF476" s="10" t="str">
        <f t="shared" si="149"/>
        <v/>
      </c>
      <c r="AG476" s="10" t="str">
        <f t="shared" si="150"/>
        <v/>
      </c>
      <c r="AH476" s="10" t="str">
        <f t="shared" si="151"/>
        <v/>
      </c>
      <c r="AI476" s="10" t="str">
        <f t="shared" si="152"/>
        <v/>
      </c>
      <c r="AK476" s="10"/>
      <c r="AL476" s="10"/>
      <c r="AM476" s="10"/>
      <c r="AN476" s="10"/>
      <c r="AO476" s="10"/>
      <c r="AQ476" s="10"/>
      <c r="AR476" s="10"/>
      <c r="AS476" s="10"/>
      <c r="AT476" s="10"/>
      <c r="AU476" s="10"/>
      <c r="AW476" s="10" t="str">
        <f t="shared" si="159"/>
        <v/>
      </c>
      <c r="AX476" s="10" t="str">
        <f t="shared" si="153"/>
        <v/>
      </c>
      <c r="AY476" s="10" t="str">
        <f t="shared" si="154"/>
        <v/>
      </c>
      <c r="AZ476" s="10" t="str">
        <f t="shared" si="155"/>
        <v/>
      </c>
      <c r="BA476" s="10" t="str">
        <f t="shared" si="156"/>
        <v/>
      </c>
    </row>
    <row r="477" spans="6:53" x14ac:dyDescent="0.2">
      <c r="F477" s="10" t="str">
        <f t="shared" si="141"/>
        <v>2018/9/10</v>
      </c>
      <c r="G477" s="14">
        <v>43353</v>
      </c>
      <c r="H477" s="10">
        <v>3.8952098000000017</v>
      </c>
      <c r="I477" s="10">
        <v>-2.6953053000000007</v>
      </c>
      <c r="J477" s="10">
        <v>1.1999044999999997</v>
      </c>
      <c r="K477" s="10">
        <f t="shared" si="142"/>
        <v>2416.4864381000011</v>
      </c>
      <c r="L477" s="10">
        <f t="shared" si="143"/>
        <v>-1822.197288099999</v>
      </c>
      <c r="M477" s="10">
        <f t="shared" si="144"/>
        <v>594.28914999999984</v>
      </c>
      <c r="N477" s="10">
        <v>23.235246187071692</v>
      </c>
      <c r="O477" s="10">
        <v>17.840372980501396</v>
      </c>
      <c r="P477" s="10">
        <v>3873.0533443200011</v>
      </c>
      <c r="Y477" s="10" t="e">
        <f t="shared" si="157"/>
        <v>#N/A</v>
      </c>
      <c r="Z477" s="10" t="e">
        <f t="shared" si="145"/>
        <v>#N/A</v>
      </c>
      <c r="AA477" s="10" t="e">
        <f t="shared" si="146"/>
        <v>#N/A</v>
      </c>
      <c r="AB477" s="10" t="e">
        <f t="shared" si="147"/>
        <v>#N/A</v>
      </c>
      <c r="AC477" s="10" t="e">
        <f t="shared" si="148"/>
        <v>#N/A</v>
      </c>
      <c r="AE477" s="10" t="str">
        <f t="shared" si="158"/>
        <v/>
      </c>
      <c r="AF477" s="10" t="str">
        <f t="shared" si="149"/>
        <v/>
      </c>
      <c r="AG477" s="10" t="str">
        <f t="shared" si="150"/>
        <v/>
      </c>
      <c r="AH477" s="10" t="str">
        <f t="shared" si="151"/>
        <v/>
      </c>
      <c r="AI477" s="10" t="str">
        <f t="shared" si="152"/>
        <v/>
      </c>
      <c r="AK477" s="10"/>
      <c r="AL477" s="10"/>
      <c r="AM477" s="10"/>
      <c r="AN477" s="10"/>
      <c r="AO477" s="10"/>
      <c r="AQ477" s="10"/>
      <c r="AR477" s="10"/>
      <c r="AS477" s="10"/>
      <c r="AT477" s="10"/>
      <c r="AU477" s="10"/>
      <c r="AW477" s="10" t="str">
        <f t="shared" si="159"/>
        <v/>
      </c>
      <c r="AX477" s="10" t="str">
        <f t="shared" si="153"/>
        <v/>
      </c>
      <c r="AY477" s="10" t="str">
        <f t="shared" si="154"/>
        <v/>
      </c>
      <c r="AZ477" s="10" t="str">
        <f t="shared" si="155"/>
        <v/>
      </c>
      <c r="BA477" s="10" t="str">
        <f t="shared" si="156"/>
        <v/>
      </c>
    </row>
    <row r="478" spans="6:53" x14ac:dyDescent="0.2">
      <c r="F478" s="10" t="str">
        <f t="shared" si="141"/>
        <v>2018/9/11</v>
      </c>
      <c r="G478" s="14">
        <v>43354</v>
      </c>
      <c r="H478" s="10">
        <v>4.0918866000000005</v>
      </c>
      <c r="I478" s="10">
        <v>-3.6261830000000002</v>
      </c>
      <c r="J478" s="10">
        <v>0.46570360000000016</v>
      </c>
      <c r="K478" s="10">
        <f t="shared" si="142"/>
        <v>2420.5783247000013</v>
      </c>
      <c r="L478" s="10">
        <f t="shared" si="143"/>
        <v>-1825.8234710999991</v>
      </c>
      <c r="M478" s="10">
        <f t="shared" si="144"/>
        <v>594.75485359999982</v>
      </c>
      <c r="N478" s="10">
        <v>23.497988653274227</v>
      </c>
      <c r="O478" s="10">
        <v>17.939143732590537</v>
      </c>
      <c r="P478" s="10">
        <v>3881.4268331200005</v>
      </c>
      <c r="Y478" s="10" t="e">
        <f t="shared" si="157"/>
        <v>#N/A</v>
      </c>
      <c r="Z478" s="10" t="e">
        <f t="shared" si="145"/>
        <v>#N/A</v>
      </c>
      <c r="AA478" s="10" t="e">
        <f t="shared" si="146"/>
        <v>#N/A</v>
      </c>
      <c r="AB478" s="10" t="e">
        <f t="shared" si="147"/>
        <v>#N/A</v>
      </c>
      <c r="AC478" s="10" t="e">
        <f t="shared" si="148"/>
        <v>#N/A</v>
      </c>
      <c r="AE478" s="10" t="str">
        <f t="shared" si="158"/>
        <v/>
      </c>
      <c r="AF478" s="10" t="str">
        <f t="shared" si="149"/>
        <v/>
      </c>
      <c r="AG478" s="10" t="str">
        <f t="shared" si="150"/>
        <v/>
      </c>
      <c r="AH478" s="10" t="str">
        <f t="shared" si="151"/>
        <v/>
      </c>
      <c r="AI478" s="10" t="str">
        <f t="shared" si="152"/>
        <v/>
      </c>
      <c r="AK478" s="10"/>
      <c r="AL478" s="10"/>
      <c r="AM478" s="10"/>
      <c r="AN478" s="10"/>
      <c r="AO478" s="10"/>
      <c r="AQ478" s="10"/>
      <c r="AR478" s="10"/>
      <c r="AS478" s="10"/>
      <c r="AT478" s="10"/>
      <c r="AU478" s="10"/>
      <c r="AW478" s="10" t="str">
        <f t="shared" si="159"/>
        <v/>
      </c>
      <c r="AX478" s="10" t="str">
        <f t="shared" si="153"/>
        <v/>
      </c>
      <c r="AY478" s="10" t="str">
        <f t="shared" si="154"/>
        <v/>
      </c>
      <c r="AZ478" s="10" t="str">
        <f t="shared" si="155"/>
        <v/>
      </c>
      <c r="BA478" s="10" t="str">
        <f t="shared" si="156"/>
        <v/>
      </c>
    </row>
    <row r="479" spans="6:53" x14ac:dyDescent="0.2">
      <c r="F479" s="10" t="str">
        <f t="shared" si="141"/>
        <v>2018/9/12</v>
      </c>
      <c r="G479" s="14">
        <v>43355</v>
      </c>
      <c r="H479" s="10">
        <v>5.1625343999999984</v>
      </c>
      <c r="I479" s="10">
        <v>-3.6712121000000004</v>
      </c>
      <c r="J479" s="10">
        <v>1.4913222999999998</v>
      </c>
      <c r="K479" s="10">
        <f t="shared" si="142"/>
        <v>2425.7408591000012</v>
      </c>
      <c r="L479" s="10">
        <f t="shared" si="143"/>
        <v>-1829.4946831999991</v>
      </c>
      <c r="M479" s="10">
        <f t="shared" si="144"/>
        <v>596.2461758999998</v>
      </c>
      <c r="N479" s="10">
        <v>23.641932999358865</v>
      </c>
      <c r="O479" s="10">
        <v>18.292296657381627</v>
      </c>
      <c r="P479" s="10">
        <v>3888.3731494199992</v>
      </c>
      <c r="Y479" s="10" t="e">
        <f t="shared" si="157"/>
        <v>#N/A</v>
      </c>
      <c r="Z479" s="10" t="e">
        <f t="shared" si="145"/>
        <v>#N/A</v>
      </c>
      <c r="AA479" s="10" t="e">
        <f t="shared" si="146"/>
        <v>#N/A</v>
      </c>
      <c r="AB479" s="10" t="e">
        <f t="shared" si="147"/>
        <v>#N/A</v>
      </c>
      <c r="AC479" s="10" t="e">
        <f t="shared" si="148"/>
        <v>#N/A</v>
      </c>
      <c r="AE479" s="10" t="str">
        <f t="shared" si="158"/>
        <v/>
      </c>
      <c r="AF479" s="10" t="str">
        <f t="shared" si="149"/>
        <v/>
      </c>
      <c r="AG479" s="10" t="str">
        <f t="shared" si="150"/>
        <v/>
      </c>
      <c r="AH479" s="10" t="str">
        <f t="shared" si="151"/>
        <v/>
      </c>
      <c r="AI479" s="10" t="str">
        <f t="shared" si="152"/>
        <v/>
      </c>
      <c r="AK479" s="10"/>
      <c r="AL479" s="10"/>
      <c r="AM479" s="10"/>
      <c r="AN479" s="10"/>
      <c r="AO479" s="10"/>
      <c r="AQ479" s="10"/>
      <c r="AR479" s="10"/>
      <c r="AS479" s="10"/>
      <c r="AT479" s="10"/>
      <c r="AU479" s="10"/>
      <c r="AW479" s="10" t="str">
        <f t="shared" si="159"/>
        <v/>
      </c>
      <c r="AX479" s="10" t="str">
        <f t="shared" si="153"/>
        <v/>
      </c>
      <c r="AY479" s="10" t="str">
        <f t="shared" si="154"/>
        <v/>
      </c>
      <c r="AZ479" s="10" t="str">
        <f t="shared" si="155"/>
        <v/>
      </c>
      <c r="BA479" s="10" t="str">
        <f t="shared" si="156"/>
        <v/>
      </c>
    </row>
    <row r="480" spans="6:53" x14ac:dyDescent="0.2">
      <c r="F480" s="10" t="str">
        <f t="shared" si="141"/>
        <v>2018/9/13</v>
      </c>
      <c r="G480" s="14">
        <v>43356</v>
      </c>
      <c r="H480" s="10">
        <v>5.4757992999999994</v>
      </c>
      <c r="I480" s="10">
        <v>-4.5952209999999996</v>
      </c>
      <c r="J480" s="10">
        <v>0.88057829999999992</v>
      </c>
      <c r="K480" s="10">
        <f t="shared" si="142"/>
        <v>2431.2166584000011</v>
      </c>
      <c r="L480" s="10">
        <f t="shared" si="143"/>
        <v>-1834.0899041999992</v>
      </c>
      <c r="M480" s="10">
        <f t="shared" si="144"/>
        <v>597.12675419999982</v>
      </c>
      <c r="N480" s="10">
        <v>24.264400654683129</v>
      </c>
      <c r="O480" s="10">
        <v>18.808570752089135</v>
      </c>
      <c r="P480" s="10">
        <v>3895.9681149199982</v>
      </c>
      <c r="Y480" s="10" t="e">
        <f t="shared" si="157"/>
        <v>#N/A</v>
      </c>
      <c r="Z480" s="10" t="e">
        <f t="shared" si="145"/>
        <v>#N/A</v>
      </c>
      <c r="AA480" s="10" t="e">
        <f t="shared" si="146"/>
        <v>#N/A</v>
      </c>
      <c r="AB480" s="10" t="e">
        <f t="shared" si="147"/>
        <v>#N/A</v>
      </c>
      <c r="AC480" s="10" t="e">
        <f t="shared" si="148"/>
        <v>#N/A</v>
      </c>
      <c r="AE480" s="10" t="str">
        <f t="shared" si="158"/>
        <v/>
      </c>
      <c r="AF480" s="10" t="str">
        <f t="shared" si="149"/>
        <v/>
      </c>
      <c r="AG480" s="10" t="str">
        <f t="shared" si="150"/>
        <v/>
      </c>
      <c r="AH480" s="10" t="str">
        <f t="shared" si="151"/>
        <v/>
      </c>
      <c r="AI480" s="10" t="str">
        <f t="shared" si="152"/>
        <v/>
      </c>
      <c r="AK480" s="10"/>
      <c r="AL480" s="10"/>
      <c r="AM480" s="10"/>
      <c r="AN480" s="10"/>
      <c r="AO480" s="10"/>
      <c r="AQ480" s="10"/>
      <c r="AR480" s="10"/>
      <c r="AS480" s="10"/>
      <c r="AT480" s="10"/>
      <c r="AU480" s="10"/>
      <c r="AW480" s="10" t="str">
        <f t="shared" si="159"/>
        <v/>
      </c>
      <c r="AX480" s="10" t="str">
        <f t="shared" si="153"/>
        <v/>
      </c>
      <c r="AY480" s="10" t="str">
        <f t="shared" si="154"/>
        <v/>
      </c>
      <c r="AZ480" s="10" t="str">
        <f t="shared" si="155"/>
        <v/>
      </c>
      <c r="BA480" s="10" t="str">
        <f t="shared" si="156"/>
        <v/>
      </c>
    </row>
    <row r="481" spans="6:53" x14ac:dyDescent="0.2">
      <c r="F481" s="10" t="str">
        <f t="shared" si="141"/>
        <v>2018/9/14</v>
      </c>
      <c r="G481" s="14">
        <v>43357</v>
      </c>
      <c r="H481" s="10">
        <v>3.6211232000000004</v>
      </c>
      <c r="I481" s="10">
        <v>-7.5643921000000001</v>
      </c>
      <c r="J481" s="10">
        <v>-3.9432689000000001</v>
      </c>
      <c r="K481" s="10">
        <f t="shared" si="142"/>
        <v>2434.8377816000011</v>
      </c>
      <c r="L481" s="10">
        <f t="shared" si="143"/>
        <v>-1841.6542962999993</v>
      </c>
      <c r="M481" s="10">
        <f t="shared" si="144"/>
        <v>593.1834852999998</v>
      </c>
      <c r="N481" s="10">
        <v>24.432017080466796</v>
      </c>
      <c r="O481" s="10">
        <v>18.916554596100283</v>
      </c>
      <c r="P481" s="10">
        <v>3914.5530077200042</v>
      </c>
      <c r="Y481" s="10" t="e">
        <f t="shared" si="157"/>
        <v>#N/A</v>
      </c>
      <c r="Z481" s="10" t="e">
        <f t="shared" si="145"/>
        <v>#N/A</v>
      </c>
      <c r="AA481" s="10" t="e">
        <f t="shared" si="146"/>
        <v>#N/A</v>
      </c>
      <c r="AB481" s="10" t="e">
        <f t="shared" si="147"/>
        <v>#N/A</v>
      </c>
      <c r="AC481" s="10" t="e">
        <f t="shared" si="148"/>
        <v>#N/A</v>
      </c>
      <c r="AE481" s="10" t="str">
        <f t="shared" si="158"/>
        <v/>
      </c>
      <c r="AF481" s="10" t="str">
        <f t="shared" si="149"/>
        <v/>
      </c>
      <c r="AG481" s="10" t="str">
        <f t="shared" si="150"/>
        <v/>
      </c>
      <c r="AH481" s="10" t="str">
        <f t="shared" si="151"/>
        <v/>
      </c>
      <c r="AI481" s="10" t="str">
        <f t="shared" si="152"/>
        <v/>
      </c>
      <c r="AK481" s="10"/>
      <c r="AL481" s="10"/>
      <c r="AM481" s="10"/>
      <c r="AN481" s="10"/>
      <c r="AO481" s="10"/>
      <c r="AQ481" s="10"/>
      <c r="AR481" s="10"/>
      <c r="AS481" s="10"/>
      <c r="AT481" s="10"/>
      <c r="AU481" s="10"/>
      <c r="AW481" s="10" t="str">
        <f t="shared" si="159"/>
        <v/>
      </c>
      <c r="AX481" s="10" t="str">
        <f t="shared" si="153"/>
        <v/>
      </c>
      <c r="AY481" s="10" t="str">
        <f t="shared" si="154"/>
        <v/>
      </c>
      <c r="AZ481" s="10" t="str">
        <f t="shared" si="155"/>
        <v/>
      </c>
      <c r="BA481" s="10" t="str">
        <f t="shared" si="156"/>
        <v/>
      </c>
    </row>
    <row r="482" spans="6:53" x14ac:dyDescent="0.2">
      <c r="F482" s="10" t="str">
        <f t="shared" si="141"/>
        <v>2018/9/17</v>
      </c>
      <c r="G482" s="14">
        <v>43360</v>
      </c>
      <c r="H482" s="10">
        <v>7.1654593999999987</v>
      </c>
      <c r="I482" s="10">
        <v>-2.2257172999999995</v>
      </c>
      <c r="J482" s="10">
        <v>4.9397420999999992</v>
      </c>
      <c r="K482" s="10">
        <f t="shared" si="142"/>
        <v>2442.0032410000013</v>
      </c>
      <c r="L482" s="10">
        <f t="shared" si="143"/>
        <v>-1843.8800135999993</v>
      </c>
      <c r="M482" s="10">
        <f t="shared" si="144"/>
        <v>598.12322739999979</v>
      </c>
      <c r="N482" s="10">
        <v>23.982121306342158</v>
      </c>
      <c r="O482" s="10">
        <v>18.690620891364905</v>
      </c>
      <c r="P482" s="10">
        <v>3919.6123472200011</v>
      </c>
      <c r="Y482" s="10" t="e">
        <f t="shared" si="157"/>
        <v>#N/A</v>
      </c>
      <c r="Z482" s="10" t="e">
        <f t="shared" si="145"/>
        <v>#N/A</v>
      </c>
      <c r="AA482" s="10" t="e">
        <f t="shared" si="146"/>
        <v>#N/A</v>
      </c>
      <c r="AB482" s="10" t="e">
        <f t="shared" si="147"/>
        <v>#N/A</v>
      </c>
      <c r="AC482" s="10" t="e">
        <f t="shared" si="148"/>
        <v>#N/A</v>
      </c>
      <c r="AE482" s="10" t="str">
        <f t="shared" si="158"/>
        <v/>
      </c>
      <c r="AF482" s="10" t="str">
        <f t="shared" si="149"/>
        <v/>
      </c>
      <c r="AG482" s="10" t="str">
        <f t="shared" si="150"/>
        <v/>
      </c>
      <c r="AH482" s="10" t="str">
        <f t="shared" si="151"/>
        <v/>
      </c>
      <c r="AI482" s="10" t="str">
        <f t="shared" si="152"/>
        <v/>
      </c>
      <c r="AK482" s="10"/>
      <c r="AL482" s="10"/>
      <c r="AM482" s="10"/>
      <c r="AN482" s="10"/>
      <c r="AO482" s="10"/>
      <c r="AQ482" s="10"/>
      <c r="AR482" s="10"/>
      <c r="AS482" s="10"/>
      <c r="AT482" s="10"/>
      <c r="AU482" s="10"/>
      <c r="AW482" s="10" t="str">
        <f t="shared" si="159"/>
        <v/>
      </c>
      <c r="AX482" s="10" t="str">
        <f t="shared" si="153"/>
        <v/>
      </c>
      <c r="AY482" s="10" t="str">
        <f t="shared" si="154"/>
        <v/>
      </c>
      <c r="AZ482" s="10" t="str">
        <f t="shared" si="155"/>
        <v/>
      </c>
      <c r="BA482" s="10" t="str">
        <f t="shared" si="156"/>
        <v/>
      </c>
    </row>
    <row r="483" spans="6:53" x14ac:dyDescent="0.2">
      <c r="F483" s="10" t="str">
        <f t="shared" si="141"/>
        <v>2018/9/18</v>
      </c>
      <c r="G483" s="14">
        <v>43361</v>
      </c>
      <c r="H483" s="10">
        <v>18.221641099999999</v>
      </c>
      <c r="I483" s="10">
        <v>-2.9059505999999997</v>
      </c>
      <c r="J483" s="10">
        <v>15.315690500000002</v>
      </c>
      <c r="K483" s="10">
        <f t="shared" si="142"/>
        <v>2460.2248821000012</v>
      </c>
      <c r="L483" s="10">
        <f t="shared" si="143"/>
        <v>-1846.7859641999994</v>
      </c>
      <c r="M483" s="10">
        <f t="shared" si="144"/>
        <v>613.43891789999975</v>
      </c>
      <c r="N483" s="10">
        <v>24.639010264176143</v>
      </c>
      <c r="O483" s="10">
        <v>19.188358217270192</v>
      </c>
      <c r="P483" s="10">
        <v>3913.2050801200007</v>
      </c>
      <c r="Y483" s="10" t="e">
        <f t="shared" si="157"/>
        <v>#N/A</v>
      </c>
      <c r="Z483" s="10" t="e">
        <f t="shared" si="145"/>
        <v>#N/A</v>
      </c>
      <c r="AA483" s="10" t="e">
        <f t="shared" si="146"/>
        <v>#N/A</v>
      </c>
      <c r="AB483" s="10" t="e">
        <f t="shared" si="147"/>
        <v>#N/A</v>
      </c>
      <c r="AC483" s="10" t="e">
        <f t="shared" si="148"/>
        <v>#N/A</v>
      </c>
      <c r="AE483" s="10" t="str">
        <f t="shared" si="158"/>
        <v/>
      </c>
      <c r="AF483" s="10" t="str">
        <f t="shared" si="149"/>
        <v/>
      </c>
      <c r="AG483" s="10" t="str">
        <f t="shared" si="150"/>
        <v/>
      </c>
      <c r="AH483" s="10" t="str">
        <f t="shared" si="151"/>
        <v/>
      </c>
      <c r="AI483" s="10" t="str">
        <f t="shared" si="152"/>
        <v/>
      </c>
      <c r="AK483" s="10"/>
      <c r="AL483" s="10"/>
      <c r="AM483" s="10"/>
      <c r="AN483" s="10"/>
      <c r="AO483" s="10"/>
      <c r="AQ483" s="10"/>
      <c r="AR483" s="10"/>
      <c r="AS483" s="10"/>
      <c r="AT483" s="10"/>
      <c r="AU483" s="10"/>
      <c r="AW483" s="10" t="str">
        <f t="shared" si="159"/>
        <v/>
      </c>
      <c r="AX483" s="10" t="str">
        <f t="shared" si="153"/>
        <v/>
      </c>
      <c r="AY483" s="10" t="str">
        <f t="shared" si="154"/>
        <v/>
      </c>
      <c r="AZ483" s="10" t="str">
        <f t="shared" si="155"/>
        <v/>
      </c>
      <c r="BA483" s="10" t="str">
        <f t="shared" si="156"/>
        <v/>
      </c>
    </row>
    <row r="484" spans="6:53" x14ac:dyDescent="0.2">
      <c r="F484" s="10" t="str">
        <f t="shared" si="141"/>
        <v>2018/9/19</v>
      </c>
      <c r="G484" s="14">
        <v>43362</v>
      </c>
      <c r="H484" s="10">
        <v>20.600537199999998</v>
      </c>
      <c r="I484" s="10">
        <v>-3.4465796000000006</v>
      </c>
      <c r="J484" s="10">
        <v>17.153957600000002</v>
      </c>
      <c r="K484" s="10">
        <f t="shared" si="142"/>
        <v>2480.8254193000012</v>
      </c>
      <c r="L484" s="10">
        <f t="shared" si="143"/>
        <v>-1850.2325437999993</v>
      </c>
      <c r="M484" s="10">
        <f t="shared" si="144"/>
        <v>630.59287549999976</v>
      </c>
      <c r="N484" s="10">
        <v>24.958503231052841</v>
      </c>
      <c r="O484" s="10">
        <v>19.478997214484689</v>
      </c>
      <c r="P484" s="10">
        <v>3942.1607842199974</v>
      </c>
      <c r="Y484" s="10" t="e">
        <f t="shared" si="157"/>
        <v>#N/A</v>
      </c>
      <c r="Z484" s="10" t="e">
        <f t="shared" si="145"/>
        <v>#N/A</v>
      </c>
      <c r="AA484" s="10" t="e">
        <f t="shared" si="146"/>
        <v>#N/A</v>
      </c>
      <c r="AB484" s="10" t="e">
        <f t="shared" si="147"/>
        <v>#N/A</v>
      </c>
      <c r="AC484" s="10" t="e">
        <f t="shared" si="148"/>
        <v>#N/A</v>
      </c>
      <c r="AE484" s="10" t="str">
        <f t="shared" si="158"/>
        <v/>
      </c>
      <c r="AF484" s="10" t="str">
        <f t="shared" si="149"/>
        <v/>
      </c>
      <c r="AG484" s="10" t="str">
        <f t="shared" si="150"/>
        <v/>
      </c>
      <c r="AH484" s="10" t="str">
        <f t="shared" si="151"/>
        <v/>
      </c>
      <c r="AI484" s="10" t="str">
        <f t="shared" si="152"/>
        <v/>
      </c>
      <c r="AK484" s="10"/>
      <c r="AL484" s="10"/>
      <c r="AM484" s="10"/>
      <c r="AN484" s="10"/>
      <c r="AO484" s="10"/>
      <c r="AQ484" s="10"/>
      <c r="AR484" s="10"/>
      <c r="AS484" s="10"/>
      <c r="AT484" s="10"/>
      <c r="AU484" s="10"/>
      <c r="AW484" s="10" t="str">
        <f t="shared" si="159"/>
        <v/>
      </c>
      <c r="AX484" s="10" t="str">
        <f t="shared" si="153"/>
        <v/>
      </c>
      <c r="AY484" s="10" t="str">
        <f t="shared" si="154"/>
        <v/>
      </c>
      <c r="AZ484" s="10" t="str">
        <f t="shared" si="155"/>
        <v/>
      </c>
      <c r="BA484" s="10" t="str">
        <f t="shared" si="156"/>
        <v/>
      </c>
    </row>
    <row r="485" spans="6:53" x14ac:dyDescent="0.2">
      <c r="F485" s="10" t="str">
        <f t="shared" si="141"/>
        <v>2018/9/20</v>
      </c>
      <c r="G485" s="14">
        <v>43363</v>
      </c>
      <c r="H485" s="10">
        <v>6.6781006000000014</v>
      </c>
      <c r="I485" s="10">
        <v>-5.5949127000000001</v>
      </c>
      <c r="J485" s="10">
        <v>1.0831879000000013</v>
      </c>
      <c r="K485" s="10">
        <f t="shared" si="142"/>
        <v>2487.5035199000013</v>
      </c>
      <c r="L485" s="10">
        <f t="shared" si="143"/>
        <v>-1855.8274564999992</v>
      </c>
      <c r="M485" s="10">
        <f t="shared" si="144"/>
        <v>631.67606339999975</v>
      </c>
      <c r="N485" s="10">
        <v>25.826815664746505</v>
      </c>
      <c r="O485" s="10">
        <v>20.218983008356538</v>
      </c>
      <c r="P485" s="10">
        <v>3967.9316354199996</v>
      </c>
      <c r="Y485" s="10" t="e">
        <f t="shared" si="157"/>
        <v>#N/A</v>
      </c>
      <c r="Z485" s="10" t="e">
        <f t="shared" si="145"/>
        <v>#N/A</v>
      </c>
      <c r="AA485" s="10" t="e">
        <f t="shared" si="146"/>
        <v>#N/A</v>
      </c>
      <c r="AB485" s="10" t="e">
        <f t="shared" si="147"/>
        <v>#N/A</v>
      </c>
      <c r="AC485" s="10" t="e">
        <f t="shared" si="148"/>
        <v>#N/A</v>
      </c>
      <c r="AE485" s="10" t="str">
        <f t="shared" si="158"/>
        <v/>
      </c>
      <c r="AF485" s="10" t="str">
        <f t="shared" si="149"/>
        <v/>
      </c>
      <c r="AG485" s="10" t="str">
        <f t="shared" si="150"/>
        <v/>
      </c>
      <c r="AH485" s="10" t="str">
        <f t="shared" si="151"/>
        <v/>
      </c>
      <c r="AI485" s="10" t="str">
        <f t="shared" si="152"/>
        <v/>
      </c>
      <c r="AK485" s="10"/>
      <c r="AL485" s="10"/>
      <c r="AM485" s="10"/>
      <c r="AN485" s="10"/>
      <c r="AO485" s="10"/>
      <c r="AQ485" s="10"/>
      <c r="AR485" s="10"/>
      <c r="AS485" s="10"/>
      <c r="AT485" s="10"/>
      <c r="AU485" s="10"/>
      <c r="AW485" s="10" t="str">
        <f t="shared" si="159"/>
        <v/>
      </c>
      <c r="AX485" s="10" t="str">
        <f t="shared" si="153"/>
        <v/>
      </c>
      <c r="AY485" s="10" t="str">
        <f t="shared" si="154"/>
        <v/>
      </c>
      <c r="AZ485" s="10" t="str">
        <f t="shared" si="155"/>
        <v/>
      </c>
      <c r="BA485" s="10" t="str">
        <f t="shared" si="156"/>
        <v/>
      </c>
    </row>
    <row r="486" spans="6:53" x14ac:dyDescent="0.2">
      <c r="F486" s="10" t="str">
        <f t="shared" ref="F486:F536" si="160">IF($G486="","",YEAR($G486)&amp;"/"&amp;MONTH($G486)&amp;"/"&amp;DAY($G486))</f>
        <v>2018/9/21</v>
      </c>
      <c r="G486" s="14">
        <v>43364</v>
      </c>
      <c r="H486" s="10">
        <v>4.9071347999999997</v>
      </c>
      <c r="I486" s="10">
        <v>-17.959277900000004</v>
      </c>
      <c r="J486" s="10">
        <v>-13.052143100000002</v>
      </c>
      <c r="K486" s="10">
        <f t="shared" si="142"/>
        <v>2492.4106547000015</v>
      </c>
      <c r="L486" s="10">
        <f t="shared" si="143"/>
        <v>-1873.7867343999992</v>
      </c>
      <c r="M486" s="10">
        <f t="shared" si="144"/>
        <v>618.62392029999978</v>
      </c>
      <c r="N486" s="10">
        <v>25.842116843058935</v>
      </c>
      <c r="O486" s="10">
        <v>20.385730083565459</v>
      </c>
      <c r="P486" s="10">
        <v>3994.6413711200012</v>
      </c>
      <c r="Y486" s="10" t="e">
        <f t="shared" si="157"/>
        <v>#N/A</v>
      </c>
      <c r="Z486" s="10" t="e">
        <f t="shared" si="145"/>
        <v>#N/A</v>
      </c>
      <c r="AA486" s="10" t="e">
        <f t="shared" si="146"/>
        <v>#N/A</v>
      </c>
      <c r="AB486" s="10" t="e">
        <f t="shared" si="147"/>
        <v>#N/A</v>
      </c>
      <c r="AC486" s="10" t="e">
        <f t="shared" si="148"/>
        <v>#N/A</v>
      </c>
      <c r="AE486" s="10" t="str">
        <f t="shared" si="158"/>
        <v/>
      </c>
      <c r="AF486" s="10" t="str">
        <f t="shared" si="149"/>
        <v/>
      </c>
      <c r="AG486" s="10" t="str">
        <f t="shared" si="150"/>
        <v/>
      </c>
      <c r="AH486" s="10" t="str">
        <f t="shared" si="151"/>
        <v/>
      </c>
      <c r="AI486" s="10" t="str">
        <f t="shared" si="152"/>
        <v/>
      </c>
      <c r="AK486" s="10"/>
      <c r="AL486" s="10"/>
      <c r="AM486" s="10"/>
      <c r="AN486" s="10"/>
      <c r="AO486" s="10"/>
      <c r="AQ486" s="10"/>
      <c r="AR486" s="10"/>
      <c r="AS486" s="10"/>
      <c r="AT486" s="10"/>
      <c r="AU486" s="10"/>
      <c r="AW486" s="10" t="str">
        <f t="shared" si="159"/>
        <v/>
      </c>
      <c r="AX486" s="10" t="str">
        <f t="shared" si="153"/>
        <v/>
      </c>
      <c r="AY486" s="10" t="str">
        <f t="shared" si="154"/>
        <v/>
      </c>
      <c r="AZ486" s="10" t="str">
        <f t="shared" si="155"/>
        <v/>
      </c>
      <c r="BA486" s="10" t="str">
        <f t="shared" si="156"/>
        <v/>
      </c>
    </row>
    <row r="487" spans="6:53" x14ac:dyDescent="0.2">
      <c r="F487" s="10" t="str">
        <f t="shared" si="160"/>
        <v>2018/9/24</v>
      </c>
      <c r="G487" s="14">
        <v>43367</v>
      </c>
      <c r="H487" s="10">
        <v>5.1115940000000002</v>
      </c>
      <c r="I487" s="10">
        <v>-7.7202869000000005</v>
      </c>
      <c r="J487" s="10">
        <v>-2.6086928999999999</v>
      </c>
      <c r="K487" s="10">
        <f t="shared" ref="K487:K536" si="161">IF($H487="","",K486+H487)</f>
        <v>2497.5222487000015</v>
      </c>
      <c r="L487" s="10">
        <f t="shared" ref="L487:L536" si="162">IF($I487="","",L486+I487)</f>
        <v>-1881.5070212999992</v>
      </c>
      <c r="M487" s="10">
        <f t="shared" ref="M487:M536" si="163">IF($J487="","",M486+J487)</f>
        <v>616.01522739999973</v>
      </c>
      <c r="N487" s="10">
        <v>25.399901077590261</v>
      </c>
      <c r="O487" s="10">
        <v>19.910175348189412</v>
      </c>
      <c r="P487" s="10">
        <v>3983.9873788200034</v>
      </c>
      <c r="Y487" s="10" t="e">
        <f t="shared" si="157"/>
        <v>#N/A</v>
      </c>
      <c r="Z487" s="10" t="e">
        <f t="shared" si="145"/>
        <v>#N/A</v>
      </c>
      <c r="AA487" s="10" t="e">
        <f t="shared" si="146"/>
        <v>#N/A</v>
      </c>
      <c r="AB487" s="10" t="e">
        <f t="shared" si="147"/>
        <v>#N/A</v>
      </c>
      <c r="AC487" s="10" t="e">
        <f t="shared" si="148"/>
        <v>#N/A</v>
      </c>
      <c r="AE487" s="10" t="str">
        <f t="shared" si="158"/>
        <v/>
      </c>
      <c r="AF487" s="10" t="str">
        <f t="shared" si="149"/>
        <v/>
      </c>
      <c r="AG487" s="10" t="str">
        <f t="shared" si="150"/>
        <v/>
      </c>
      <c r="AH487" s="10" t="str">
        <f t="shared" si="151"/>
        <v/>
      </c>
      <c r="AI487" s="10" t="str">
        <f t="shared" si="152"/>
        <v/>
      </c>
      <c r="AK487" s="10"/>
      <c r="AL487" s="10"/>
      <c r="AM487" s="10"/>
      <c r="AN487" s="10"/>
      <c r="AO487" s="10"/>
      <c r="AQ487" s="10"/>
      <c r="AR487" s="10"/>
      <c r="AS487" s="10"/>
      <c r="AT487" s="10"/>
      <c r="AU487" s="10"/>
      <c r="AW487" s="10" t="str">
        <f t="shared" si="159"/>
        <v/>
      </c>
      <c r="AX487" s="10" t="str">
        <f t="shared" si="153"/>
        <v/>
      </c>
      <c r="AY487" s="10" t="str">
        <f t="shared" si="154"/>
        <v/>
      </c>
      <c r="AZ487" s="10" t="str">
        <f t="shared" si="155"/>
        <v/>
      </c>
      <c r="BA487" s="10" t="str">
        <f t="shared" si="156"/>
        <v/>
      </c>
    </row>
    <row r="488" spans="6:53" x14ac:dyDescent="0.2">
      <c r="F488" s="10" t="str">
        <f t="shared" si="160"/>
        <v>2018/9/25</v>
      </c>
      <c r="G488" s="14">
        <v>43368</v>
      </c>
      <c r="H488" s="10">
        <v>6.3214320000000006</v>
      </c>
      <c r="I488" s="10">
        <v>-6.9268411999999984</v>
      </c>
      <c r="J488" s="10">
        <v>-0.60540920000000076</v>
      </c>
      <c r="K488" s="10">
        <f t="shared" si="161"/>
        <v>2503.8436807000016</v>
      </c>
      <c r="L488" s="10">
        <f t="shared" si="162"/>
        <v>-1888.4338624999991</v>
      </c>
      <c r="M488" s="10">
        <f t="shared" si="163"/>
        <v>615.40981819999968</v>
      </c>
      <c r="N488" s="10">
        <v>25.495168861028848</v>
      </c>
      <c r="O488" s="10">
        <v>20.03645626740947</v>
      </c>
      <c r="P488" s="10">
        <v>3965.1853934949986</v>
      </c>
      <c r="Y488" s="10" t="e">
        <f t="shared" si="157"/>
        <v>#N/A</v>
      </c>
      <c r="Z488" s="10" t="e">
        <f t="shared" si="145"/>
        <v>#N/A</v>
      </c>
      <c r="AA488" s="10" t="e">
        <f t="shared" si="146"/>
        <v>#N/A</v>
      </c>
      <c r="AB488" s="10" t="e">
        <f t="shared" si="147"/>
        <v>#N/A</v>
      </c>
      <c r="AC488" s="10" t="e">
        <f t="shared" si="148"/>
        <v>#N/A</v>
      </c>
      <c r="AE488" s="10" t="str">
        <f t="shared" si="158"/>
        <v/>
      </c>
      <c r="AF488" s="10" t="str">
        <f t="shared" si="149"/>
        <v/>
      </c>
      <c r="AG488" s="10" t="str">
        <f t="shared" si="150"/>
        <v/>
      </c>
      <c r="AH488" s="10" t="str">
        <f t="shared" si="151"/>
        <v/>
      </c>
      <c r="AI488" s="10" t="str">
        <f t="shared" si="152"/>
        <v/>
      </c>
      <c r="AK488" s="10"/>
      <c r="AL488" s="10"/>
      <c r="AM488" s="10"/>
      <c r="AN488" s="10"/>
      <c r="AO488" s="10"/>
      <c r="AQ488" s="10"/>
      <c r="AR488" s="10"/>
      <c r="AS488" s="10"/>
      <c r="AT488" s="10"/>
      <c r="AU488" s="10"/>
      <c r="AW488" s="10" t="str">
        <f t="shared" si="159"/>
        <v/>
      </c>
      <c r="AX488" s="10" t="str">
        <f t="shared" si="153"/>
        <v/>
      </c>
      <c r="AY488" s="10" t="str">
        <f t="shared" si="154"/>
        <v/>
      </c>
      <c r="AZ488" s="10" t="str">
        <f t="shared" si="155"/>
        <v/>
      </c>
      <c r="BA488" s="10" t="str">
        <f t="shared" si="156"/>
        <v/>
      </c>
    </row>
    <row r="489" spans="6:53" x14ac:dyDescent="0.2">
      <c r="F489" s="10" t="str">
        <f t="shared" si="160"/>
        <v>2018/9/26</v>
      </c>
      <c r="G489" s="14">
        <v>43369</v>
      </c>
      <c r="H489" s="10">
        <v>5.6111811999999999</v>
      </c>
      <c r="I489" s="10">
        <v>-7.9851375000000022</v>
      </c>
      <c r="J489" s="10">
        <v>-2.3739563000000001</v>
      </c>
      <c r="K489" s="10">
        <f t="shared" si="161"/>
        <v>2509.4548619000016</v>
      </c>
      <c r="L489" s="10">
        <f t="shared" si="162"/>
        <v>-1896.4189999999992</v>
      </c>
      <c r="M489" s="10">
        <f t="shared" si="163"/>
        <v>613.03586189999965</v>
      </c>
      <c r="N489" s="10">
        <v>25.345436927325444</v>
      </c>
      <c r="O489" s="10">
        <v>19.907450696378834</v>
      </c>
      <c r="P489" s="10">
        <v>3965.3615623699989</v>
      </c>
      <c r="Y489" s="10" t="e">
        <f t="shared" si="157"/>
        <v>#N/A</v>
      </c>
      <c r="Z489" s="10" t="e">
        <f t="shared" si="145"/>
        <v>#N/A</v>
      </c>
      <c r="AA489" s="10" t="e">
        <f t="shared" si="146"/>
        <v>#N/A</v>
      </c>
      <c r="AB489" s="10" t="e">
        <f t="shared" si="147"/>
        <v>#N/A</v>
      </c>
      <c r="AC489" s="10" t="e">
        <f t="shared" si="148"/>
        <v>#N/A</v>
      </c>
      <c r="AE489" s="10" t="str">
        <f t="shared" si="158"/>
        <v/>
      </c>
      <c r="AF489" s="10" t="str">
        <f t="shared" si="149"/>
        <v/>
      </c>
      <c r="AG489" s="10" t="str">
        <f t="shared" si="150"/>
        <v/>
      </c>
      <c r="AH489" s="10" t="str">
        <f t="shared" si="151"/>
        <v/>
      </c>
      <c r="AI489" s="10" t="str">
        <f t="shared" si="152"/>
        <v/>
      </c>
      <c r="AK489" s="10"/>
      <c r="AL489" s="10"/>
      <c r="AM489" s="10"/>
      <c r="AN489" s="10"/>
      <c r="AO489" s="10"/>
      <c r="AQ489" s="10"/>
      <c r="AR489" s="10"/>
      <c r="AS489" s="10"/>
      <c r="AT489" s="10"/>
      <c r="AU489" s="10"/>
      <c r="AW489" s="10" t="str">
        <f t="shared" si="159"/>
        <v/>
      </c>
      <c r="AX489" s="10" t="str">
        <f t="shared" si="153"/>
        <v/>
      </c>
      <c r="AY489" s="10" t="str">
        <f t="shared" si="154"/>
        <v/>
      </c>
      <c r="AZ489" s="10" t="str">
        <f t="shared" si="155"/>
        <v/>
      </c>
      <c r="BA489" s="10" t="str">
        <f t="shared" si="156"/>
        <v/>
      </c>
    </row>
    <row r="490" spans="6:53" x14ac:dyDescent="0.2">
      <c r="F490" s="10" t="str">
        <f t="shared" si="160"/>
        <v>2018/9/27</v>
      </c>
      <c r="G490" s="14">
        <v>43370</v>
      </c>
      <c r="H490" s="10">
        <v>6.1011731000000005</v>
      </c>
      <c r="I490" s="10">
        <v>-6.7828901999999998</v>
      </c>
      <c r="J490" s="10">
        <v>-0.68171709999999996</v>
      </c>
      <c r="K490" s="10">
        <f t="shared" si="161"/>
        <v>2515.5560350000014</v>
      </c>
      <c r="L490" s="10">
        <f t="shared" si="162"/>
        <v>-1903.2018901999993</v>
      </c>
      <c r="M490" s="10">
        <f t="shared" si="163"/>
        <v>612.35414479999963</v>
      </c>
      <c r="N490" s="10">
        <v>25.333162011856444</v>
      </c>
      <c r="O490" s="10">
        <v>19.835252367688021</v>
      </c>
      <c r="P490" s="10">
        <v>3953.0505708950013</v>
      </c>
      <c r="Y490" s="10" t="e">
        <f t="shared" si="157"/>
        <v>#N/A</v>
      </c>
      <c r="Z490" s="10" t="e">
        <f t="shared" si="145"/>
        <v>#N/A</v>
      </c>
      <c r="AA490" s="10" t="e">
        <f t="shared" si="146"/>
        <v>#N/A</v>
      </c>
      <c r="AB490" s="10" t="e">
        <f t="shared" si="147"/>
        <v>#N/A</v>
      </c>
      <c r="AC490" s="10" t="e">
        <f t="shared" si="148"/>
        <v>#N/A</v>
      </c>
      <c r="AE490" s="10" t="str">
        <f t="shared" si="158"/>
        <v/>
      </c>
      <c r="AF490" s="10" t="str">
        <f t="shared" si="149"/>
        <v/>
      </c>
      <c r="AG490" s="10" t="str">
        <f t="shared" si="150"/>
        <v/>
      </c>
      <c r="AH490" s="10" t="str">
        <f t="shared" si="151"/>
        <v/>
      </c>
      <c r="AI490" s="10" t="str">
        <f t="shared" si="152"/>
        <v/>
      </c>
      <c r="AK490" s="10"/>
      <c r="AL490" s="10"/>
      <c r="AM490" s="10"/>
      <c r="AN490" s="10"/>
      <c r="AO490" s="10"/>
      <c r="AQ490" s="10"/>
      <c r="AR490" s="10"/>
      <c r="AS490" s="10"/>
      <c r="AT490" s="10"/>
      <c r="AU490" s="10"/>
      <c r="AW490" s="10" t="str">
        <f t="shared" si="159"/>
        <v/>
      </c>
      <c r="AX490" s="10" t="str">
        <f t="shared" si="153"/>
        <v/>
      </c>
      <c r="AY490" s="10" t="str">
        <f t="shared" si="154"/>
        <v/>
      </c>
      <c r="AZ490" s="10" t="str">
        <f t="shared" si="155"/>
        <v/>
      </c>
      <c r="BA490" s="10" t="str">
        <f t="shared" si="156"/>
        <v/>
      </c>
    </row>
    <row r="491" spans="6:53" x14ac:dyDescent="0.2">
      <c r="F491" s="10" t="str">
        <f t="shared" si="160"/>
        <v>2018/9/28</v>
      </c>
      <c r="G491" s="14">
        <v>43371</v>
      </c>
      <c r="H491" s="10">
        <v>9.7658410999999994</v>
      </c>
      <c r="I491" s="10">
        <v>-5.3524807000000001</v>
      </c>
      <c r="J491" s="10">
        <v>4.4133603999999993</v>
      </c>
      <c r="K491" s="10">
        <f t="shared" si="161"/>
        <v>2525.3218761000016</v>
      </c>
      <c r="L491" s="10">
        <f t="shared" si="162"/>
        <v>-1908.5543708999992</v>
      </c>
      <c r="M491" s="10">
        <f t="shared" si="163"/>
        <v>616.76750519999962</v>
      </c>
      <c r="N491" s="10">
        <v>25.351901512938589</v>
      </c>
      <c r="O491" s="10">
        <v>19.792827019498603</v>
      </c>
      <c r="P491" s="10">
        <v>3950.664510320003</v>
      </c>
      <c r="Y491" s="10" t="e">
        <f t="shared" si="157"/>
        <v>#N/A</v>
      </c>
      <c r="Z491" s="10" t="e">
        <f t="shared" si="145"/>
        <v>#N/A</v>
      </c>
      <c r="AA491" s="10" t="e">
        <f t="shared" si="146"/>
        <v>#N/A</v>
      </c>
      <c r="AB491" s="10" t="e">
        <f t="shared" si="147"/>
        <v>#N/A</v>
      </c>
      <c r="AC491" s="10" t="e">
        <f t="shared" si="148"/>
        <v>#N/A</v>
      </c>
      <c r="AE491" s="10" t="str">
        <f t="shared" si="158"/>
        <v/>
      </c>
      <c r="AF491" s="10" t="str">
        <f t="shared" si="149"/>
        <v/>
      </c>
      <c r="AG491" s="10" t="str">
        <f t="shared" si="150"/>
        <v/>
      </c>
      <c r="AH491" s="10" t="str">
        <f t="shared" si="151"/>
        <v/>
      </c>
      <c r="AI491" s="10" t="str">
        <f t="shared" si="152"/>
        <v/>
      </c>
      <c r="AK491" s="10"/>
      <c r="AL491" s="10"/>
      <c r="AM491" s="10"/>
      <c r="AN491" s="10"/>
      <c r="AO491" s="10"/>
      <c r="AQ491" s="10"/>
      <c r="AR491" s="10"/>
      <c r="AS491" s="10"/>
      <c r="AT491" s="10"/>
      <c r="AU491" s="10"/>
      <c r="AW491" s="10" t="str">
        <f t="shared" si="159"/>
        <v/>
      </c>
      <c r="AX491" s="10" t="str">
        <f t="shared" si="153"/>
        <v/>
      </c>
      <c r="AY491" s="10" t="str">
        <f t="shared" si="154"/>
        <v/>
      </c>
      <c r="AZ491" s="10" t="str">
        <f t="shared" si="155"/>
        <v/>
      </c>
      <c r="BA491" s="10" t="str">
        <f t="shared" si="156"/>
        <v/>
      </c>
    </row>
    <row r="492" spans="6:53" x14ac:dyDescent="0.2">
      <c r="F492" s="10" t="str">
        <f t="shared" si="160"/>
        <v>2018/10/1</v>
      </c>
      <c r="G492" s="14">
        <v>43374</v>
      </c>
      <c r="H492" s="10">
        <v>4.2901956999999999</v>
      </c>
      <c r="I492" s="10">
        <v>-7.2022373999999996</v>
      </c>
      <c r="J492" s="10">
        <v>-2.9120416999999996</v>
      </c>
      <c r="K492" s="10">
        <f t="shared" si="161"/>
        <v>2529.6120718000016</v>
      </c>
      <c r="L492" s="10">
        <f t="shared" si="162"/>
        <v>-1915.7566082999992</v>
      </c>
      <c r="M492" s="10">
        <f t="shared" si="163"/>
        <v>613.85546349999959</v>
      </c>
      <c r="N492" s="10">
        <v>25.424418784513851</v>
      </c>
      <c r="O492" s="10">
        <v>19.827753806870941</v>
      </c>
      <c r="P492" s="10">
        <v>3954.3094805199994</v>
      </c>
      <c r="Y492" s="10" t="e">
        <f t="shared" si="157"/>
        <v>#N/A</v>
      </c>
      <c r="Z492" s="10" t="e">
        <f t="shared" si="145"/>
        <v>#N/A</v>
      </c>
      <c r="AA492" s="10" t="e">
        <f t="shared" si="146"/>
        <v>#N/A</v>
      </c>
      <c r="AB492" s="10" t="e">
        <f t="shared" si="147"/>
        <v>#N/A</v>
      </c>
      <c r="AC492" s="10" t="e">
        <f t="shared" si="148"/>
        <v>#N/A</v>
      </c>
      <c r="AE492" s="10" t="str">
        <f t="shared" si="158"/>
        <v/>
      </c>
      <c r="AF492" s="10" t="str">
        <f t="shared" si="149"/>
        <v/>
      </c>
      <c r="AG492" s="10" t="str">
        <f t="shared" si="150"/>
        <v/>
      </c>
      <c r="AH492" s="10" t="str">
        <f t="shared" si="151"/>
        <v/>
      </c>
      <c r="AI492" s="10" t="str">
        <f t="shared" si="152"/>
        <v/>
      </c>
      <c r="AK492" s="10"/>
      <c r="AL492" s="10"/>
      <c r="AM492" s="10"/>
      <c r="AN492" s="10"/>
      <c r="AO492" s="10"/>
      <c r="AQ492" s="10"/>
      <c r="AR492" s="10"/>
      <c r="AS492" s="10"/>
      <c r="AT492" s="10"/>
      <c r="AU492" s="10"/>
      <c r="AW492" s="10" t="str">
        <f t="shared" si="159"/>
        <v/>
      </c>
      <c r="AX492" s="10" t="str">
        <f t="shared" si="153"/>
        <v/>
      </c>
      <c r="AY492" s="10" t="str">
        <f t="shared" si="154"/>
        <v/>
      </c>
      <c r="AZ492" s="10" t="str">
        <f t="shared" si="155"/>
        <v/>
      </c>
      <c r="BA492" s="10" t="str">
        <f t="shared" si="156"/>
        <v/>
      </c>
    </row>
    <row r="493" spans="6:53" x14ac:dyDescent="0.2">
      <c r="F493" s="10" t="str">
        <f t="shared" si="160"/>
        <v>2018/10/2</v>
      </c>
      <c r="G493" s="14">
        <v>43375</v>
      </c>
      <c r="H493" s="10">
        <v>5.8008856999999994</v>
      </c>
      <c r="I493" s="10">
        <v>-4.2811054999999998</v>
      </c>
      <c r="J493" s="10">
        <v>1.5197801999999998</v>
      </c>
      <c r="K493" s="10">
        <f t="shared" si="161"/>
        <v>2535.4129575000015</v>
      </c>
      <c r="L493" s="10">
        <f t="shared" si="162"/>
        <v>-1920.0377137999992</v>
      </c>
      <c r="M493" s="10">
        <f t="shared" si="163"/>
        <v>615.3752436999996</v>
      </c>
      <c r="N493" s="10">
        <v>25.13761939199274</v>
      </c>
      <c r="O493" s="10">
        <v>19.48126583101207</v>
      </c>
      <c r="P493" s="10">
        <v>3951.494983186667</v>
      </c>
      <c r="Y493" s="10" t="e">
        <f t="shared" si="157"/>
        <v>#N/A</v>
      </c>
      <c r="Z493" s="10" t="e">
        <f t="shared" si="145"/>
        <v>#N/A</v>
      </c>
      <c r="AA493" s="10" t="e">
        <f t="shared" si="146"/>
        <v>#N/A</v>
      </c>
      <c r="AB493" s="10" t="e">
        <f t="shared" si="147"/>
        <v>#N/A</v>
      </c>
      <c r="AC493" s="10" t="e">
        <f t="shared" si="148"/>
        <v>#N/A</v>
      </c>
      <c r="AE493" s="10" t="str">
        <f t="shared" si="158"/>
        <v/>
      </c>
      <c r="AF493" s="10" t="str">
        <f t="shared" si="149"/>
        <v/>
      </c>
      <c r="AG493" s="10" t="str">
        <f t="shared" si="150"/>
        <v/>
      </c>
      <c r="AH493" s="10" t="str">
        <f t="shared" si="151"/>
        <v/>
      </c>
      <c r="AI493" s="10" t="str">
        <f t="shared" si="152"/>
        <v/>
      </c>
      <c r="AK493" s="10"/>
      <c r="AL493" s="10"/>
      <c r="AM493" s="10"/>
      <c r="AN493" s="10"/>
      <c r="AO493" s="10"/>
      <c r="AQ493" s="10"/>
      <c r="AR493" s="10"/>
      <c r="AS493" s="10"/>
      <c r="AT493" s="10"/>
      <c r="AU493" s="10"/>
      <c r="AW493" s="10" t="str">
        <f t="shared" si="159"/>
        <v/>
      </c>
      <c r="AX493" s="10" t="str">
        <f t="shared" si="153"/>
        <v/>
      </c>
      <c r="AY493" s="10" t="str">
        <f t="shared" si="154"/>
        <v/>
      </c>
      <c r="AZ493" s="10" t="str">
        <f t="shared" si="155"/>
        <v/>
      </c>
      <c r="BA493" s="10" t="str">
        <f t="shared" si="156"/>
        <v/>
      </c>
    </row>
    <row r="494" spans="6:53" x14ac:dyDescent="0.2">
      <c r="F494" s="10" t="str">
        <f t="shared" si="160"/>
        <v>2018/10/3</v>
      </c>
      <c r="G494" s="14">
        <v>43376</v>
      </c>
      <c r="H494" s="10">
        <v>4.3686201000000002</v>
      </c>
      <c r="I494" s="10">
        <v>-5.3611835999999995</v>
      </c>
      <c r="J494" s="10">
        <v>-0.99256350000000015</v>
      </c>
      <c r="K494" s="10">
        <f t="shared" si="161"/>
        <v>2539.7815776000016</v>
      </c>
      <c r="L494" s="10">
        <f t="shared" si="162"/>
        <v>-1925.3988973999992</v>
      </c>
      <c r="M494" s="10">
        <f t="shared" si="163"/>
        <v>614.38268019999964</v>
      </c>
      <c r="N494" s="10">
        <v>24.99155061669433</v>
      </c>
      <c r="O494" s="10">
        <v>19.338982590529252</v>
      </c>
      <c r="P494" s="10">
        <v>3945.3601318033325</v>
      </c>
      <c r="Y494" s="10" t="e">
        <f t="shared" si="157"/>
        <v>#N/A</v>
      </c>
      <c r="Z494" s="10" t="e">
        <f t="shared" si="145"/>
        <v>#N/A</v>
      </c>
      <c r="AA494" s="10" t="e">
        <f t="shared" si="146"/>
        <v>#N/A</v>
      </c>
      <c r="AB494" s="10" t="e">
        <f t="shared" si="147"/>
        <v>#N/A</v>
      </c>
      <c r="AC494" s="10" t="e">
        <f t="shared" si="148"/>
        <v>#N/A</v>
      </c>
      <c r="AE494" s="10" t="str">
        <f t="shared" si="158"/>
        <v/>
      </c>
      <c r="AF494" s="10" t="str">
        <f t="shared" si="149"/>
        <v/>
      </c>
      <c r="AG494" s="10" t="str">
        <f t="shared" si="150"/>
        <v/>
      </c>
      <c r="AH494" s="10" t="str">
        <f t="shared" si="151"/>
        <v/>
      </c>
      <c r="AI494" s="10" t="str">
        <f t="shared" si="152"/>
        <v/>
      </c>
      <c r="AK494" s="10"/>
      <c r="AL494" s="10"/>
      <c r="AM494" s="10"/>
      <c r="AN494" s="10"/>
      <c r="AO494" s="10"/>
      <c r="AQ494" s="10"/>
      <c r="AR494" s="10"/>
      <c r="AS494" s="10"/>
      <c r="AT494" s="10"/>
      <c r="AU494" s="10"/>
      <c r="AW494" s="10" t="str">
        <f t="shared" si="159"/>
        <v/>
      </c>
      <c r="AX494" s="10" t="str">
        <f t="shared" si="153"/>
        <v/>
      </c>
      <c r="AY494" s="10" t="str">
        <f t="shared" si="154"/>
        <v/>
      </c>
      <c r="AZ494" s="10" t="str">
        <f t="shared" si="155"/>
        <v/>
      </c>
      <c r="BA494" s="10" t="str">
        <f t="shared" si="156"/>
        <v/>
      </c>
    </row>
    <row r="495" spans="6:53" x14ac:dyDescent="0.2">
      <c r="F495" s="10" t="str">
        <f t="shared" si="160"/>
        <v>2018/10/4</v>
      </c>
      <c r="G495" s="14">
        <v>43377</v>
      </c>
      <c r="H495" s="10">
        <v>8.2756941000000026</v>
      </c>
      <c r="I495" s="10">
        <v>-4.2043528999999999</v>
      </c>
      <c r="J495" s="10">
        <v>4.0713412000000009</v>
      </c>
      <c r="K495" s="10">
        <f t="shared" si="161"/>
        <v>2548.0572717000014</v>
      </c>
      <c r="L495" s="10">
        <f t="shared" si="162"/>
        <v>-1929.6032502999992</v>
      </c>
      <c r="M495" s="10">
        <f t="shared" si="163"/>
        <v>618.45402139999965</v>
      </c>
      <c r="N495" s="10">
        <v>23.871184940738367</v>
      </c>
      <c r="O495" s="10">
        <v>18.235904642525526</v>
      </c>
      <c r="P495" s="10">
        <v>3945.2241333800007</v>
      </c>
      <c r="Y495" s="10" t="e">
        <f t="shared" si="157"/>
        <v>#N/A</v>
      </c>
      <c r="Z495" s="10" t="e">
        <f t="shared" si="145"/>
        <v>#N/A</v>
      </c>
      <c r="AA495" s="10" t="e">
        <f t="shared" si="146"/>
        <v>#N/A</v>
      </c>
      <c r="AB495" s="10" t="e">
        <f t="shared" si="147"/>
        <v>#N/A</v>
      </c>
      <c r="AC495" s="10" t="e">
        <f t="shared" si="148"/>
        <v>#N/A</v>
      </c>
      <c r="AE495" s="10" t="str">
        <f t="shared" si="158"/>
        <v/>
      </c>
      <c r="AF495" s="10" t="str">
        <f t="shared" si="149"/>
        <v/>
      </c>
      <c r="AG495" s="10" t="str">
        <f t="shared" si="150"/>
        <v/>
      </c>
      <c r="AH495" s="10" t="str">
        <f t="shared" si="151"/>
        <v/>
      </c>
      <c r="AI495" s="10" t="str">
        <f t="shared" si="152"/>
        <v/>
      </c>
      <c r="AK495" s="10"/>
      <c r="AL495" s="10"/>
      <c r="AM495" s="10"/>
      <c r="AN495" s="10"/>
      <c r="AO495" s="10"/>
      <c r="AQ495" s="10"/>
      <c r="AR495" s="10"/>
      <c r="AS495" s="10"/>
      <c r="AT495" s="10"/>
      <c r="AU495" s="10"/>
      <c r="AW495" s="10" t="str">
        <f t="shared" si="159"/>
        <v/>
      </c>
      <c r="AX495" s="10" t="str">
        <f t="shared" si="153"/>
        <v/>
      </c>
      <c r="AY495" s="10" t="str">
        <f t="shared" si="154"/>
        <v/>
      </c>
      <c r="AZ495" s="10" t="str">
        <f t="shared" si="155"/>
        <v/>
      </c>
      <c r="BA495" s="10" t="str">
        <f t="shared" si="156"/>
        <v/>
      </c>
    </row>
    <row r="496" spans="6:53" x14ac:dyDescent="0.2">
      <c r="F496" s="10" t="str">
        <f t="shared" si="160"/>
        <v>2018/10/5</v>
      </c>
      <c r="G496" s="14">
        <v>43378</v>
      </c>
      <c r="H496" s="10">
        <v>4.5126227999999999</v>
      </c>
      <c r="I496" s="10">
        <v>-8.6835934000000012</v>
      </c>
      <c r="J496" s="10">
        <v>-4.1709706000000004</v>
      </c>
      <c r="K496" s="10">
        <f t="shared" si="161"/>
        <v>2552.5698945000013</v>
      </c>
      <c r="L496" s="10">
        <f t="shared" si="162"/>
        <v>-1938.2868436999993</v>
      </c>
      <c r="M496" s="10">
        <f t="shared" si="163"/>
        <v>614.28305079999961</v>
      </c>
      <c r="N496" s="10">
        <v>23.193724936699684</v>
      </c>
      <c r="O496" s="10">
        <v>17.717054271123484</v>
      </c>
      <c r="P496" s="10">
        <v>3907.1730437866663</v>
      </c>
      <c r="Y496" s="10" t="e">
        <f t="shared" si="157"/>
        <v>#N/A</v>
      </c>
      <c r="Z496" s="10" t="e">
        <f t="shared" si="145"/>
        <v>#N/A</v>
      </c>
      <c r="AA496" s="10" t="e">
        <f t="shared" si="146"/>
        <v>#N/A</v>
      </c>
      <c r="AB496" s="10" t="e">
        <f t="shared" si="147"/>
        <v>#N/A</v>
      </c>
      <c r="AC496" s="10" t="e">
        <f t="shared" si="148"/>
        <v>#N/A</v>
      </c>
      <c r="AE496" s="10" t="str">
        <f t="shared" si="158"/>
        <v/>
      </c>
      <c r="AF496" s="10" t="str">
        <f t="shared" si="149"/>
        <v/>
      </c>
      <c r="AG496" s="10" t="str">
        <f t="shared" si="150"/>
        <v/>
      </c>
      <c r="AH496" s="10" t="str">
        <f t="shared" si="151"/>
        <v/>
      </c>
      <c r="AI496" s="10" t="str">
        <f t="shared" si="152"/>
        <v/>
      </c>
      <c r="AK496" s="10"/>
      <c r="AL496" s="10"/>
      <c r="AM496" s="10"/>
      <c r="AN496" s="10"/>
      <c r="AO496" s="10"/>
      <c r="AQ496" s="10"/>
      <c r="AR496" s="10"/>
      <c r="AS496" s="10"/>
      <c r="AT496" s="10"/>
      <c r="AU496" s="10"/>
      <c r="AW496" s="10" t="str">
        <f t="shared" si="159"/>
        <v/>
      </c>
      <c r="AX496" s="10" t="str">
        <f t="shared" si="153"/>
        <v/>
      </c>
      <c r="AY496" s="10" t="str">
        <f t="shared" si="154"/>
        <v/>
      </c>
      <c r="AZ496" s="10" t="str">
        <f t="shared" si="155"/>
        <v/>
      </c>
      <c r="BA496" s="10" t="str">
        <f t="shared" si="156"/>
        <v/>
      </c>
    </row>
    <row r="497" spans="6:53" x14ac:dyDescent="0.2">
      <c r="F497" s="10" t="str">
        <f t="shared" si="160"/>
        <v>2018/10/8</v>
      </c>
      <c r="G497" s="14">
        <v>43381</v>
      </c>
      <c r="H497" s="10">
        <v>4.0601510999999997</v>
      </c>
      <c r="I497" s="10">
        <v>-5.0539944999999999</v>
      </c>
      <c r="J497" s="10">
        <v>-0.99384340000000049</v>
      </c>
      <c r="K497" s="10">
        <f t="shared" si="161"/>
        <v>2556.6300456000013</v>
      </c>
      <c r="L497" s="10">
        <f t="shared" si="162"/>
        <v>-1943.3408381999993</v>
      </c>
      <c r="M497" s="10">
        <f t="shared" si="163"/>
        <v>613.28920739999967</v>
      </c>
      <c r="N497" s="10">
        <v>22.943783713142267</v>
      </c>
      <c r="O497" s="10">
        <v>17.409585376044575</v>
      </c>
      <c r="P497" s="10">
        <v>3885.5973203533331</v>
      </c>
      <c r="Y497" s="10" t="e">
        <f t="shared" si="157"/>
        <v>#N/A</v>
      </c>
      <c r="Z497" s="10" t="e">
        <f t="shared" si="145"/>
        <v>#N/A</v>
      </c>
      <c r="AA497" s="10" t="e">
        <f t="shared" si="146"/>
        <v>#N/A</v>
      </c>
      <c r="AB497" s="10" t="e">
        <f t="shared" si="147"/>
        <v>#N/A</v>
      </c>
      <c r="AC497" s="10" t="e">
        <f t="shared" si="148"/>
        <v>#N/A</v>
      </c>
      <c r="AE497" s="10" t="str">
        <f t="shared" si="158"/>
        <v/>
      </c>
      <c r="AF497" s="10" t="str">
        <f t="shared" si="149"/>
        <v/>
      </c>
      <c r="AG497" s="10" t="str">
        <f t="shared" si="150"/>
        <v/>
      </c>
      <c r="AH497" s="10" t="str">
        <f t="shared" si="151"/>
        <v/>
      </c>
      <c r="AI497" s="10" t="str">
        <f t="shared" si="152"/>
        <v/>
      </c>
      <c r="AK497" s="10"/>
      <c r="AL497" s="10"/>
      <c r="AM497" s="10"/>
      <c r="AN497" s="10"/>
      <c r="AO497" s="10"/>
      <c r="AQ497" s="10"/>
      <c r="AR497" s="10"/>
      <c r="AS497" s="10"/>
      <c r="AT497" s="10"/>
      <c r="AU497" s="10"/>
      <c r="AW497" s="10" t="str">
        <f t="shared" si="159"/>
        <v/>
      </c>
      <c r="AX497" s="10" t="str">
        <f t="shared" si="153"/>
        <v/>
      </c>
      <c r="AY497" s="10" t="str">
        <f t="shared" si="154"/>
        <v/>
      </c>
      <c r="AZ497" s="10" t="str">
        <f t="shared" si="155"/>
        <v/>
      </c>
      <c r="BA497" s="10" t="str">
        <f t="shared" si="156"/>
        <v/>
      </c>
    </row>
    <row r="498" spans="6:53" x14ac:dyDescent="0.2">
      <c r="F498" s="10" t="str">
        <f t="shared" si="160"/>
        <v>2018/10/9</v>
      </c>
      <c r="G498" s="14">
        <v>43382</v>
      </c>
      <c r="H498" s="10">
        <v>5.8916309000000009</v>
      </c>
      <c r="I498" s="10">
        <v>-11.271918899999999</v>
      </c>
      <c r="J498" s="10">
        <v>-5.3802880000000002</v>
      </c>
      <c r="K498" s="10">
        <f t="shared" si="161"/>
        <v>2562.5216765000014</v>
      </c>
      <c r="L498" s="10">
        <f t="shared" si="162"/>
        <v>-1954.6127570999993</v>
      </c>
      <c r="M498" s="10">
        <f t="shared" si="163"/>
        <v>607.90891939999972</v>
      </c>
      <c r="N498" s="10">
        <v>22.768573608947314</v>
      </c>
      <c r="O498" s="10">
        <v>17.296880779944289</v>
      </c>
      <c r="P498" s="10">
        <v>3877.2295482200007</v>
      </c>
      <c r="Y498" s="10" t="e">
        <f t="shared" si="157"/>
        <v>#N/A</v>
      </c>
      <c r="Z498" s="10" t="e">
        <f t="shared" si="145"/>
        <v>#N/A</v>
      </c>
      <c r="AA498" s="10" t="e">
        <f t="shared" si="146"/>
        <v>#N/A</v>
      </c>
      <c r="AB498" s="10" t="e">
        <f t="shared" si="147"/>
        <v>#N/A</v>
      </c>
      <c r="AC498" s="10" t="e">
        <f t="shared" si="148"/>
        <v>#N/A</v>
      </c>
      <c r="AE498" s="10" t="str">
        <f t="shared" si="158"/>
        <v/>
      </c>
      <c r="AF498" s="10" t="str">
        <f t="shared" si="149"/>
        <v/>
      </c>
      <c r="AG498" s="10" t="str">
        <f t="shared" si="150"/>
        <v/>
      </c>
      <c r="AH498" s="10" t="str">
        <f t="shared" si="151"/>
        <v/>
      </c>
      <c r="AI498" s="10" t="str">
        <f t="shared" si="152"/>
        <v/>
      </c>
      <c r="AK498" s="10"/>
      <c r="AL498" s="10"/>
      <c r="AM498" s="10"/>
      <c r="AN498" s="10"/>
      <c r="AO498" s="10"/>
      <c r="AQ498" s="10"/>
      <c r="AR498" s="10"/>
      <c r="AS498" s="10"/>
      <c r="AT498" s="10"/>
      <c r="AU498" s="10"/>
      <c r="AW498" s="10" t="str">
        <f t="shared" si="159"/>
        <v/>
      </c>
      <c r="AX498" s="10" t="str">
        <f t="shared" si="153"/>
        <v/>
      </c>
      <c r="AY498" s="10" t="str">
        <f t="shared" si="154"/>
        <v/>
      </c>
      <c r="AZ498" s="10" t="str">
        <f t="shared" si="155"/>
        <v/>
      </c>
      <c r="BA498" s="10" t="str">
        <f t="shared" si="156"/>
        <v/>
      </c>
    </row>
    <row r="499" spans="6:53" x14ac:dyDescent="0.2">
      <c r="F499" s="10" t="str">
        <f t="shared" si="160"/>
        <v>2018/10/10</v>
      </c>
      <c r="G499" s="14">
        <v>43383</v>
      </c>
      <c r="H499" s="10">
        <v>8.1005577000000013</v>
      </c>
      <c r="I499" s="10">
        <v>-5.7013933000000003</v>
      </c>
      <c r="J499" s="10">
        <v>2.3991644000000001</v>
      </c>
      <c r="K499" s="10">
        <f t="shared" si="161"/>
        <v>2570.6222342000015</v>
      </c>
      <c r="L499" s="10">
        <f t="shared" si="162"/>
        <v>-1960.3141503999993</v>
      </c>
      <c r="M499" s="10">
        <f t="shared" si="163"/>
        <v>610.30808379999974</v>
      </c>
      <c r="N499" s="10">
        <v>20.055461029267505</v>
      </c>
      <c r="O499" s="10">
        <v>15.366561420612808</v>
      </c>
      <c r="P499" s="10">
        <v>3870.1129863200031</v>
      </c>
      <c r="Y499" s="10" t="e">
        <f t="shared" si="157"/>
        <v>#N/A</v>
      </c>
      <c r="Z499" s="10" t="e">
        <f t="shared" si="145"/>
        <v>#N/A</v>
      </c>
      <c r="AA499" s="10" t="e">
        <f t="shared" si="146"/>
        <v>#N/A</v>
      </c>
      <c r="AB499" s="10" t="e">
        <f t="shared" si="147"/>
        <v>#N/A</v>
      </c>
      <c r="AC499" s="10" t="e">
        <f t="shared" si="148"/>
        <v>#N/A</v>
      </c>
      <c r="AE499" s="10" t="str">
        <f t="shared" si="158"/>
        <v/>
      </c>
      <c r="AF499" s="10" t="str">
        <f t="shared" si="149"/>
        <v/>
      </c>
      <c r="AG499" s="10" t="str">
        <f t="shared" si="150"/>
        <v/>
      </c>
      <c r="AH499" s="10" t="str">
        <f t="shared" si="151"/>
        <v/>
      </c>
      <c r="AI499" s="10" t="str">
        <f t="shared" si="152"/>
        <v/>
      </c>
      <c r="AK499" s="10"/>
      <c r="AL499" s="10"/>
      <c r="AM499" s="10"/>
      <c r="AN499" s="10"/>
      <c r="AO499" s="10"/>
      <c r="AQ499" s="10"/>
      <c r="AR499" s="10"/>
      <c r="AS499" s="10"/>
      <c r="AT499" s="10"/>
      <c r="AU499" s="10"/>
      <c r="AW499" s="10" t="str">
        <f t="shared" si="159"/>
        <v/>
      </c>
      <c r="AX499" s="10" t="str">
        <f t="shared" si="153"/>
        <v/>
      </c>
      <c r="AY499" s="10" t="str">
        <f t="shared" si="154"/>
        <v/>
      </c>
      <c r="AZ499" s="10" t="str">
        <f t="shared" si="155"/>
        <v/>
      </c>
      <c r="BA499" s="10" t="str">
        <f t="shared" si="156"/>
        <v/>
      </c>
    </row>
    <row r="500" spans="6:53" x14ac:dyDescent="0.2">
      <c r="F500" s="10" t="str">
        <f t="shared" si="160"/>
        <v>2018/10/11</v>
      </c>
      <c r="G500" s="14">
        <v>43384</v>
      </c>
      <c r="H500" s="10">
        <v>7.1289530999999986</v>
      </c>
      <c r="I500" s="10">
        <v>-18.990070799999998</v>
      </c>
      <c r="J500" s="10">
        <v>-11.861117700000003</v>
      </c>
      <c r="K500" s="10">
        <f t="shared" si="161"/>
        <v>2577.7511873000017</v>
      </c>
      <c r="L500" s="10">
        <f t="shared" si="162"/>
        <v>-1979.3042211999993</v>
      </c>
      <c r="M500" s="10">
        <f t="shared" si="163"/>
        <v>598.44696609999971</v>
      </c>
      <c r="N500" s="10">
        <v>17.90330074274879</v>
      </c>
      <c r="O500" s="10">
        <v>13.675591922005575</v>
      </c>
      <c r="P500" s="10">
        <v>3794.9908049700007</v>
      </c>
      <c r="Y500" s="10" t="e">
        <f t="shared" si="157"/>
        <v>#N/A</v>
      </c>
      <c r="Z500" s="10" t="e">
        <f t="shared" si="145"/>
        <v>#N/A</v>
      </c>
      <c r="AA500" s="10" t="e">
        <f t="shared" si="146"/>
        <v>#N/A</v>
      </c>
      <c r="AB500" s="10" t="e">
        <f t="shared" si="147"/>
        <v>#N/A</v>
      </c>
      <c r="AC500" s="10" t="e">
        <f t="shared" si="148"/>
        <v>#N/A</v>
      </c>
      <c r="AE500" s="10" t="str">
        <f t="shared" si="158"/>
        <v/>
      </c>
      <c r="AF500" s="10" t="str">
        <f t="shared" si="149"/>
        <v/>
      </c>
      <c r="AG500" s="10" t="str">
        <f t="shared" si="150"/>
        <v/>
      </c>
      <c r="AH500" s="10" t="str">
        <f t="shared" si="151"/>
        <v/>
      </c>
      <c r="AI500" s="10" t="str">
        <f t="shared" si="152"/>
        <v/>
      </c>
      <c r="AK500" s="10"/>
      <c r="AL500" s="10"/>
      <c r="AM500" s="10"/>
      <c r="AN500" s="10"/>
      <c r="AO500" s="10"/>
      <c r="AQ500" s="10"/>
      <c r="AR500" s="10"/>
      <c r="AS500" s="10"/>
      <c r="AT500" s="10"/>
      <c r="AU500" s="10"/>
      <c r="AW500" s="10" t="str">
        <f t="shared" si="159"/>
        <v/>
      </c>
      <c r="AX500" s="10" t="str">
        <f t="shared" si="153"/>
        <v/>
      </c>
      <c r="AY500" s="10" t="str">
        <f t="shared" si="154"/>
        <v/>
      </c>
      <c r="AZ500" s="10" t="str">
        <f t="shared" si="155"/>
        <v/>
      </c>
      <c r="BA500" s="10" t="str">
        <f t="shared" si="156"/>
        <v/>
      </c>
    </row>
    <row r="501" spans="6:53" x14ac:dyDescent="0.2">
      <c r="F501" s="10" t="str">
        <f t="shared" si="160"/>
        <v>2018/10/12</v>
      </c>
      <c r="G501" s="14">
        <v>43385</v>
      </c>
      <c r="H501" s="10">
        <v>5.0912663999999994</v>
      </c>
      <c r="I501" s="10">
        <v>-10.7029263</v>
      </c>
      <c r="J501" s="10">
        <v>-5.6116598999999994</v>
      </c>
      <c r="K501" s="10">
        <f t="shared" si="161"/>
        <v>2582.8424537000019</v>
      </c>
      <c r="L501" s="10">
        <f t="shared" si="162"/>
        <v>-1990.0071474999993</v>
      </c>
      <c r="M501" s="10">
        <f t="shared" si="163"/>
        <v>592.83530619999976</v>
      </c>
      <c r="N501" s="10">
        <v>18.995682716682889</v>
      </c>
      <c r="O501" s="10">
        <v>14.368797771587746</v>
      </c>
      <c r="P501" s="10">
        <v>3717.3935414199996</v>
      </c>
      <c r="Y501" s="10" t="e">
        <f t="shared" si="157"/>
        <v>#N/A</v>
      </c>
      <c r="Z501" s="10" t="e">
        <f t="shared" si="145"/>
        <v>#N/A</v>
      </c>
      <c r="AA501" s="10" t="e">
        <f t="shared" si="146"/>
        <v>#N/A</v>
      </c>
      <c r="AB501" s="10" t="e">
        <f t="shared" si="147"/>
        <v>#N/A</v>
      </c>
      <c r="AC501" s="10" t="e">
        <f t="shared" si="148"/>
        <v>#N/A</v>
      </c>
      <c r="AE501" s="10" t="str">
        <f t="shared" si="158"/>
        <v/>
      </c>
      <c r="AF501" s="10" t="str">
        <f t="shared" si="149"/>
        <v/>
      </c>
      <c r="AG501" s="10" t="str">
        <f t="shared" si="150"/>
        <v/>
      </c>
      <c r="AH501" s="10" t="str">
        <f t="shared" si="151"/>
        <v/>
      </c>
      <c r="AI501" s="10" t="str">
        <f t="shared" si="152"/>
        <v/>
      </c>
      <c r="AK501" s="10"/>
      <c r="AL501" s="10"/>
      <c r="AM501" s="10"/>
      <c r="AN501" s="10"/>
      <c r="AO501" s="10"/>
      <c r="AQ501" s="10"/>
      <c r="AR501" s="10"/>
      <c r="AS501" s="10"/>
      <c r="AT501" s="10"/>
      <c r="AU501" s="10"/>
      <c r="AW501" s="10" t="str">
        <f t="shared" si="159"/>
        <v/>
      </c>
      <c r="AX501" s="10" t="str">
        <f t="shared" si="153"/>
        <v/>
      </c>
      <c r="AY501" s="10" t="str">
        <f t="shared" si="154"/>
        <v/>
      </c>
      <c r="AZ501" s="10" t="str">
        <f t="shared" si="155"/>
        <v/>
      </c>
      <c r="BA501" s="10" t="str">
        <f t="shared" si="156"/>
        <v/>
      </c>
    </row>
    <row r="502" spans="6:53" x14ac:dyDescent="0.2">
      <c r="F502" s="10" t="str">
        <f t="shared" si="160"/>
        <v>2018/10/15</v>
      </c>
      <c r="G502" s="14">
        <v>43388</v>
      </c>
      <c r="H502" s="10">
        <v>5.8956904999999997</v>
      </c>
      <c r="I502" s="10">
        <v>-9.7107907000000022</v>
      </c>
      <c r="J502" s="10">
        <v>-3.8151002000000016</v>
      </c>
      <c r="K502" s="10">
        <f t="shared" si="161"/>
        <v>2588.7381442000019</v>
      </c>
      <c r="L502" s="10">
        <f t="shared" si="162"/>
        <v>-1999.7179381999993</v>
      </c>
      <c r="M502" s="10">
        <f t="shared" si="163"/>
        <v>589.0202059999998</v>
      </c>
      <c r="N502" s="10">
        <v>18.519468203375769</v>
      </c>
      <c r="O502" s="10">
        <v>14.204016434540396</v>
      </c>
      <c r="P502" s="10">
        <v>3751.2008159200004</v>
      </c>
      <c r="Y502" s="10" t="e">
        <f t="shared" si="157"/>
        <v>#N/A</v>
      </c>
      <c r="Z502" s="10" t="e">
        <f t="shared" si="145"/>
        <v>#N/A</v>
      </c>
      <c r="AA502" s="10" t="e">
        <f t="shared" si="146"/>
        <v>#N/A</v>
      </c>
      <c r="AB502" s="10" t="e">
        <f t="shared" si="147"/>
        <v>#N/A</v>
      </c>
      <c r="AC502" s="10" t="e">
        <f t="shared" si="148"/>
        <v>#N/A</v>
      </c>
      <c r="AE502" s="10" t="str">
        <f t="shared" si="158"/>
        <v/>
      </c>
      <c r="AF502" s="10" t="str">
        <f t="shared" si="149"/>
        <v/>
      </c>
      <c r="AG502" s="10" t="str">
        <f t="shared" si="150"/>
        <v/>
      </c>
      <c r="AH502" s="10" t="str">
        <f t="shared" si="151"/>
        <v/>
      </c>
      <c r="AI502" s="10" t="str">
        <f t="shared" si="152"/>
        <v/>
      </c>
      <c r="AK502" s="10"/>
      <c r="AL502" s="10"/>
      <c r="AM502" s="10"/>
      <c r="AN502" s="10"/>
      <c r="AO502" s="10"/>
      <c r="AQ502" s="10"/>
      <c r="AR502" s="10"/>
      <c r="AS502" s="10"/>
      <c r="AT502" s="10"/>
      <c r="AU502" s="10"/>
      <c r="AW502" s="10" t="str">
        <f t="shared" si="159"/>
        <v/>
      </c>
      <c r="AX502" s="10" t="str">
        <f t="shared" si="153"/>
        <v/>
      </c>
      <c r="AY502" s="10" t="str">
        <f t="shared" si="154"/>
        <v/>
      </c>
      <c r="AZ502" s="10" t="str">
        <f t="shared" si="155"/>
        <v/>
      </c>
      <c r="BA502" s="10" t="str">
        <f t="shared" si="156"/>
        <v/>
      </c>
    </row>
    <row r="503" spans="6:53" x14ac:dyDescent="0.2">
      <c r="F503" s="10" t="str">
        <f t="shared" si="160"/>
        <v>2018/10/16</v>
      </c>
      <c r="G503" s="14">
        <v>43389</v>
      </c>
      <c r="H503" s="10">
        <v>8.6751594999999995</v>
      </c>
      <c r="I503" s="10">
        <v>-6.2458249999999991</v>
      </c>
      <c r="J503" s="10">
        <v>2.4293345</v>
      </c>
      <c r="K503" s="10">
        <f t="shared" si="161"/>
        <v>2597.413303700002</v>
      </c>
      <c r="L503" s="10">
        <f t="shared" si="162"/>
        <v>-2005.9637631999992</v>
      </c>
      <c r="M503" s="10">
        <f t="shared" si="163"/>
        <v>591.44954049999978</v>
      </c>
      <c r="N503" s="10">
        <v>20.522198129306997</v>
      </c>
      <c r="O503" s="10">
        <v>15.694240389972142</v>
      </c>
      <c r="P503" s="10">
        <v>3737.13139112</v>
      </c>
      <c r="Y503" s="10" t="e">
        <f t="shared" si="157"/>
        <v>#N/A</v>
      </c>
      <c r="Z503" s="10" t="e">
        <f t="shared" si="145"/>
        <v>#N/A</v>
      </c>
      <c r="AA503" s="10" t="e">
        <f t="shared" si="146"/>
        <v>#N/A</v>
      </c>
      <c r="AB503" s="10" t="e">
        <f t="shared" si="147"/>
        <v>#N/A</v>
      </c>
      <c r="AC503" s="10" t="e">
        <f t="shared" si="148"/>
        <v>#N/A</v>
      </c>
      <c r="AE503" s="10" t="str">
        <f t="shared" si="158"/>
        <v/>
      </c>
      <c r="AF503" s="10" t="str">
        <f t="shared" si="149"/>
        <v/>
      </c>
      <c r="AG503" s="10" t="str">
        <f t="shared" si="150"/>
        <v/>
      </c>
      <c r="AH503" s="10" t="str">
        <f t="shared" si="151"/>
        <v/>
      </c>
      <c r="AI503" s="10" t="str">
        <f t="shared" si="152"/>
        <v/>
      </c>
      <c r="AK503" s="10"/>
      <c r="AL503" s="10"/>
      <c r="AM503" s="10"/>
      <c r="AN503" s="10"/>
      <c r="AO503" s="10"/>
      <c r="AQ503" s="10"/>
      <c r="AR503" s="10"/>
      <c r="AS503" s="10"/>
      <c r="AT503" s="10"/>
      <c r="AU503" s="10"/>
      <c r="AW503" s="10" t="str">
        <f t="shared" si="159"/>
        <v/>
      </c>
      <c r="AX503" s="10" t="str">
        <f t="shared" si="153"/>
        <v/>
      </c>
      <c r="AY503" s="10" t="str">
        <f t="shared" si="154"/>
        <v/>
      </c>
      <c r="AZ503" s="10" t="str">
        <f t="shared" si="155"/>
        <v/>
      </c>
      <c r="BA503" s="10" t="str">
        <f t="shared" si="156"/>
        <v/>
      </c>
    </row>
    <row r="504" spans="6:53" x14ac:dyDescent="0.2">
      <c r="F504" s="10" t="str">
        <f t="shared" si="160"/>
        <v>2018/10/17</v>
      </c>
      <c r="G504" s="14">
        <v>43390</v>
      </c>
      <c r="H504" s="10">
        <v>15.143816699999997</v>
      </c>
      <c r="I504" s="10">
        <v>-1.3170497999999997</v>
      </c>
      <c r="J504" s="10">
        <v>13.826766900000001</v>
      </c>
      <c r="K504" s="10">
        <f t="shared" si="161"/>
        <v>2612.5571204000021</v>
      </c>
      <c r="L504" s="10">
        <f t="shared" si="162"/>
        <v>-2007.2808129999992</v>
      </c>
      <c r="M504" s="10">
        <f t="shared" si="163"/>
        <v>605.27630739999984</v>
      </c>
      <c r="N504" s="10">
        <v>20.404581620887612</v>
      </c>
      <c r="O504" s="10">
        <v>15.426033147632323</v>
      </c>
      <c r="P504" s="10">
        <v>3796.175997119999</v>
      </c>
      <c r="Y504" s="10" t="e">
        <f t="shared" si="157"/>
        <v>#N/A</v>
      </c>
      <c r="Z504" s="10" t="e">
        <f t="shared" si="145"/>
        <v>#N/A</v>
      </c>
      <c r="AA504" s="10" t="e">
        <f t="shared" si="146"/>
        <v>#N/A</v>
      </c>
      <c r="AB504" s="10" t="e">
        <f t="shared" si="147"/>
        <v>#N/A</v>
      </c>
      <c r="AC504" s="10" t="e">
        <f t="shared" si="148"/>
        <v>#N/A</v>
      </c>
      <c r="AE504" s="10" t="str">
        <f t="shared" si="158"/>
        <v/>
      </c>
      <c r="AF504" s="10" t="str">
        <f t="shared" si="149"/>
        <v/>
      </c>
      <c r="AG504" s="10" t="str">
        <f t="shared" si="150"/>
        <v/>
      </c>
      <c r="AH504" s="10" t="str">
        <f t="shared" si="151"/>
        <v/>
      </c>
      <c r="AI504" s="10" t="str">
        <f t="shared" si="152"/>
        <v/>
      </c>
      <c r="AK504" s="10"/>
      <c r="AL504" s="10"/>
      <c r="AM504" s="10"/>
      <c r="AN504" s="10"/>
      <c r="AO504" s="10"/>
      <c r="AQ504" s="10"/>
      <c r="AR504" s="10"/>
      <c r="AS504" s="10"/>
      <c r="AT504" s="10"/>
      <c r="AU504" s="10"/>
      <c r="AW504" s="10" t="str">
        <f t="shared" si="159"/>
        <v/>
      </c>
      <c r="AX504" s="10" t="str">
        <f t="shared" si="153"/>
        <v/>
      </c>
      <c r="AY504" s="10" t="str">
        <f t="shared" si="154"/>
        <v/>
      </c>
      <c r="AZ504" s="10" t="str">
        <f t="shared" si="155"/>
        <v/>
      </c>
      <c r="BA504" s="10" t="str">
        <f t="shared" si="156"/>
        <v/>
      </c>
    </row>
    <row r="505" spans="6:53" x14ac:dyDescent="0.2">
      <c r="F505" s="10" t="str">
        <f t="shared" si="160"/>
        <v>2018/10/18</v>
      </c>
      <c r="G505" s="14">
        <v>43391</v>
      </c>
      <c r="H505" s="10">
        <v>4.2752123000000006</v>
      </c>
      <c r="I505" s="10">
        <v>-5.3297972999999992</v>
      </c>
      <c r="J505" s="10">
        <v>-1.0545850000000001</v>
      </c>
      <c r="K505" s="10">
        <f t="shared" si="161"/>
        <v>2616.8323327000021</v>
      </c>
      <c r="L505" s="10">
        <f t="shared" si="162"/>
        <v>-2012.6106102999993</v>
      </c>
      <c r="M505" s="10">
        <f t="shared" si="163"/>
        <v>604.22172239999986</v>
      </c>
      <c r="N505" s="10">
        <v>18.921309445104413</v>
      </c>
      <c r="O505" s="10">
        <v>14.19517075208914</v>
      </c>
      <c r="P505" s="10">
        <v>3800.5193024699988</v>
      </c>
      <c r="Y505" s="10" t="e">
        <f t="shared" si="157"/>
        <v>#N/A</v>
      </c>
      <c r="Z505" s="10" t="e">
        <f t="shared" si="145"/>
        <v>#N/A</v>
      </c>
      <c r="AA505" s="10" t="e">
        <f t="shared" si="146"/>
        <v>#N/A</v>
      </c>
      <c r="AB505" s="10" t="e">
        <f t="shared" si="147"/>
        <v>#N/A</v>
      </c>
      <c r="AC505" s="10" t="e">
        <f t="shared" si="148"/>
        <v>#N/A</v>
      </c>
      <c r="AE505" s="10" t="str">
        <f t="shared" si="158"/>
        <v/>
      </c>
      <c r="AF505" s="10" t="str">
        <f t="shared" si="149"/>
        <v/>
      </c>
      <c r="AG505" s="10" t="str">
        <f t="shared" si="150"/>
        <v/>
      </c>
      <c r="AH505" s="10" t="str">
        <f t="shared" si="151"/>
        <v/>
      </c>
      <c r="AI505" s="10" t="str">
        <f t="shared" si="152"/>
        <v/>
      </c>
      <c r="AK505" s="10"/>
      <c r="AL505" s="10"/>
      <c r="AM505" s="10"/>
      <c r="AN505" s="10"/>
      <c r="AO505" s="10"/>
      <c r="AQ505" s="10"/>
      <c r="AR505" s="10"/>
      <c r="AS505" s="10"/>
      <c r="AT505" s="10"/>
      <c r="AU505" s="10"/>
      <c r="AW505" s="10" t="str">
        <f t="shared" si="159"/>
        <v/>
      </c>
      <c r="AX505" s="10" t="str">
        <f t="shared" si="153"/>
        <v/>
      </c>
      <c r="AY505" s="10" t="str">
        <f t="shared" si="154"/>
        <v/>
      </c>
      <c r="AZ505" s="10" t="str">
        <f t="shared" si="155"/>
        <v/>
      </c>
      <c r="BA505" s="10" t="str">
        <f t="shared" si="156"/>
        <v/>
      </c>
    </row>
    <row r="506" spans="6:53" x14ac:dyDescent="0.2">
      <c r="F506" s="10" t="str">
        <f t="shared" si="160"/>
        <v>2018/10/19</v>
      </c>
      <c r="G506" s="14">
        <v>43392</v>
      </c>
      <c r="H506" s="10">
        <v>9.1020494999999961</v>
      </c>
      <c r="I506" s="10">
        <v>-4.2664794999999991</v>
      </c>
      <c r="J506" s="10">
        <v>4.835569999999997</v>
      </c>
      <c r="K506" s="10">
        <f t="shared" si="161"/>
        <v>2625.9343822000019</v>
      </c>
      <c r="L506" s="10">
        <f t="shared" si="162"/>
        <v>-2016.8770897999993</v>
      </c>
      <c r="M506" s="10">
        <f t="shared" si="163"/>
        <v>609.05729239999982</v>
      </c>
      <c r="N506" s="10">
        <v>18.848074759352425</v>
      </c>
      <c r="O506" s="10">
        <v>14.330711420612813</v>
      </c>
      <c r="P506" s="10">
        <v>3758.1426046699985</v>
      </c>
      <c r="Y506" s="10" t="e">
        <f t="shared" si="157"/>
        <v>#N/A</v>
      </c>
      <c r="Z506" s="10" t="e">
        <f t="shared" si="145"/>
        <v>#N/A</v>
      </c>
      <c r="AA506" s="10" t="e">
        <f t="shared" si="146"/>
        <v>#N/A</v>
      </c>
      <c r="AB506" s="10" t="e">
        <f t="shared" si="147"/>
        <v>#N/A</v>
      </c>
      <c r="AC506" s="10" t="e">
        <f t="shared" si="148"/>
        <v>#N/A</v>
      </c>
      <c r="AE506" s="10" t="str">
        <f t="shared" si="158"/>
        <v/>
      </c>
      <c r="AF506" s="10" t="str">
        <f t="shared" si="149"/>
        <v/>
      </c>
      <c r="AG506" s="10" t="str">
        <f t="shared" si="150"/>
        <v/>
      </c>
      <c r="AH506" s="10" t="str">
        <f t="shared" si="151"/>
        <v/>
      </c>
      <c r="AI506" s="10" t="str">
        <f t="shared" si="152"/>
        <v/>
      </c>
      <c r="AK506" s="10"/>
      <c r="AL506" s="10"/>
      <c r="AM506" s="10"/>
      <c r="AN506" s="10"/>
      <c r="AO506" s="10"/>
      <c r="AQ506" s="10"/>
      <c r="AR506" s="10"/>
      <c r="AS506" s="10"/>
      <c r="AT506" s="10"/>
      <c r="AU506" s="10"/>
      <c r="AW506" s="10" t="str">
        <f t="shared" si="159"/>
        <v/>
      </c>
      <c r="AX506" s="10" t="str">
        <f t="shared" si="153"/>
        <v/>
      </c>
      <c r="AY506" s="10" t="str">
        <f t="shared" si="154"/>
        <v/>
      </c>
      <c r="AZ506" s="10" t="str">
        <f t="shared" si="155"/>
        <v/>
      </c>
      <c r="BA506" s="10" t="str">
        <f t="shared" si="156"/>
        <v/>
      </c>
    </row>
    <row r="507" spans="6:53" x14ac:dyDescent="0.2">
      <c r="F507" s="10" t="str">
        <f t="shared" si="160"/>
        <v>2018/10/22</v>
      </c>
      <c r="G507" s="14">
        <v>43395</v>
      </c>
      <c r="H507" s="10">
        <v>4.5522662</v>
      </c>
      <c r="I507" s="10">
        <v>-3.2290993999999995</v>
      </c>
      <c r="J507" s="10">
        <v>1.323166799999999</v>
      </c>
      <c r="K507" s="10">
        <f t="shared" si="161"/>
        <v>2630.4866484000017</v>
      </c>
      <c r="L507" s="10">
        <f t="shared" si="162"/>
        <v>-2020.1061891999993</v>
      </c>
      <c r="M507" s="10">
        <f t="shared" si="163"/>
        <v>610.38045919999979</v>
      </c>
      <c r="N507" s="10">
        <v>18.569051988771115</v>
      </c>
      <c r="O507" s="10">
        <v>14.076259052924794</v>
      </c>
      <c r="P507" s="10">
        <v>3755.1529546199995</v>
      </c>
      <c r="Y507" s="10" t="e">
        <f t="shared" si="157"/>
        <v>#N/A</v>
      </c>
      <c r="Z507" s="10" t="e">
        <f t="shared" si="145"/>
        <v>#N/A</v>
      </c>
      <c r="AA507" s="10" t="e">
        <f t="shared" si="146"/>
        <v>#N/A</v>
      </c>
      <c r="AB507" s="10" t="e">
        <f t="shared" si="147"/>
        <v>#N/A</v>
      </c>
      <c r="AC507" s="10" t="e">
        <f t="shared" si="148"/>
        <v>#N/A</v>
      </c>
      <c r="AE507" s="10" t="str">
        <f t="shared" si="158"/>
        <v/>
      </c>
      <c r="AF507" s="10" t="str">
        <f t="shared" si="149"/>
        <v/>
      </c>
      <c r="AG507" s="10" t="str">
        <f t="shared" si="150"/>
        <v/>
      </c>
      <c r="AH507" s="10" t="str">
        <f t="shared" si="151"/>
        <v/>
      </c>
      <c r="AI507" s="10" t="str">
        <f t="shared" si="152"/>
        <v/>
      </c>
      <c r="AK507" s="10"/>
      <c r="AL507" s="10"/>
      <c r="AM507" s="10"/>
      <c r="AN507" s="10"/>
      <c r="AO507" s="10"/>
      <c r="AQ507" s="10"/>
      <c r="AR507" s="10"/>
      <c r="AS507" s="10"/>
      <c r="AT507" s="10"/>
      <c r="AU507" s="10"/>
      <c r="AW507" s="10" t="str">
        <f t="shared" si="159"/>
        <v/>
      </c>
      <c r="AX507" s="10" t="str">
        <f t="shared" si="153"/>
        <v/>
      </c>
      <c r="AY507" s="10" t="str">
        <f t="shared" si="154"/>
        <v/>
      </c>
      <c r="AZ507" s="10" t="str">
        <f t="shared" si="155"/>
        <v/>
      </c>
      <c r="BA507" s="10" t="str">
        <f t="shared" si="156"/>
        <v/>
      </c>
    </row>
    <row r="508" spans="6:53" x14ac:dyDescent="0.2">
      <c r="F508" s="10" t="str">
        <f t="shared" si="160"/>
        <v>2018/10/23</v>
      </c>
      <c r="G508" s="14">
        <v>43396</v>
      </c>
      <c r="H508" s="10">
        <v>4.5715407000000017</v>
      </c>
      <c r="I508" s="10">
        <v>-6.8987067999999994</v>
      </c>
      <c r="J508" s="10">
        <v>-2.3271660999999999</v>
      </c>
      <c r="K508" s="10">
        <f t="shared" si="161"/>
        <v>2635.0581891000015</v>
      </c>
      <c r="L508" s="10">
        <f t="shared" si="162"/>
        <v>-2027.0048959999992</v>
      </c>
      <c r="M508" s="10">
        <f t="shared" si="163"/>
        <v>608.05329309999979</v>
      </c>
      <c r="N508" s="10">
        <v>17.647923228660122</v>
      </c>
      <c r="O508" s="10">
        <v>13.183264345403895</v>
      </c>
      <c r="P508" s="10">
        <v>3747.8244527200009</v>
      </c>
      <c r="Y508" s="10" t="e">
        <f t="shared" si="157"/>
        <v>#N/A</v>
      </c>
      <c r="Z508" s="10" t="e">
        <f t="shared" si="145"/>
        <v>#N/A</v>
      </c>
      <c r="AA508" s="10" t="e">
        <f t="shared" si="146"/>
        <v>#N/A</v>
      </c>
      <c r="AB508" s="10" t="e">
        <f t="shared" si="147"/>
        <v>#N/A</v>
      </c>
      <c r="AC508" s="10" t="e">
        <f t="shared" si="148"/>
        <v>#N/A</v>
      </c>
      <c r="AE508" s="10" t="str">
        <f t="shared" si="158"/>
        <v/>
      </c>
      <c r="AF508" s="10" t="str">
        <f t="shared" si="149"/>
        <v/>
      </c>
      <c r="AG508" s="10" t="str">
        <f t="shared" si="150"/>
        <v/>
      </c>
      <c r="AH508" s="10" t="str">
        <f t="shared" si="151"/>
        <v/>
      </c>
      <c r="AI508" s="10" t="str">
        <f t="shared" si="152"/>
        <v/>
      </c>
      <c r="AK508" s="10"/>
      <c r="AL508" s="10"/>
      <c r="AM508" s="10"/>
      <c r="AN508" s="10"/>
      <c r="AO508" s="10"/>
      <c r="AQ508" s="10"/>
      <c r="AR508" s="10"/>
      <c r="AS508" s="10"/>
      <c r="AT508" s="10"/>
      <c r="AU508" s="10"/>
      <c r="AW508" s="10" t="str">
        <f t="shared" si="159"/>
        <v/>
      </c>
      <c r="AX508" s="10" t="str">
        <f t="shared" si="153"/>
        <v/>
      </c>
      <c r="AY508" s="10" t="str">
        <f t="shared" si="154"/>
        <v/>
      </c>
      <c r="AZ508" s="10" t="str">
        <f t="shared" si="155"/>
        <v/>
      </c>
      <c r="BA508" s="10" t="str">
        <f t="shared" si="156"/>
        <v/>
      </c>
    </row>
    <row r="509" spans="6:53" x14ac:dyDescent="0.2">
      <c r="F509" s="10" t="str">
        <f t="shared" si="160"/>
        <v>2018/10/24</v>
      </c>
      <c r="G509" s="14">
        <v>43397</v>
      </c>
      <c r="H509" s="10">
        <v>8.7317308000000011</v>
      </c>
      <c r="I509" s="10">
        <v>-3.3852036000000005</v>
      </c>
      <c r="J509" s="10">
        <v>5.3465272000000006</v>
      </c>
      <c r="K509" s="10">
        <f t="shared" si="161"/>
        <v>2643.7899199000017</v>
      </c>
      <c r="L509" s="10">
        <f t="shared" si="162"/>
        <v>-2030.3900995999993</v>
      </c>
      <c r="M509" s="10">
        <f t="shared" si="163"/>
        <v>613.39982029999976</v>
      </c>
      <c r="N509" s="10">
        <v>15.086497019733368</v>
      </c>
      <c r="O509" s="10">
        <v>11.303488300835658</v>
      </c>
      <c r="P509" s="10">
        <v>3720.6064868199983</v>
      </c>
      <c r="Y509" s="10" t="e">
        <f t="shared" si="157"/>
        <v>#N/A</v>
      </c>
      <c r="Z509" s="10" t="e">
        <f t="shared" si="145"/>
        <v>#N/A</v>
      </c>
      <c r="AA509" s="10" t="e">
        <f t="shared" si="146"/>
        <v>#N/A</v>
      </c>
      <c r="AB509" s="10" t="e">
        <f t="shared" si="147"/>
        <v>#N/A</v>
      </c>
      <c r="AC509" s="10" t="e">
        <f t="shared" si="148"/>
        <v>#N/A</v>
      </c>
      <c r="AE509" s="10" t="str">
        <f t="shared" si="158"/>
        <v/>
      </c>
      <c r="AF509" s="10" t="str">
        <f t="shared" si="149"/>
        <v/>
      </c>
      <c r="AG509" s="10" t="str">
        <f t="shared" si="150"/>
        <v/>
      </c>
      <c r="AH509" s="10" t="str">
        <f t="shared" si="151"/>
        <v/>
      </c>
      <c r="AI509" s="10" t="str">
        <f t="shared" si="152"/>
        <v/>
      </c>
      <c r="AK509" s="10"/>
      <c r="AL509" s="10"/>
      <c r="AM509" s="10"/>
      <c r="AN509" s="10"/>
      <c r="AO509" s="10"/>
      <c r="AQ509" s="10"/>
      <c r="AR509" s="10"/>
      <c r="AS509" s="10"/>
      <c r="AT509" s="10"/>
      <c r="AU509" s="10"/>
      <c r="AW509" s="10" t="str">
        <f t="shared" si="159"/>
        <v/>
      </c>
      <c r="AX509" s="10" t="str">
        <f t="shared" si="153"/>
        <v/>
      </c>
      <c r="AY509" s="10" t="str">
        <f t="shared" si="154"/>
        <v/>
      </c>
      <c r="AZ509" s="10" t="str">
        <f t="shared" si="155"/>
        <v/>
      </c>
      <c r="BA509" s="10" t="str">
        <f t="shared" si="156"/>
        <v/>
      </c>
    </row>
    <row r="510" spans="6:53" x14ac:dyDescent="0.2">
      <c r="F510" s="10" t="str">
        <f t="shared" si="160"/>
        <v>2018/10/25</v>
      </c>
      <c r="G510" s="14">
        <v>43398</v>
      </c>
      <c r="H510" s="10">
        <v>5.451885400000001</v>
      </c>
      <c r="I510" s="10">
        <v>-14.700165900000002</v>
      </c>
      <c r="J510" s="10">
        <v>-9.248280499999991</v>
      </c>
      <c r="K510" s="10">
        <f t="shared" si="161"/>
        <v>2649.2418053000015</v>
      </c>
      <c r="L510" s="10">
        <f t="shared" si="162"/>
        <v>-2045.0902654999993</v>
      </c>
      <c r="M510" s="10">
        <f t="shared" si="163"/>
        <v>604.1515397999998</v>
      </c>
      <c r="N510" s="10">
        <v>16.150607318677888</v>
      </c>
      <c r="O510" s="10">
        <v>11.994534540389967</v>
      </c>
      <c r="P510" s="10">
        <v>3650.6838424200009</v>
      </c>
      <c r="Y510" s="10" t="e">
        <f t="shared" si="157"/>
        <v>#N/A</v>
      </c>
      <c r="Z510" s="10" t="e">
        <f t="shared" si="145"/>
        <v>#N/A</v>
      </c>
      <c r="AA510" s="10" t="e">
        <f t="shared" si="146"/>
        <v>#N/A</v>
      </c>
      <c r="AB510" s="10" t="e">
        <f t="shared" si="147"/>
        <v>#N/A</v>
      </c>
      <c r="AC510" s="10" t="e">
        <f t="shared" si="148"/>
        <v>#N/A</v>
      </c>
      <c r="AE510" s="10" t="str">
        <f t="shared" si="158"/>
        <v/>
      </c>
      <c r="AF510" s="10" t="str">
        <f t="shared" si="149"/>
        <v/>
      </c>
      <c r="AG510" s="10" t="str">
        <f t="shared" si="150"/>
        <v/>
      </c>
      <c r="AH510" s="10" t="str">
        <f t="shared" si="151"/>
        <v/>
      </c>
      <c r="AI510" s="10" t="str">
        <f t="shared" si="152"/>
        <v/>
      </c>
      <c r="AK510" s="10"/>
      <c r="AL510" s="10"/>
      <c r="AM510" s="10"/>
      <c r="AN510" s="10"/>
      <c r="AO510" s="10"/>
      <c r="AQ510" s="10"/>
      <c r="AR510" s="10"/>
      <c r="AS510" s="10"/>
      <c r="AT510" s="10"/>
      <c r="AU510" s="10"/>
      <c r="AW510" s="10" t="str">
        <f t="shared" si="159"/>
        <v/>
      </c>
      <c r="AX510" s="10" t="str">
        <f t="shared" si="153"/>
        <v/>
      </c>
      <c r="AY510" s="10" t="str">
        <f t="shared" si="154"/>
        <v/>
      </c>
      <c r="AZ510" s="10" t="str">
        <f t="shared" si="155"/>
        <v/>
      </c>
      <c r="BA510" s="10" t="str">
        <f t="shared" si="156"/>
        <v/>
      </c>
    </row>
    <row r="511" spans="6:53" x14ac:dyDescent="0.2">
      <c r="F511" s="10" t="str">
        <f t="shared" si="160"/>
        <v>2018/10/26</v>
      </c>
      <c r="G511" s="14">
        <v>43399</v>
      </c>
      <c r="H511" s="10">
        <v>4.5966152000000013</v>
      </c>
      <c r="I511" s="10">
        <v>-8.2440850000000001</v>
      </c>
      <c r="J511" s="10">
        <v>-3.6474698000000014</v>
      </c>
      <c r="K511" s="10">
        <f t="shared" si="161"/>
        <v>2653.8384205000016</v>
      </c>
      <c r="L511" s="10">
        <f t="shared" si="162"/>
        <v>-2053.3343504999993</v>
      </c>
      <c r="M511" s="10">
        <f t="shared" si="163"/>
        <v>600.50406999999984</v>
      </c>
      <c r="N511" s="10">
        <v>14.86972714600426</v>
      </c>
      <c r="O511" s="10">
        <v>11.045530640668522</v>
      </c>
      <c r="P511" s="10">
        <v>3678.8220007200039</v>
      </c>
    </row>
    <row r="512" spans="6:53" x14ac:dyDescent="0.2">
      <c r="F512" s="10" t="str">
        <f t="shared" si="160"/>
        <v>2018/10/29</v>
      </c>
      <c r="G512" s="14">
        <v>43402</v>
      </c>
      <c r="H512" s="10">
        <v>12.434844299999998</v>
      </c>
      <c r="I512" s="10">
        <v>-3.0141489999999997</v>
      </c>
      <c r="J512" s="10">
        <v>9.4206952999999967</v>
      </c>
      <c r="K512" s="10">
        <f t="shared" si="161"/>
        <v>2666.2732648000015</v>
      </c>
      <c r="L512" s="10">
        <f t="shared" si="162"/>
        <v>-2056.3484994999994</v>
      </c>
      <c r="M512" s="10">
        <f t="shared" si="163"/>
        <v>609.92476529999988</v>
      </c>
      <c r="N512" s="10">
        <v>14.304151292844042</v>
      </c>
      <c r="O512" s="10">
        <v>10.649705013927575</v>
      </c>
      <c r="P512" s="10">
        <v>3640.7426249200003</v>
      </c>
    </row>
    <row r="513" spans="6:16" x14ac:dyDescent="0.2">
      <c r="F513" s="10" t="str">
        <f t="shared" si="160"/>
        <v>2018/10/30</v>
      </c>
      <c r="G513" s="14">
        <v>43403</v>
      </c>
      <c r="H513" s="10">
        <v>11.064003599999998</v>
      </c>
      <c r="I513" s="10">
        <v>-4.2349468000000003</v>
      </c>
      <c r="J513" s="10">
        <v>6.8290568000000036</v>
      </c>
      <c r="K513" s="10">
        <f t="shared" si="161"/>
        <v>2677.3372684000014</v>
      </c>
      <c r="L513" s="10">
        <f t="shared" si="162"/>
        <v>-2060.5834462999997</v>
      </c>
      <c r="M513" s="10">
        <f t="shared" si="163"/>
        <v>616.75382209999987</v>
      </c>
      <c r="N513" s="10">
        <v>15.604256966152228</v>
      </c>
      <c r="O513" s="10">
        <v>11.522416991643452</v>
      </c>
      <c r="P513" s="10">
        <v>3634.0800847200003</v>
      </c>
    </row>
    <row r="514" spans="6:16" x14ac:dyDescent="0.2">
      <c r="F514" s="10" t="str">
        <f t="shared" si="160"/>
        <v>2018/10/31</v>
      </c>
      <c r="G514" s="14">
        <v>43404</v>
      </c>
      <c r="H514" s="10">
        <v>4.8373900000000001</v>
      </c>
      <c r="I514" s="10">
        <v>-10.835330000000001</v>
      </c>
      <c r="J514" s="10">
        <v>-5.9979400000000016</v>
      </c>
      <c r="K514" s="10">
        <f t="shared" si="161"/>
        <v>2682.1746584000016</v>
      </c>
      <c r="L514" s="10">
        <f t="shared" si="162"/>
        <v>-2071.4187762999995</v>
      </c>
      <c r="M514" s="10">
        <f t="shared" si="163"/>
        <v>610.75588209999989</v>
      </c>
      <c r="N514" s="10">
        <v>16.634658622380393</v>
      </c>
      <c r="O514" s="10">
        <v>12.224570473537609</v>
      </c>
      <c r="P514" s="10">
        <v>3679.4132136200028</v>
      </c>
    </row>
    <row r="515" spans="6:16" x14ac:dyDescent="0.2">
      <c r="F515" s="10" t="str">
        <f t="shared" si="160"/>
        <v>2018/11/1</v>
      </c>
      <c r="G515" s="14">
        <v>43405</v>
      </c>
      <c r="H515" s="10">
        <v>8.5347474000000023</v>
      </c>
      <c r="I515" s="10">
        <v>-7.0575688999999988</v>
      </c>
      <c r="J515" s="10">
        <v>1.4771785000000002</v>
      </c>
      <c r="K515" s="10">
        <f t="shared" si="161"/>
        <v>2690.7094058000016</v>
      </c>
      <c r="L515" s="10">
        <f t="shared" si="162"/>
        <v>-2078.4763451999997</v>
      </c>
      <c r="M515" s="10">
        <f t="shared" si="163"/>
        <v>612.23306059999993</v>
      </c>
      <c r="N515" s="10">
        <v>17.900617852092182</v>
      </c>
      <c r="O515" s="10">
        <v>13.491929526462389</v>
      </c>
      <c r="P515" s="10">
        <v>3702.4653527200003</v>
      </c>
    </row>
    <row r="516" spans="6:16" x14ac:dyDescent="0.2">
      <c r="F516" s="10" t="str">
        <f t="shared" si="160"/>
        <v>2018/11/2</v>
      </c>
      <c r="G516" s="14">
        <v>43406</v>
      </c>
      <c r="H516" s="10">
        <v>7.3557528999999988</v>
      </c>
      <c r="I516" s="10">
        <v>-5.047830799999999</v>
      </c>
      <c r="J516" s="10">
        <v>2.3079221000000012</v>
      </c>
      <c r="K516" s="10">
        <f t="shared" si="161"/>
        <v>2698.0651587000016</v>
      </c>
      <c r="L516" s="10">
        <f t="shared" si="162"/>
        <v>-2083.5241759999999</v>
      </c>
      <c r="M516" s="10">
        <f t="shared" si="163"/>
        <v>614.54098269999997</v>
      </c>
      <c r="N516" s="10">
        <v>17.805670040321818</v>
      </c>
      <c r="O516" s="10">
        <v>13.615844846796659</v>
      </c>
      <c r="P516" s="10">
        <v>3742.0483311199973</v>
      </c>
    </row>
    <row r="517" spans="6:16" x14ac:dyDescent="0.2">
      <c r="F517" s="10" t="str">
        <f t="shared" si="160"/>
        <v>2018/11/5</v>
      </c>
      <c r="G517" s="14">
        <v>43409</v>
      </c>
      <c r="H517" s="10">
        <v>5.8026448000000004</v>
      </c>
      <c r="I517" s="10">
        <v>-4.1798706999999995</v>
      </c>
      <c r="J517" s="10">
        <v>1.6227740999999993</v>
      </c>
      <c r="K517" s="10">
        <f t="shared" si="161"/>
        <v>2703.8678035000016</v>
      </c>
      <c r="L517" s="10">
        <f t="shared" si="162"/>
        <v>-2087.7040466999997</v>
      </c>
      <c r="M517" s="10">
        <f t="shared" si="163"/>
        <v>616.16375679999999</v>
      </c>
      <c r="N517" s="10">
        <v>18.005044588898262</v>
      </c>
      <c r="O517" s="10">
        <v>13.78999442896936</v>
      </c>
      <c r="P517" s="10">
        <v>3742.9307235199994</v>
      </c>
    </row>
    <row r="518" spans="6:16" x14ac:dyDescent="0.2">
      <c r="F518" s="10" t="str">
        <f t="shared" si="160"/>
        <v>2018/11/6</v>
      </c>
      <c r="G518" s="14">
        <v>43410</v>
      </c>
      <c r="H518" s="10">
        <v>5.884494300000001</v>
      </c>
      <c r="I518" s="10">
        <v>-3.5670903000000003</v>
      </c>
      <c r="J518" s="10">
        <v>2.3174039999999998</v>
      </c>
      <c r="K518" s="10">
        <f t="shared" si="161"/>
        <v>2709.7522978000015</v>
      </c>
      <c r="L518" s="10">
        <f t="shared" si="162"/>
        <v>-2091.2711369999997</v>
      </c>
      <c r="M518" s="10">
        <f t="shared" si="163"/>
        <v>618.4811608</v>
      </c>
      <c r="N518" s="10">
        <v>18.551091628909067</v>
      </c>
      <c r="O518" s="10">
        <v>14.162962674094709</v>
      </c>
      <c r="P518" s="10">
        <v>3751.8926016200007</v>
      </c>
    </row>
    <row r="519" spans="6:16" x14ac:dyDescent="0.2">
      <c r="F519" s="10" t="str">
        <f t="shared" si="160"/>
        <v>2018/11/7</v>
      </c>
      <c r="G519" s="14">
        <v>43411</v>
      </c>
      <c r="H519" s="10">
        <v>10.491389</v>
      </c>
      <c r="I519" s="10">
        <v>-3.4410495999999999</v>
      </c>
      <c r="J519" s="10">
        <v>7.0503394000000013</v>
      </c>
      <c r="K519" s="10">
        <f t="shared" si="161"/>
        <v>2720.2436868000013</v>
      </c>
      <c r="L519" s="10">
        <f t="shared" si="162"/>
        <v>-2094.7121865999998</v>
      </c>
      <c r="M519" s="10">
        <f t="shared" si="163"/>
        <v>625.53150019999998</v>
      </c>
      <c r="N519" s="10">
        <v>20.280494905086982</v>
      </c>
      <c r="O519" s="10">
        <v>15.447269080779945</v>
      </c>
      <c r="P519" s="10">
        <v>3770.0564910199992</v>
      </c>
    </row>
    <row r="520" spans="6:16" x14ac:dyDescent="0.2">
      <c r="F520" s="10" t="str">
        <f t="shared" si="160"/>
        <v>2018/11/8</v>
      </c>
      <c r="G520" s="14">
        <v>43412</v>
      </c>
      <c r="H520" s="10">
        <v>6.7944210999999992</v>
      </c>
      <c r="I520" s="10">
        <v>-5.4483522999999998</v>
      </c>
      <c r="J520" s="10">
        <v>1.3460687999999994</v>
      </c>
      <c r="K520" s="10">
        <f t="shared" si="161"/>
        <v>2727.0381079000013</v>
      </c>
      <c r="L520" s="10">
        <f t="shared" si="162"/>
        <v>-2100.1605388999997</v>
      </c>
      <c r="M520" s="10">
        <f t="shared" si="163"/>
        <v>626.87756899999999</v>
      </c>
      <c r="N520" s="10">
        <v>19.937231670786669</v>
      </c>
      <c r="O520" s="10">
        <v>15.002733147632323</v>
      </c>
      <c r="P520" s="10">
        <v>3826.3755872199999</v>
      </c>
    </row>
    <row r="521" spans="6:16" x14ac:dyDescent="0.2">
      <c r="F521" s="10" t="str">
        <f t="shared" si="160"/>
        <v>2018/11/9</v>
      </c>
      <c r="G521" s="14">
        <v>43413</v>
      </c>
      <c r="H521" s="10">
        <v>3.192076699999999</v>
      </c>
      <c r="I521" s="10">
        <v>-5.4614236000000007</v>
      </c>
      <c r="J521" s="10">
        <v>-2.2693468999999999</v>
      </c>
      <c r="K521" s="10">
        <f t="shared" si="161"/>
        <v>2730.2301846000014</v>
      </c>
      <c r="L521" s="10">
        <f t="shared" si="162"/>
        <v>-2105.6219624999999</v>
      </c>
      <c r="M521" s="10">
        <f t="shared" si="163"/>
        <v>624.60822210000003</v>
      </c>
      <c r="N521" s="10">
        <v>18.855268828253649</v>
      </c>
      <c r="O521" s="10">
        <v>14.015879108635101</v>
      </c>
      <c r="P521" s="10">
        <v>3815.8702364200026</v>
      </c>
    </row>
    <row r="522" spans="6:16" x14ac:dyDescent="0.2">
      <c r="F522" s="10" t="str">
        <f t="shared" si="160"/>
        <v>2018/11/12</v>
      </c>
      <c r="G522" s="14">
        <v>43416</v>
      </c>
      <c r="H522" s="10">
        <v>3.2192267000000001</v>
      </c>
      <c r="I522" s="10">
        <v>-4.3062455999999996</v>
      </c>
      <c r="J522" s="10">
        <v>-1.0870189000000001</v>
      </c>
      <c r="K522" s="10">
        <f t="shared" si="161"/>
        <v>2733.4494113000014</v>
      </c>
      <c r="L522" s="10">
        <f t="shared" si="162"/>
        <v>-2109.9282080999997</v>
      </c>
      <c r="M522" s="10">
        <f t="shared" si="163"/>
        <v>623.52120320000006</v>
      </c>
      <c r="N522" s="10">
        <v>17.16107094596207</v>
      </c>
      <c r="O522" s="10">
        <v>12.688375766016712</v>
      </c>
      <c r="P522" s="10">
        <v>3781.57430032</v>
      </c>
    </row>
    <row r="523" spans="6:16" x14ac:dyDescent="0.2">
      <c r="F523" s="10" t="str">
        <f t="shared" si="160"/>
        <v>2018/11/13</v>
      </c>
      <c r="G523" s="14">
        <v>43417</v>
      </c>
      <c r="H523" s="10">
        <v>12.046284900000003</v>
      </c>
      <c r="I523" s="10">
        <v>-3.4594387000000006</v>
      </c>
      <c r="J523" s="10">
        <v>8.5868462000000036</v>
      </c>
      <c r="K523" s="10">
        <f t="shared" si="161"/>
        <v>2745.4956962000015</v>
      </c>
      <c r="L523" s="10">
        <f t="shared" si="162"/>
        <v>-2113.3876467999999</v>
      </c>
      <c r="M523" s="10">
        <f t="shared" si="163"/>
        <v>632.10804940000003</v>
      </c>
      <c r="N523" s="10">
        <v>17.040029616568027</v>
      </c>
      <c r="O523" s="10">
        <v>12.73188412256267</v>
      </c>
      <c r="P523" s="10">
        <v>3731.4914422200004</v>
      </c>
    </row>
    <row r="524" spans="6:16" x14ac:dyDescent="0.2">
      <c r="F524" s="10" t="str">
        <f t="shared" si="160"/>
        <v>2018/11/14</v>
      </c>
      <c r="G524" s="14">
        <v>43418</v>
      </c>
      <c r="H524" s="10">
        <v>6.4745476000000002</v>
      </c>
      <c r="I524" s="10">
        <v>-10.904691300000001</v>
      </c>
      <c r="J524" s="10">
        <v>-4.4301436999999995</v>
      </c>
      <c r="K524" s="10">
        <f t="shared" si="161"/>
        <v>2751.9702438000013</v>
      </c>
      <c r="L524" s="10">
        <f t="shared" si="162"/>
        <v>-2124.2923381000001</v>
      </c>
      <c r="M524" s="10">
        <f t="shared" si="163"/>
        <v>627.6779057</v>
      </c>
      <c r="N524" s="10">
        <v>16.606302561758699</v>
      </c>
      <c r="O524" s="10">
        <v>12.392983008356552</v>
      </c>
      <c r="P524" s="10">
        <v>3735.9641301199999</v>
      </c>
    </row>
    <row r="525" spans="6:16" x14ac:dyDescent="0.2">
      <c r="F525" s="10" t="str">
        <f t="shared" si="160"/>
        <v>2018/11/15</v>
      </c>
      <c r="G525" s="14">
        <v>43419</v>
      </c>
      <c r="H525" s="10">
        <v>8.2933172000000006</v>
      </c>
      <c r="I525" s="10">
        <v>-2.6820172999999996</v>
      </c>
      <c r="J525" s="10">
        <v>5.6112999000000023</v>
      </c>
      <c r="K525" s="10">
        <f t="shared" si="161"/>
        <v>2760.2635610000011</v>
      </c>
      <c r="L525" s="10">
        <f t="shared" si="162"/>
        <v>-2126.9743554000001</v>
      </c>
      <c r="M525" s="10">
        <f t="shared" si="163"/>
        <v>633.28920559999995</v>
      </c>
      <c r="N525" s="10">
        <v>17.533571433156311</v>
      </c>
      <c r="O525" s="10">
        <v>13.058208356545958</v>
      </c>
      <c r="P525" s="10">
        <v>3719.6957339199985</v>
      </c>
    </row>
    <row r="526" spans="6:16" x14ac:dyDescent="0.2">
      <c r="F526" s="10" t="str">
        <f t="shared" si="160"/>
        <v>2018/11/16</v>
      </c>
      <c r="G526" s="14">
        <v>43420</v>
      </c>
      <c r="H526" s="10">
        <v>5.6322802999999997</v>
      </c>
      <c r="I526" s="10">
        <v>-6.409941700000001</v>
      </c>
      <c r="J526" s="10">
        <v>-0.77766139999999984</v>
      </c>
      <c r="K526" s="10">
        <f t="shared" si="161"/>
        <v>2765.8958413000009</v>
      </c>
      <c r="L526" s="10">
        <f t="shared" si="162"/>
        <v>-2133.3842971000004</v>
      </c>
      <c r="M526" s="10">
        <f t="shared" si="163"/>
        <v>632.51154419999989</v>
      </c>
      <c r="N526" s="10">
        <v>17.798988811113333</v>
      </c>
      <c r="O526" s="10">
        <v>13.438037325905293</v>
      </c>
      <c r="P526" s="10">
        <v>3752.1431426200011</v>
      </c>
    </row>
    <row r="527" spans="6:16" x14ac:dyDescent="0.2">
      <c r="F527" s="10" t="str">
        <f t="shared" si="160"/>
        <v>2018/11/19</v>
      </c>
      <c r="G527" s="14">
        <v>43423</v>
      </c>
      <c r="H527" s="10">
        <v>5.0778870999999999</v>
      </c>
      <c r="I527" s="10">
        <v>-4.4428184999999987</v>
      </c>
      <c r="J527" s="10">
        <v>0.63506859999999998</v>
      </c>
      <c r="K527" s="10">
        <f t="shared" si="161"/>
        <v>2770.9737284000012</v>
      </c>
      <c r="L527" s="10">
        <f t="shared" si="162"/>
        <v>-2137.8271156000005</v>
      </c>
      <c r="M527" s="10">
        <f t="shared" si="163"/>
        <v>633.14661279999984</v>
      </c>
      <c r="N527" s="10">
        <v>16.594961171019847</v>
      </c>
      <c r="O527" s="10">
        <v>12.678024094707524</v>
      </c>
      <c r="P527" s="10">
        <v>3760.9845795200017</v>
      </c>
    </row>
    <row r="528" spans="6:16" x14ac:dyDescent="0.2">
      <c r="F528" s="10" t="str">
        <f t="shared" si="160"/>
        <v>2018/11/20</v>
      </c>
      <c r="G528" s="14">
        <v>43424</v>
      </c>
      <c r="H528" s="10">
        <v>6.017659000000001</v>
      </c>
      <c r="I528" s="10">
        <v>-4.4306184000000002</v>
      </c>
      <c r="J528" s="10">
        <v>1.5870405999999999</v>
      </c>
      <c r="K528" s="10">
        <f t="shared" si="161"/>
        <v>2776.9913874000013</v>
      </c>
      <c r="L528" s="10">
        <f t="shared" si="162"/>
        <v>-2142.2577340000007</v>
      </c>
      <c r="M528" s="10">
        <f t="shared" si="163"/>
        <v>634.73365339999987</v>
      </c>
      <c r="N528" s="10">
        <v>14.782605819377997</v>
      </c>
      <c r="O528" s="10">
        <v>11.069238718662952</v>
      </c>
      <c r="P528" s="10">
        <v>3722.1353958200007</v>
      </c>
    </row>
    <row r="529" spans="6:16" x14ac:dyDescent="0.2">
      <c r="F529" s="10" t="str">
        <f t="shared" si="160"/>
        <v>2018/11/21</v>
      </c>
      <c r="G529" s="14">
        <v>43425</v>
      </c>
      <c r="H529" s="10">
        <v>4.1521261000000003</v>
      </c>
      <c r="I529" s="10">
        <v>-3.8772294999999999</v>
      </c>
      <c r="J529" s="10">
        <v>0.27489660000000049</v>
      </c>
      <c r="K529" s="10">
        <f t="shared" si="161"/>
        <v>2781.1435135000011</v>
      </c>
      <c r="L529" s="10">
        <f t="shared" si="162"/>
        <v>-2146.1349635000006</v>
      </c>
      <c r="M529" s="10">
        <f t="shared" si="163"/>
        <v>635.0085499999999</v>
      </c>
      <c r="N529" s="10">
        <v>15.401137355053955</v>
      </c>
      <c r="O529" s="10">
        <v>11.824459331476321</v>
      </c>
      <c r="P529" s="10">
        <v>3673.4914751200017</v>
      </c>
    </row>
    <row r="530" spans="6:16" x14ac:dyDescent="0.2">
      <c r="F530" s="10" t="str">
        <f t="shared" si="160"/>
        <v>2018/11/22</v>
      </c>
      <c r="G530" s="14">
        <v>43426</v>
      </c>
      <c r="H530" s="10">
        <v>0.88860739999999994</v>
      </c>
      <c r="I530" s="10">
        <v>-0.41050059999999999</v>
      </c>
      <c r="J530" s="10">
        <v>0.47810680000000005</v>
      </c>
      <c r="K530" s="10">
        <f t="shared" si="161"/>
        <v>2782.0321209000012</v>
      </c>
      <c r="L530" s="10">
        <f t="shared" si="162"/>
        <v>-2146.5454641000006</v>
      </c>
      <c r="M530" s="10">
        <f t="shared" si="163"/>
        <v>635.48665679999988</v>
      </c>
      <c r="N530" s="10">
        <v>15.156781230477316</v>
      </c>
      <c r="O530" s="10">
        <v>11.521224791086349</v>
      </c>
      <c r="P530" s="10">
        <v>3694.2469989200008</v>
      </c>
    </row>
    <row r="531" spans="6:16" x14ac:dyDescent="0.2">
      <c r="F531" s="10" t="str">
        <f t="shared" si="160"/>
        <v>2018/11/23</v>
      </c>
      <c r="G531" s="14">
        <v>43427</v>
      </c>
      <c r="H531" s="10">
        <v>2.5875206999999998</v>
      </c>
      <c r="I531" s="10">
        <v>-3.7109060999999994</v>
      </c>
      <c r="J531" s="10">
        <v>-1.1233853999999996</v>
      </c>
      <c r="K531" s="10">
        <f t="shared" si="161"/>
        <v>2784.6196416000012</v>
      </c>
      <c r="L531" s="10">
        <f t="shared" si="162"/>
        <v>-2150.2563702000007</v>
      </c>
      <c r="M531" s="10">
        <f t="shared" si="163"/>
        <v>634.36327139999992</v>
      </c>
      <c r="N531" s="10">
        <v>14.893916558071156</v>
      </c>
      <c r="O531" s="10">
        <v>11.211639554317552</v>
      </c>
      <c r="P531" s="10">
        <v>3685.0512284199995</v>
      </c>
    </row>
    <row r="532" spans="6:16" x14ac:dyDescent="0.2">
      <c r="F532" s="10" t="str">
        <f t="shared" si="160"/>
        <v>2018/11/26</v>
      </c>
      <c r="G532" s="14">
        <v>43430</v>
      </c>
      <c r="H532" s="10">
        <v>3.9232696000000002</v>
      </c>
      <c r="I532" s="10">
        <v>-4.5247765000000006</v>
      </c>
      <c r="J532" s="10">
        <v>-0.60150689999999996</v>
      </c>
      <c r="K532" s="10">
        <f t="shared" si="161"/>
        <v>2788.5429112000011</v>
      </c>
      <c r="L532" s="10">
        <f t="shared" si="162"/>
        <v>-2154.7811467000006</v>
      </c>
      <c r="M532" s="10">
        <f t="shared" si="163"/>
        <v>633.76176449999991</v>
      </c>
      <c r="N532" s="10">
        <v>16.13522719135862</v>
      </c>
      <c r="O532" s="10">
        <v>12.151710027855151</v>
      </c>
      <c r="P532" s="10">
        <v>3676.8347903699992</v>
      </c>
    </row>
    <row r="533" spans="6:16" x14ac:dyDescent="0.2">
      <c r="F533" s="10" t="str">
        <f t="shared" si="160"/>
        <v>2018/11/27</v>
      </c>
      <c r="G533" s="14">
        <v>43431</v>
      </c>
      <c r="H533" s="10">
        <v>6.698800799999999</v>
      </c>
      <c r="I533" s="10">
        <v>-2.5859830000000001</v>
      </c>
      <c r="J533" s="10">
        <v>4.1128178000000002</v>
      </c>
      <c r="K533" s="10">
        <f t="shared" si="161"/>
        <v>2795.2417120000009</v>
      </c>
      <c r="L533" s="10">
        <f t="shared" si="162"/>
        <v>-2157.3671297000005</v>
      </c>
      <c r="M533" s="10">
        <f t="shared" si="163"/>
        <v>637.87458229999993</v>
      </c>
      <c r="N533" s="10">
        <v>16.213608244132683</v>
      </c>
      <c r="O533" s="10">
        <v>12.022887465181057</v>
      </c>
      <c r="P533" s="10">
        <v>3713.0279865200027</v>
      </c>
    </row>
    <row r="534" spans="6:16" x14ac:dyDescent="0.2">
      <c r="F534" s="10" t="str">
        <f t="shared" si="160"/>
        <v>2018/11/28</v>
      </c>
      <c r="G534" s="14">
        <v>43432</v>
      </c>
      <c r="H534" s="10">
        <v>14.059019999999999</v>
      </c>
      <c r="I534" s="10">
        <v>-3.3426083000000002</v>
      </c>
      <c r="J534" s="10">
        <v>10.7164117</v>
      </c>
      <c r="K534" s="10">
        <f t="shared" si="161"/>
        <v>2809.3007320000011</v>
      </c>
      <c r="L534" s="10">
        <f t="shared" si="162"/>
        <v>-2160.7097380000005</v>
      </c>
      <c r="M534" s="10">
        <f t="shared" si="163"/>
        <v>648.59099399999991</v>
      </c>
      <c r="N534" s="10">
        <v>18.204522903313642</v>
      </c>
      <c r="O534" s="10">
        <v>13.491436490250701</v>
      </c>
      <c r="P534" s="10">
        <v>3718.0300087200008</v>
      </c>
    </row>
    <row r="535" spans="6:16" x14ac:dyDescent="0.2">
      <c r="F535" s="10" t="str">
        <f t="shared" si="160"/>
        <v>2018/11/29</v>
      </c>
      <c r="G535" s="14">
        <v>43433</v>
      </c>
      <c r="H535" s="10">
        <v>7.5042642000000015</v>
      </c>
      <c r="I535" s="10">
        <v>-3.6087915000000002</v>
      </c>
      <c r="J535" s="10">
        <v>3.8954726999999996</v>
      </c>
      <c r="K535" s="10">
        <f t="shared" si="161"/>
        <v>2816.8049962000009</v>
      </c>
      <c r="L535" s="10">
        <f t="shared" si="162"/>
        <v>-2164.3185295000003</v>
      </c>
      <c r="M535" s="10">
        <f t="shared" si="163"/>
        <v>652.48646669999994</v>
      </c>
      <c r="N535" s="10">
        <v>18.089572926063614</v>
      </c>
      <c r="O535" s="10">
        <v>13.50957186629527</v>
      </c>
      <c r="P535" s="10">
        <v>3786.9426516199987</v>
      </c>
    </row>
    <row r="536" spans="6:16" x14ac:dyDescent="0.2">
      <c r="F536" s="10" t="str">
        <f t="shared" si="160"/>
        <v>2018/11/30</v>
      </c>
      <c r="G536" s="14">
        <v>43434</v>
      </c>
      <c r="H536" s="10">
        <v>4.0371696000000012</v>
      </c>
      <c r="I536" s="10">
        <v>-7.9082580999999994</v>
      </c>
      <c r="J536" s="10">
        <v>-3.8710885000000004</v>
      </c>
      <c r="K536" s="10">
        <f t="shared" si="161"/>
        <v>2820.8421658000011</v>
      </c>
      <c r="L536" s="10">
        <f t="shared" si="162"/>
        <v>-2172.2267876000001</v>
      </c>
      <c r="M536" s="10">
        <f t="shared" si="163"/>
        <v>648.6153781999999</v>
      </c>
      <c r="N536" s="10">
        <v>18.50200735757543</v>
      </c>
      <c r="O536" s="10">
        <v>13.65488245125348</v>
      </c>
      <c r="P536" s="10">
        <v>3787.5651198200012</v>
      </c>
    </row>
    <row r="537" spans="6:16" x14ac:dyDescent="0.2">
      <c r="G537" s="1">
        <v>43437</v>
      </c>
      <c r="H537" s="1">
        <v>5.9741846999999995</v>
      </c>
      <c r="I537" s="1">
        <v>-3.6794057000000002</v>
      </c>
      <c r="J537" s="1">
        <v>2.2947790000000006</v>
      </c>
      <c r="N537" s="1">
        <v>19.909596707775396</v>
      </c>
      <c r="O537" s="1">
        <v>14.994071866295258</v>
      </c>
      <c r="P537" s="1">
        <v>3794.8631570200032</v>
      </c>
    </row>
    <row r="538" spans="6:16" x14ac:dyDescent="0.2">
      <c r="G538" s="1">
        <v>43438</v>
      </c>
      <c r="H538" s="1">
        <v>6.6559254999999995</v>
      </c>
      <c r="I538" s="1">
        <v>-8.4296664999999997</v>
      </c>
      <c r="J538" s="1">
        <v>-1.7737409999999998</v>
      </c>
      <c r="N538" s="1">
        <v>17.113626031015912</v>
      </c>
      <c r="O538" s="1">
        <v>13.021031197771585</v>
      </c>
      <c r="P538" s="1">
        <v>3838.7905675200022</v>
      </c>
    </row>
    <row r="539" spans="6:16" x14ac:dyDescent="0.2">
      <c r="G539" s="1">
        <v>43439</v>
      </c>
      <c r="H539" s="1">
        <v>1.6931804999999998</v>
      </c>
      <c r="I539" s="1">
        <v>-1.1557306999999999</v>
      </c>
      <c r="J539" s="1">
        <v>0.53744980000000009</v>
      </c>
      <c r="N539" s="1">
        <v>16.796345101424098</v>
      </c>
      <c r="O539" s="1">
        <v>12.651993593314756</v>
      </c>
      <c r="P539" s="1">
        <v>3754.4903733199976</v>
      </c>
    </row>
    <row r="540" spans="6:16" x14ac:dyDescent="0.2">
      <c r="G540" s="1">
        <v>43440</v>
      </c>
      <c r="H540" s="1">
        <v>6.7326384000000017</v>
      </c>
      <c r="I540" s="1">
        <v>-6.445454100000001</v>
      </c>
      <c r="J540" s="1">
        <v>0.28718429999999984</v>
      </c>
      <c r="N540" s="1">
        <v>16.322365197055085</v>
      </c>
      <c r="O540" s="1">
        <v>11.971149025069638</v>
      </c>
      <c r="P540" s="1">
        <v>3745.0893355200001</v>
      </c>
    </row>
    <row r="541" spans="6:16" x14ac:dyDescent="0.2">
      <c r="G541" s="1">
        <v>43441</v>
      </c>
      <c r="H541" s="1">
        <v>7.9252167000000009</v>
      </c>
      <c r="I541" s="1">
        <v>-5.6626621000000004</v>
      </c>
      <c r="J541" s="1">
        <v>2.2625545999999988</v>
      </c>
      <c r="N541" s="1">
        <v>14.760969573602676</v>
      </c>
      <c r="O541" s="1">
        <v>11.11019721448468</v>
      </c>
      <c r="P541" s="1">
        <v>3730.3035906199984</v>
      </c>
    </row>
    <row r="542" spans="6:16" x14ac:dyDescent="0.2">
      <c r="G542" s="1">
        <v>43444</v>
      </c>
      <c r="H542" s="1">
        <v>6.2179414999999985</v>
      </c>
      <c r="I542" s="1">
        <v>-4.4263599999999999</v>
      </c>
      <c r="J542" s="1">
        <v>1.7915814999999997</v>
      </c>
      <c r="N542" s="1">
        <v>14.284280293134549</v>
      </c>
      <c r="O542" s="1">
        <v>10.381707520891368</v>
      </c>
      <c r="P542" s="1">
        <v>3687.2685904200007</v>
      </c>
    </row>
    <row r="543" spans="6:16" x14ac:dyDescent="0.2">
      <c r="G543" s="1">
        <v>43445</v>
      </c>
      <c r="H543" s="1">
        <v>6.0786171000000007</v>
      </c>
      <c r="I543" s="1">
        <v>-3.6012124999999999</v>
      </c>
      <c r="J543" s="1">
        <v>2.4774045999999994</v>
      </c>
      <c r="N543" s="1">
        <v>14.383108240429745</v>
      </c>
      <c r="O543" s="1">
        <v>10.579048746518106</v>
      </c>
      <c r="P543" s="1">
        <v>3672.2388399199995</v>
      </c>
    </row>
    <row r="544" spans="6:16" x14ac:dyDescent="0.2">
      <c r="G544" s="1">
        <v>43446</v>
      </c>
      <c r="H544" s="1">
        <v>11.6885242</v>
      </c>
      <c r="I544" s="1">
        <v>-2.3196043</v>
      </c>
      <c r="J544" s="1">
        <v>9.3689198999999999</v>
      </c>
      <c r="N544" s="1">
        <v>15.345189950541148</v>
      </c>
      <c r="O544" s="1">
        <v>11.505501253481896</v>
      </c>
      <c r="P544" s="1">
        <v>3677.2618267199982</v>
      </c>
    </row>
    <row r="545" spans="7:16" x14ac:dyDescent="0.2">
      <c r="G545" s="1">
        <v>43447</v>
      </c>
      <c r="H545" s="1">
        <v>7.2560562999999991</v>
      </c>
      <c r="I545" s="1">
        <v>-6.7868116999999986</v>
      </c>
      <c r="J545" s="1">
        <v>0.46924459999999968</v>
      </c>
      <c r="N545" s="1">
        <v>15.215613806367813</v>
      </c>
      <c r="O545" s="1">
        <v>11.397430919220056</v>
      </c>
      <c r="P545" s="1">
        <v>3715.0748880200013</v>
      </c>
    </row>
    <row r="546" spans="7:16" x14ac:dyDescent="0.2">
      <c r="G546" s="1">
        <v>43448</v>
      </c>
      <c r="H546" s="1">
        <v>11.232500900000002</v>
      </c>
      <c r="I546" s="1">
        <v>-3.9372094999999998</v>
      </c>
      <c r="J546" s="1">
        <v>7.2952913999999991</v>
      </c>
      <c r="N546" s="1">
        <v>13.622715491345037</v>
      </c>
      <c r="O546" s="1">
        <v>10.149811420612817</v>
      </c>
      <c r="P546" s="1">
        <v>3710.8228329200019</v>
      </c>
    </row>
    <row r="547" spans="7:16" x14ac:dyDescent="0.2">
      <c r="G547" s="1">
        <v>43451</v>
      </c>
      <c r="H547" s="1">
        <v>9.8676404999999967</v>
      </c>
      <c r="I547" s="1">
        <v>-3.2510330999999999</v>
      </c>
      <c r="J547" s="1">
        <v>6.6166073999999977</v>
      </c>
      <c r="N547" s="1">
        <v>12.228025247432836</v>
      </c>
      <c r="O547" s="1">
        <v>9.0807431754874663</v>
      </c>
      <c r="P547" s="1">
        <v>3669.4716383200007</v>
      </c>
    </row>
    <row r="548" spans="7:16" x14ac:dyDescent="0.2">
      <c r="G548" s="1">
        <v>43452</v>
      </c>
      <c r="H548" s="1">
        <v>10.301491199999999</v>
      </c>
      <c r="I548" s="1">
        <v>-6.5731183</v>
      </c>
      <c r="J548" s="1">
        <v>3.7283728999999992</v>
      </c>
      <c r="N548" s="1">
        <v>12.07111426449582</v>
      </c>
      <c r="O548" s="1">
        <v>8.8885935933147628</v>
      </c>
      <c r="P548" s="1">
        <v>3630.6440353199991</v>
      </c>
    </row>
    <row r="549" spans="7:16" x14ac:dyDescent="0.2">
      <c r="G549" s="1">
        <v>43453</v>
      </c>
      <c r="H549" s="1">
        <v>15.105825500000002</v>
      </c>
      <c r="I549" s="1">
        <v>-7.6503329000000013</v>
      </c>
      <c r="J549" s="1">
        <v>7.4554926000000004</v>
      </c>
      <c r="N549" s="1">
        <v>10.933988569922251</v>
      </c>
      <c r="O549" s="1">
        <v>8.1605289693593335</v>
      </c>
      <c r="P549" s="1">
        <v>3623.8545483199987</v>
      </c>
    </row>
    <row r="550" spans="7:16" x14ac:dyDescent="0.2">
      <c r="G550" s="1">
        <v>43454</v>
      </c>
      <c r="H550" s="1">
        <v>10.330599400000001</v>
      </c>
      <c r="I550" s="1">
        <v>-7.9062578999999991</v>
      </c>
      <c r="J550" s="1">
        <v>2.4243415000000001</v>
      </c>
      <c r="N550" s="1">
        <v>9.7293844189665304</v>
      </c>
      <c r="O550" s="1">
        <v>7.1411688022284139</v>
      </c>
      <c r="P550" s="1">
        <v>3595.7885317200007</v>
      </c>
    </row>
    <row r="551" spans="7:16" x14ac:dyDescent="0.2">
      <c r="G551" s="1">
        <v>43455</v>
      </c>
      <c r="H551" s="1">
        <v>15.569095799999999</v>
      </c>
      <c r="I551" s="1">
        <v>-13.928869399999998</v>
      </c>
      <c r="J551" s="1">
        <v>1.6402263999999909</v>
      </c>
      <c r="N551" s="1">
        <v>8.0994964466292672</v>
      </c>
      <c r="O551" s="1">
        <v>5.8594456824512546</v>
      </c>
      <c r="P551" s="1">
        <v>3560.4617237200005</v>
      </c>
    </row>
    <row r="552" spans="7:16" x14ac:dyDescent="0.2">
      <c r="G552" s="1">
        <v>43458</v>
      </c>
      <c r="H552" s="1">
        <v>9.0841473999999991</v>
      </c>
      <c r="I552" s="1">
        <v>-4.2736861999999984</v>
      </c>
      <c r="J552" s="1">
        <v>4.8104612000000007</v>
      </c>
      <c r="N552" s="1">
        <v>6.3441388560963476</v>
      </c>
      <c r="O552" s="1">
        <v>4.5656924791086348</v>
      </c>
      <c r="P552" s="1">
        <v>3507.4100199200007</v>
      </c>
    </row>
    <row r="553" spans="7:16" x14ac:dyDescent="0.2">
      <c r="G553" s="1">
        <v>43459</v>
      </c>
      <c r="H553" s="1">
        <v>0.78706690000000001</v>
      </c>
      <c r="I553" s="1">
        <v>-1.0118854000000002</v>
      </c>
      <c r="J553" s="1">
        <v>-0.22481850000000003</v>
      </c>
      <c r="N553" s="1">
        <v>7.6094202455795026</v>
      </c>
      <c r="O553" s="1">
        <v>5.4485924326833794</v>
      </c>
      <c r="P553" s="1">
        <v>3463.9878026249999</v>
      </c>
    </row>
    <row r="554" spans="7:16" x14ac:dyDescent="0.2">
      <c r="G554" s="1">
        <v>43460</v>
      </c>
      <c r="H554" s="1">
        <v>9.2763000000000009</v>
      </c>
      <c r="I554" s="1">
        <v>-5.770187</v>
      </c>
      <c r="J554" s="1">
        <v>3.5061129999999996</v>
      </c>
      <c r="N554" s="1">
        <v>9.0850316046965212</v>
      </c>
      <c r="O554" s="1">
        <v>6.4426357010213549</v>
      </c>
      <c r="P554" s="1">
        <v>3515.4892813533338</v>
      </c>
    </row>
    <row r="555" spans="7:16" x14ac:dyDescent="0.2">
      <c r="G555" s="1">
        <v>43461</v>
      </c>
      <c r="H555" s="1">
        <v>7.1793245000000008</v>
      </c>
      <c r="I555" s="1">
        <v>-10.4581198</v>
      </c>
      <c r="J555" s="1">
        <v>-3.2787953000000001</v>
      </c>
      <c r="N555" s="1">
        <v>9.9488311996348067</v>
      </c>
      <c r="O555" s="1">
        <v>6.922944289693592</v>
      </c>
      <c r="P555" s="1">
        <v>3551.975818521667</v>
      </c>
    </row>
    <row r="556" spans="7:16" x14ac:dyDescent="0.2">
      <c r="G556" s="1">
        <v>43462</v>
      </c>
      <c r="H556" s="1">
        <v>7.8182800999999991</v>
      </c>
      <c r="I556" s="1">
        <v>-4.9461540000000017</v>
      </c>
      <c r="J556" s="1">
        <v>2.8721261</v>
      </c>
      <c r="N556" s="1">
        <v>10.174853285234903</v>
      </c>
      <c r="O556" s="1">
        <v>7.3638654596100297</v>
      </c>
      <c r="P556" s="1">
        <v>3566.0057303200001</v>
      </c>
    </row>
    <row r="557" spans="7:16" x14ac:dyDescent="0.2">
      <c r="G557" s="1">
        <v>43465</v>
      </c>
      <c r="H557" s="1">
        <v>6.0498583999999989</v>
      </c>
      <c r="I557" s="1">
        <v>-8.0312925999999987</v>
      </c>
      <c r="J557" s="1">
        <v>-1.9814342000000011</v>
      </c>
      <c r="N557" s="1">
        <v>10.7504650822542</v>
      </c>
      <c r="O557" s="1">
        <v>7.8247028365831017</v>
      </c>
      <c r="P557" s="1">
        <v>3575.5961054199997</v>
      </c>
    </row>
    <row r="558" spans="7:16" x14ac:dyDescent="0.2">
      <c r="G558" s="1">
        <v>43466</v>
      </c>
      <c r="H558" s="1">
        <v>0</v>
      </c>
      <c r="I558" s="1">
        <v>0</v>
      </c>
      <c r="J558" s="1">
        <v>0</v>
      </c>
      <c r="N558" s="1">
        <v>10.726467603637005</v>
      </c>
      <c r="O558" s="1">
        <v>7.7450792107706592</v>
      </c>
      <c r="P558" s="1">
        <v>3607.2747082783349</v>
      </c>
    </row>
    <row r="559" spans="7:16" x14ac:dyDescent="0.2">
      <c r="G559" s="1">
        <v>43467</v>
      </c>
      <c r="H559" s="1">
        <v>10.8292073</v>
      </c>
      <c r="I559" s="1">
        <v>-5.3432673000000008</v>
      </c>
      <c r="J559" s="1">
        <v>5.4859400000000003</v>
      </c>
      <c r="N559" s="1">
        <v>10.695253604302076</v>
      </c>
      <c r="O559" s="1">
        <v>7.635752799442896</v>
      </c>
      <c r="P559" s="1">
        <v>3605.4415525433355</v>
      </c>
    </row>
    <row r="560" spans="7:16" x14ac:dyDescent="0.2">
      <c r="G560" s="1">
        <v>43468</v>
      </c>
      <c r="H560" s="1">
        <v>4.9620162999999993</v>
      </c>
      <c r="I560" s="1">
        <v>-7.3150618999999999</v>
      </c>
      <c r="J560" s="1">
        <v>-2.3530456000000006</v>
      </c>
      <c r="N560" s="1">
        <v>9.2563872193597856</v>
      </c>
      <c r="O560" s="1">
        <v>6.7589054038997229</v>
      </c>
      <c r="P560" s="1">
        <v>3602.4871934733333</v>
      </c>
    </row>
    <row r="561" spans="7:16" x14ac:dyDescent="0.2">
      <c r="G561" s="1">
        <v>43469</v>
      </c>
      <c r="H561" s="1">
        <v>10.581145800000002</v>
      </c>
      <c r="I561" s="1">
        <v>-3.7732383999999999</v>
      </c>
      <c r="J561" s="1">
        <v>6.8079073999999986</v>
      </c>
      <c r="N561" s="1">
        <v>11.812662928003192</v>
      </c>
      <c r="O561" s="1">
        <v>8.9725097493036241</v>
      </c>
      <c r="P561" s="1">
        <v>3551.3226729999997</v>
      </c>
    </row>
    <row r="562" spans="7:16" x14ac:dyDescent="0.2">
      <c r="G562" s="1">
        <v>43472</v>
      </c>
      <c r="H562" s="1">
        <v>5.9218830999999996</v>
      </c>
      <c r="I562" s="1">
        <v>-5.8537192000000005</v>
      </c>
      <c r="J562" s="1">
        <v>6.8163900000000277E-2</v>
      </c>
      <c r="N562" s="1">
        <v>12.694968651639115</v>
      </c>
      <c r="O562" s="1">
        <v>9.7397832869080769</v>
      </c>
      <c r="P562" s="1">
        <v>3637.2780551199994</v>
      </c>
    </row>
    <row r="563" spans="7:16" x14ac:dyDescent="0.2">
      <c r="G563" s="1">
        <v>43473</v>
      </c>
      <c r="H563" s="1">
        <v>9.2644978999999985</v>
      </c>
      <c r="I563" s="1">
        <v>-5.2868889000000001</v>
      </c>
      <c r="J563" s="1">
        <v>3.9776090000000002</v>
      </c>
      <c r="N563" s="1">
        <v>13.503798420458653</v>
      </c>
      <c r="O563" s="1">
        <v>10.382975208913642</v>
      </c>
      <c r="P563" s="1">
        <v>3666.1619163200003</v>
      </c>
    </row>
    <row r="564" spans="7:16" x14ac:dyDescent="0.2">
      <c r="G564" s="1">
        <v>43474</v>
      </c>
      <c r="H564" s="1">
        <v>6.2796082999999996</v>
      </c>
      <c r="I564" s="1">
        <v>-6.8968317000000017</v>
      </c>
      <c r="J564" s="1">
        <v>-0.61722339999999931</v>
      </c>
      <c r="N564" s="1">
        <v>14.354012743181398</v>
      </c>
      <c r="O564" s="1">
        <v>11.258343175487468</v>
      </c>
      <c r="P564" s="1">
        <v>3695.3014234199991</v>
      </c>
    </row>
    <row r="565" spans="7:16" x14ac:dyDescent="0.2">
      <c r="G565" s="1">
        <v>43475</v>
      </c>
      <c r="H565" s="1">
        <v>7.3183236000000003</v>
      </c>
      <c r="I565" s="1">
        <v>-3.9236246000000001</v>
      </c>
      <c r="J565" s="1">
        <v>3.3946990000000001</v>
      </c>
      <c r="N565" s="1">
        <v>14.613278564605139</v>
      </c>
      <c r="O565" s="1">
        <v>11.493195264623953</v>
      </c>
      <c r="P565" s="1">
        <v>3722.1654643200009</v>
      </c>
    </row>
    <row r="566" spans="7:16" x14ac:dyDescent="0.2">
      <c r="G566" s="1">
        <v>43476</v>
      </c>
      <c r="H566" s="1">
        <v>5.1622120999999987</v>
      </c>
      <c r="I566" s="1">
        <v>-6.6099782000000005</v>
      </c>
      <c r="J566" s="1">
        <v>-1.4477660999999993</v>
      </c>
      <c r="N566" s="1">
        <v>14.605019261254842</v>
      </c>
      <c r="O566" s="1">
        <v>11.493564345403895</v>
      </c>
      <c r="P566" s="1">
        <v>3733.1691596200008</v>
      </c>
    </row>
    <row r="567" spans="7:16" x14ac:dyDescent="0.2">
      <c r="G567" s="1">
        <v>43479</v>
      </c>
      <c r="H567" s="1">
        <v>3.4024646000000005</v>
      </c>
      <c r="I567" s="1">
        <v>-5.5932494000000004</v>
      </c>
      <c r="J567" s="1">
        <v>-2.1907847999999994</v>
      </c>
      <c r="N567" s="1">
        <v>14.084534656804415</v>
      </c>
      <c r="O567" s="1">
        <v>11.009663091922002</v>
      </c>
      <c r="P567" s="1">
        <v>3731.0596880199992</v>
      </c>
    </row>
    <row r="568" spans="7:16" x14ac:dyDescent="0.2">
      <c r="G568" s="1">
        <v>43480</v>
      </c>
      <c r="H568" s="1">
        <v>4.7366882999999982</v>
      </c>
      <c r="I568" s="1">
        <v>-7.1473892000000001</v>
      </c>
      <c r="J568" s="1">
        <v>-2.4107009000000001</v>
      </c>
      <c r="N568" s="1">
        <v>14.898101551042799</v>
      </c>
      <c r="O568" s="1">
        <v>11.571606128133705</v>
      </c>
      <c r="P568" s="1">
        <v>3713.2053045699995</v>
      </c>
    </row>
    <row r="569" spans="7:16" x14ac:dyDescent="0.2">
      <c r="G569" s="1">
        <v>43481</v>
      </c>
      <c r="H569" s="1">
        <v>6.2000584999999999</v>
      </c>
      <c r="I569" s="1">
        <v>-6.9331388</v>
      </c>
      <c r="J569" s="1">
        <v>-0.73308029999999924</v>
      </c>
      <c r="N569" s="1">
        <v>15.200998334719708</v>
      </c>
      <c r="O569" s="1">
        <v>11.949638718662953</v>
      </c>
      <c r="P569" s="1">
        <v>3735.1281199199971</v>
      </c>
    </row>
    <row r="570" spans="7:16" x14ac:dyDescent="0.2">
      <c r="G570" s="1">
        <v>43482</v>
      </c>
      <c r="H570" s="1">
        <v>6.3234564999999989</v>
      </c>
      <c r="I570" s="1">
        <v>-7.7001002000000005</v>
      </c>
      <c r="J570" s="1">
        <v>-1.3766436999999998</v>
      </c>
      <c r="N570" s="1">
        <v>15.747820589573996</v>
      </c>
      <c r="O570" s="1">
        <v>12.308153760445681</v>
      </c>
      <c r="P570" s="1">
        <v>3743.8280529199997</v>
      </c>
    </row>
    <row r="571" spans="7:16" x14ac:dyDescent="0.2">
      <c r="G571" s="1">
        <v>43483</v>
      </c>
      <c r="H571" s="1">
        <v>11.878626499999999</v>
      </c>
      <c r="I571" s="1">
        <v>-8.3696325000000016</v>
      </c>
      <c r="J571" s="1">
        <v>3.5089939999999986</v>
      </c>
      <c r="N571" s="1">
        <v>16.828467311499505</v>
      </c>
      <c r="O571" s="1">
        <v>13.241345682451257</v>
      </c>
      <c r="P571" s="1">
        <v>3758.8119979200001</v>
      </c>
    </row>
    <row r="572" spans="7:16" x14ac:dyDescent="0.2">
      <c r="G572" s="1">
        <v>43486</v>
      </c>
      <c r="H572" s="1">
        <v>0.91840089999999996</v>
      </c>
      <c r="I572" s="1">
        <v>-0.88466310000000004</v>
      </c>
      <c r="J572" s="1">
        <v>3.3737799999999929E-2</v>
      </c>
      <c r="N572" s="1">
        <v>16.304897607799603</v>
      </c>
      <c r="O572" s="1">
        <v>12.839194428969359</v>
      </c>
      <c r="P572" s="1">
        <v>3794.6452095200011</v>
      </c>
    </row>
    <row r="573" spans="7:16" x14ac:dyDescent="0.2">
      <c r="G573" s="1">
        <v>43487</v>
      </c>
      <c r="H573" s="1">
        <v>5.9464946000000003</v>
      </c>
      <c r="I573" s="1">
        <v>-6.3343671999999991</v>
      </c>
      <c r="J573" s="1">
        <v>-0.38787259999999996</v>
      </c>
      <c r="N573" s="1">
        <v>15.647322510796608</v>
      </c>
      <c r="O573" s="1">
        <v>12.236385515320332</v>
      </c>
      <c r="P573" s="1">
        <v>3775.0738613199992</v>
      </c>
    </row>
    <row r="574" spans="7:16" x14ac:dyDescent="0.2">
      <c r="G574" s="1">
        <v>43488</v>
      </c>
      <c r="H574" s="1">
        <v>3.0279392999999999</v>
      </c>
      <c r="I574" s="1">
        <v>-6.8753908000000017</v>
      </c>
      <c r="J574" s="1">
        <v>-3.8474514999999996</v>
      </c>
      <c r="N574" s="1">
        <v>15.807265179989123</v>
      </c>
      <c r="O574" s="1">
        <v>12.396471030640669</v>
      </c>
      <c r="P574" s="1">
        <v>3758.410426219998</v>
      </c>
    </row>
    <row r="575" spans="7:16" x14ac:dyDescent="0.2">
      <c r="G575" s="1">
        <v>43489</v>
      </c>
      <c r="H575" s="1">
        <v>2.8027238000000003</v>
      </c>
      <c r="I575" s="1">
        <v>-5.7855355000000017</v>
      </c>
      <c r="J575" s="1">
        <v>-2.9828116999999992</v>
      </c>
      <c r="N575" s="1">
        <v>16.060643880177714</v>
      </c>
      <c r="O575" s="1">
        <v>12.625081337047353</v>
      </c>
      <c r="P575" s="1">
        <v>3759.6015986199995</v>
      </c>
    </row>
    <row r="576" spans="7:16" x14ac:dyDescent="0.2">
      <c r="G576" s="1">
        <v>43490</v>
      </c>
      <c r="H576" s="1">
        <v>3.5255657</v>
      </c>
      <c r="I576" s="1">
        <v>-11.994192899999996</v>
      </c>
      <c r="J576" s="1">
        <v>-8.4686271999999967</v>
      </c>
      <c r="N576" s="1">
        <v>17.096710527786605</v>
      </c>
      <c r="O576" s="1">
        <v>13.707276323119784</v>
      </c>
      <c r="P576" s="1">
        <v>3764.5239492199994</v>
      </c>
    </row>
    <row r="577" spans="7:16" x14ac:dyDescent="0.2">
      <c r="G577" s="1">
        <v>43493</v>
      </c>
      <c r="H577" s="1">
        <v>2.8426647000000003</v>
      </c>
      <c r="I577" s="1">
        <v>-6.9360992999999995</v>
      </c>
      <c r="J577" s="1">
        <v>-4.093434600000001</v>
      </c>
      <c r="N577" s="1">
        <v>16.47823476857954</v>
      </c>
      <c r="O577" s="1">
        <v>13.262308635097499</v>
      </c>
      <c r="P577" s="1">
        <v>3789.4495517200025</v>
      </c>
    </row>
    <row r="578" spans="7:16" x14ac:dyDescent="0.2">
      <c r="G578" s="1">
        <v>43494</v>
      </c>
      <c r="H578" s="1">
        <v>8.2560928999999987</v>
      </c>
      <c r="I578" s="1">
        <v>-5.2303410999999995</v>
      </c>
      <c r="J578" s="1">
        <v>3.0257517999999997</v>
      </c>
      <c r="N578" s="1">
        <v>16.532083437605923</v>
      </c>
      <c r="O578" s="1">
        <v>13.454457660167128</v>
      </c>
      <c r="P578" s="1">
        <v>3766.7513814199992</v>
      </c>
    </row>
    <row r="579" spans="7:16" x14ac:dyDescent="0.2">
      <c r="G579" s="1">
        <v>43495</v>
      </c>
      <c r="H579" s="1">
        <v>7.5031486999999988</v>
      </c>
      <c r="I579" s="1">
        <v>-5.7035979999999995</v>
      </c>
      <c r="J579" s="1">
        <v>1.7995506999999997</v>
      </c>
      <c r="N579" s="1">
        <v>17.753246434595923</v>
      </c>
      <c r="O579" s="1">
        <v>14.351879108635099</v>
      </c>
      <c r="P579" s="1">
        <v>3772.564643520001</v>
      </c>
    </row>
    <row r="580" spans="7:16" x14ac:dyDescent="0.2">
      <c r="G580" s="1">
        <v>43496</v>
      </c>
      <c r="H580" s="1">
        <v>5.6334913000000002</v>
      </c>
      <c r="I580" s="1">
        <v>-8.4165853000000013</v>
      </c>
      <c r="J580" s="1">
        <v>-2.7830939999999997</v>
      </c>
      <c r="N580" s="1">
        <v>18.680247903488389</v>
      </c>
      <c r="O580" s="1">
        <v>15.166764380222846</v>
      </c>
      <c r="P580" s="1">
        <v>3810.4411702200014</v>
      </c>
    </row>
    <row r="581" spans="7:16" x14ac:dyDescent="0.2">
      <c r="G581" s="1">
        <v>43497</v>
      </c>
      <c r="H581" s="1">
        <v>5.3303474999999993</v>
      </c>
      <c r="I581" s="1">
        <v>-6.4649942999999999</v>
      </c>
      <c r="J581" s="1">
        <v>-1.1346468000000001</v>
      </c>
      <c r="N581" s="1">
        <v>18.6007999367209</v>
      </c>
      <c r="O581" s="1">
        <v>15.169829596100286</v>
      </c>
      <c r="P581" s="1">
        <v>3836.2872561199988</v>
      </c>
    </row>
    <row r="582" spans="7:16" x14ac:dyDescent="0.2">
      <c r="G582" s="1">
        <v>43500</v>
      </c>
      <c r="H582" s="1">
        <v>5.6200490999999992</v>
      </c>
      <c r="I582" s="1">
        <v>-3.8805155</v>
      </c>
      <c r="J582" s="1">
        <v>1.7395335999999999</v>
      </c>
      <c r="N582" s="1">
        <v>19.150242346969687</v>
      </c>
      <c r="O582" s="1">
        <v>15.470534505571026</v>
      </c>
      <c r="P582" s="1">
        <v>3831.2779597199988</v>
      </c>
    </row>
    <row r="583" spans="7:16" x14ac:dyDescent="0.2">
      <c r="G583" s="1">
        <v>43501</v>
      </c>
      <c r="H583" s="1">
        <v>5.590994199999999</v>
      </c>
      <c r="I583" s="1">
        <v>-3.1933527000000006</v>
      </c>
      <c r="J583" s="1">
        <v>2.3976415000000002</v>
      </c>
      <c r="N583" s="1">
        <v>19.698754602808297</v>
      </c>
      <c r="O583" s="1">
        <v>15.98585264623955</v>
      </c>
      <c r="P583" s="1">
        <v>3849.2617329733334</v>
      </c>
    </row>
    <row r="584" spans="7:16" x14ac:dyDescent="0.2">
      <c r="G584" s="1">
        <v>43502</v>
      </c>
      <c r="H584" s="1">
        <v>4.7344339</v>
      </c>
      <c r="I584" s="1">
        <v>-4.1558808000000003</v>
      </c>
      <c r="J584" s="1">
        <v>0.57855309999999971</v>
      </c>
      <c r="N584" s="1">
        <v>19.420361858261796</v>
      </c>
      <c r="O584" s="1">
        <v>15.677230118384394</v>
      </c>
      <c r="P584" s="1">
        <v>3868.2602902516678</v>
      </c>
    </row>
    <row r="585" spans="7:16" x14ac:dyDescent="0.2">
      <c r="G585" s="1">
        <v>43503</v>
      </c>
      <c r="H585" s="1">
        <v>4.9552164000000003</v>
      </c>
      <c r="I585" s="1">
        <v>-3.543498</v>
      </c>
      <c r="J585" s="1">
        <v>1.4117184</v>
      </c>
      <c r="N585" s="1">
        <v>18.468224920576009</v>
      </c>
      <c r="O585" s="1">
        <v>14.812141573816152</v>
      </c>
      <c r="P585" s="1">
        <v>3859.8902503800005</v>
      </c>
    </row>
    <row r="586" spans="7:16" x14ac:dyDescent="0.2">
      <c r="G586" s="1">
        <v>43504</v>
      </c>
      <c r="H586" s="1">
        <v>2.9502831</v>
      </c>
      <c r="I586" s="1">
        <v>-4.1864512000000005</v>
      </c>
      <c r="J586" s="1">
        <v>-1.2361681000000004</v>
      </c>
      <c r="N586" s="1">
        <v>18.286310061087992</v>
      </c>
      <c r="O586" s="1">
        <v>14.601465564066848</v>
      </c>
      <c r="P586" s="1">
        <v>3832.0884098616657</v>
      </c>
    </row>
    <row r="587" spans="7:16" x14ac:dyDescent="0.2">
      <c r="G587" s="1">
        <v>43507</v>
      </c>
      <c r="H587" s="1">
        <v>3.6232742999999994</v>
      </c>
      <c r="I587" s="1">
        <v>-2.5263700999999994</v>
      </c>
      <c r="J587" s="1">
        <v>1.0969042000000011</v>
      </c>
      <c r="N587" s="1">
        <v>18.421398416164614</v>
      </c>
      <c r="O587" s="1">
        <v>14.714564902506966</v>
      </c>
      <c r="P587" s="1">
        <v>3823.6826021533348</v>
      </c>
    </row>
    <row r="588" spans="7:16" x14ac:dyDescent="0.2">
      <c r="G588" s="1">
        <v>43508</v>
      </c>
      <c r="H588" s="1">
        <v>6.8339116999999989</v>
      </c>
      <c r="I588" s="1">
        <v>-3.6521494999999997</v>
      </c>
      <c r="J588" s="1">
        <v>3.1817622000000005</v>
      </c>
      <c r="N588" s="1">
        <v>19.597413767734796</v>
      </c>
      <c r="O588" s="1">
        <v>15.673282451253481</v>
      </c>
      <c r="P588" s="1">
        <v>3829.8734000700015</v>
      </c>
    </row>
    <row r="589" spans="7:16" x14ac:dyDescent="0.2">
      <c r="G589" s="1">
        <v>43509</v>
      </c>
      <c r="H589" s="1">
        <v>5.8962107999999986</v>
      </c>
      <c r="I589" s="1">
        <v>-3.1892224999999992</v>
      </c>
      <c r="J589" s="1">
        <v>2.7069882999999986</v>
      </c>
      <c r="N589" s="1">
        <v>19.852649974314932</v>
      </c>
      <c r="O589" s="1">
        <v>15.877420891364904</v>
      </c>
      <c r="P589" s="1">
        <v>3868.417139220001</v>
      </c>
    </row>
    <row r="590" spans="7:16" x14ac:dyDescent="0.2">
      <c r="G590" s="1">
        <v>43510</v>
      </c>
      <c r="H590" s="1">
        <v>3.9480616000000004</v>
      </c>
      <c r="I590" s="1">
        <v>-7.3308222000000001</v>
      </c>
      <c r="J590" s="1">
        <v>-3.3827605999999983</v>
      </c>
      <c r="N590" s="1">
        <v>19.812891037117829</v>
      </c>
      <c r="O590" s="1">
        <v>15.854861559888583</v>
      </c>
      <c r="P590" s="1">
        <v>3879.0850234200011</v>
      </c>
    </row>
    <row r="591" spans="7:16" x14ac:dyDescent="0.2">
      <c r="G591" s="1">
        <v>43511</v>
      </c>
      <c r="H591" s="1">
        <v>4.2597795000000005</v>
      </c>
      <c r="I591" s="1">
        <v>-4.6683668000000011</v>
      </c>
      <c r="J591" s="1">
        <v>-0.40858729999999949</v>
      </c>
      <c r="N591" s="1">
        <v>20.649686026781968</v>
      </c>
      <c r="O591" s="1">
        <v>16.571803064066859</v>
      </c>
      <c r="P591" s="1">
        <v>3874.5768415199982</v>
      </c>
    </row>
    <row r="592" spans="7:16" x14ac:dyDescent="0.2">
      <c r="G592" s="1">
        <v>43514</v>
      </c>
      <c r="H592" s="1">
        <v>1.3045960999999999</v>
      </c>
      <c r="I592" s="1">
        <v>-0.91234920000000019</v>
      </c>
      <c r="J592" s="1">
        <v>0.39224689999999995</v>
      </c>
      <c r="N592" s="1">
        <v>21.013911883985571</v>
      </c>
      <c r="O592" s="1">
        <v>16.969473259052918</v>
      </c>
      <c r="P592" s="1">
        <v>3899.4309947200022</v>
      </c>
    </row>
    <row r="593" spans="7:16" x14ac:dyDescent="0.2">
      <c r="G593" s="1">
        <v>43515</v>
      </c>
      <c r="H593" s="1">
        <v>6.6999136000000004</v>
      </c>
      <c r="I593" s="1">
        <v>-4.5791433000000001</v>
      </c>
      <c r="J593" s="1">
        <v>2.1207702999999993</v>
      </c>
      <c r="N593" s="1">
        <v>21.214972603253205</v>
      </c>
      <c r="O593" s="1">
        <v>17.212478830083569</v>
      </c>
      <c r="P593" s="1">
        <v>3914.5864868199992</v>
      </c>
    </row>
    <row r="594" spans="7:16" x14ac:dyDescent="0.2">
      <c r="G594" s="1">
        <v>43516</v>
      </c>
      <c r="H594" s="1">
        <v>4.3341037999999994</v>
      </c>
      <c r="I594" s="1">
        <v>-7.2053972999999996</v>
      </c>
      <c r="J594" s="1">
        <v>-2.8712935000000002</v>
      </c>
      <c r="N594" s="1">
        <v>21.53424426332025</v>
      </c>
      <c r="O594" s="1">
        <v>17.602597771587746</v>
      </c>
      <c r="P594" s="1">
        <v>3921.5572783199991</v>
      </c>
    </row>
    <row r="595" spans="7:16" x14ac:dyDescent="0.2">
      <c r="G595" s="1">
        <v>43517</v>
      </c>
      <c r="H595" s="1">
        <v>6.5133746999999991</v>
      </c>
      <c r="I595" s="1">
        <v>-4.4600594999999998</v>
      </c>
      <c r="J595" s="1">
        <v>2.0533151999999997</v>
      </c>
      <c r="N595" s="1">
        <v>21.172246025704968</v>
      </c>
      <c r="O595" s="1">
        <v>17.190477715877435</v>
      </c>
      <c r="P595" s="1">
        <v>3928.8751738199999</v>
      </c>
    </row>
    <row r="596" spans="7:16" x14ac:dyDescent="0.2">
      <c r="G596" s="1">
        <v>43518</v>
      </c>
      <c r="H596" s="1">
        <v>5.9927301000000011</v>
      </c>
      <c r="I596" s="1">
        <v>-2.9443334999999999</v>
      </c>
      <c r="J596" s="1">
        <v>3.0483965999999998</v>
      </c>
      <c r="N596" s="1">
        <v>21.874001991937671</v>
      </c>
      <c r="O596" s="1">
        <v>17.866653481894144</v>
      </c>
      <c r="P596" s="1">
        <v>3918.9010378199973</v>
      </c>
    </row>
    <row r="597" spans="7:16" x14ac:dyDescent="0.2">
      <c r="G597" s="1">
        <v>43521</v>
      </c>
      <c r="H597" s="1">
        <v>7.9515469999999997</v>
      </c>
      <c r="I597" s="1">
        <v>-5.2942632000000005</v>
      </c>
      <c r="J597" s="1">
        <v>2.6572837999999996</v>
      </c>
      <c r="N597" s="1">
        <v>22.196825005381175</v>
      </c>
      <c r="O597" s="1">
        <v>18.272942618384395</v>
      </c>
      <c r="P597" s="1">
        <v>3942.9981286199977</v>
      </c>
    </row>
    <row r="598" spans="7:16" x14ac:dyDescent="0.2">
      <c r="G598" s="1">
        <v>43522</v>
      </c>
      <c r="H598" s="1">
        <v>4.172282899999999</v>
      </c>
      <c r="I598" s="1">
        <v>-5.3515358000000006</v>
      </c>
      <c r="J598" s="1">
        <v>-1.1792528999999998</v>
      </c>
      <c r="N598" s="1">
        <v>22.082007401150612</v>
      </c>
      <c r="O598" s="1">
        <v>18.147972144846801</v>
      </c>
      <c r="P598" s="1">
        <v>3955.0045131199995</v>
      </c>
    </row>
    <row r="599" spans="7:16" x14ac:dyDescent="0.2">
      <c r="G599" s="1">
        <v>43523</v>
      </c>
      <c r="H599" s="1">
        <v>4.6781928000000006</v>
      </c>
      <c r="I599" s="1">
        <v>-5.4930471999999995</v>
      </c>
      <c r="J599" s="1">
        <v>-0.81485440000000087</v>
      </c>
      <c r="N599" s="1">
        <v>21.945442250529567</v>
      </c>
      <c r="O599" s="1">
        <v>17.964775487465186</v>
      </c>
      <c r="P599" s="1">
        <v>3950.5231631200008</v>
      </c>
    </row>
    <row r="600" spans="7:16" x14ac:dyDescent="0.2">
      <c r="G600" s="1">
        <v>43524</v>
      </c>
      <c r="H600" s="1">
        <v>4.8006348999999995</v>
      </c>
      <c r="I600" s="1">
        <v>-4.6486112000000004</v>
      </c>
      <c r="J600" s="1">
        <v>0.1520236999999996</v>
      </c>
      <c r="N600" s="1">
        <v>21.533330214244508</v>
      </c>
      <c r="O600" s="1">
        <v>17.628621819870016</v>
      </c>
      <c r="P600" s="1">
        <v>3944.902253220002</v>
      </c>
    </row>
    <row r="601" spans="7:16" x14ac:dyDescent="0.2">
      <c r="G601" s="1">
        <v>43525</v>
      </c>
      <c r="H601" s="1">
        <v>2.5456154999999998</v>
      </c>
      <c r="I601" s="1">
        <v>-4.6313439000000001</v>
      </c>
      <c r="J601" s="1">
        <v>-2.0857284000000003</v>
      </c>
      <c r="N601" s="1">
        <v>22.048767913100519</v>
      </c>
      <c r="O601" s="1">
        <v>17.972171773444749</v>
      </c>
      <c r="P601" s="1">
        <v>3931.6953416199995</v>
      </c>
    </row>
    <row r="602" spans="7:16" x14ac:dyDescent="0.2">
      <c r="G602" s="1">
        <v>43528</v>
      </c>
      <c r="H602" s="1">
        <v>4.5440916000000007</v>
      </c>
      <c r="I602" s="1">
        <v>-5.4837845999999999</v>
      </c>
      <c r="J602" s="1">
        <v>-0.93969299999999945</v>
      </c>
      <c r="N602" s="1">
        <v>21.828294110195088</v>
      </c>
      <c r="O602" s="1">
        <v>17.800746518105857</v>
      </c>
      <c r="P602" s="1">
        <v>3942.6421940300006</v>
      </c>
    </row>
    <row r="603" spans="7:16" x14ac:dyDescent="0.2">
      <c r="G603" s="1">
        <v>43529</v>
      </c>
      <c r="H603" s="1">
        <v>3.6798062999999992</v>
      </c>
      <c r="I603" s="1">
        <v>-5.2053886</v>
      </c>
      <c r="J603" s="1">
        <v>-1.5255823000000004</v>
      </c>
      <c r="N603" s="1">
        <v>21.759504944594941</v>
      </c>
      <c r="O603" s="1">
        <v>17.812918662952654</v>
      </c>
      <c r="P603" s="1">
        <v>3935.6477448700011</v>
      </c>
    </row>
    <row r="604" spans="7:16" x14ac:dyDescent="0.2">
      <c r="G604" s="1">
        <v>43530</v>
      </c>
      <c r="H604" s="1">
        <v>5.6925507</v>
      </c>
      <c r="I604" s="1">
        <v>-6.6623422000000003</v>
      </c>
      <c r="J604" s="1">
        <v>-0.96979149999999958</v>
      </c>
      <c r="N604" s="1">
        <v>21.113455069438881</v>
      </c>
      <c r="O604" s="1">
        <v>17.307270194986081</v>
      </c>
      <c r="P604" s="1">
        <v>3932.38183742</v>
      </c>
    </row>
    <row r="605" spans="7:16" x14ac:dyDescent="0.2">
      <c r="G605" s="1">
        <v>43531</v>
      </c>
      <c r="H605" s="1">
        <v>4.6679925000000004</v>
      </c>
      <c r="I605" s="1">
        <v>-6.0258801999999987</v>
      </c>
      <c r="J605" s="1">
        <v>-1.3578877000000005</v>
      </c>
      <c r="N605" s="1">
        <v>20.151096771822967</v>
      </c>
      <c r="O605" s="1">
        <v>16.501838718662956</v>
      </c>
      <c r="P605" s="1">
        <v>3912.2269411200004</v>
      </c>
    </row>
    <row r="606" spans="7:16" x14ac:dyDescent="0.2">
      <c r="G606" s="1">
        <v>43532</v>
      </c>
      <c r="H606" s="1">
        <v>3.7217545999999997</v>
      </c>
      <c r="I606" s="1">
        <v>-6.3199598999999997</v>
      </c>
      <c r="J606" s="1">
        <v>-2.5982053000000001</v>
      </c>
      <c r="N606" s="1">
        <v>19.753675002935392</v>
      </c>
      <c r="O606" s="1">
        <v>16.059201949860725</v>
      </c>
      <c r="P606" s="1">
        <v>3881.8571124200012</v>
      </c>
    </row>
    <row r="607" spans="7:16" x14ac:dyDescent="0.2">
      <c r="G607" s="1">
        <v>43535</v>
      </c>
      <c r="H607" s="1">
        <v>8.239184299999998</v>
      </c>
      <c r="I607" s="1">
        <v>-2.1518044000000005</v>
      </c>
      <c r="J607" s="1">
        <v>6.0873798999999975</v>
      </c>
      <c r="N607" s="1">
        <v>21.137750203084984</v>
      </c>
      <c r="O607" s="1">
        <v>17.219012813370469</v>
      </c>
      <c r="P607" s="1">
        <v>3867.1579633199985</v>
      </c>
    </row>
    <row r="608" spans="7:16" x14ac:dyDescent="0.2">
      <c r="G608" s="1">
        <v>43536</v>
      </c>
      <c r="H608" s="1">
        <v>18.530883199999998</v>
      </c>
      <c r="I608" s="1">
        <v>-4.0088876999999981</v>
      </c>
      <c r="J608" s="1">
        <v>14.521995500000001</v>
      </c>
      <c r="N608" s="1">
        <v>21.649019270380577</v>
      </c>
      <c r="O608" s="1">
        <v>17.658071030640674</v>
      </c>
      <c r="P608" s="1">
        <v>3914.6618457199988</v>
      </c>
    </row>
    <row r="609" spans="7:16" x14ac:dyDescent="0.2">
      <c r="G609" s="1">
        <v>43537</v>
      </c>
      <c r="H609" s="1">
        <v>16.604922300000002</v>
      </c>
      <c r="I609" s="1">
        <v>-3.4904773000000007</v>
      </c>
      <c r="J609" s="1">
        <v>13.114444999999995</v>
      </c>
      <c r="N609" s="1">
        <v>22.164610382781774</v>
      </c>
      <c r="O609" s="1">
        <v>18.109633983286905</v>
      </c>
      <c r="P609" s="1">
        <v>3944.5103728200002</v>
      </c>
    </row>
    <row r="610" spans="7:16" x14ac:dyDescent="0.2">
      <c r="G610" s="1">
        <v>43538</v>
      </c>
      <c r="H610" s="1">
        <v>8.6999153000000007</v>
      </c>
      <c r="I610" s="1">
        <v>-7.8297139000000007</v>
      </c>
      <c r="J610" s="1">
        <v>0.87020140000000079</v>
      </c>
      <c r="N610" s="1">
        <v>21.959868886467358</v>
      </c>
      <c r="O610" s="1">
        <v>17.912303899721444</v>
      </c>
      <c r="P610" s="1">
        <v>3972.5203131199983</v>
      </c>
    </row>
    <row r="611" spans="7:16" x14ac:dyDescent="0.2">
      <c r="G611" s="1">
        <v>43539</v>
      </c>
      <c r="H611" s="1">
        <v>6.5334093000000024</v>
      </c>
      <c r="I611" s="1">
        <v>-15.395579399999999</v>
      </c>
      <c r="J611" s="1">
        <v>-8.8621701000000019</v>
      </c>
      <c r="N611" s="1">
        <v>22.688083180287592</v>
      </c>
      <c r="O611" s="1">
        <v>18.603186629526466</v>
      </c>
      <c r="P611" s="1">
        <v>3965.9564608200012</v>
      </c>
    </row>
    <row r="612" spans="7:16" x14ac:dyDescent="0.2">
      <c r="G612" s="1">
        <v>43542</v>
      </c>
      <c r="H612" s="1">
        <v>8.9968337999999992</v>
      </c>
      <c r="I612" s="1">
        <v>-7.2878842000000015</v>
      </c>
      <c r="J612" s="1">
        <v>1.7089495999999986</v>
      </c>
      <c r="N612" s="1">
        <v>23.199648469814793</v>
      </c>
      <c r="O612" s="1">
        <v>19.06858760445683</v>
      </c>
      <c r="P612" s="1">
        <v>3977.5201420200001</v>
      </c>
    </row>
    <row r="613" spans="7:16" x14ac:dyDescent="0.2">
      <c r="G613" s="1">
        <v>43543</v>
      </c>
      <c r="H613" s="1">
        <v>5.4435724999999993</v>
      </c>
      <c r="I613" s="1">
        <v>-5.7176048000000002</v>
      </c>
      <c r="J613" s="1">
        <v>-0.2740322999999999</v>
      </c>
      <c r="N613" s="1">
        <v>23.233597637989099</v>
      </c>
      <c r="O613" s="1">
        <v>19.144768802228409</v>
      </c>
      <c r="P613" s="1">
        <v>3995.0963176199994</v>
      </c>
    </row>
    <row r="614" spans="7:16" x14ac:dyDescent="0.2">
      <c r="G614" s="1">
        <v>43544</v>
      </c>
      <c r="H614" s="1">
        <v>6.4665839000000007</v>
      </c>
      <c r="I614" s="1">
        <v>-7.0199124999999984</v>
      </c>
      <c r="J614" s="1">
        <v>-0.5533285999999995</v>
      </c>
      <c r="N614" s="1">
        <v>22.957726250956735</v>
      </c>
      <c r="O614" s="1">
        <v>18.864463509749314</v>
      </c>
      <c r="P614" s="1">
        <v>3995.1943142199989</v>
      </c>
    </row>
    <row r="615" spans="7:16" x14ac:dyDescent="0.2">
      <c r="G615" s="1">
        <v>43545</v>
      </c>
      <c r="H615" s="1">
        <v>5.0269921000000002</v>
      </c>
      <c r="I615" s="1">
        <v>-4.4643660000000001</v>
      </c>
      <c r="J615" s="1">
        <v>0.56262610000000002</v>
      </c>
      <c r="N615" s="1">
        <v>23.897433107077859</v>
      </c>
      <c r="O615" s="1">
        <v>19.538258774373269</v>
      </c>
      <c r="P615" s="1">
        <v>3983.5844429199988</v>
      </c>
    </row>
    <row r="616" spans="7:16" x14ac:dyDescent="0.2">
      <c r="G616" s="1">
        <v>43546</v>
      </c>
      <c r="H616" s="1">
        <v>3.45486</v>
      </c>
      <c r="I616" s="1">
        <v>-7.4423089000000004</v>
      </c>
      <c r="J616" s="1">
        <v>-3.9874488999999991</v>
      </c>
      <c r="N616" s="1">
        <v>21.988773432144431</v>
      </c>
      <c r="O616" s="1">
        <v>17.934749303621174</v>
      </c>
      <c r="P616" s="1">
        <v>4011.0094132700015</v>
      </c>
    </row>
    <row r="617" spans="7:16" x14ac:dyDescent="0.2">
      <c r="G617" s="1">
        <v>43549</v>
      </c>
      <c r="H617" s="1">
        <v>6.2762464000000007</v>
      </c>
      <c r="I617" s="1">
        <v>-4.4518449000000002</v>
      </c>
      <c r="J617" s="1">
        <v>1.8244015000000013</v>
      </c>
      <c r="N617" s="1">
        <v>21.765462957787328</v>
      </c>
      <c r="O617" s="1">
        <v>17.811038440111428</v>
      </c>
      <c r="P617" s="1">
        <v>3949.1414399199998</v>
      </c>
    </row>
    <row r="618" spans="7:16" x14ac:dyDescent="0.2">
      <c r="G618" s="1">
        <v>43550</v>
      </c>
      <c r="H618" s="1">
        <v>3.0072196000000009</v>
      </c>
      <c r="I618" s="1">
        <v>-5.1729864000000001</v>
      </c>
      <c r="J618" s="1">
        <v>-2.1657667999999997</v>
      </c>
      <c r="N618" s="1">
        <v>22.545306313521177</v>
      </c>
      <c r="O618" s="1">
        <v>18.418611420612805</v>
      </c>
      <c r="P618" s="1">
        <v>3943.9759050200005</v>
      </c>
    </row>
    <row r="619" spans="7:16" x14ac:dyDescent="0.2">
      <c r="G619" s="1">
        <v>43551</v>
      </c>
      <c r="H619" s="1">
        <v>5.1866871000000003</v>
      </c>
      <c r="I619" s="1">
        <v>-2.8895258999999998</v>
      </c>
      <c r="J619" s="1">
        <v>2.2971611999999992</v>
      </c>
      <c r="N619" s="1">
        <v>22.165662070686192</v>
      </c>
      <c r="O619" s="1">
        <v>18.072107242339836</v>
      </c>
      <c r="P619" s="1">
        <v>3966.5974616199992</v>
      </c>
    </row>
    <row r="620" spans="7:16" x14ac:dyDescent="0.2">
      <c r="G620" s="1">
        <v>43552</v>
      </c>
      <c r="H620" s="1">
        <v>3.5235912000000003</v>
      </c>
      <c r="I620" s="1">
        <v>-3.3414029999999997</v>
      </c>
      <c r="J620" s="1">
        <v>0.18218820000000008</v>
      </c>
      <c r="N620" s="1">
        <v>22.323069883512069</v>
      </c>
      <c r="O620" s="1">
        <v>18.128911142061288</v>
      </c>
      <c r="P620" s="1">
        <v>3957.8213299199997</v>
      </c>
    </row>
    <row r="621" spans="7:16" x14ac:dyDescent="0.2">
      <c r="G621" s="1">
        <v>43553</v>
      </c>
      <c r="H621" s="1">
        <v>5.3700669000000003</v>
      </c>
      <c r="I621" s="1">
        <v>-3.9905607000000001</v>
      </c>
      <c r="J621" s="1">
        <v>1.3795062000000002</v>
      </c>
      <c r="N621" s="1">
        <v>23.020330778771068</v>
      </c>
      <c r="O621" s="1">
        <v>18.772983565459604</v>
      </c>
      <c r="P621" s="1">
        <v>3959.7535057199984</v>
      </c>
    </row>
    <row r="622" spans="7:16" x14ac:dyDescent="0.2">
      <c r="G622" s="1">
        <v>43556</v>
      </c>
      <c r="H622" s="1">
        <v>4.3624687999999985</v>
      </c>
      <c r="I622" s="1">
        <v>-4.9462550000000016</v>
      </c>
      <c r="J622" s="1">
        <v>-0.58378620000000014</v>
      </c>
      <c r="N622" s="1">
        <v>24.208977419464532</v>
      </c>
      <c r="O622" s="1">
        <v>19.80342256267409</v>
      </c>
      <c r="P622" s="1">
        <v>3981.6730859199997</v>
      </c>
    </row>
    <row r="623" spans="7:16" x14ac:dyDescent="0.2">
      <c r="G623" s="1">
        <v>43557</v>
      </c>
      <c r="H623" s="1">
        <v>5.3160391999999996</v>
      </c>
      <c r="I623" s="1">
        <v>-3.0348332999999998</v>
      </c>
      <c r="J623" s="1">
        <v>2.2812058999999993</v>
      </c>
      <c r="N623" s="1">
        <v>24.241069575174627</v>
      </c>
      <c r="O623" s="1">
        <v>19.838527019498603</v>
      </c>
      <c r="P623" s="1">
        <v>4015.5551868200005</v>
      </c>
    </row>
    <row r="624" spans="7:16" x14ac:dyDescent="0.2">
      <c r="G624" s="1">
        <v>43558</v>
      </c>
      <c r="H624" s="1">
        <v>7.8616416000000005</v>
      </c>
      <c r="I624" s="1">
        <v>-4.4950845000000008</v>
      </c>
      <c r="J624" s="1">
        <v>3.3665571000000001</v>
      </c>
      <c r="N624" s="1">
        <v>24.697998067157737</v>
      </c>
      <c r="O624" s="1">
        <v>20.344338718662957</v>
      </c>
      <c r="P624" s="1">
        <v>4018.1970995199995</v>
      </c>
    </row>
    <row r="625" spans="7:16" x14ac:dyDescent="0.2">
      <c r="G625" s="1">
        <v>43559</v>
      </c>
      <c r="H625" s="1">
        <v>5.1054598000000002</v>
      </c>
      <c r="I625" s="1">
        <v>-2.5520898999999999</v>
      </c>
      <c r="J625" s="1">
        <v>2.5533698999999999</v>
      </c>
      <c r="N625" s="1">
        <v>24.860544530774046</v>
      </c>
      <c r="O625" s="1">
        <v>20.444235376044574</v>
      </c>
      <c r="P625" s="1">
        <v>4034.861902019999</v>
      </c>
    </row>
    <row r="626" spans="7:16" x14ac:dyDescent="0.2">
      <c r="G626" s="1">
        <v>43560</v>
      </c>
      <c r="H626" s="1">
        <v>5.4619828000000004</v>
      </c>
      <c r="I626" s="1">
        <v>-4.2432944999999993</v>
      </c>
      <c r="J626" s="1">
        <v>1.2186883000000004</v>
      </c>
      <c r="N626" s="1">
        <v>25.391508928172595</v>
      </c>
      <c r="O626" s="1">
        <v>20.867975487465181</v>
      </c>
      <c r="P626" s="1">
        <v>4042.9957324200009</v>
      </c>
    </row>
    <row r="627" spans="7:16" x14ac:dyDescent="0.2">
      <c r="G627" s="1">
        <v>43563</v>
      </c>
      <c r="H627" s="1">
        <v>4.0184548999999992</v>
      </c>
      <c r="I627" s="1">
        <v>-2.5356716999999995</v>
      </c>
      <c r="J627" s="1">
        <v>1.4827832000000001</v>
      </c>
      <c r="N627" s="1">
        <v>25.442033602925427</v>
      </c>
      <c r="O627" s="1">
        <v>20.929597493036216</v>
      </c>
      <c r="P627" s="1">
        <v>4059.037554019998</v>
      </c>
    </row>
    <row r="628" spans="7:16" x14ac:dyDescent="0.2">
      <c r="G628" s="1">
        <v>43564</v>
      </c>
      <c r="H628" s="1">
        <v>5.671153799999999</v>
      </c>
      <c r="I628" s="1">
        <v>-3.8100931999999998</v>
      </c>
      <c r="J628" s="1">
        <v>1.8610606000000005</v>
      </c>
      <c r="N628" s="1">
        <v>24.939832262450917</v>
      </c>
      <c r="O628" s="1">
        <v>20.497839275766019</v>
      </c>
      <c r="P628" s="1">
        <v>4063.3215338200012</v>
      </c>
    </row>
    <row r="629" spans="7:16" x14ac:dyDescent="0.2">
      <c r="G629" s="1">
        <v>43565</v>
      </c>
      <c r="H629" s="1">
        <v>4.5616154</v>
      </c>
      <c r="I629" s="1">
        <v>-4.1067014000000004</v>
      </c>
      <c r="J629" s="1">
        <v>0.45491400000000004</v>
      </c>
      <c r="N629" s="1">
        <v>25.39915059817584</v>
      </c>
      <c r="O629" s="1">
        <v>20.917154317548743</v>
      </c>
      <c r="P629" s="1">
        <v>4049.95062822</v>
      </c>
    </row>
    <row r="630" spans="7:16" x14ac:dyDescent="0.2">
      <c r="G630" s="1">
        <v>43566</v>
      </c>
      <c r="H630" s="1">
        <v>6.4580442999999992</v>
      </c>
      <c r="I630" s="1">
        <v>-3.1371201999999996</v>
      </c>
      <c r="J630" s="1">
        <v>3.3209240999999987</v>
      </c>
      <c r="N630" s="1">
        <v>25.147806476299849</v>
      </c>
      <c r="O630" s="1">
        <v>20.611306963788298</v>
      </c>
      <c r="P630" s="1">
        <v>4064.4791917200014</v>
      </c>
    </row>
    <row r="631" spans="7:16" x14ac:dyDescent="0.2">
      <c r="G631" s="1">
        <v>43567</v>
      </c>
      <c r="H631" s="1">
        <v>5.1542256999999987</v>
      </c>
      <c r="I631" s="1">
        <v>-3.7669943000000004</v>
      </c>
      <c r="J631" s="1">
        <v>1.3872314000000001</v>
      </c>
      <c r="N631" s="1">
        <v>25.732310801202946</v>
      </c>
      <c r="O631" s="1">
        <v>21.121535654596098</v>
      </c>
      <c r="P631" s="1">
        <v>4059.2757430199986</v>
      </c>
    </row>
    <row r="632" spans="7:16" x14ac:dyDescent="0.2">
      <c r="G632" s="1">
        <v>43570</v>
      </c>
      <c r="H632" s="1">
        <v>3.0604058999999997</v>
      </c>
      <c r="I632" s="1">
        <v>-3.5713067999999999</v>
      </c>
      <c r="J632" s="1">
        <v>-0.51090089999999999</v>
      </c>
      <c r="N632" s="1">
        <v>25.740641681706364</v>
      </c>
      <c r="O632" s="1">
        <v>21.062374373259058</v>
      </c>
      <c r="P632" s="1">
        <v>4077.7364449199999</v>
      </c>
    </row>
    <row r="633" spans="7:16" x14ac:dyDescent="0.2">
      <c r="G633" s="1">
        <v>43571</v>
      </c>
      <c r="H633" s="1">
        <v>7.2147112999999976</v>
      </c>
      <c r="I633" s="1">
        <v>-3.2157074000000003</v>
      </c>
      <c r="J633" s="1">
        <v>3.9990038999999982</v>
      </c>
      <c r="N633" s="1">
        <v>25.883866507815721</v>
      </c>
      <c r="O633" s="1">
        <v>21.204335654596097</v>
      </c>
      <c r="P633" s="1">
        <v>4078.1414040200011</v>
      </c>
    </row>
    <row r="634" spans="7:16" x14ac:dyDescent="0.2">
      <c r="G634" s="1">
        <v>43572</v>
      </c>
      <c r="H634" s="1">
        <v>4.2518102000000004</v>
      </c>
      <c r="I634" s="1">
        <v>-6.0625746999999999</v>
      </c>
      <c r="J634" s="1">
        <v>-1.8107645000000008</v>
      </c>
      <c r="N634" s="1">
        <v>25.695734378795255</v>
      </c>
      <c r="O634" s="1">
        <v>21.047252924791085</v>
      </c>
      <c r="P634" s="1">
        <v>4085.3521689199993</v>
      </c>
    </row>
    <row r="635" spans="7:16" x14ac:dyDescent="0.2">
      <c r="G635" s="1">
        <v>43573</v>
      </c>
      <c r="H635" s="1">
        <v>5.5336529000000017</v>
      </c>
      <c r="I635" s="1">
        <v>-7.4473665999999987</v>
      </c>
      <c r="J635" s="1">
        <v>-1.9137136999999995</v>
      </c>
      <c r="N635" s="1">
        <v>25.652771125448695</v>
      </c>
      <c r="O635" s="1">
        <v>20.921013649025067</v>
      </c>
      <c r="P635" s="1">
        <v>4077.780691970002</v>
      </c>
    </row>
    <row r="636" spans="7:16" x14ac:dyDescent="0.2">
      <c r="G636" s="1">
        <v>43574</v>
      </c>
      <c r="H636" s="1">
        <v>1.7236142000000001</v>
      </c>
      <c r="I636" s="1">
        <v>-0.63204039999999995</v>
      </c>
      <c r="J636" s="1">
        <v>1.0915737999999999</v>
      </c>
      <c r="N636" s="1">
        <v>25.684656223310338</v>
      </c>
      <c r="O636" s="1">
        <v>20.946286304549673</v>
      </c>
      <c r="P636" s="1">
        <v>4074.0744120533345</v>
      </c>
    </row>
    <row r="637" spans="7:16" x14ac:dyDescent="0.2">
      <c r="G637" s="1">
        <v>43577</v>
      </c>
      <c r="H637" s="1">
        <v>5.2022713000000005</v>
      </c>
      <c r="I637" s="1">
        <v>-4.2892402000000001</v>
      </c>
      <c r="J637" s="1">
        <v>0.9130311000000001</v>
      </c>
      <c r="N637" s="1">
        <v>25.665366101511612</v>
      </c>
      <c r="O637" s="1">
        <v>20.872762859795735</v>
      </c>
      <c r="P637" s="1">
        <v>4078.2474300866652</v>
      </c>
    </row>
    <row r="638" spans="7:16" x14ac:dyDescent="0.2">
      <c r="G638" s="1">
        <v>43578</v>
      </c>
      <c r="H638" s="1">
        <v>7.2769690000000011</v>
      </c>
      <c r="I638" s="1">
        <v>-6.0213281999999992</v>
      </c>
      <c r="J638" s="1">
        <v>1.2556407999999986</v>
      </c>
      <c r="N638" s="1">
        <v>26.463364121758584</v>
      </c>
      <c r="O638" s="1">
        <v>21.338012256267408</v>
      </c>
      <c r="P638" s="1">
        <v>4080.9845136999988</v>
      </c>
    </row>
    <row r="639" spans="7:16" x14ac:dyDescent="0.2">
      <c r="G639" s="1">
        <v>43579</v>
      </c>
      <c r="H639" s="1">
        <v>5.7829977000000001</v>
      </c>
      <c r="I639" s="1">
        <v>-4.5394480999999995</v>
      </c>
      <c r="J639" s="1">
        <v>1.2435495999999999</v>
      </c>
      <c r="N639" s="1">
        <v>26.128011659002748</v>
      </c>
      <c r="O639" s="1">
        <v>21.034477437325897</v>
      </c>
      <c r="P639" s="1">
        <v>4099.0248880199997</v>
      </c>
    </row>
    <row r="640" spans="7:16" x14ac:dyDescent="0.2">
      <c r="G640" s="1">
        <v>43580</v>
      </c>
      <c r="H640" s="1">
        <v>3.3499213999999999</v>
      </c>
      <c r="I640" s="1">
        <v>-4.9077678999999987</v>
      </c>
      <c r="J640" s="1">
        <v>-1.5578464999999997</v>
      </c>
      <c r="N640" s="1">
        <v>25.976599154100331</v>
      </c>
      <c r="O640" s="1">
        <v>20.727328690807795</v>
      </c>
      <c r="P640" s="1">
        <v>4089.991917320001</v>
      </c>
    </row>
    <row r="641" spans="7:16" x14ac:dyDescent="0.2">
      <c r="G641" s="1">
        <v>43581</v>
      </c>
      <c r="H641" s="1">
        <v>5.4034907999999984</v>
      </c>
      <c r="I641" s="1">
        <v>-4.3976586999999991</v>
      </c>
      <c r="J641" s="1">
        <v>1.0058321000000003</v>
      </c>
      <c r="N641" s="1">
        <v>26.459675453602916</v>
      </c>
      <c r="O641" s="1">
        <v>21.148712256267409</v>
      </c>
      <c r="P641" s="1">
        <v>4082.9679977200008</v>
      </c>
    </row>
    <row r="642" spans="7:16" x14ac:dyDescent="0.2">
      <c r="G642" s="1">
        <v>43584</v>
      </c>
      <c r="H642" s="1">
        <v>4.4034250999999998</v>
      </c>
      <c r="I642" s="1">
        <v>-2.8971779999999998</v>
      </c>
      <c r="J642" s="1">
        <v>1.5062471000000004</v>
      </c>
      <c r="N642" s="1">
        <v>26.606832400131047</v>
      </c>
      <c r="O642" s="1">
        <v>21.280558575407873</v>
      </c>
      <c r="P642" s="1">
        <v>4099.6523484200006</v>
      </c>
    </row>
    <row r="643" spans="7:16" x14ac:dyDescent="0.2">
      <c r="G643" s="1">
        <v>43585</v>
      </c>
      <c r="H643" s="1">
        <v>7.3714107000000011</v>
      </c>
      <c r="I643" s="1">
        <v>-4.6315073999999994</v>
      </c>
      <c r="J643" s="1">
        <v>2.7399033000000004</v>
      </c>
      <c r="N643" s="1">
        <v>26.667553024731202</v>
      </c>
      <c r="O643" s="1">
        <v>21.377746398726622</v>
      </c>
      <c r="P643" s="1">
        <v>4104.0444623628564</v>
      </c>
    </row>
    <row r="644" spans="7:16" x14ac:dyDescent="0.2">
      <c r="G644" s="1">
        <v>43586</v>
      </c>
      <c r="H644" s="1">
        <v>2.3693688000000002</v>
      </c>
      <c r="I644" s="1">
        <v>-4.0459773999999991</v>
      </c>
      <c r="J644" s="1">
        <v>-1.6766086</v>
      </c>
      <c r="N644" s="1">
        <v>26.008311009391281</v>
      </c>
      <c r="O644" s="1">
        <v>20.852322801432553</v>
      </c>
      <c r="P644" s="1">
        <v>4108.4978247057143</v>
      </c>
    </row>
    <row r="645" spans="7:16" x14ac:dyDescent="0.2">
      <c r="G645" s="1">
        <v>43587</v>
      </c>
      <c r="H645" s="1">
        <v>3.1028241000000003</v>
      </c>
      <c r="I645" s="1">
        <v>-8.7515491000000001</v>
      </c>
      <c r="J645" s="1">
        <v>-5.6487250000000007</v>
      </c>
      <c r="N645" s="1">
        <v>25.761952123839091</v>
      </c>
      <c r="O645" s="1">
        <v>20.49174182252289</v>
      </c>
      <c r="P645" s="1">
        <v>4090.5858060185719</v>
      </c>
    </row>
    <row r="646" spans="7:16" x14ac:dyDescent="0.2">
      <c r="G646" s="1">
        <v>43588</v>
      </c>
      <c r="H646" s="1">
        <v>3.2724150000000005</v>
      </c>
      <c r="I646" s="1">
        <v>-3.1590247999999992</v>
      </c>
      <c r="J646" s="1">
        <v>0.11339020000000005</v>
      </c>
      <c r="N646" s="1">
        <v>26.846406331599056</v>
      </c>
      <c r="O646" s="1">
        <v>21.387171010744137</v>
      </c>
      <c r="P646" s="1">
        <v>4070.2317318914284</v>
      </c>
    </row>
    <row r="647" spans="7:16" x14ac:dyDescent="0.2">
      <c r="G647" s="1">
        <v>43591</v>
      </c>
      <c r="H647" s="1">
        <v>2.2123670999999998</v>
      </c>
      <c r="I647" s="1">
        <v>-4.4225401999999994</v>
      </c>
      <c r="J647" s="1">
        <v>-2.2101730999999991</v>
      </c>
      <c r="N647" s="1">
        <v>26.214496562572936</v>
      </c>
      <c r="O647" s="1">
        <v>20.704294627934747</v>
      </c>
      <c r="P647" s="1">
        <v>4102.6950387342858</v>
      </c>
    </row>
    <row r="648" spans="7:16" x14ac:dyDescent="0.2">
      <c r="G648" s="1">
        <v>43592</v>
      </c>
      <c r="H648" s="1">
        <v>4.2898389000000003</v>
      </c>
      <c r="I648" s="1">
        <v>-10.311221499999995</v>
      </c>
      <c r="J648" s="1">
        <v>-6.0213826000000026</v>
      </c>
      <c r="N648" s="1">
        <v>24.546378137852436</v>
      </c>
      <c r="O648" s="1">
        <v>19.403872701949862</v>
      </c>
      <c r="P648" s="1">
        <v>4087.1563421371425</v>
      </c>
    </row>
    <row r="649" spans="7:16" x14ac:dyDescent="0.2">
      <c r="G649" s="1">
        <v>43593</v>
      </c>
      <c r="H649" s="1">
        <v>4.7947921000000013</v>
      </c>
      <c r="I649" s="1">
        <v>-5.8001120999999998</v>
      </c>
      <c r="J649" s="1">
        <v>-1.0053199999999998</v>
      </c>
      <c r="N649" s="1">
        <v>24.244074966478649</v>
      </c>
      <c r="O649" s="1">
        <v>19.164931197771583</v>
      </c>
      <c r="P649" s="1">
        <v>4029.3677641199988</v>
      </c>
    </row>
    <row r="650" spans="7:16" x14ac:dyDescent="0.2">
      <c r="G650" s="1">
        <v>43594</v>
      </c>
      <c r="H650" s="1">
        <v>5.1615849000000003</v>
      </c>
      <c r="I650" s="1">
        <v>-6.7944351000000003</v>
      </c>
      <c r="J650" s="1">
        <v>-1.6328502000000009</v>
      </c>
      <c r="N650" s="1">
        <v>23.636987056966404</v>
      </c>
      <c r="O650" s="1">
        <v>18.466770194986076</v>
      </c>
      <c r="P650" s="1">
        <v>4018.5101123199993</v>
      </c>
    </row>
    <row r="651" spans="7:16" x14ac:dyDescent="0.2">
      <c r="G651" s="1">
        <v>43595</v>
      </c>
      <c r="H651" s="1">
        <v>4.3230636999999996</v>
      </c>
      <c r="I651" s="1">
        <v>-6.3861093000000011</v>
      </c>
      <c r="J651" s="1">
        <v>-2.0630455999999993</v>
      </c>
      <c r="N651" s="1">
        <v>24.13187991789524</v>
      </c>
      <c r="O651" s="1">
        <v>19.000087465181061</v>
      </c>
      <c r="P651" s="1">
        <v>3997.7548539200002</v>
      </c>
    </row>
    <row r="652" spans="7:16" x14ac:dyDescent="0.2">
      <c r="G652" s="1">
        <v>43598</v>
      </c>
      <c r="H652" s="1">
        <v>5.3377007000000001</v>
      </c>
      <c r="I652" s="1">
        <v>-6.2688074000000018</v>
      </c>
      <c r="J652" s="1">
        <v>-0.93110670000000029</v>
      </c>
      <c r="N652" s="1">
        <v>21.777483402212596</v>
      </c>
      <c r="O652" s="1">
        <v>17.230814345403907</v>
      </c>
      <c r="P652" s="1">
        <v>4010.8707145199992</v>
      </c>
    </row>
    <row r="653" spans="7:16" x14ac:dyDescent="0.2">
      <c r="G653" s="1">
        <v>43599</v>
      </c>
      <c r="H653" s="1">
        <v>4.7934275000000008</v>
      </c>
      <c r="I653" s="1">
        <v>-6.8740894999999993</v>
      </c>
      <c r="J653" s="1">
        <v>-2.0806619999999993</v>
      </c>
      <c r="N653" s="1">
        <v>22.578306670585057</v>
      </c>
      <c r="O653" s="1">
        <v>17.927215041782727</v>
      </c>
      <c r="P653" s="1">
        <v>3941.5219428700011</v>
      </c>
    </row>
    <row r="654" spans="7:16" x14ac:dyDescent="0.2">
      <c r="G654" s="1">
        <v>43600</v>
      </c>
      <c r="H654" s="1">
        <v>5.7339803000000007</v>
      </c>
      <c r="I654" s="1">
        <v>-5.9054322999999993</v>
      </c>
      <c r="J654" s="1">
        <v>-0.17145200000000049</v>
      </c>
      <c r="N654" s="1">
        <v>23.163262075465013</v>
      </c>
      <c r="O654" s="1">
        <v>18.376847353760446</v>
      </c>
      <c r="P654" s="1">
        <v>3963.5538329200003</v>
      </c>
    </row>
    <row r="655" spans="7:16" x14ac:dyDescent="0.2">
      <c r="G655" s="1">
        <v>43601</v>
      </c>
      <c r="H655" s="1">
        <v>4.3327749999999998</v>
      </c>
      <c r="I655" s="1">
        <v>-4.2653021999999998</v>
      </c>
      <c r="J655" s="1">
        <v>6.7472800000000124E-2</v>
      </c>
      <c r="N655" s="1">
        <v>23.808240121884488</v>
      </c>
      <c r="O655" s="1">
        <v>18.901810584958216</v>
      </c>
      <c r="P655" s="1">
        <v>3980.4360238199988</v>
      </c>
    </row>
    <row r="656" spans="7:16" x14ac:dyDescent="0.2">
      <c r="G656" s="1">
        <v>43602</v>
      </c>
      <c r="H656" s="1">
        <v>5.9252583999999988</v>
      </c>
      <c r="I656" s="1">
        <v>-3.7201376000000002</v>
      </c>
      <c r="J656" s="1">
        <v>2.2051208000000009</v>
      </c>
      <c r="N656" s="1">
        <v>23.127295749669425</v>
      </c>
      <c r="O656" s="1">
        <v>18.239925348189413</v>
      </c>
      <c r="P656" s="1">
        <v>3997.9082827200014</v>
      </c>
    </row>
    <row r="657" spans="7:16" x14ac:dyDescent="0.2">
      <c r="G657" s="1">
        <v>43605</v>
      </c>
      <c r="H657" s="1">
        <v>4.1207077999999999</v>
      </c>
      <c r="I657" s="1">
        <v>-2.4161426000000001</v>
      </c>
      <c r="J657" s="1">
        <v>1.7045651999999996</v>
      </c>
      <c r="N657" s="1">
        <v>22.470958082452281</v>
      </c>
      <c r="O657" s="1">
        <v>17.723806824512536</v>
      </c>
      <c r="P657" s="1">
        <v>3979.1810195200001</v>
      </c>
    </row>
    <row r="658" spans="7:16" x14ac:dyDescent="0.2">
      <c r="G658" s="1">
        <v>43606</v>
      </c>
      <c r="H658" s="1">
        <v>3.9004817999999997</v>
      </c>
      <c r="I658" s="1">
        <v>-4.9556616</v>
      </c>
      <c r="J658" s="1">
        <v>-1.0551797999999999</v>
      </c>
      <c r="N658" s="1">
        <v>23.252422580441415</v>
      </c>
      <c r="O658" s="1">
        <v>18.376542061281345</v>
      </c>
      <c r="P658" s="1">
        <v>3961.7356938199996</v>
      </c>
    </row>
    <row r="659" spans="7:16" x14ac:dyDescent="0.2">
      <c r="G659" s="1">
        <v>43607</v>
      </c>
      <c r="H659" s="1">
        <v>5.6678225000000007</v>
      </c>
      <c r="I659" s="1">
        <v>-3.3857113999999999</v>
      </c>
      <c r="J659" s="1">
        <v>2.2821111000000007</v>
      </c>
      <c r="N659" s="1">
        <v>22.964801902939268</v>
      </c>
      <c r="O659" s="1">
        <v>18.115109192200553</v>
      </c>
      <c r="P659" s="1">
        <v>3984.06719432</v>
      </c>
    </row>
    <row r="660" spans="7:16" x14ac:dyDescent="0.2">
      <c r="G660" s="1">
        <v>43608</v>
      </c>
      <c r="H660" s="1">
        <v>6.1550169999999991</v>
      </c>
      <c r="I660" s="1">
        <v>-4.8292275</v>
      </c>
      <c r="J660" s="1">
        <v>1.3257894999999995</v>
      </c>
      <c r="N660" s="1">
        <v>21.837670528297583</v>
      </c>
      <c r="O660" s="1">
        <v>17.139481894150425</v>
      </c>
      <c r="P660" s="1">
        <v>3977.24195332</v>
      </c>
    </row>
    <row r="661" spans="7:16" x14ac:dyDescent="0.2">
      <c r="G661" s="1">
        <v>43609</v>
      </c>
      <c r="H661" s="1">
        <v>3.705727</v>
      </c>
      <c r="I661" s="1">
        <v>-3.2618257999999996</v>
      </c>
      <c r="J661" s="1">
        <v>0.44390119999999988</v>
      </c>
      <c r="N661" s="1">
        <v>22.210267958293198</v>
      </c>
      <c r="O661" s="1">
        <v>17.555784679665738</v>
      </c>
      <c r="P661" s="1">
        <v>3944.8170699199991</v>
      </c>
    </row>
    <row r="662" spans="7:16" x14ac:dyDescent="0.2">
      <c r="G662" s="1">
        <v>43612</v>
      </c>
      <c r="H662" s="1">
        <v>0.60621349999999996</v>
      </c>
      <c r="I662" s="1">
        <v>-0.5675207000000001</v>
      </c>
      <c r="J662" s="1">
        <v>3.8692800000000083E-2</v>
      </c>
      <c r="N662" s="1">
        <v>21.895327726203664</v>
      </c>
      <c r="O662" s="1">
        <v>17.371995125348182</v>
      </c>
      <c r="P662" s="1">
        <v>3957.1748217200006</v>
      </c>
    </row>
    <row r="663" spans="7:16" x14ac:dyDescent="0.2">
      <c r="G663" s="1">
        <v>43613</v>
      </c>
      <c r="H663" s="1">
        <v>4.2087019000000003</v>
      </c>
      <c r="I663" s="1">
        <v>-7.1572953999999998</v>
      </c>
      <c r="J663" s="1">
        <v>-2.9485935000000003</v>
      </c>
      <c r="N663" s="1">
        <v>21.554234950424537</v>
      </c>
      <c r="O663" s="1">
        <v>17.042265459610022</v>
      </c>
      <c r="P663" s="1">
        <v>3945.1926208899999</v>
      </c>
    </row>
    <row r="664" spans="7:16" x14ac:dyDescent="0.2">
      <c r="G664" s="1">
        <v>43614</v>
      </c>
      <c r="H664" s="1">
        <v>4.4225030000000007</v>
      </c>
      <c r="I664" s="1">
        <v>-8.4983002999999986</v>
      </c>
      <c r="J664" s="1">
        <v>-4.0757973000000005</v>
      </c>
      <c r="N664" s="1">
        <v>20.860176179450779</v>
      </c>
      <c r="O664" s="1">
        <v>16.423445125348195</v>
      </c>
      <c r="P664" s="1">
        <v>3935.079785819999</v>
      </c>
    </row>
    <row r="665" spans="7:16" x14ac:dyDescent="0.2">
      <c r="G665" s="1">
        <v>43615</v>
      </c>
      <c r="H665" s="1">
        <v>3.4632729999999996</v>
      </c>
      <c r="I665" s="1">
        <v>-4.2051965000000004</v>
      </c>
      <c r="J665" s="1">
        <v>-0.74192349999999962</v>
      </c>
      <c r="N665" s="1">
        <v>21.118686479884747</v>
      </c>
      <c r="O665" s="1">
        <v>16.642907103064061</v>
      </c>
      <c r="P665" s="1">
        <v>3910.0007477199988</v>
      </c>
    </row>
    <row r="666" spans="7:16" x14ac:dyDescent="0.2">
      <c r="G666" s="1">
        <v>43616</v>
      </c>
      <c r="H666" s="1">
        <v>3.4160795999999993</v>
      </c>
      <c r="I666" s="1">
        <v>-4.9271148</v>
      </c>
      <c r="J666" s="1">
        <v>-1.5110352000000007</v>
      </c>
      <c r="N666" s="1">
        <v>20.213991023893286</v>
      </c>
      <c r="O666" s="1">
        <v>16.000432869080772</v>
      </c>
      <c r="P666" s="1">
        <v>3925.4207292499996</v>
      </c>
    </row>
    <row r="667" spans="7:16" x14ac:dyDescent="0.2">
      <c r="G667" s="1">
        <v>43619</v>
      </c>
      <c r="H667" s="1">
        <v>7.2816182000000005</v>
      </c>
      <c r="I667" s="1">
        <v>-5.6898564</v>
      </c>
      <c r="J667" s="1">
        <v>1.5917618000000002</v>
      </c>
      <c r="N667" s="1">
        <v>20.224985636494594</v>
      </c>
      <c r="O667" s="1">
        <v>16.367723676880228</v>
      </c>
      <c r="P667" s="1">
        <v>3889.1195628199998</v>
      </c>
    </row>
    <row r="668" spans="7:16" x14ac:dyDescent="0.2">
      <c r="G668" s="1">
        <v>43620</v>
      </c>
      <c r="H668" s="1">
        <v>8.5329567999999991</v>
      </c>
      <c r="I668" s="1">
        <v>-4.5895220999999999</v>
      </c>
      <c r="J668" s="1">
        <v>3.943434700000001</v>
      </c>
      <c r="N668" s="1">
        <v>21.866440129797464</v>
      </c>
      <c r="O668" s="1">
        <v>17.591183286908084</v>
      </c>
      <c r="P668" s="1">
        <v>3894.2439289200006</v>
      </c>
    </row>
    <row r="669" spans="7:16" x14ac:dyDescent="0.2">
      <c r="G669" s="1">
        <v>43621</v>
      </c>
      <c r="H669" s="1">
        <v>8.2240971000000016</v>
      </c>
      <c r="I669" s="1">
        <v>-3.6648676</v>
      </c>
      <c r="J669" s="1">
        <v>4.5592294999999998</v>
      </c>
      <c r="N669" s="1">
        <v>22.558548919656108</v>
      </c>
      <c r="O669" s="1">
        <v>18.009565738161552</v>
      </c>
      <c r="P669" s="1">
        <v>3946.6508605199997</v>
      </c>
    </row>
    <row r="670" spans="7:16" x14ac:dyDescent="0.2">
      <c r="G670" s="1">
        <v>43622</v>
      </c>
      <c r="H670" s="1">
        <v>9.7340730999999998</v>
      </c>
      <c r="I670" s="1">
        <v>-5.2960706999999996</v>
      </c>
      <c r="J670" s="1">
        <v>4.4380024000000002</v>
      </c>
      <c r="N670" s="1">
        <v>23.057704598988838</v>
      </c>
      <c r="O670" s="1">
        <v>18.413497585886738</v>
      </c>
      <c r="P670" s="1">
        <v>3971.9178979199978</v>
      </c>
    </row>
    <row r="671" spans="7:16" x14ac:dyDescent="0.2">
      <c r="G671" s="1">
        <v>43623</v>
      </c>
      <c r="H671" s="1">
        <v>7.8711007999999998</v>
      </c>
      <c r="I671" s="1">
        <v>-3.2995718999999997</v>
      </c>
      <c r="J671" s="1">
        <v>4.5715289000000006</v>
      </c>
      <c r="N671" s="1">
        <v>24.112344223773608</v>
      </c>
      <c r="O671" s="1">
        <v>19.294447818013005</v>
      </c>
      <c r="P671" s="1">
        <v>3990.4157208033316</v>
      </c>
    </row>
    <row r="672" spans="7:16" x14ac:dyDescent="0.2">
      <c r="G672" s="1">
        <v>43626</v>
      </c>
      <c r="H672" s="1">
        <v>7.4043778000000007</v>
      </c>
      <c r="I672" s="1">
        <v>-2.5710970999999998</v>
      </c>
      <c r="J672" s="1">
        <v>4.8332807000000004</v>
      </c>
      <c r="N672" s="1">
        <v>24.627523663821925</v>
      </c>
      <c r="O672" s="1">
        <v>19.62364456824513</v>
      </c>
      <c r="P672" s="1">
        <v>4026.1558402366682</v>
      </c>
    </row>
    <row r="673" spans="7:16" x14ac:dyDescent="0.2">
      <c r="G673" s="1">
        <v>43627</v>
      </c>
      <c r="H673" s="1">
        <v>3.8112439</v>
      </c>
      <c r="I673" s="1">
        <v>-5.0159806999999992</v>
      </c>
      <c r="J673" s="1">
        <v>-1.2047367999999994</v>
      </c>
      <c r="N673" s="1">
        <v>24.796775997830924</v>
      </c>
      <c r="O673" s="1">
        <v>19.907138440111432</v>
      </c>
      <c r="P673" s="1">
        <v>4053.1691999600016</v>
      </c>
    </row>
    <row r="674" spans="7:16" x14ac:dyDescent="0.2">
      <c r="G674" s="1">
        <v>43628</v>
      </c>
      <c r="H674" s="1">
        <v>5.5249712000000004</v>
      </c>
      <c r="I674" s="1">
        <v>-2.6160238000000007</v>
      </c>
      <c r="J674" s="1">
        <v>2.9089474000000002</v>
      </c>
      <c r="N674" s="1">
        <v>24.44985647018088</v>
      </c>
      <c r="O674" s="1">
        <v>19.51829693593314</v>
      </c>
      <c r="P674" s="1">
        <v>4051.034103219999</v>
      </c>
    </row>
    <row r="675" spans="7:16" x14ac:dyDescent="0.2">
      <c r="G675" s="1">
        <v>43629</v>
      </c>
      <c r="H675" s="1">
        <v>4.8904604000000003</v>
      </c>
      <c r="I675" s="1">
        <v>-1.8160066000000001</v>
      </c>
      <c r="J675" s="1">
        <v>3.0744538000000006</v>
      </c>
      <c r="N675" s="1">
        <v>24.785929194820337</v>
      </c>
      <c r="O675" s="1">
        <v>19.797232869080776</v>
      </c>
      <c r="P675" s="1">
        <v>4042.93451452</v>
      </c>
    </row>
    <row r="676" spans="7:16" x14ac:dyDescent="0.2">
      <c r="G676" s="1">
        <v>43630</v>
      </c>
      <c r="H676" s="1">
        <v>5.7457810000000009</v>
      </c>
      <c r="I676" s="1">
        <v>-3.4614251</v>
      </c>
      <c r="J676" s="1">
        <v>2.2843558999999996</v>
      </c>
      <c r="N676" s="1">
        <v>24.452220595819501</v>
      </c>
      <c r="O676" s="1">
        <v>19.399957938718661</v>
      </c>
      <c r="P676" s="1">
        <v>4055.6260579200002</v>
      </c>
    </row>
    <row r="677" spans="7:16" x14ac:dyDescent="0.2">
      <c r="G677" s="1">
        <v>43633</v>
      </c>
      <c r="H677" s="1">
        <v>6.3518028999999991</v>
      </c>
      <c r="I677" s="1">
        <v>-3.1232134999999999</v>
      </c>
      <c r="J677" s="1">
        <v>3.2285893999999997</v>
      </c>
      <c r="N677" s="1">
        <v>24.554262857577989</v>
      </c>
      <c r="O677" s="1">
        <v>19.493535376044562</v>
      </c>
      <c r="P677" s="1">
        <v>4046.7530807200014</v>
      </c>
    </row>
    <row r="678" spans="7:16" x14ac:dyDescent="0.2">
      <c r="G678" s="1">
        <v>43634</v>
      </c>
      <c r="H678" s="1">
        <v>12.903857799999999</v>
      </c>
      <c r="I678" s="1">
        <v>-1.6806434000000001</v>
      </c>
      <c r="J678" s="1">
        <v>11.223214400000002</v>
      </c>
      <c r="N678" s="1">
        <v>25.699715518404503</v>
      </c>
      <c r="O678" s="1">
        <v>20.564266852367691</v>
      </c>
      <c r="P678" s="1">
        <v>4040.5649558200012</v>
      </c>
    </row>
    <row r="679" spans="7:16" x14ac:dyDescent="0.2">
      <c r="G679" s="1">
        <v>43635</v>
      </c>
      <c r="H679" s="1">
        <v>10.4503773</v>
      </c>
      <c r="I679" s="1">
        <v>-5.5311469999999998</v>
      </c>
      <c r="J679" s="1">
        <v>4.9192302999999979</v>
      </c>
      <c r="N679" s="1">
        <v>26.284123900543012</v>
      </c>
      <c r="O679" s="1">
        <v>21.073211142061279</v>
      </c>
      <c r="P679" s="1">
        <v>4087.1514423200015</v>
      </c>
    </row>
    <row r="680" spans="7:16" x14ac:dyDescent="0.2">
      <c r="G680" s="1">
        <v>43636</v>
      </c>
      <c r="H680" s="1">
        <v>9.2425964999999994</v>
      </c>
      <c r="I680" s="1">
        <v>-8.2173925000000008</v>
      </c>
      <c r="J680" s="1">
        <v>1.025203999999998</v>
      </c>
      <c r="N680" s="1">
        <v>27.503477152694032</v>
      </c>
      <c r="O680" s="1">
        <v>22.381973537604459</v>
      </c>
      <c r="P680" s="1">
        <v>4111.4622586199985</v>
      </c>
    </row>
    <row r="681" spans="7:16" x14ac:dyDescent="0.2">
      <c r="G681" s="1">
        <v>43637</v>
      </c>
      <c r="H681" s="1">
        <v>9.7776607999999978</v>
      </c>
      <c r="I681" s="1">
        <v>-9.2585118999999985</v>
      </c>
      <c r="J681" s="1">
        <v>0.51914890000000025</v>
      </c>
      <c r="N681" s="1">
        <v>27.139304203337414</v>
      </c>
      <c r="O681" s="1">
        <v>22.10928245125347</v>
      </c>
      <c r="P681" s="1">
        <v>4150.992659620003</v>
      </c>
    </row>
    <row r="682" spans="7:16" x14ac:dyDescent="0.2">
      <c r="G682" s="1">
        <v>43640</v>
      </c>
      <c r="H682" s="1">
        <v>8.4997840999999994</v>
      </c>
      <c r="I682" s="1">
        <v>-4.3236593000000001</v>
      </c>
      <c r="J682" s="1">
        <v>4.1761247999999984</v>
      </c>
      <c r="N682" s="1">
        <v>27.059815067715995</v>
      </c>
      <c r="O682" s="1">
        <v>22.112282451253478</v>
      </c>
      <c r="P682" s="1">
        <v>4135.7450379199981</v>
      </c>
    </row>
    <row r="683" spans="7:16" x14ac:dyDescent="0.2">
      <c r="G683" s="1">
        <v>43641</v>
      </c>
      <c r="H683" s="1">
        <v>6.3076032999999994</v>
      </c>
      <c r="I683" s="1">
        <v>-4.7094931999999989</v>
      </c>
      <c r="J683" s="1">
        <v>1.5981101000000002</v>
      </c>
      <c r="N683" s="1">
        <v>26.147582119285676</v>
      </c>
      <c r="O683" s="1">
        <v>21.404343454039005</v>
      </c>
      <c r="P683" s="1">
        <v>4139.3448740199983</v>
      </c>
    </row>
    <row r="684" spans="7:16" x14ac:dyDescent="0.2">
      <c r="G684" s="1">
        <v>43642</v>
      </c>
      <c r="H684" s="1">
        <v>17.461313199999999</v>
      </c>
      <c r="I684" s="1">
        <v>-14.7878303</v>
      </c>
      <c r="J684" s="1">
        <v>2.6734829000000029</v>
      </c>
      <c r="N684" s="1">
        <v>25.965372138798649</v>
      </c>
      <c r="O684" s="1">
        <v>21.314824791086362</v>
      </c>
      <c r="P684" s="1">
        <v>4113.9900649200008</v>
      </c>
    </row>
    <row r="685" spans="7:16" x14ac:dyDescent="0.2">
      <c r="G685" s="1">
        <v>43643</v>
      </c>
      <c r="H685" s="1">
        <v>5.2604382000000003</v>
      </c>
      <c r="I685" s="1">
        <v>-4.1870373999999995</v>
      </c>
      <c r="J685" s="1">
        <v>1.0734007999999995</v>
      </c>
      <c r="N685" s="1">
        <v>26.582003076582069</v>
      </c>
      <c r="O685" s="1">
        <v>21.773903621169925</v>
      </c>
      <c r="P685" s="1">
        <v>4110.3456423200014</v>
      </c>
    </row>
    <row r="686" spans="7:16" x14ac:dyDescent="0.2">
      <c r="G686" s="1">
        <v>43644</v>
      </c>
      <c r="H686" s="1">
        <v>3.3434032999999985</v>
      </c>
      <c r="I686" s="1">
        <v>-20.326297499999999</v>
      </c>
      <c r="J686" s="1">
        <v>-16.982894199999993</v>
      </c>
      <c r="N686" s="1">
        <v>27.054847168712655</v>
      </c>
      <c r="O686" s="1">
        <v>22.231555710306406</v>
      </c>
      <c r="P686" s="1">
        <v>4129.4881352199982</v>
      </c>
    </row>
    <row r="687" spans="7:16" x14ac:dyDescent="0.2">
      <c r="G687" s="1">
        <v>43647</v>
      </c>
      <c r="H687" s="1">
        <v>6.1674301000000007</v>
      </c>
      <c r="I687" s="1">
        <v>-4.1858746</v>
      </c>
      <c r="J687" s="1">
        <v>1.9815555000000002</v>
      </c>
      <c r="N687" s="1">
        <v>27.937490908114626</v>
      </c>
      <c r="O687" s="1">
        <v>22.827714763231203</v>
      </c>
      <c r="P687" s="1">
        <v>4128.3057165199998</v>
      </c>
    </row>
    <row r="688" spans="7:16" x14ac:dyDescent="0.2">
      <c r="G688" s="1">
        <v>43648</v>
      </c>
      <c r="H688" s="1">
        <v>5.3643516000000009</v>
      </c>
      <c r="I688" s="1">
        <v>-4.5366749000000004</v>
      </c>
      <c r="J688" s="1">
        <v>0.82767670000000004</v>
      </c>
      <c r="N688" s="1">
        <v>28.308600426931147</v>
      </c>
      <c r="O688" s="1">
        <v>23.124858774373266</v>
      </c>
      <c r="P688" s="1">
        <v>4154.9194794199993</v>
      </c>
    </row>
    <row r="689" spans="7:16" x14ac:dyDescent="0.2">
      <c r="G689" s="1">
        <v>43649</v>
      </c>
      <c r="H689" s="1">
        <v>4.1293042999999994</v>
      </c>
      <c r="I689" s="1">
        <v>-3.6820254999999995</v>
      </c>
      <c r="J689" s="1">
        <v>0.44727879999999975</v>
      </c>
      <c r="N689" s="1">
        <v>28.981485467179347</v>
      </c>
      <c r="O689" s="1">
        <v>23.682309749303627</v>
      </c>
      <c r="P689" s="1">
        <v>4166.4436054199987</v>
      </c>
    </row>
    <row r="690" spans="7:16" x14ac:dyDescent="0.2">
      <c r="G690" s="1">
        <v>43650</v>
      </c>
      <c r="H690" s="1">
        <v>1.3747030000000002</v>
      </c>
      <c r="I690" s="1">
        <v>-1.1115740000000001</v>
      </c>
      <c r="J690" s="1">
        <v>0.26312899999999995</v>
      </c>
      <c r="N690" s="1">
        <v>28.930291336250747</v>
      </c>
      <c r="O690" s="1">
        <v>23.663433983286897</v>
      </c>
      <c r="P690" s="1">
        <v>4186.59109782</v>
      </c>
    </row>
    <row r="691" spans="7:16" x14ac:dyDescent="0.2">
      <c r="G691" s="1">
        <v>43651</v>
      </c>
      <c r="H691" s="1">
        <v>5.3960025999999992</v>
      </c>
      <c r="I691" s="1">
        <v>-2.6616480000000005</v>
      </c>
      <c r="J691" s="1">
        <v>2.7343545999999992</v>
      </c>
      <c r="N691" s="1">
        <v>28.63808597542419</v>
      </c>
      <c r="O691" s="1">
        <v>23.238186072423396</v>
      </c>
      <c r="P691" s="1">
        <v>4182.2935067199987</v>
      </c>
    </row>
    <row r="692" spans="7:16" x14ac:dyDescent="0.2">
      <c r="G692" s="1">
        <v>43654</v>
      </c>
      <c r="H692" s="1">
        <v>5.6484698000000026</v>
      </c>
      <c r="I692" s="1">
        <v>-3.0918510000000006</v>
      </c>
      <c r="J692" s="1">
        <v>2.5566188000000007</v>
      </c>
      <c r="N692" s="1">
        <v>27.999921679656428</v>
      </c>
      <c r="O692" s="1">
        <v>22.702943175487452</v>
      </c>
      <c r="P692" s="1">
        <v>4175.4971262200015</v>
      </c>
    </row>
    <row r="693" spans="7:16" x14ac:dyDescent="0.2">
      <c r="G693" s="1">
        <v>43655</v>
      </c>
      <c r="H693" s="1">
        <v>3.6181088000000003</v>
      </c>
      <c r="I693" s="1">
        <v>-2.7620645999999995</v>
      </c>
      <c r="J693" s="1">
        <v>0.85604419999999992</v>
      </c>
      <c r="N693" s="1">
        <v>27.991800915342139</v>
      </c>
      <c r="O693" s="1">
        <v>22.584783565459613</v>
      </c>
      <c r="P693" s="1">
        <v>4154.9966623200025</v>
      </c>
    </row>
    <row r="694" spans="7:16" x14ac:dyDescent="0.2">
      <c r="G694" s="1">
        <v>43656</v>
      </c>
      <c r="H694" s="1">
        <v>5.8852004000000004</v>
      </c>
      <c r="I694" s="1">
        <v>-2.1553271000000005</v>
      </c>
      <c r="J694" s="1">
        <v>3.7298732999999995</v>
      </c>
      <c r="N694" s="1">
        <v>28.521122529292327</v>
      </c>
      <c r="O694" s="1">
        <v>23.059639554317556</v>
      </c>
      <c r="P694" s="1">
        <v>4154.2394240200019</v>
      </c>
    </row>
    <row r="695" spans="7:16" x14ac:dyDescent="0.2">
      <c r="G695" s="1">
        <v>43657</v>
      </c>
      <c r="H695" s="1">
        <v>6.9307593000000001</v>
      </c>
      <c r="I695" s="1">
        <v>-2.8371184</v>
      </c>
      <c r="J695" s="1">
        <v>4.0936409000000014</v>
      </c>
      <c r="N695" s="1">
        <v>28.582836742077344</v>
      </c>
      <c r="O695" s="1">
        <v>23.023326462395541</v>
      </c>
      <c r="P695" s="1">
        <v>4173.5686143200019</v>
      </c>
    </row>
    <row r="696" spans="7:16" x14ac:dyDescent="0.2">
      <c r="G696" s="1">
        <v>43658</v>
      </c>
      <c r="H696" s="1">
        <v>3.9278443000000012</v>
      </c>
      <c r="I696" s="1">
        <v>-2.2439703</v>
      </c>
      <c r="J696" s="1">
        <v>1.6838740000000005</v>
      </c>
      <c r="N696" s="1">
        <v>29.075366851457598</v>
      </c>
      <c r="O696" s="1">
        <v>23.389735654596095</v>
      </c>
      <c r="P696" s="1">
        <v>4177.3991575199989</v>
      </c>
    </row>
    <row r="697" spans="7:16" x14ac:dyDescent="0.2">
      <c r="G697" s="1">
        <v>43661</v>
      </c>
      <c r="H697" s="1">
        <v>4.9649622999999989</v>
      </c>
      <c r="I697" s="1">
        <v>-2.7867990000000002</v>
      </c>
      <c r="J697" s="1">
        <v>2.1781633000000005</v>
      </c>
      <c r="N697" s="1">
        <v>29.095588887571591</v>
      </c>
      <c r="O697" s="1">
        <v>23.427760306406665</v>
      </c>
      <c r="P697" s="1">
        <v>4194.2524654199988</v>
      </c>
    </row>
    <row r="698" spans="7:16" x14ac:dyDescent="0.2">
      <c r="G698" s="1">
        <v>43662</v>
      </c>
      <c r="H698" s="1">
        <v>4.3935164999999996</v>
      </c>
      <c r="I698" s="1">
        <v>-2.0885409999999998</v>
      </c>
      <c r="J698" s="1">
        <v>2.3049755000000012</v>
      </c>
      <c r="N698" s="1">
        <v>28.745622709833551</v>
      </c>
      <c r="O698" s="1">
        <v>23.143383286908076</v>
      </c>
      <c r="P698" s="1">
        <v>4196.4930756699996</v>
      </c>
    </row>
    <row r="699" spans="7:16" x14ac:dyDescent="0.2">
      <c r="G699" s="1">
        <v>43663</v>
      </c>
      <c r="H699" s="1">
        <v>3.8137081999999998</v>
      </c>
      <c r="I699" s="1">
        <v>-1.9988897999999997</v>
      </c>
      <c r="J699" s="1">
        <v>1.8148184000000001</v>
      </c>
      <c r="N699" s="1">
        <v>28.312268127274496</v>
      </c>
      <c r="O699" s="1">
        <v>22.89627660167131</v>
      </c>
      <c r="P699" s="1">
        <v>4187.6476792200001</v>
      </c>
    </row>
    <row r="700" spans="7:16" x14ac:dyDescent="0.2">
      <c r="G700" s="1">
        <v>43664</v>
      </c>
      <c r="H700" s="1">
        <v>4.2633210000000004</v>
      </c>
      <c r="I700" s="1">
        <v>-4.5833415999999989</v>
      </c>
      <c r="J700" s="1">
        <v>-0.3200206000000001</v>
      </c>
      <c r="N700" s="1">
        <v>28.50427165648183</v>
      </c>
      <c r="O700" s="1">
        <v>23.004777437325902</v>
      </c>
      <c r="P700" s="1">
        <v>4177.4767519200013</v>
      </c>
    </row>
    <row r="701" spans="7:16" x14ac:dyDescent="0.2">
      <c r="G701" s="1">
        <v>43665</v>
      </c>
      <c r="H701" s="1">
        <v>3.7615251000000005</v>
      </c>
      <c r="I701" s="1">
        <v>-6.0264081000000003</v>
      </c>
      <c r="J701" s="1">
        <v>-2.2648829999999998</v>
      </c>
      <c r="N701" s="1">
        <v>28.202269911452493</v>
      </c>
      <c r="O701" s="1">
        <v>22.929157103064068</v>
      </c>
      <c r="P701" s="1">
        <v>4181.9900769199994</v>
      </c>
    </row>
    <row r="702" spans="7:16" x14ac:dyDescent="0.2">
      <c r="G702" s="1">
        <v>43668</v>
      </c>
      <c r="H702" s="1">
        <v>3.4096282000000002</v>
      </c>
      <c r="I702" s="1">
        <v>-4.0712390999999997</v>
      </c>
      <c r="J702" s="1">
        <v>-0.66161090000000111</v>
      </c>
      <c r="N702" s="1">
        <v>28.280963609212804</v>
      </c>
      <c r="O702" s="1">
        <v>22.894830919220045</v>
      </c>
      <c r="P702" s="1">
        <v>4172.9981240200023</v>
      </c>
    </row>
    <row r="703" spans="7:16" x14ac:dyDescent="0.2">
      <c r="G703" s="1">
        <v>43669</v>
      </c>
      <c r="H703" s="1">
        <v>4.1002134000000003</v>
      </c>
      <c r="I703" s="1">
        <v>-2.4010770999999997</v>
      </c>
      <c r="J703" s="1">
        <v>1.6991362999999997</v>
      </c>
      <c r="N703" s="1">
        <v>28.916405698682915</v>
      </c>
      <c r="O703" s="1">
        <v>23.35551810584959</v>
      </c>
      <c r="P703" s="1">
        <v>4173.6564535199996</v>
      </c>
    </row>
    <row r="704" spans="7:16" x14ac:dyDescent="0.2">
      <c r="G704" s="1">
        <v>43670</v>
      </c>
      <c r="H704" s="1">
        <v>6.2573160000000012</v>
      </c>
      <c r="I704" s="1">
        <v>-2.2778335000000003</v>
      </c>
      <c r="J704" s="1">
        <v>3.9794825000000014</v>
      </c>
      <c r="N704" s="1">
        <v>29.487925674150272</v>
      </c>
      <c r="O704" s="1">
        <v>23.811380779944283</v>
      </c>
      <c r="P704" s="1">
        <v>4194.9917737200003</v>
      </c>
    </row>
    <row r="705" spans="7:16" x14ac:dyDescent="0.2">
      <c r="G705" s="1">
        <v>43671</v>
      </c>
      <c r="H705" s="1">
        <v>4.696224299999999</v>
      </c>
      <c r="I705" s="1">
        <v>-2.7979397999999995</v>
      </c>
      <c r="J705" s="1">
        <v>1.8982845000000004</v>
      </c>
      <c r="N705" s="1">
        <v>28.801704371812022</v>
      </c>
      <c r="O705" s="1">
        <v>23.16571922005572</v>
      </c>
      <c r="P705" s="1">
        <v>4216.3384375200012</v>
      </c>
    </row>
    <row r="706" spans="7:16" x14ac:dyDescent="0.2">
      <c r="G706" s="1">
        <v>43672</v>
      </c>
      <c r="H706" s="1">
        <v>5.4522393999999998</v>
      </c>
      <c r="I706" s="1">
        <v>-2.5610919999999999</v>
      </c>
      <c r="J706" s="1">
        <v>2.8911473999999995</v>
      </c>
      <c r="N706" s="1">
        <v>29.353991366217123</v>
      </c>
      <c r="O706" s="1">
        <v>23.508636490250694</v>
      </c>
      <c r="P706" s="1">
        <v>4196.2888602200019</v>
      </c>
    </row>
    <row r="707" spans="7:16" x14ac:dyDescent="0.2">
      <c r="G707" s="1">
        <v>43675</v>
      </c>
      <c r="H707" s="1">
        <v>7.7570592000000005</v>
      </c>
      <c r="I707" s="1">
        <v>-2.5528762999999999</v>
      </c>
      <c r="J707" s="1">
        <v>5.2041829000000002</v>
      </c>
      <c r="N707" s="1">
        <v>29.165289739369392</v>
      </c>
      <c r="O707" s="1">
        <v>23.374910027855151</v>
      </c>
      <c r="P707" s="1">
        <v>4215.2995282200036</v>
      </c>
    </row>
    <row r="708" spans="7:16" x14ac:dyDescent="0.2">
      <c r="G708" s="1">
        <v>43676</v>
      </c>
      <c r="H708" s="1">
        <v>3.7944527000000003</v>
      </c>
      <c r="I708" s="1">
        <v>-4.1410716999999986</v>
      </c>
      <c r="J708" s="1">
        <v>-0.34661900000000012</v>
      </c>
      <c r="N708" s="1">
        <v>28.964529669162818</v>
      </c>
      <c r="O708" s="1">
        <v>23.158483286908083</v>
      </c>
      <c r="P708" s="1">
        <v>4214.1214463200022</v>
      </c>
    </row>
    <row r="709" spans="7:16" x14ac:dyDescent="0.2">
      <c r="G709" s="1">
        <v>43677</v>
      </c>
      <c r="H709" s="1">
        <v>3.6516873000000007</v>
      </c>
      <c r="I709" s="1">
        <v>-9.1753993000000005</v>
      </c>
      <c r="J709" s="1">
        <v>-5.5237119999999988</v>
      </c>
      <c r="N709" s="1">
        <v>27.908886216963332</v>
      </c>
      <c r="O709" s="1">
        <v>22.397638161559886</v>
      </c>
      <c r="P709" s="1">
        <v>4208.4702338199977</v>
      </c>
    </row>
    <row r="710" spans="7:16" x14ac:dyDescent="0.2">
      <c r="G710" s="1">
        <v>43678</v>
      </c>
      <c r="H710" s="1">
        <v>3.7140859000000006</v>
      </c>
      <c r="I710" s="1">
        <v>-6.6369959999999999</v>
      </c>
      <c r="J710" s="1">
        <v>-2.9229101000000006</v>
      </c>
      <c r="N710" s="1">
        <v>27.220532493032628</v>
      </c>
      <c r="O710" s="1">
        <v>21.723475208913651</v>
      </c>
      <c r="P710" s="1">
        <v>4171.4741586199998</v>
      </c>
    </row>
    <row r="711" spans="7:16" x14ac:dyDescent="0.2">
      <c r="G711" s="1">
        <v>43679</v>
      </c>
      <c r="H711" s="1">
        <v>9.8531386999999988</v>
      </c>
      <c r="I711" s="1">
        <v>-10.933368000000002</v>
      </c>
      <c r="J711" s="1">
        <v>-1.0802293000000016</v>
      </c>
      <c r="N711" s="1">
        <v>26.206169349779813</v>
      </c>
      <c r="O711" s="1">
        <v>20.750095821727019</v>
      </c>
      <c r="P711" s="1">
        <v>4154.1105834399996</v>
      </c>
    </row>
    <row r="712" spans="7:16" x14ac:dyDescent="0.2">
      <c r="G712" s="1">
        <v>43682</v>
      </c>
      <c r="H712" s="1">
        <v>3.7725873999999999</v>
      </c>
      <c r="I712" s="1">
        <v>-17.232859199999996</v>
      </c>
      <c r="J712" s="1">
        <v>-13.460271799999996</v>
      </c>
      <c r="N712" s="1">
        <v>23.414509388594208</v>
      </c>
      <c r="O712" s="1">
        <v>18.546910445682443</v>
      </c>
      <c r="P712" s="1">
        <v>4113.2369867200005</v>
      </c>
    </row>
    <row r="713" spans="7:16" x14ac:dyDescent="0.2">
      <c r="G713" s="1">
        <v>43683</v>
      </c>
      <c r="H713" s="1">
        <v>7.0825158999999998</v>
      </c>
      <c r="I713" s="1">
        <v>-8.1597089999999994</v>
      </c>
      <c r="J713" s="1">
        <v>-1.0771930999999999</v>
      </c>
      <c r="N713" s="1">
        <v>24.386020034745702</v>
      </c>
      <c r="O713" s="1">
        <v>19.104089693593313</v>
      </c>
      <c r="P713" s="1">
        <v>4016.7104087700031</v>
      </c>
    </row>
    <row r="714" spans="7:16" x14ac:dyDescent="0.2">
      <c r="G714" s="1">
        <v>43684</v>
      </c>
      <c r="H714" s="1">
        <v>8.6003577999999994</v>
      </c>
      <c r="I714" s="1">
        <v>-8.0875980999999975</v>
      </c>
      <c r="J714" s="1">
        <v>0.51275969999999937</v>
      </c>
      <c r="N714" s="1">
        <v>24.737781662630841</v>
      </c>
      <c r="O714" s="1">
        <v>19.439835654596102</v>
      </c>
      <c r="P714" s="1">
        <v>4043.6751108199987</v>
      </c>
    </row>
    <row r="715" spans="7:16" x14ac:dyDescent="0.2">
      <c r="G715" s="1">
        <v>43685</v>
      </c>
      <c r="H715" s="1">
        <v>7.9406306000000004</v>
      </c>
      <c r="I715" s="1">
        <v>-6.0559402999999987</v>
      </c>
      <c r="J715" s="1">
        <v>1.8846903000000006</v>
      </c>
      <c r="N715" s="1">
        <v>26.472634843042901</v>
      </c>
      <c r="O715" s="1">
        <v>20.852508356545965</v>
      </c>
      <c r="P715" s="1">
        <v>4054.58590542</v>
      </c>
    </row>
    <row r="716" spans="7:16" x14ac:dyDescent="0.2">
      <c r="G716" s="1">
        <v>43686</v>
      </c>
      <c r="H716" s="1">
        <v>5.1447013999999998</v>
      </c>
      <c r="I716" s="1">
        <v>-2.8702118000000003</v>
      </c>
      <c r="J716" s="1">
        <v>2.2744895999999994</v>
      </c>
      <c r="N716" s="1">
        <v>25.807597556035976</v>
      </c>
      <c r="O716" s="1">
        <v>20.251945821727027</v>
      </c>
      <c r="P716" s="1">
        <v>4107.1004124200017</v>
      </c>
    </row>
    <row r="717" spans="7:16" x14ac:dyDescent="0.2">
      <c r="G717" s="1">
        <v>43689</v>
      </c>
      <c r="H717" s="1">
        <v>4.5283246999999998</v>
      </c>
      <c r="I717" s="1">
        <v>-3.9226795999999986</v>
      </c>
      <c r="J717" s="1">
        <v>0.60564509999999916</v>
      </c>
      <c r="N717" s="1">
        <v>24.733101930147935</v>
      </c>
      <c r="O717" s="1">
        <v>19.449489554317559</v>
      </c>
      <c r="P717" s="1">
        <v>4089.6243085700012</v>
      </c>
    </row>
    <row r="718" spans="7:16" x14ac:dyDescent="0.2">
      <c r="G718" s="1">
        <v>43690</v>
      </c>
      <c r="H718" s="1">
        <v>8.9190528000000011</v>
      </c>
      <c r="I718" s="1">
        <v>-2.5462258999999996</v>
      </c>
      <c r="J718" s="1">
        <v>6.3728268999999997</v>
      </c>
      <c r="N718" s="1">
        <v>25.834257812552394</v>
      </c>
      <c r="O718" s="1">
        <v>20.189771030640667</v>
      </c>
      <c r="P718" s="1">
        <v>4057.6032433200007</v>
      </c>
    </row>
    <row r="719" spans="7:16" x14ac:dyDescent="0.2">
      <c r="G719" s="1">
        <v>43691</v>
      </c>
      <c r="H719" s="1">
        <v>4.5538659999999993</v>
      </c>
      <c r="I719" s="1">
        <v>-8.3847179000000018</v>
      </c>
      <c r="J719" s="1">
        <v>-3.8308519000000003</v>
      </c>
      <c r="N719" s="1">
        <v>23.411896221619244</v>
      </c>
      <c r="O719" s="1">
        <v>18.213599442896935</v>
      </c>
      <c r="P719" s="1">
        <v>4094.6243027200017</v>
      </c>
    </row>
    <row r="720" spans="7:16" x14ac:dyDescent="0.2">
      <c r="G720" s="1">
        <v>43692</v>
      </c>
      <c r="H720" s="1">
        <v>2.6429537999999999</v>
      </c>
      <c r="I720" s="1">
        <v>-7.4921850000000019</v>
      </c>
      <c r="J720" s="1">
        <v>-4.8492312000000002</v>
      </c>
      <c r="N720" s="1">
        <v>23.540470343984396</v>
      </c>
      <c r="O720" s="1">
        <v>18.318706406685244</v>
      </c>
      <c r="P720" s="1">
        <v>4018.259637019999</v>
      </c>
    </row>
    <row r="721" spans="7:16" x14ac:dyDescent="0.2">
      <c r="G721" s="1">
        <v>43693</v>
      </c>
      <c r="H721" s="1">
        <v>3.638326199999999</v>
      </c>
      <c r="I721" s="1">
        <v>-5.7796058999999982</v>
      </c>
      <c r="J721" s="1">
        <v>-2.141279700000001</v>
      </c>
      <c r="N721" s="1">
        <v>24.849052955530802</v>
      </c>
      <c r="O721" s="1">
        <v>19.429291364902507</v>
      </c>
      <c r="P721" s="1">
        <v>4017.0574752599987</v>
      </c>
    </row>
    <row r="722" spans="7:16" x14ac:dyDescent="0.2">
      <c r="G722" s="1">
        <v>43696</v>
      </c>
      <c r="H722" s="1">
        <v>6.3454267000000018</v>
      </c>
      <c r="I722" s="1">
        <v>-1.4127375999999998</v>
      </c>
      <c r="J722" s="1">
        <v>4.932689100000001</v>
      </c>
      <c r="N722" s="1">
        <v>25.792591643368603</v>
      </c>
      <c r="O722" s="1">
        <v>20.191268523676879</v>
      </c>
      <c r="P722" s="1">
        <v>4055.5808243199999</v>
      </c>
    </row>
    <row r="723" spans="7:16" x14ac:dyDescent="0.2">
      <c r="G723" s="1">
        <v>43697</v>
      </c>
      <c r="H723" s="1">
        <v>3.8977801999999993</v>
      </c>
      <c r="I723" s="1">
        <v>-3.2663484</v>
      </c>
      <c r="J723" s="1">
        <v>0.6314318000000001</v>
      </c>
      <c r="N723" s="1">
        <v>25.397419283085529</v>
      </c>
      <c r="O723" s="1">
        <v>19.948601949860731</v>
      </c>
      <c r="P723" s="1">
        <v>4087.9524335199999</v>
      </c>
    </row>
    <row r="724" spans="7:16" x14ac:dyDescent="0.2">
      <c r="G724" s="1">
        <v>43698</v>
      </c>
      <c r="H724" s="1">
        <v>4.8733737999999995</v>
      </c>
      <c r="I724" s="1">
        <v>-3.9524224000000001</v>
      </c>
      <c r="J724" s="1">
        <v>0.92095139999999986</v>
      </c>
      <c r="N724" s="1">
        <v>26.092148367816414</v>
      </c>
      <c r="O724" s="1">
        <v>20.532107242339841</v>
      </c>
      <c r="P724" s="1">
        <v>4077.6633462199984</v>
      </c>
    </row>
    <row r="725" spans="7:16" x14ac:dyDescent="0.2">
      <c r="G725" s="1">
        <v>43699</v>
      </c>
      <c r="H725" s="1">
        <v>4.5370527999999997</v>
      </c>
      <c r="I725" s="1">
        <v>-5.1120029000000011</v>
      </c>
      <c r="J725" s="1">
        <v>-0.57495010000000057</v>
      </c>
      <c r="N725" s="1">
        <v>25.878482857434538</v>
      </c>
      <c r="O725" s="1">
        <v>20.228793871866294</v>
      </c>
      <c r="P725" s="1">
        <v>4098.7926873200004</v>
      </c>
    </row>
    <row r="726" spans="7:16" x14ac:dyDescent="0.2">
      <c r="G726" s="1">
        <v>43700</v>
      </c>
      <c r="H726" s="1">
        <v>3.8373008</v>
      </c>
      <c r="I726" s="1">
        <v>-5.7136711000000009</v>
      </c>
      <c r="J726" s="1">
        <v>-1.8763703000000012</v>
      </c>
      <c r="N726" s="1">
        <v>24.052923265647475</v>
      </c>
      <c r="O726" s="1">
        <v>18.992441225626731</v>
      </c>
      <c r="P726" s="1">
        <v>4091.1769482200011</v>
      </c>
    </row>
    <row r="727" spans="7:16" x14ac:dyDescent="0.2">
      <c r="G727" s="1">
        <v>43703</v>
      </c>
      <c r="H727" s="1">
        <v>5.5244601999999992</v>
      </c>
      <c r="I727" s="1">
        <v>-2.8764278999999999</v>
      </c>
      <c r="J727" s="1">
        <v>2.6480323000000006</v>
      </c>
      <c r="N727" s="1">
        <v>24.669124426532161</v>
      </c>
      <c r="O727" s="1">
        <v>19.384659470752091</v>
      </c>
      <c r="P727" s="1">
        <v>4036.1325153199996</v>
      </c>
    </row>
    <row r="728" spans="7:16" x14ac:dyDescent="0.2">
      <c r="G728" s="1">
        <v>43704</v>
      </c>
      <c r="H728" s="1">
        <v>5.5973440999999999</v>
      </c>
      <c r="I728" s="1">
        <v>-2.6449773000000003</v>
      </c>
      <c r="J728" s="1">
        <v>2.952366800000001</v>
      </c>
      <c r="N728" s="1">
        <v>24.546289142458125</v>
      </c>
      <c r="O728" s="1">
        <v>19.381541225626741</v>
      </c>
      <c r="P728" s="1">
        <v>4061.07027324</v>
      </c>
    </row>
    <row r="729" spans="7:16" x14ac:dyDescent="0.2">
      <c r="G729" s="1">
        <v>43705</v>
      </c>
      <c r="H729" s="1">
        <v>4.7205165000000013</v>
      </c>
      <c r="I729" s="1">
        <v>-3.008318</v>
      </c>
      <c r="J729" s="1">
        <v>1.7121985000000004</v>
      </c>
      <c r="N729" s="1">
        <v>25.032782360945284</v>
      </c>
      <c r="O729" s="1">
        <v>19.716150696378836</v>
      </c>
      <c r="P729" s="1">
        <v>4055.1454239199984</v>
      </c>
    </row>
    <row r="730" spans="7:16" x14ac:dyDescent="0.2">
      <c r="G730" s="1">
        <v>43706</v>
      </c>
      <c r="H730" s="1">
        <v>4.6725629</v>
      </c>
      <c r="I730" s="1">
        <v>-2.7176334999999998</v>
      </c>
      <c r="J730" s="1">
        <v>1.9549294000000002</v>
      </c>
      <c r="N730" s="1">
        <v>26.085683614525539</v>
      </c>
      <c r="O730" s="1">
        <v>20.520595821727017</v>
      </c>
      <c r="P730" s="1">
        <v>4072.0205497200013</v>
      </c>
    </row>
    <row r="731" spans="7:16" x14ac:dyDescent="0.2">
      <c r="G731" s="1">
        <v>43707</v>
      </c>
      <c r="H731" s="1">
        <v>2.9643210999999994</v>
      </c>
      <c r="I731" s="1">
        <v>-5.1669241999999995</v>
      </c>
      <c r="J731" s="1">
        <v>-2.2026031000000006</v>
      </c>
      <c r="N731" s="1">
        <v>26.263858371721334</v>
      </c>
      <c r="O731" s="1">
        <v>20.671916434540396</v>
      </c>
      <c r="P731" s="1">
        <v>4104.8281998199991</v>
      </c>
    </row>
    <row r="732" spans="7:16" x14ac:dyDescent="0.2">
      <c r="G732" s="1">
        <v>43710</v>
      </c>
      <c r="H732" s="1">
        <v>1.3059367000000002</v>
      </c>
      <c r="I732" s="1">
        <v>-0.93938430000000006</v>
      </c>
      <c r="J732" s="1">
        <v>0.3665524</v>
      </c>
      <c r="N732" s="1">
        <v>25.999769316456309</v>
      </c>
      <c r="O732" s="1">
        <v>20.494704038997209</v>
      </c>
      <c r="P732" s="1">
        <v>4111.1577078199989</v>
      </c>
    </row>
    <row r="733" spans="7:16" x14ac:dyDescent="0.2">
      <c r="G733" s="1">
        <v>43711</v>
      </c>
      <c r="H733" s="1">
        <v>4.7196015999999998</v>
      </c>
      <c r="I733" s="1">
        <v>-5.2580884000000001</v>
      </c>
      <c r="J733" s="1">
        <v>-0.53848679999999993</v>
      </c>
      <c r="N733" s="1">
        <v>25.806508388073489</v>
      </c>
      <c r="O733" s="1">
        <v>20.343372144846793</v>
      </c>
      <c r="P733" s="1">
        <v>4100.5822397700013</v>
      </c>
    </row>
    <row r="734" spans="7:16" x14ac:dyDescent="0.2">
      <c r="G734" s="1">
        <v>43712</v>
      </c>
      <c r="H734" s="1">
        <v>5.8968908999999998</v>
      </c>
      <c r="I734" s="1">
        <v>-3.8504509000000007</v>
      </c>
      <c r="J734" s="1">
        <v>2.0464399999999991</v>
      </c>
      <c r="N734" s="1">
        <v>26.992333375297456</v>
      </c>
      <c r="O734" s="1">
        <v>21.537532311977724</v>
      </c>
      <c r="P734" s="1">
        <v>4094.9271323200005</v>
      </c>
    </row>
    <row r="735" spans="7:16" x14ac:dyDescent="0.2">
      <c r="G735" s="1">
        <v>43713</v>
      </c>
      <c r="H735" s="1">
        <v>7.9575053000000002</v>
      </c>
      <c r="I735" s="1">
        <v>-2.9361566000000008</v>
      </c>
      <c r="J735" s="1">
        <v>5.0213486999999999</v>
      </c>
      <c r="N735" s="1">
        <v>28.050245959222448</v>
      </c>
      <c r="O735" s="1">
        <v>22.234292757660175</v>
      </c>
      <c r="P735" s="1">
        <v>4133.4551734199995</v>
      </c>
    </row>
    <row r="736" spans="7:16" x14ac:dyDescent="0.2">
      <c r="G736" s="1">
        <v>43714</v>
      </c>
      <c r="H736" s="1">
        <v>5.2005237999999991</v>
      </c>
      <c r="I736" s="1">
        <v>-2.5311178999999999</v>
      </c>
      <c r="J736" s="1">
        <v>2.6694058999999988</v>
      </c>
      <c r="N736" s="1">
        <v>28.175043904148158</v>
      </c>
      <c r="O736" s="1">
        <v>22.397989415041774</v>
      </c>
      <c r="P736" s="1">
        <v>4169.9354607199994</v>
      </c>
    </row>
    <row r="737" spans="7:16" x14ac:dyDescent="0.2">
      <c r="G737" s="1">
        <v>43717</v>
      </c>
      <c r="H737" s="1">
        <v>9.1325085999999995</v>
      </c>
      <c r="I737" s="1">
        <v>-3.6318304999999995</v>
      </c>
      <c r="J737" s="1">
        <v>5.5006781</v>
      </c>
      <c r="N737" s="1">
        <v>28.237620984469718</v>
      </c>
      <c r="O737" s="1">
        <v>22.522406685236767</v>
      </c>
      <c r="P737" s="1">
        <v>4177.625668120002</v>
      </c>
    </row>
    <row r="738" spans="7:16" x14ac:dyDescent="0.2">
      <c r="G738" s="1">
        <v>43718</v>
      </c>
      <c r="H738" s="1">
        <v>6.5902133000000012</v>
      </c>
      <c r="I738" s="1">
        <v>-4.3390462000000003</v>
      </c>
      <c r="J738" s="1">
        <v>2.2511670999999991</v>
      </c>
      <c r="N738" s="1">
        <v>28.168454429165376</v>
      </c>
      <c r="O738" s="1">
        <v>22.481462395543168</v>
      </c>
      <c r="P738" s="1">
        <v>4186.5265728200011</v>
      </c>
    </row>
    <row r="739" spans="7:16" x14ac:dyDescent="0.2">
      <c r="G739" s="1">
        <v>43719</v>
      </c>
      <c r="H739" s="1">
        <v>7.4059946999999999</v>
      </c>
      <c r="I739" s="1">
        <v>-2.8240322</v>
      </c>
      <c r="J739" s="1">
        <v>4.5819624999999977</v>
      </c>
      <c r="N739" s="1">
        <v>29.047309894274608</v>
      </c>
      <c r="O739" s="1">
        <v>23.143341225626742</v>
      </c>
      <c r="P739" s="1">
        <v>4187.562150220002</v>
      </c>
    </row>
    <row r="740" spans="7:16" x14ac:dyDescent="0.2">
      <c r="G740" s="1">
        <v>43720</v>
      </c>
      <c r="H740" s="1">
        <v>5.2638524000000011</v>
      </c>
      <c r="I740" s="1">
        <v>-3.6024321000000001</v>
      </c>
      <c r="J740" s="1">
        <v>1.6614203000000001</v>
      </c>
      <c r="N740" s="1">
        <v>29.511381982719151</v>
      </c>
      <c r="O740" s="1">
        <v>23.590085793871861</v>
      </c>
      <c r="P740" s="1">
        <v>4219.2386625200015</v>
      </c>
    </row>
    <row r="741" spans="7:16" x14ac:dyDescent="0.2">
      <c r="G741" s="1">
        <v>43721</v>
      </c>
      <c r="H741" s="1">
        <v>12.170563000000007</v>
      </c>
      <c r="I741" s="1">
        <v>-6.5352502999999995</v>
      </c>
      <c r="J741" s="1">
        <v>5.6353127000000027</v>
      </c>
      <c r="N741" s="1">
        <v>29.514188892339376</v>
      </c>
      <c r="O741" s="1">
        <v>23.626148607242346</v>
      </c>
      <c r="P741" s="1">
        <v>4234.1942869100003</v>
      </c>
    </row>
    <row r="742" spans="7:16" x14ac:dyDescent="0.2">
      <c r="G742" s="1">
        <v>43724</v>
      </c>
      <c r="H742" s="1">
        <v>8.9289178999999983</v>
      </c>
      <c r="I742" s="1">
        <v>-9.2205641000000007</v>
      </c>
      <c r="J742" s="1">
        <v>-0.29164620000000052</v>
      </c>
      <c r="N742" s="1">
        <v>29.247233890001674</v>
      </c>
      <c r="O742" s="1">
        <v>23.488072841225627</v>
      </c>
      <c r="P742" s="1">
        <v>4239.8339276999995</v>
      </c>
    </row>
    <row r="743" spans="7:16" x14ac:dyDescent="0.2">
      <c r="G743" s="1">
        <v>43725</v>
      </c>
      <c r="H743" s="1">
        <v>14.066805499999999</v>
      </c>
      <c r="I743" s="1">
        <v>-3.0096181000000009</v>
      </c>
      <c r="J743" s="1">
        <v>11.057187399999998</v>
      </c>
      <c r="N743" s="1">
        <v>29.552986661555085</v>
      </c>
      <c r="O743" s="1">
        <v>23.665928133704732</v>
      </c>
      <c r="P743" s="1">
        <v>4232.3586576199941</v>
      </c>
    </row>
    <row r="744" spans="7:16" x14ac:dyDescent="0.2">
      <c r="G744" s="1">
        <v>43726</v>
      </c>
      <c r="H744" s="1">
        <v>10.091016800000004</v>
      </c>
      <c r="I744" s="1">
        <v>-3.3947267000000001</v>
      </c>
      <c r="J744" s="1">
        <v>6.6962901000000032</v>
      </c>
      <c r="N744" s="1">
        <v>29.451378976552274</v>
      </c>
      <c r="O744" s="1">
        <v>23.530814206128127</v>
      </c>
      <c r="P744" s="1">
        <v>4250.9625147199968</v>
      </c>
    </row>
    <row r="745" spans="7:16" x14ac:dyDescent="0.2">
      <c r="G745" s="1">
        <v>43727</v>
      </c>
      <c r="H745" s="1">
        <v>4.8935589000000004</v>
      </c>
      <c r="I745" s="1">
        <v>-8.5251568000000013</v>
      </c>
      <c r="J745" s="1">
        <v>-3.6315978999999992</v>
      </c>
      <c r="N745" s="1">
        <v>29.534976441125028</v>
      </c>
      <c r="O745" s="1">
        <v>23.635751532033424</v>
      </c>
      <c r="P745" s="1">
        <v>4253.384913320001</v>
      </c>
    </row>
    <row r="746" spans="7:16" x14ac:dyDescent="0.2">
      <c r="G746" s="1">
        <v>43728</v>
      </c>
      <c r="H746" s="1">
        <v>3.4462964000000014</v>
      </c>
      <c r="I746" s="1">
        <v>-11.4131012</v>
      </c>
      <c r="J746" s="1">
        <v>-7.966804800000002</v>
      </c>
      <c r="N746" s="1">
        <v>29.219179615689338</v>
      </c>
      <c r="O746" s="1">
        <v>23.53949359331477</v>
      </c>
      <c r="P746" s="1">
        <v>4252.9448997199979</v>
      </c>
    </row>
    <row r="747" spans="7:16" x14ac:dyDescent="0.2">
      <c r="G747" s="1">
        <v>43731</v>
      </c>
      <c r="H747" s="1">
        <v>10.774821299999997</v>
      </c>
      <c r="I747" s="1">
        <v>-5.2173628999999995</v>
      </c>
      <c r="J747" s="1">
        <v>5.5574583999999998</v>
      </c>
      <c r="N747" s="1">
        <v>29.293974561182782</v>
      </c>
      <c r="O747" s="1">
        <v>23.503941225626733</v>
      </c>
      <c r="P747" s="1">
        <v>4236.1246667199994</v>
      </c>
    </row>
    <row r="748" spans="7:16" x14ac:dyDescent="0.2">
      <c r="G748" s="1">
        <v>43732</v>
      </c>
      <c r="H748" s="1">
        <v>7.7782980999999989</v>
      </c>
      <c r="I748" s="1">
        <v>-7.0742353999999983</v>
      </c>
      <c r="J748" s="1">
        <v>0.70406269999999971</v>
      </c>
      <c r="N748" s="1">
        <v>28.696847605612305</v>
      </c>
      <c r="O748" s="1">
        <v>23.113501949860723</v>
      </c>
      <c r="P748" s="1">
        <v>4243.0447418200019</v>
      </c>
    </row>
    <row r="749" spans="7:16" x14ac:dyDescent="0.2">
      <c r="G749" s="1">
        <v>43733</v>
      </c>
      <c r="H749" s="1">
        <v>8.4376246000000013</v>
      </c>
      <c r="I749" s="1">
        <v>-5.9375798</v>
      </c>
      <c r="J749" s="1">
        <v>2.5000447999999995</v>
      </c>
      <c r="N749" s="1">
        <v>28.818340094001993</v>
      </c>
      <c r="O749" s="1">
        <v>22.881831197771575</v>
      </c>
      <c r="P749" s="1">
        <v>4220.4422728200016</v>
      </c>
    </row>
    <row r="750" spans="7:16" x14ac:dyDescent="0.2">
      <c r="G750" s="1">
        <v>43734</v>
      </c>
      <c r="H750" s="1">
        <v>9.0216905000000001</v>
      </c>
      <c r="I750" s="1">
        <v>-2.9403894999999989</v>
      </c>
      <c r="J750" s="1">
        <v>6.081300999999999</v>
      </c>
      <c r="N750" s="1">
        <v>28.683842332581438</v>
      </c>
      <c r="O750" s="1">
        <v>22.815948746518114</v>
      </c>
      <c r="P750" s="1">
        <v>4223.2379928200007</v>
      </c>
    </row>
    <row r="751" spans="7:16" x14ac:dyDescent="0.2">
      <c r="G751" s="1">
        <v>43735</v>
      </c>
      <c r="H751" s="1">
        <v>3.7433258</v>
      </c>
      <c r="I751" s="1">
        <v>-6.9871600999999997</v>
      </c>
      <c r="J751" s="1">
        <v>-3.2438343000000005</v>
      </c>
      <c r="N751" s="1">
        <v>28.10881430680756</v>
      </c>
      <c r="O751" s="1">
        <v>22.443897771587753</v>
      </c>
      <c r="P751" s="1">
        <v>4224.1680628800004</v>
      </c>
    </row>
    <row r="752" spans="7:16" x14ac:dyDescent="0.2">
      <c r="G752" s="1">
        <v>43738</v>
      </c>
      <c r="H752" s="1">
        <v>3.548009</v>
      </c>
      <c r="I752" s="1">
        <v>-2.7712034000000005</v>
      </c>
      <c r="J752" s="1">
        <v>0.77680559999999998</v>
      </c>
      <c r="N752" s="1">
        <v>28.347365491037657</v>
      </c>
      <c r="O752" s="1">
        <v>22.475159331476323</v>
      </c>
      <c r="P752" s="1">
        <v>4203.9530043799978</v>
      </c>
    </row>
    <row r="753" spans="7:16" x14ac:dyDescent="0.2">
      <c r="G753" s="1">
        <v>43739</v>
      </c>
      <c r="H753" s="1">
        <v>4.2998677999999995</v>
      </c>
      <c r="I753" s="1">
        <v>-5.7701656999999997</v>
      </c>
      <c r="J753" s="1">
        <v>-1.4702978999999998</v>
      </c>
      <c r="N753" s="1">
        <v>27.453893651560215</v>
      </c>
      <c r="O753" s="1">
        <v>21.744702553389025</v>
      </c>
      <c r="P753" s="1">
        <v>4210.7795806800004</v>
      </c>
    </row>
    <row r="754" spans="7:16" x14ac:dyDescent="0.2">
      <c r="G754" s="1">
        <v>43740</v>
      </c>
      <c r="H754" s="1">
        <v>4.6214703999999998</v>
      </c>
      <c r="I754" s="1">
        <v>-8.0523551999999992</v>
      </c>
      <c r="J754" s="1">
        <v>-3.430884799999999</v>
      </c>
      <c r="N754" s="1">
        <v>25.906056137423096</v>
      </c>
      <c r="O754" s="1">
        <v>20.394205106778088</v>
      </c>
      <c r="P754" s="1">
        <v>4180.5488063466692</v>
      </c>
    </row>
    <row r="755" spans="7:16" x14ac:dyDescent="0.2">
      <c r="G755" s="1">
        <v>43741</v>
      </c>
      <c r="H755" s="1">
        <v>4.0207997000000004</v>
      </c>
      <c r="I755" s="1">
        <v>-6.6071939000000004</v>
      </c>
      <c r="J755" s="1">
        <v>-2.5863942000000004</v>
      </c>
      <c r="N755" s="1">
        <v>26.497806749510701</v>
      </c>
      <c r="O755" s="1">
        <v>20.881066713091926</v>
      </c>
      <c r="P755" s="1">
        <v>4130.5537358633346</v>
      </c>
    </row>
    <row r="756" spans="7:16" x14ac:dyDescent="0.2">
      <c r="G756" s="1">
        <v>43742</v>
      </c>
      <c r="H756" s="1">
        <v>5.4070287000000006</v>
      </c>
      <c r="I756" s="1">
        <v>-3.4163916000000008</v>
      </c>
      <c r="J756" s="1">
        <v>1.9906371000000007</v>
      </c>
      <c r="N756" s="1">
        <v>27.705741312744863</v>
      </c>
      <c r="O756" s="1">
        <v>21.813506870937786</v>
      </c>
      <c r="P756" s="1">
        <v>4151.3045018599987</v>
      </c>
    </row>
    <row r="757" spans="7:16" x14ac:dyDescent="0.2">
      <c r="G757" s="1">
        <v>43745</v>
      </c>
      <c r="H757" s="1">
        <v>5.1117587000000002</v>
      </c>
      <c r="I757" s="1">
        <v>-3.4469221999999995</v>
      </c>
      <c r="J757" s="1">
        <v>1.6648364999999998</v>
      </c>
      <c r="N757" s="1">
        <v>27.276914565700224</v>
      </c>
      <c r="O757" s="1">
        <v>21.547859424326838</v>
      </c>
      <c r="P757" s="1">
        <v>4183.6589477466678</v>
      </c>
    </row>
    <row r="758" spans="7:16" x14ac:dyDescent="0.2">
      <c r="G758" s="1">
        <v>43746</v>
      </c>
      <c r="H758" s="1">
        <v>2.9531488000000001</v>
      </c>
      <c r="I758" s="1">
        <v>-7.8796649000000007</v>
      </c>
      <c r="J758" s="1">
        <v>-4.9265161000000006</v>
      </c>
      <c r="N758" s="1">
        <v>26.061301597236213</v>
      </c>
      <c r="O758" s="1">
        <v>20.572879944289685</v>
      </c>
      <c r="P758" s="1">
        <v>4171.2734294633347</v>
      </c>
    </row>
    <row r="759" spans="7:16" x14ac:dyDescent="0.2">
      <c r="G759" s="1">
        <v>43747</v>
      </c>
      <c r="H759" s="1">
        <v>5.5777235000000012</v>
      </c>
      <c r="I759" s="1">
        <v>-2.3622091000000003</v>
      </c>
      <c r="J759" s="1">
        <v>3.2155143999999996</v>
      </c>
      <c r="N759" s="1">
        <v>26.728275643559574</v>
      </c>
      <c r="O759" s="1">
        <v>21.093273259052925</v>
      </c>
      <c r="P759" s="1">
        <v>4130.4025888799997</v>
      </c>
    </row>
    <row r="760" spans="7:16" x14ac:dyDescent="0.2">
      <c r="G760" s="1">
        <v>43748</v>
      </c>
      <c r="H760" s="1">
        <v>5.1756795000000002</v>
      </c>
      <c r="I760" s="1">
        <v>-3.7285547000000001</v>
      </c>
      <c r="J760" s="1">
        <v>1.4471247999999994</v>
      </c>
      <c r="N760" s="1">
        <v>27.319573544848737</v>
      </c>
      <c r="O760" s="1">
        <v>21.727227019498599</v>
      </c>
      <c r="P760" s="1">
        <v>4153.3693963799979</v>
      </c>
    </row>
    <row r="761" spans="7:16" x14ac:dyDescent="0.2">
      <c r="G761" s="1">
        <v>43749</v>
      </c>
      <c r="H761" s="1">
        <v>7.3937953000000007</v>
      </c>
      <c r="I761" s="1">
        <v>-2.6824030999999997</v>
      </c>
      <c r="J761" s="1">
        <v>4.7113921999999997</v>
      </c>
      <c r="N761" s="1">
        <v>28.491673857850124</v>
      </c>
      <c r="O761" s="1">
        <v>22.866805013927571</v>
      </c>
      <c r="P761" s="1">
        <v>4172.929570946666</v>
      </c>
    </row>
    <row r="762" spans="7:16" x14ac:dyDescent="0.2">
      <c r="G762" s="1">
        <v>43752</v>
      </c>
      <c r="H762" s="1">
        <v>3.2099109000000006</v>
      </c>
      <c r="I762" s="1">
        <v>-1.8013701</v>
      </c>
      <c r="J762" s="1">
        <v>1.4085407999999999</v>
      </c>
      <c r="N762" s="1">
        <v>28.414802093657915</v>
      </c>
      <c r="O762" s="1">
        <v>22.734876183844008</v>
      </c>
      <c r="P762" s="1">
        <v>4214.868824813333</v>
      </c>
    </row>
    <row r="763" spans="7:16" x14ac:dyDescent="0.2">
      <c r="G763" s="1">
        <v>43753</v>
      </c>
      <c r="H763" s="1">
        <v>6.083774</v>
      </c>
      <c r="I763" s="1">
        <v>-1.7525989000000002</v>
      </c>
      <c r="J763" s="1">
        <v>4.3311751000000003</v>
      </c>
      <c r="N763" s="1">
        <v>29.305606402670218</v>
      </c>
      <c r="O763" s="1">
        <v>23.41044874651811</v>
      </c>
      <c r="P763" s="1">
        <v>4213.6454056300017</v>
      </c>
    </row>
    <row r="764" spans="7:16" x14ac:dyDescent="0.2">
      <c r="G764" s="1">
        <v>43754</v>
      </c>
      <c r="H764" s="1">
        <v>4.5143645000000001</v>
      </c>
      <c r="I764" s="1">
        <v>-3.1446688000000003</v>
      </c>
      <c r="J764" s="1">
        <v>1.3696956999999998</v>
      </c>
      <c r="N764" s="1">
        <v>29.366071890925923</v>
      </c>
      <c r="O764" s="1">
        <v>23.533090807799443</v>
      </c>
      <c r="P764" s="1">
        <v>4244.402353579997</v>
      </c>
    </row>
    <row r="765" spans="7:16" x14ac:dyDescent="0.2">
      <c r="G765" s="1">
        <v>43755</v>
      </c>
      <c r="H765" s="1">
        <v>4.9815952000000001</v>
      </c>
      <c r="I765" s="1">
        <v>-3.7099922000000003</v>
      </c>
      <c r="J765" s="1">
        <v>1.2716030000000003</v>
      </c>
      <c r="N765" s="1">
        <v>29.705270912027515</v>
      </c>
      <c r="O765" s="1">
        <v>23.885670473537612</v>
      </c>
      <c r="P765" s="1">
        <v>4248.7543710800001</v>
      </c>
    </row>
    <row r="766" spans="7:16" x14ac:dyDescent="0.2">
      <c r="G766" s="1">
        <v>43756</v>
      </c>
      <c r="H766" s="1">
        <v>3.4539821000000002</v>
      </c>
      <c r="I766" s="1">
        <v>-5.1830812000000011</v>
      </c>
      <c r="J766" s="1">
        <v>-1.7290991000000002</v>
      </c>
      <c r="N766" s="1">
        <v>29.386184552502439</v>
      </c>
      <c r="O766" s="1">
        <v>23.710825626740949</v>
      </c>
      <c r="P766" s="1">
        <v>4261.2313940799995</v>
      </c>
    </row>
    <row r="767" spans="7:16" x14ac:dyDescent="0.2">
      <c r="G767" s="1">
        <v>43759</v>
      </c>
      <c r="H767" s="1">
        <v>5.4934217999999992</v>
      </c>
      <c r="I767" s="1">
        <v>-2.5174987000000004</v>
      </c>
      <c r="J767" s="1">
        <v>2.9759230999999993</v>
      </c>
      <c r="N767" s="1">
        <v>29.984301261023838</v>
      </c>
      <c r="O767" s="1">
        <v>24.164791364902506</v>
      </c>
      <c r="P767" s="1">
        <v>4251.2259419800012</v>
      </c>
    </row>
    <row r="768" spans="7:16" x14ac:dyDescent="0.2">
      <c r="G768" s="1">
        <v>43760</v>
      </c>
      <c r="H768" s="1">
        <v>5.5246331999999994</v>
      </c>
      <c r="I768" s="1">
        <v>-3.6869999999999998</v>
      </c>
      <c r="J768" s="1">
        <v>1.8376332000000004</v>
      </c>
      <c r="N768" s="1">
        <v>29.787557106751187</v>
      </c>
      <c r="O768" s="1">
        <v>24.160457799442902</v>
      </c>
      <c r="P768" s="1">
        <v>4272.5094358799997</v>
      </c>
    </row>
    <row r="769" spans="7:16" x14ac:dyDescent="0.2">
      <c r="G769" s="1">
        <v>43761</v>
      </c>
      <c r="H769" s="1">
        <v>4.3752062000000009</v>
      </c>
      <c r="I769" s="1">
        <v>-2.7391753999999993</v>
      </c>
      <c r="J769" s="1">
        <v>1.6360307999999997</v>
      </c>
      <c r="N769" s="1">
        <v>30.024229302875462</v>
      </c>
      <c r="O769" s="1">
        <v>24.325873537604455</v>
      </c>
      <c r="P769" s="1">
        <v>4270.5955261799991</v>
      </c>
    </row>
    <row r="770" spans="7:16" x14ac:dyDescent="0.2">
      <c r="G770" s="1">
        <v>43762</v>
      </c>
      <c r="H770" s="1">
        <v>4.9660164</v>
      </c>
      <c r="I770" s="1">
        <v>-2.1955834000000003</v>
      </c>
      <c r="J770" s="1">
        <v>2.7704330000000001</v>
      </c>
      <c r="N770" s="1">
        <v>30.348527877501247</v>
      </c>
      <c r="O770" s="1">
        <v>24.598365738161558</v>
      </c>
      <c r="P770" s="1">
        <v>4279.8009034800025</v>
      </c>
    </row>
    <row r="771" spans="7:16" x14ac:dyDescent="0.2">
      <c r="G771" s="1">
        <v>43763</v>
      </c>
      <c r="H771" s="1">
        <v>4.4423130000000004</v>
      </c>
      <c r="I771" s="1">
        <v>-2.9955087999999996</v>
      </c>
      <c r="J771" s="1">
        <v>1.4468041999999997</v>
      </c>
      <c r="N771" s="1">
        <v>30.677617672248441</v>
      </c>
      <c r="O771" s="1">
        <v>24.807560724233994</v>
      </c>
      <c r="P771" s="1">
        <v>4291.5317443799995</v>
      </c>
    </row>
    <row r="772" spans="7:16" x14ac:dyDescent="0.2">
      <c r="G772" s="1">
        <v>43766</v>
      </c>
      <c r="H772" s="1">
        <v>4.2469301999999995</v>
      </c>
      <c r="I772" s="1">
        <v>-3.3045780000000002</v>
      </c>
      <c r="J772" s="1">
        <v>0.94235220000000008</v>
      </c>
      <c r="N772" s="1">
        <v>31.14562697722765</v>
      </c>
      <c r="O772" s="1">
        <v>25.121501671309186</v>
      </c>
      <c r="P772" s="1">
        <v>4302.4839492800011</v>
      </c>
    </row>
    <row r="773" spans="7:16" x14ac:dyDescent="0.2">
      <c r="G773" s="1">
        <v>43767</v>
      </c>
      <c r="H773" s="1">
        <v>6.4967951000000008</v>
      </c>
      <c r="I773" s="1">
        <v>-4.6959912000000017</v>
      </c>
      <c r="J773" s="1">
        <v>1.8008039</v>
      </c>
      <c r="N773" s="1">
        <v>31.13863051637367</v>
      </c>
      <c r="O773" s="1">
        <v>25.114813091922009</v>
      </c>
      <c r="P773" s="1">
        <v>4316.5868898800009</v>
      </c>
    </row>
    <row r="774" spans="7:16" x14ac:dyDescent="0.2">
      <c r="G774" s="1">
        <v>43768</v>
      </c>
      <c r="H774" s="1">
        <v>2.7980060000000004</v>
      </c>
      <c r="I774" s="1">
        <v>-4.5617378999999989</v>
      </c>
      <c r="J774" s="1">
        <v>-1.7637319000000011</v>
      </c>
      <c r="N774" s="1">
        <v>31.451468093066129</v>
      </c>
      <c r="O774" s="1">
        <v>25.271515877437317</v>
      </c>
      <c r="P774" s="1">
        <v>4319.167517679999</v>
      </c>
    </row>
    <row r="775" spans="7:16" x14ac:dyDescent="0.2">
      <c r="G775" s="1">
        <v>43769</v>
      </c>
      <c r="H775" s="1">
        <v>5.4259222999999999</v>
      </c>
      <c r="I775" s="1">
        <v>-5.4285157000000002</v>
      </c>
      <c r="J775" s="1">
        <v>-2.593399999999902E-3</v>
      </c>
      <c r="N775" s="1">
        <v>31.306100778705392</v>
      </c>
      <c r="O775" s="1">
        <v>25.16497353760446</v>
      </c>
      <c r="P775" s="1">
        <v>4326.1027804800024</v>
      </c>
    </row>
    <row r="776" spans="7:16" x14ac:dyDescent="0.2">
      <c r="G776" s="1">
        <v>43770</v>
      </c>
      <c r="H776" s="1">
        <v>7.7909214999999996</v>
      </c>
      <c r="I776" s="1">
        <v>-2.5994664000000003</v>
      </c>
      <c r="J776" s="1">
        <v>5.1914550999999989</v>
      </c>
      <c r="N776" s="1">
        <v>32.277502541123319</v>
      </c>
      <c r="O776" s="1">
        <v>26.107439832869073</v>
      </c>
      <c r="P776" s="1">
        <v>4322.0026767799955</v>
      </c>
    </row>
    <row r="777" spans="7:16" x14ac:dyDescent="0.2">
      <c r="G777" s="1">
        <v>43773</v>
      </c>
      <c r="H777" s="1">
        <v>4.9830430000000003</v>
      </c>
      <c r="I777" s="1">
        <v>-3.2397612000000007</v>
      </c>
      <c r="J777" s="1">
        <v>1.7432817999999999</v>
      </c>
      <c r="N777" s="1">
        <v>32.72921279812703</v>
      </c>
      <c r="O777" s="1">
        <v>26.580944289693601</v>
      </c>
      <c r="P777" s="1">
        <v>4355.6337716800008</v>
      </c>
    </row>
    <row r="778" spans="7:16" x14ac:dyDescent="0.2">
      <c r="G778" s="1">
        <v>43774</v>
      </c>
      <c r="H778" s="1">
        <v>6.046237500000001</v>
      </c>
      <c r="I778" s="1">
        <v>-2.8385458000000003</v>
      </c>
      <c r="J778" s="1">
        <v>3.2076916999999998</v>
      </c>
      <c r="N778" s="1">
        <v>32.609756053565981</v>
      </c>
      <c r="O778" s="1">
        <v>26.398818941504185</v>
      </c>
      <c r="P778" s="1">
        <v>4372.2527365799997</v>
      </c>
    </row>
    <row r="779" spans="7:16" x14ac:dyDescent="0.2">
      <c r="G779" s="1">
        <v>43775</v>
      </c>
      <c r="H779" s="1">
        <v>6.6333951000000022</v>
      </c>
      <c r="I779" s="1">
        <v>-4.0858927999999999</v>
      </c>
      <c r="J779" s="1">
        <v>2.5475022999999997</v>
      </c>
      <c r="N779" s="1">
        <v>32.636874346296736</v>
      </c>
      <c r="O779" s="1">
        <v>26.363980222841214</v>
      </c>
      <c r="P779" s="1">
        <v>4371.0926232800011</v>
      </c>
    </row>
    <row r="780" spans="7:16" x14ac:dyDescent="0.2">
      <c r="G780" s="1">
        <v>43776</v>
      </c>
      <c r="H780" s="1">
        <v>4.7393862000000011</v>
      </c>
      <c r="I780" s="1">
        <v>-4.3923947000000005</v>
      </c>
      <c r="J780" s="1">
        <v>0.34699150000000006</v>
      </c>
      <c r="N780" s="1">
        <v>32.807614439437735</v>
      </c>
      <c r="O780" s="1">
        <v>26.467974651810593</v>
      </c>
      <c r="P780" s="1">
        <v>4373.8638557800004</v>
      </c>
    </row>
    <row r="781" spans="7:16" x14ac:dyDescent="0.2">
      <c r="G781" s="1">
        <v>43777</v>
      </c>
      <c r="H781" s="1">
        <v>5.1474008999999992</v>
      </c>
      <c r="I781" s="1">
        <v>-3.4465987000000005</v>
      </c>
      <c r="J781" s="1">
        <v>1.7008021999999996</v>
      </c>
      <c r="N781" s="1">
        <v>32.893435128151964</v>
      </c>
      <c r="O781" s="1">
        <v>26.325706963788306</v>
      </c>
      <c r="P781" s="1">
        <v>4377.8715070800008</v>
      </c>
    </row>
    <row r="782" spans="7:16" x14ac:dyDescent="0.2">
      <c r="G782" s="1">
        <v>43780</v>
      </c>
      <c r="H782" s="1">
        <v>5.4183588999999994</v>
      </c>
      <c r="I782" s="1">
        <v>-2.4063838999999998</v>
      </c>
      <c r="J782" s="1">
        <v>3.0119750000000001</v>
      </c>
      <c r="N782" s="1">
        <v>32.681075895439498</v>
      </c>
      <c r="O782" s="1">
        <v>26.039648746518107</v>
      </c>
      <c r="P782" s="1">
        <v>4380.1623872800001</v>
      </c>
    </row>
    <row r="783" spans="7:16" x14ac:dyDescent="0.2">
      <c r="G783" s="1">
        <v>43781</v>
      </c>
      <c r="H783" s="1">
        <v>4.291874</v>
      </c>
      <c r="I783" s="1">
        <v>-3.7245738999999993</v>
      </c>
      <c r="J783" s="1">
        <v>0.56730009999999986</v>
      </c>
      <c r="N783" s="1">
        <v>32.833285426807471</v>
      </c>
      <c r="O783" s="1">
        <v>26.09371559888579</v>
      </c>
      <c r="P783" s="1">
        <v>4376.49660408</v>
      </c>
    </row>
    <row r="784" spans="7:16" x14ac:dyDescent="0.2">
      <c r="G784" s="1">
        <v>43782</v>
      </c>
      <c r="H784" s="1">
        <v>6.3830355000000019</v>
      </c>
      <c r="I784" s="1">
        <v>-3.7363988999999997</v>
      </c>
      <c r="J784" s="1">
        <v>2.6466366000000003</v>
      </c>
      <c r="N784" s="1">
        <v>32.719602864934735</v>
      </c>
      <c r="O784" s="1">
        <v>25.876200000000004</v>
      </c>
      <c r="P784" s="1">
        <v>4380.8836558800003</v>
      </c>
    </row>
    <row r="785" spans="7:16" x14ac:dyDescent="0.2">
      <c r="G785" s="1">
        <v>43783</v>
      </c>
      <c r="H785" s="1">
        <v>4.5525555000000013</v>
      </c>
      <c r="I785" s="1">
        <v>-6.9494889000000013</v>
      </c>
      <c r="J785" s="1">
        <v>-2.3969333999999991</v>
      </c>
      <c r="N785" s="1">
        <v>32.813363164594534</v>
      </c>
      <c r="O785" s="1">
        <v>25.972830362116991</v>
      </c>
      <c r="P785" s="1">
        <v>4379.0247114800013</v>
      </c>
    </row>
    <row r="786" spans="7:16" x14ac:dyDescent="0.2">
      <c r="G786" s="1">
        <v>43784</v>
      </c>
      <c r="H786" s="1">
        <v>3.4715647999999999</v>
      </c>
      <c r="I786" s="1">
        <v>-5.5595990000000004</v>
      </c>
      <c r="J786" s="1">
        <v>-2.088034200000001</v>
      </c>
      <c r="N786" s="1">
        <v>33.555692166576428</v>
      </c>
      <c r="O786" s="1">
        <v>26.614107520891356</v>
      </c>
      <c r="P786" s="1">
        <v>4379.3869193800001</v>
      </c>
    </row>
    <row r="787" spans="7:16" x14ac:dyDescent="0.2">
      <c r="G787" s="1">
        <v>43787</v>
      </c>
      <c r="H787" s="1">
        <v>4.9282397000000007</v>
      </c>
      <c r="I787" s="1">
        <v>-2.5750697000000007</v>
      </c>
      <c r="J787" s="1">
        <v>2.3531700000000004</v>
      </c>
      <c r="N787" s="1">
        <v>33.682329537616361</v>
      </c>
      <c r="O787" s="1">
        <v>26.713281894150416</v>
      </c>
      <c r="P787" s="1">
        <v>4400.1307951800009</v>
      </c>
    </row>
    <row r="788" spans="7:16" x14ac:dyDescent="0.2">
      <c r="G788" s="1">
        <v>43788</v>
      </c>
      <c r="H788" s="1">
        <v>5.3714415999999998</v>
      </c>
      <c r="I788" s="1">
        <v>-3.3291396000000004</v>
      </c>
      <c r="J788" s="1">
        <v>2.042301999999999</v>
      </c>
      <c r="N788" s="1">
        <v>33.708001960197208</v>
      </c>
      <c r="O788" s="1">
        <v>26.714706685236781</v>
      </c>
      <c r="P788" s="1">
        <v>4405.9491071299981</v>
      </c>
    </row>
    <row r="789" spans="7:16" x14ac:dyDescent="0.2">
      <c r="G789" s="1">
        <v>43789</v>
      </c>
      <c r="H789" s="1">
        <v>5.2896855</v>
      </c>
      <c r="I789" s="1">
        <v>-5.4773670000000001</v>
      </c>
      <c r="J789" s="1">
        <v>-0.1876815000000002</v>
      </c>
      <c r="N789" s="1">
        <v>33.275151228132465</v>
      </c>
      <c r="O789" s="1">
        <v>26.360099721448456</v>
      </c>
      <c r="P789" s="1">
        <v>4408.2445785799991</v>
      </c>
    </row>
    <row r="790" spans="7:16" x14ac:dyDescent="0.2">
      <c r="G790" s="1">
        <v>43790</v>
      </c>
      <c r="H790" s="1">
        <v>5.0574766999999987</v>
      </c>
      <c r="I790" s="1">
        <v>-4.1215121000000003</v>
      </c>
      <c r="J790" s="1">
        <v>0.93596460000000037</v>
      </c>
      <c r="N790" s="1">
        <v>32.927575493608209</v>
      </c>
      <c r="O790" s="1">
        <v>26.036699442896929</v>
      </c>
      <c r="P790" s="1">
        <v>4395.3845167800009</v>
      </c>
    </row>
    <row r="791" spans="7:16" x14ac:dyDescent="0.2">
      <c r="G791" s="1">
        <v>43791</v>
      </c>
      <c r="H791" s="1">
        <v>10.1960142</v>
      </c>
      <c r="I791" s="1">
        <v>-2.509897</v>
      </c>
      <c r="J791" s="1">
        <v>7.6861172</v>
      </c>
      <c r="N791" s="1">
        <v>33.137367706110261</v>
      </c>
      <c r="O791" s="1">
        <v>26.127493036211703</v>
      </c>
      <c r="P791" s="1">
        <v>4385.6098087799992</v>
      </c>
    </row>
    <row r="792" spans="7:16" x14ac:dyDescent="0.2">
      <c r="G792" s="1">
        <v>43794</v>
      </c>
      <c r="H792" s="1">
        <v>7.0256005999999998</v>
      </c>
      <c r="I792" s="1">
        <v>-2.8611496999999995</v>
      </c>
      <c r="J792" s="1">
        <v>4.1644509000000003</v>
      </c>
      <c r="N792" s="1">
        <v>34.088045257492354</v>
      </c>
      <c r="O792" s="1">
        <v>26.895098328690807</v>
      </c>
      <c r="P792" s="1">
        <v>4399.3670791799987</v>
      </c>
    </row>
    <row r="793" spans="7:16" x14ac:dyDescent="0.2">
      <c r="G793" s="1">
        <v>43795</v>
      </c>
      <c r="H793" s="1">
        <v>6.5686057</v>
      </c>
      <c r="I793" s="1">
        <v>-7.5373732000000011</v>
      </c>
      <c r="J793" s="1">
        <v>-0.9687675</v>
      </c>
      <c r="N793" s="1">
        <v>34.330770157960167</v>
      </c>
      <c r="O793" s="1">
        <v>27.114894707520893</v>
      </c>
      <c r="P793" s="1">
        <v>4432.3734774799987</v>
      </c>
    </row>
    <row r="794" spans="7:16" x14ac:dyDescent="0.2">
      <c r="G794" s="1">
        <v>43796</v>
      </c>
      <c r="H794" s="1">
        <v>7.721543999999998</v>
      </c>
      <c r="I794" s="1">
        <v>-3.5426294</v>
      </c>
      <c r="J794" s="1">
        <v>4.1789145999999997</v>
      </c>
      <c r="N794" s="1">
        <v>34.757944645792477</v>
      </c>
      <c r="O794" s="1">
        <v>27.370862674094699</v>
      </c>
      <c r="P794" s="1">
        <v>4438.933639079999</v>
      </c>
    </row>
    <row r="795" spans="7:16" x14ac:dyDescent="0.2">
      <c r="G795" s="1">
        <v>43797</v>
      </c>
      <c r="H795" s="1">
        <v>1.1733121</v>
      </c>
      <c r="I795" s="1">
        <v>-0.77241190000000004</v>
      </c>
      <c r="J795" s="1">
        <v>0.40090019999999993</v>
      </c>
      <c r="N795" s="1">
        <v>34.479397951405375</v>
      </c>
      <c r="O795" s="1">
        <v>27.143198746518099</v>
      </c>
      <c r="P795" s="1">
        <v>4451.5993100799988</v>
      </c>
    </row>
    <row r="796" spans="7:16" x14ac:dyDescent="0.2">
      <c r="G796" s="1">
        <v>43798</v>
      </c>
      <c r="H796" s="1">
        <v>4.7630544000000006</v>
      </c>
      <c r="I796" s="1">
        <v>-1.6684792000000002</v>
      </c>
      <c r="J796" s="1">
        <v>3.0945752000000004</v>
      </c>
      <c r="N796" s="1">
        <v>34.149926304803849</v>
      </c>
      <c r="O796" s="1">
        <v>26.807877437325899</v>
      </c>
      <c r="P796" s="1">
        <v>4444.375042329998</v>
      </c>
    </row>
    <row r="797" spans="7:16" x14ac:dyDescent="0.2">
      <c r="G797" s="1">
        <v>43801</v>
      </c>
      <c r="H797" s="1">
        <v>7.4699388000000004</v>
      </c>
      <c r="I797" s="1">
        <v>-2.7031012000000003</v>
      </c>
      <c r="J797" s="1">
        <v>4.7668376000000015</v>
      </c>
      <c r="N797" s="1">
        <v>33.446391733321157</v>
      </c>
      <c r="O797" s="1">
        <v>26.176779944289702</v>
      </c>
      <c r="P797" s="1">
        <v>4437.1672895800011</v>
      </c>
    </row>
    <row r="798" spans="7:16" x14ac:dyDescent="0.2">
      <c r="G798" s="1">
        <v>43802</v>
      </c>
      <c r="H798" s="1">
        <v>4.0334772000000001</v>
      </c>
      <c r="I798" s="1">
        <v>-5.7005452999999999</v>
      </c>
      <c r="J798" s="1">
        <v>-1.6670681000000005</v>
      </c>
      <c r="N798" s="1">
        <v>32.939153801815131</v>
      </c>
      <c r="O798" s="1">
        <v>25.868018384401108</v>
      </c>
      <c r="P798" s="1">
        <v>4420.8846468800011</v>
      </c>
    </row>
    <row r="799" spans="7:16" x14ac:dyDescent="0.2">
      <c r="G799" s="1">
        <v>43803</v>
      </c>
      <c r="H799" s="1">
        <v>4.4000570999999997</v>
      </c>
      <c r="I799" s="1">
        <v>-3.7157504000000001</v>
      </c>
      <c r="J799" s="1">
        <v>0.68430670000000005</v>
      </c>
      <c r="N799" s="1">
        <v>33.501780907595176</v>
      </c>
      <c r="O799" s="1">
        <v>26.433910863509741</v>
      </c>
      <c r="P799" s="1">
        <v>4405.4035154800004</v>
      </c>
    </row>
    <row r="800" spans="7:16" x14ac:dyDescent="0.2">
      <c r="G800" s="1">
        <v>43804</v>
      </c>
      <c r="H800" s="1">
        <v>5.3953069000000013</v>
      </c>
      <c r="I800" s="1">
        <v>-3.1625118000000003</v>
      </c>
      <c r="J800" s="1">
        <v>2.2327950999999997</v>
      </c>
      <c r="N800" s="1">
        <v>33.73408982008015</v>
      </c>
      <c r="O800" s="1">
        <v>26.603051532033426</v>
      </c>
      <c r="P800" s="1">
        <v>4423.9118580799995</v>
      </c>
    </row>
    <row r="801" spans="7:16" x14ac:dyDescent="0.2">
      <c r="G801" s="1">
        <v>43805</v>
      </c>
      <c r="H801" s="1">
        <v>5.8926315000000002</v>
      </c>
      <c r="I801" s="1">
        <v>-2.6829635000000005</v>
      </c>
      <c r="J801" s="1">
        <v>3.2096680000000006</v>
      </c>
      <c r="N801" s="1">
        <v>34.601605508248568</v>
      </c>
      <c r="O801" s="1">
        <v>27.261969637883006</v>
      </c>
      <c r="P801" s="1">
        <v>4433.5129204799996</v>
      </c>
    </row>
    <row r="802" spans="7:16" x14ac:dyDescent="0.2">
      <c r="G802" s="1">
        <v>43808</v>
      </c>
      <c r="H802" s="1">
        <v>4.7697714999999992</v>
      </c>
      <c r="I802" s="1">
        <v>-4.2403810999999996</v>
      </c>
      <c r="J802" s="1">
        <v>0.52939040000000015</v>
      </c>
      <c r="N802" s="1">
        <v>34.326048047706017</v>
      </c>
      <c r="O802" s="1">
        <v>27.062249303621176</v>
      </c>
      <c r="P802" s="1">
        <v>4462.864260880001</v>
      </c>
    </row>
    <row r="803" spans="7:16" x14ac:dyDescent="0.2">
      <c r="G803" s="1">
        <v>43809</v>
      </c>
      <c r="H803" s="1">
        <v>4.4442298000000005</v>
      </c>
      <c r="I803" s="1">
        <v>-4.7971393999999989</v>
      </c>
      <c r="J803" s="1">
        <v>-0.35290960000000049</v>
      </c>
      <c r="N803" s="1">
        <v>34.27268986421587</v>
      </c>
      <c r="O803" s="1">
        <v>27.086841504178278</v>
      </c>
      <c r="P803" s="1">
        <v>4455.3422913799986</v>
      </c>
    </row>
    <row r="804" spans="7:16" x14ac:dyDescent="0.2">
      <c r="G804" s="1">
        <v>43810</v>
      </c>
      <c r="H804" s="1">
        <v>4.2732727000000015</v>
      </c>
      <c r="I804" s="1">
        <v>-3.7058985</v>
      </c>
      <c r="J804" s="1">
        <v>0.56737420000000027</v>
      </c>
      <c r="N804" s="1">
        <v>34.656790728227868</v>
      </c>
      <c r="O804" s="1">
        <v>27.447454038997218</v>
      </c>
      <c r="P804" s="1">
        <v>4453.6506884800001</v>
      </c>
    </row>
    <row r="805" spans="7:16" x14ac:dyDescent="0.2">
      <c r="G805" s="1">
        <v>43811</v>
      </c>
      <c r="H805" s="1">
        <v>7.9777657</v>
      </c>
      <c r="I805" s="1">
        <v>-2.6747644000000004</v>
      </c>
      <c r="J805" s="1">
        <v>5.3030012999999991</v>
      </c>
      <c r="N805" s="1">
        <v>35.458386147664449</v>
      </c>
      <c r="O805" s="1">
        <v>28.15260208913649</v>
      </c>
      <c r="P805" s="1">
        <v>4466.3375946800024</v>
      </c>
    </row>
    <row r="806" spans="7:16" x14ac:dyDescent="0.2">
      <c r="G806" s="1">
        <v>43812</v>
      </c>
      <c r="H806" s="1">
        <v>11.075641599999999</v>
      </c>
      <c r="I806" s="1">
        <v>-2.6582751</v>
      </c>
      <c r="J806" s="1">
        <v>8.4173664999999982</v>
      </c>
      <c r="N806" s="1">
        <v>35.882808062435927</v>
      </c>
      <c r="O806" s="1">
        <v>28.561757660167135</v>
      </c>
      <c r="P806" s="1">
        <v>4493.4990399299995</v>
      </c>
    </row>
    <row r="807" spans="7:16" x14ac:dyDescent="0.2">
      <c r="G807" s="1">
        <v>43815</v>
      </c>
      <c r="H807" s="1">
        <v>13.851814700000002</v>
      </c>
      <c r="I807" s="1">
        <v>-5.6743632999999996</v>
      </c>
      <c r="J807" s="1">
        <v>8.1774513999999989</v>
      </c>
      <c r="N807" s="1">
        <v>36.642250145005605</v>
      </c>
      <c r="O807" s="1">
        <v>29.305369080779936</v>
      </c>
      <c r="P807" s="1">
        <v>4515.0364171799993</v>
      </c>
    </row>
    <row r="808" spans="7:16" x14ac:dyDescent="0.2">
      <c r="G808" s="1">
        <v>43816</v>
      </c>
      <c r="H808" s="1">
        <v>4.4268590000000003</v>
      </c>
      <c r="I808" s="1">
        <v>-10.643191500000002</v>
      </c>
      <c r="J808" s="1">
        <v>-6.2163324999999992</v>
      </c>
      <c r="N808" s="1">
        <v>36.72933617945106</v>
      </c>
      <c r="O808" s="1">
        <v>29.379603342618374</v>
      </c>
      <c r="P808" s="1">
        <v>4536.2990495799986</v>
      </c>
    </row>
    <row r="809" spans="7:16" x14ac:dyDescent="0.2">
      <c r="G809" s="1">
        <v>43817</v>
      </c>
      <c r="H809" s="1">
        <v>24.708625299999994</v>
      </c>
      <c r="I809" s="1">
        <v>-6.3530353999999996</v>
      </c>
      <c r="J809" s="1">
        <v>18.355589900000005</v>
      </c>
      <c r="N809" s="1">
        <v>36.726412524960054</v>
      </c>
      <c r="O809" s="1">
        <v>29.390576044568245</v>
      </c>
      <c r="P809" s="1">
        <v>4534.1230801799993</v>
      </c>
    </row>
    <row r="810" spans="7:16" x14ac:dyDescent="0.2">
      <c r="G810" s="1">
        <v>43818</v>
      </c>
      <c r="H810" s="1">
        <v>6.5979529000000001</v>
      </c>
      <c r="I810" s="1">
        <v>-10.033655299999998</v>
      </c>
      <c r="J810" s="1">
        <v>-3.4357024000000003</v>
      </c>
      <c r="N810" s="1">
        <v>37.104410472136358</v>
      </c>
      <c r="O810" s="1">
        <v>29.621014763231191</v>
      </c>
      <c r="P810" s="1">
        <v>4550.6586711800019</v>
      </c>
    </row>
    <row r="811" spans="7:16" x14ac:dyDescent="0.2">
      <c r="G811" s="1">
        <v>43819</v>
      </c>
      <c r="H811" s="1">
        <v>18.394858899999999</v>
      </c>
      <c r="I811" s="1">
        <v>-21.302146200000003</v>
      </c>
      <c r="J811" s="1">
        <v>-2.9072872999999992</v>
      </c>
      <c r="N811" s="1">
        <v>37.496401015607965</v>
      </c>
      <c r="O811" s="1">
        <v>29.867963788300838</v>
      </c>
      <c r="P811" s="1">
        <v>4558.2585316800014</v>
      </c>
    </row>
    <row r="812" spans="7:16" x14ac:dyDescent="0.2">
      <c r="G812" s="1">
        <v>43822</v>
      </c>
      <c r="H812" s="1">
        <v>6.8225532000000007</v>
      </c>
      <c r="I812" s="1">
        <v>-9.2261822999999996</v>
      </c>
      <c r="J812" s="1">
        <v>-2.4036290999999999</v>
      </c>
      <c r="N812" s="1">
        <v>37.599985052773576</v>
      </c>
      <c r="O812" s="1">
        <v>29.983183844011155</v>
      </c>
      <c r="P812" s="1">
        <v>4561.2670590800008</v>
      </c>
    </row>
    <row r="813" spans="7:16" x14ac:dyDescent="0.2">
      <c r="G813" s="1">
        <v>43823</v>
      </c>
      <c r="H813" s="1">
        <v>5.0307044000000012</v>
      </c>
      <c r="I813" s="1">
        <v>-2.9527273999999997</v>
      </c>
      <c r="J813" s="1">
        <v>2.0779769999999997</v>
      </c>
      <c r="N813" s="1">
        <v>37.667937051684554</v>
      </c>
      <c r="O813" s="1">
        <v>30.119974233983285</v>
      </c>
      <c r="P813" s="1">
        <v>4558.3322837799979</v>
      </c>
    </row>
    <row r="814" spans="7:16" x14ac:dyDescent="0.2">
      <c r="G814" s="1">
        <v>43824</v>
      </c>
      <c r="H814" s="1">
        <v>5.2766400000000005E-2</v>
      </c>
      <c r="I814" s="1">
        <v>-0.69105230000000006</v>
      </c>
      <c r="J814" s="1">
        <v>-0.63828590000000007</v>
      </c>
      <c r="N814" s="1">
        <v>37.948010570700276</v>
      </c>
      <c r="O814" s="1">
        <v>30.370347957288764</v>
      </c>
      <c r="P814" s="1">
        <v>4570.4824340149999</v>
      </c>
    </row>
    <row r="815" spans="7:16" x14ac:dyDescent="0.2">
      <c r="G815" s="1">
        <v>43825</v>
      </c>
      <c r="H815" s="1">
        <v>2.9656687999999991</v>
      </c>
      <c r="I815" s="1">
        <v>-2.8151025000000005</v>
      </c>
      <c r="J815" s="1">
        <v>0.15056629999999971</v>
      </c>
      <c r="N815" s="1">
        <v>38.260375489473518</v>
      </c>
      <c r="O815" s="1">
        <v>30.645890761374197</v>
      </c>
      <c r="P815" s="1">
        <v>4580.9517588250028</v>
      </c>
    </row>
    <row r="816" spans="7:16" x14ac:dyDescent="0.2">
      <c r="G816" s="1">
        <v>43826</v>
      </c>
      <c r="H816" s="1">
        <v>8.0093599000000015</v>
      </c>
      <c r="I816" s="1">
        <v>-2.4715315000000002</v>
      </c>
      <c r="J816" s="1">
        <v>5.5378284000000013</v>
      </c>
      <c r="N816" s="1">
        <v>38.316061735587198</v>
      </c>
      <c r="O816" s="1">
        <v>30.769902506963778</v>
      </c>
      <c r="P816" s="1">
        <v>4590.6457369150012</v>
      </c>
    </row>
    <row r="817" spans="7:16" x14ac:dyDescent="0.2">
      <c r="G817" s="1">
        <v>43829</v>
      </c>
      <c r="H817" s="1">
        <v>2.4420502000000002</v>
      </c>
      <c r="I817" s="1">
        <v>-3.8166139999999995</v>
      </c>
      <c r="J817" s="1">
        <v>-1.3745637999999996</v>
      </c>
      <c r="N817" s="1">
        <v>37.757889918803137</v>
      </c>
      <c r="O817" s="1">
        <v>30.409559610027852</v>
      </c>
      <c r="P817" s="1">
        <v>4586.4191870800005</v>
      </c>
    </row>
    <row r="818" spans="7:16" x14ac:dyDescent="0.2">
      <c r="G818" s="1">
        <v>43830</v>
      </c>
      <c r="H818" s="1">
        <v>9.0300380000000011</v>
      </c>
      <c r="I818" s="1">
        <v>-1.6732855</v>
      </c>
      <c r="J818" s="1">
        <v>7.3567525000000042</v>
      </c>
      <c r="N818" s="1">
        <v>38.045137583792524</v>
      </c>
      <c r="O818" s="1">
        <v>30.691766457753015</v>
      </c>
      <c r="P818" s="1">
        <v>4568.7493736799997</v>
      </c>
    </row>
    <row r="819" spans="7:16" x14ac:dyDescent="0.2">
      <c r="G819" s="1">
        <v>43831</v>
      </c>
      <c r="H819" s="1">
        <v>0</v>
      </c>
      <c r="I819" s="1">
        <v>0</v>
      </c>
      <c r="J819" s="1">
        <v>0</v>
      </c>
      <c r="N819" s="1">
        <v>38.512365313742279</v>
      </c>
      <c r="O819" s="1">
        <v>30.981562302692659</v>
      </c>
      <c r="P819" s="1">
        <v>4605.7505406316659</v>
      </c>
    </row>
    <row r="820" spans="7:16" x14ac:dyDescent="0.2">
      <c r="G820" s="1">
        <v>43832</v>
      </c>
      <c r="H820" s="1">
        <v>7.7459739000000019</v>
      </c>
      <c r="I820" s="1">
        <v>-3.0987062000000001</v>
      </c>
      <c r="J820" s="1">
        <v>4.6472676999999996</v>
      </c>
      <c r="N820" s="1">
        <v>38.963429762277698</v>
      </c>
      <c r="O820" s="1">
        <v>31.283837813370475</v>
      </c>
      <c r="P820" s="1">
        <v>4616.3167214316654</v>
      </c>
    </row>
    <row r="821" spans="7:16" x14ac:dyDescent="0.2">
      <c r="G821" s="1">
        <v>43833</v>
      </c>
      <c r="H821" s="1">
        <v>5.536483800000001</v>
      </c>
      <c r="I821" s="1">
        <v>-4.9274507999999999</v>
      </c>
      <c r="J821" s="1">
        <v>0.60903299999999949</v>
      </c>
      <c r="N821" s="1">
        <v>38.195437414398938</v>
      </c>
      <c r="O821" s="1">
        <v>30.774540389972149</v>
      </c>
      <c r="P821" s="1">
        <v>4624.2234202766649</v>
      </c>
    </row>
    <row r="822" spans="7:16" x14ac:dyDescent="0.2">
      <c r="G822" s="1">
        <v>43836</v>
      </c>
      <c r="H822" s="1">
        <v>4.9403454999999994</v>
      </c>
      <c r="I822" s="1">
        <v>-5.4406499999999998</v>
      </c>
      <c r="J822" s="1">
        <v>-0.50030449999999993</v>
      </c>
      <c r="N822" s="1">
        <v>38.428682303069031</v>
      </c>
      <c r="O822" s="1">
        <v>30.865061002785513</v>
      </c>
      <c r="P822" s="1">
        <v>4594.3648906400012</v>
      </c>
    </row>
    <row r="823" spans="7:16" x14ac:dyDescent="0.2">
      <c r="G823" s="1">
        <v>43837</v>
      </c>
      <c r="H823" s="1">
        <v>4.474421099999998</v>
      </c>
      <c r="I823" s="1">
        <v>-4.1111964999999993</v>
      </c>
      <c r="J823" s="1">
        <v>0.36322460000000067</v>
      </c>
      <c r="N823" s="1">
        <v>38.367256950500114</v>
      </c>
      <c r="O823" s="1">
        <v>30.836943454039002</v>
      </c>
      <c r="P823" s="1">
        <v>4599.4239038800024</v>
      </c>
    </row>
    <row r="824" spans="7:16" x14ac:dyDescent="0.2">
      <c r="G824" s="1">
        <v>43838</v>
      </c>
      <c r="H824" s="1">
        <v>8.7152054999999997</v>
      </c>
      <c r="I824" s="1">
        <v>-3.1787034999999997</v>
      </c>
      <c r="J824" s="1">
        <v>5.5365019999999969</v>
      </c>
      <c r="N824" s="1">
        <v>38.573031647446541</v>
      </c>
      <c r="O824" s="1">
        <v>30.832087186629522</v>
      </c>
      <c r="P824" s="1">
        <v>4598.232605979998</v>
      </c>
    </row>
    <row r="825" spans="7:16" x14ac:dyDescent="0.2">
      <c r="G825" s="1">
        <v>43839</v>
      </c>
      <c r="H825" s="1">
        <v>8.4614165999999997</v>
      </c>
      <c r="I825" s="1">
        <v>-2.7253617000000001</v>
      </c>
      <c r="J825" s="1">
        <v>5.7360548999999992</v>
      </c>
      <c r="N825" s="1">
        <v>39.370792211167789</v>
      </c>
      <c r="O825" s="1">
        <v>31.354248189415049</v>
      </c>
      <c r="P825" s="1">
        <v>4606.334025479995</v>
      </c>
    </row>
    <row r="826" spans="7:16" x14ac:dyDescent="0.2">
      <c r="G826" s="1">
        <v>43840</v>
      </c>
      <c r="H826" s="1">
        <v>6.8085731999999997</v>
      </c>
      <c r="I826" s="1">
        <v>-6.0722457000000007</v>
      </c>
      <c r="J826" s="1">
        <v>0.7363275000000008</v>
      </c>
      <c r="N826" s="1">
        <v>39.240045058212225</v>
      </c>
      <c r="O826" s="1">
        <v>31.367512256267414</v>
      </c>
      <c r="P826" s="1">
        <v>4635.2542095800009</v>
      </c>
    </row>
    <row r="827" spans="7:16" x14ac:dyDescent="0.2">
      <c r="G827" s="1">
        <v>43843</v>
      </c>
      <c r="H827" s="1">
        <v>4.4220912999999999</v>
      </c>
      <c r="I827" s="1">
        <v>-2.2662190999999998</v>
      </c>
      <c r="J827" s="1">
        <v>2.1558722000000006</v>
      </c>
      <c r="N827" s="1">
        <v>39.994063202606355</v>
      </c>
      <c r="O827" s="1">
        <v>31.914780501392762</v>
      </c>
      <c r="P827" s="1">
        <v>4631.7175746799985</v>
      </c>
    </row>
    <row r="828" spans="7:16" x14ac:dyDescent="0.2">
      <c r="G828" s="1">
        <v>43844</v>
      </c>
      <c r="H828" s="1">
        <v>5.2764702999999997</v>
      </c>
      <c r="I828" s="1">
        <v>-4.4792331000000001</v>
      </c>
      <c r="J828" s="1">
        <v>0.79723719999999976</v>
      </c>
      <c r="N828" s="1">
        <v>39.934441377660974</v>
      </c>
      <c r="O828" s="1">
        <v>31.956115320334263</v>
      </c>
      <c r="P828" s="1">
        <v>4657.1730862299992</v>
      </c>
    </row>
    <row r="829" spans="7:16" x14ac:dyDescent="0.2">
      <c r="G829" s="1">
        <v>43845</v>
      </c>
      <c r="H829" s="1">
        <v>7.6910535999999983</v>
      </c>
      <c r="I829" s="1">
        <v>-6.6857065999999996</v>
      </c>
      <c r="J829" s="1">
        <v>1.005347</v>
      </c>
      <c r="N829" s="1">
        <v>40.107563615315939</v>
      </c>
      <c r="O829" s="1">
        <v>32.071827019498606</v>
      </c>
      <c r="P829" s="1">
        <v>4657.8891596799995</v>
      </c>
    </row>
    <row r="830" spans="7:16" x14ac:dyDescent="0.2">
      <c r="G830" s="1">
        <v>43846</v>
      </c>
      <c r="H830" s="1">
        <v>6.8424044999999989</v>
      </c>
      <c r="I830" s="1">
        <v>-4.8950736000000008</v>
      </c>
      <c r="J830" s="1">
        <v>1.9473309000000003</v>
      </c>
      <c r="N830" s="1">
        <v>40.950992590542697</v>
      </c>
      <c r="O830" s="1">
        <v>32.661217827298053</v>
      </c>
      <c r="P830" s="1">
        <v>4663.3521912799997</v>
      </c>
    </row>
    <row r="831" spans="7:16" x14ac:dyDescent="0.2">
      <c r="G831" s="1">
        <v>43847</v>
      </c>
      <c r="H831" s="1">
        <v>6.4273488000000008</v>
      </c>
      <c r="I831" s="1">
        <v>-9.5905100000000019</v>
      </c>
      <c r="J831" s="1">
        <v>-3.1631612000000002</v>
      </c>
      <c r="N831" s="1">
        <v>41.294236844758437</v>
      </c>
      <c r="O831" s="1">
        <v>32.918047353760443</v>
      </c>
      <c r="P831" s="1">
        <v>4688.9369616800022</v>
      </c>
    </row>
    <row r="832" spans="7:16" x14ac:dyDescent="0.2">
      <c r="G832" s="1">
        <v>43850</v>
      </c>
      <c r="H832" s="1">
        <v>0.68614240000000004</v>
      </c>
      <c r="I832" s="1">
        <v>-0.49111619999999995</v>
      </c>
      <c r="J832" s="1">
        <v>0.19502620000000001</v>
      </c>
      <c r="N832" s="1">
        <v>41.122318392524996</v>
      </c>
      <c r="O832" s="1">
        <v>32.752476740947067</v>
      </c>
      <c r="P832" s="1">
        <v>4696.5813254799996</v>
      </c>
    </row>
    <row r="833" spans="7:16" x14ac:dyDescent="0.2">
      <c r="G833" s="1">
        <v>43851</v>
      </c>
      <c r="H833" s="1">
        <v>3.8062576999999984</v>
      </c>
      <c r="I833" s="1">
        <v>-5.3143047999999995</v>
      </c>
      <c r="J833" s="1">
        <v>-1.5080471000000004</v>
      </c>
      <c r="N833" s="1">
        <v>40.807707594154536</v>
      </c>
      <c r="O833" s="1">
        <v>32.319409958217271</v>
      </c>
      <c r="P833" s="1">
        <v>4689.3502565299996</v>
      </c>
    </row>
    <row r="834" spans="7:16" x14ac:dyDescent="0.2">
      <c r="G834" s="1">
        <v>43852</v>
      </c>
      <c r="H834" s="1">
        <v>6.3926937000000015</v>
      </c>
      <c r="I834" s="1">
        <v>-6.4595739999999982</v>
      </c>
      <c r="J834" s="1">
        <v>-6.688029999999956E-2</v>
      </c>
      <c r="N834" s="1">
        <v>41.029759347492238</v>
      </c>
      <c r="O834" s="1">
        <v>32.431478133704729</v>
      </c>
      <c r="P834" s="1">
        <v>4677.9616806900012</v>
      </c>
    </row>
    <row r="835" spans="7:16" x14ac:dyDescent="0.2">
      <c r="G835" s="1">
        <v>43853</v>
      </c>
      <c r="H835" s="1">
        <v>6.2818292000000016</v>
      </c>
      <c r="I835" s="1">
        <v>-4.025247600000001</v>
      </c>
      <c r="J835" s="1">
        <v>2.2565816000000014</v>
      </c>
      <c r="N835" s="1">
        <v>40.953649906828247</v>
      </c>
      <c r="O835" s="1">
        <v>32.102793662952649</v>
      </c>
      <c r="P835" s="1">
        <v>4684.1378358500006</v>
      </c>
    </row>
    <row r="836" spans="7:16" x14ac:dyDescent="0.2">
      <c r="G836" s="1">
        <v>43854</v>
      </c>
      <c r="H836" s="1">
        <v>4.8577768999999993</v>
      </c>
      <c r="I836" s="1">
        <v>-6.0051232000000008</v>
      </c>
      <c r="J836" s="1">
        <v>-1.1473463000000002</v>
      </c>
      <c r="N836" s="1">
        <v>40.185886675968263</v>
      </c>
      <c r="O836" s="1">
        <v>31.648684241941876</v>
      </c>
      <c r="P836" s="1">
        <v>4681.6332388550009</v>
      </c>
    </row>
    <row r="837" spans="7:16" x14ac:dyDescent="0.2">
      <c r="G837" s="1">
        <v>43857</v>
      </c>
      <c r="H837" s="1">
        <v>3.5543923999999998</v>
      </c>
      <c r="I837" s="1">
        <v>-5.6127348000000001</v>
      </c>
      <c r="J837" s="1">
        <v>-2.0583424000000003</v>
      </c>
      <c r="N837" s="1">
        <v>38.131915652294815</v>
      </c>
      <c r="O837" s="1">
        <v>29.823623846000796</v>
      </c>
      <c r="P837" s="1">
        <v>4657.6630542361909</v>
      </c>
    </row>
    <row r="838" spans="7:16" x14ac:dyDescent="0.2">
      <c r="G838" s="1">
        <v>43858</v>
      </c>
      <c r="H838" s="1">
        <v>3.7286476</v>
      </c>
      <c r="I838" s="1">
        <v>-4.0609851000000008</v>
      </c>
      <c r="J838" s="1">
        <v>-0.33233749999999973</v>
      </c>
      <c r="N838" s="1">
        <v>39.058238118754261</v>
      </c>
      <c r="O838" s="1">
        <v>30.396971806605656</v>
      </c>
      <c r="P838" s="1">
        <v>4592.7558150507157</v>
      </c>
    </row>
    <row r="839" spans="7:16" x14ac:dyDescent="0.2">
      <c r="G839" s="1">
        <v>43859</v>
      </c>
      <c r="H839" s="1">
        <v>6.6970379000000015</v>
      </c>
      <c r="I839" s="1">
        <v>-3.7992394000000012</v>
      </c>
      <c r="J839" s="1">
        <v>2.8977984999999995</v>
      </c>
      <c r="N839" s="1">
        <v>39.061589827039889</v>
      </c>
      <c r="O839" s="1">
        <v>30.399289683645048</v>
      </c>
      <c r="P839" s="1">
        <v>4618.4154404652372</v>
      </c>
    </row>
    <row r="840" spans="7:16" x14ac:dyDescent="0.2">
      <c r="G840" s="1">
        <v>43860</v>
      </c>
      <c r="H840" s="1">
        <v>4.9312705999999986</v>
      </c>
      <c r="I840" s="1">
        <v>-3.7339670999999997</v>
      </c>
      <c r="J840" s="1">
        <v>1.1973035000000003</v>
      </c>
      <c r="N840" s="1">
        <v>39.00838184663958</v>
      </c>
      <c r="O840" s="1">
        <v>30.064188062077175</v>
      </c>
      <c r="P840" s="1">
        <v>4621.7929305464268</v>
      </c>
    </row>
    <row r="841" spans="7:16" x14ac:dyDescent="0.2">
      <c r="G841" s="1">
        <v>43861</v>
      </c>
      <c r="H841" s="1">
        <v>4.8830792999999995</v>
      </c>
      <c r="I841" s="1">
        <v>-7.0144432999999999</v>
      </c>
      <c r="J841" s="1">
        <v>-2.1313639999999996</v>
      </c>
      <c r="N841" s="1">
        <v>37.285960972445885</v>
      </c>
      <c r="O841" s="1">
        <v>28.737917707918825</v>
      </c>
      <c r="P841" s="1">
        <v>4619.0364657942864</v>
      </c>
    </row>
    <row r="842" spans="7:16" x14ac:dyDescent="0.2">
      <c r="G842" s="1">
        <v>43864</v>
      </c>
      <c r="H842" s="1">
        <v>11.393969300000004</v>
      </c>
      <c r="I842" s="1">
        <v>-7.2227866999999994</v>
      </c>
      <c r="J842" s="1">
        <v>4.1711825999999999</v>
      </c>
      <c r="N842" s="1">
        <v>37.936030340758066</v>
      </c>
      <c r="O842" s="1">
        <v>29.038288857938724</v>
      </c>
      <c r="P842" s="1">
        <v>4565.8803250371448</v>
      </c>
    </row>
    <row r="843" spans="7:16" x14ac:dyDescent="0.2">
      <c r="G843" s="1">
        <v>43865</v>
      </c>
      <c r="H843" s="1">
        <v>12.716312600000002</v>
      </c>
      <c r="I843" s="1">
        <v>-4.1877870999999995</v>
      </c>
      <c r="J843" s="1">
        <v>8.5285254999999971</v>
      </c>
      <c r="N843" s="1">
        <v>39.667876144557958</v>
      </c>
      <c r="O843" s="1">
        <v>30.463557381615598</v>
      </c>
      <c r="P843" s="1">
        <v>4583.7958282300015</v>
      </c>
    </row>
    <row r="844" spans="7:16" x14ac:dyDescent="0.2">
      <c r="G844" s="1">
        <v>43866</v>
      </c>
      <c r="H844" s="1">
        <v>11.8293505</v>
      </c>
      <c r="I844" s="1">
        <v>-2.5983372999999998</v>
      </c>
      <c r="J844" s="1">
        <v>9.2310132000000014</v>
      </c>
      <c r="N844" s="1">
        <v>40.806155782958889</v>
      </c>
      <c r="O844" s="1">
        <v>31.415618105849592</v>
      </c>
      <c r="P844" s="1">
        <v>4642.1130569799989</v>
      </c>
    </row>
    <row r="845" spans="7:16" x14ac:dyDescent="0.2">
      <c r="G845" s="1">
        <v>43867</v>
      </c>
      <c r="H845" s="1">
        <v>5.6242913000000012</v>
      </c>
      <c r="I845" s="1">
        <v>-4.0916870000000003</v>
      </c>
      <c r="J845" s="1">
        <v>1.5326042999999998</v>
      </c>
      <c r="N845" s="1">
        <v>41.367786837130318</v>
      </c>
      <c r="O845" s="1">
        <v>31.834296378830086</v>
      </c>
      <c r="P845" s="1">
        <v>4687.5893578800033</v>
      </c>
    </row>
    <row r="846" spans="7:16" x14ac:dyDescent="0.2">
      <c r="G846" s="1">
        <v>43868</v>
      </c>
      <c r="H846" s="1">
        <v>4.5233603000000002</v>
      </c>
      <c r="I846" s="1">
        <v>-3.4766154000000009</v>
      </c>
      <c r="J846" s="1">
        <v>1.0467449000000004</v>
      </c>
      <c r="N846" s="1">
        <v>40.609436338214913</v>
      </c>
      <c r="O846" s="1">
        <v>31.102955431754882</v>
      </c>
      <c r="P846" s="1">
        <v>4706.0187205800003</v>
      </c>
    </row>
    <row r="847" spans="7:16" x14ac:dyDescent="0.2">
      <c r="G847" s="1">
        <v>43871</v>
      </c>
      <c r="H847" s="1">
        <v>5.7159092000000005</v>
      </c>
      <c r="I847" s="1">
        <v>-3.2752793999999992</v>
      </c>
      <c r="J847" s="1">
        <v>2.4406297999999995</v>
      </c>
      <c r="N847" s="1">
        <v>41.285198599275446</v>
      </c>
      <c r="O847" s="1">
        <v>31.487951253481889</v>
      </c>
      <c r="P847" s="1">
        <v>4683.1672837799979</v>
      </c>
    </row>
    <row r="848" spans="7:16" x14ac:dyDescent="0.2">
      <c r="G848" s="1">
        <v>43872</v>
      </c>
      <c r="H848" s="1">
        <v>6.824521100000001</v>
      </c>
      <c r="I848" s="1">
        <v>-3.4243145000000008</v>
      </c>
      <c r="J848" s="1">
        <v>3.4002066000000006</v>
      </c>
      <c r="N848" s="1">
        <v>41.742815427301537</v>
      </c>
      <c r="O848" s="1">
        <v>32.122477298050143</v>
      </c>
      <c r="P848" s="1">
        <v>4703.6638650799996</v>
      </c>
    </row>
    <row r="849" spans="7:16" x14ac:dyDescent="0.2">
      <c r="G849" s="1">
        <v>43873</v>
      </c>
      <c r="H849" s="1">
        <v>6.0800381000000012</v>
      </c>
      <c r="I849" s="1">
        <v>-2.923303999999999</v>
      </c>
      <c r="J849" s="1">
        <v>3.1567341</v>
      </c>
      <c r="N849" s="1">
        <v>42.451209180707671</v>
      </c>
      <c r="O849" s="1">
        <v>32.670850417827296</v>
      </c>
      <c r="P849" s="1">
        <v>4723.1319358299979</v>
      </c>
    </row>
    <row r="850" spans="7:16" x14ac:dyDescent="0.2">
      <c r="G850" s="1">
        <v>43874</v>
      </c>
      <c r="H850" s="1">
        <v>4.2716073000000003</v>
      </c>
      <c r="I850" s="1">
        <v>-4.4075726000000008</v>
      </c>
      <c r="J850" s="1">
        <v>-0.13596530000000004</v>
      </c>
      <c r="N850" s="1">
        <v>42.271386945483506</v>
      </c>
      <c r="O850" s="1">
        <v>32.440073537604462</v>
      </c>
      <c r="P850" s="1">
        <v>4746.7520433799982</v>
      </c>
    </row>
    <row r="851" spans="7:16" x14ac:dyDescent="0.2">
      <c r="G851" s="1">
        <v>43875</v>
      </c>
      <c r="H851" s="1">
        <v>4.484216899999999</v>
      </c>
      <c r="I851" s="1">
        <v>-3.4354871999999994</v>
      </c>
      <c r="J851" s="1">
        <v>1.0487297000000002</v>
      </c>
      <c r="N851" s="1">
        <v>42.402895379069292</v>
      </c>
      <c r="O851" s="1">
        <v>32.525136211699156</v>
      </c>
      <c r="P851" s="1">
        <v>4740.0003884800017</v>
      </c>
    </row>
    <row r="852" spans="7:16" x14ac:dyDescent="0.2">
      <c r="G852" s="1">
        <v>43878</v>
      </c>
      <c r="H852" s="1">
        <v>0.34072849999999999</v>
      </c>
      <c r="I852" s="1">
        <v>-0.75230559999999991</v>
      </c>
      <c r="J852" s="1">
        <v>-0.41157709999999997</v>
      </c>
      <c r="N852" s="1">
        <v>42.238179738044884</v>
      </c>
      <c r="O852" s="1">
        <v>32.510856685236774</v>
      </c>
      <c r="P852" s="1">
        <v>4743.7297180800006</v>
      </c>
    </row>
    <row r="853" spans="7:16" x14ac:dyDescent="0.2">
      <c r="G853" s="1">
        <v>43879</v>
      </c>
      <c r="H853" s="1">
        <v>4.6363856999999999</v>
      </c>
      <c r="I853" s="1">
        <v>-5.1889809999999992</v>
      </c>
      <c r="J853" s="1">
        <v>-0.55259530000000001</v>
      </c>
      <c r="N853" s="1">
        <v>41.914383747006973</v>
      </c>
      <c r="O853" s="1">
        <v>32.130532869080781</v>
      </c>
      <c r="P853" s="1">
        <v>4737.4285269800012</v>
      </c>
    </row>
    <row r="854" spans="7:16" x14ac:dyDescent="0.2">
      <c r="G854" s="1">
        <v>43880</v>
      </c>
      <c r="H854" s="1">
        <v>6.0727763999999995</v>
      </c>
      <c r="I854" s="1">
        <v>-2.8652291999999995</v>
      </c>
      <c r="J854" s="1">
        <v>3.2075471999999996</v>
      </c>
      <c r="N854" s="1">
        <v>42.457747817402748</v>
      </c>
      <c r="O854" s="1">
        <v>32.556872701949864</v>
      </c>
      <c r="P854" s="1">
        <v>4725.2910432800018</v>
      </c>
    </row>
    <row r="855" spans="7:16" x14ac:dyDescent="0.2">
      <c r="G855" s="1">
        <v>43881</v>
      </c>
      <c r="H855" s="1">
        <v>4.8350253000000007</v>
      </c>
      <c r="I855" s="1">
        <v>-3.3834300000000002</v>
      </c>
      <c r="J855" s="1">
        <v>1.4515953000000006</v>
      </c>
      <c r="N855" s="1">
        <v>41.966359430941594</v>
      </c>
      <c r="O855" s="1">
        <v>32.219262116991644</v>
      </c>
      <c r="P855" s="1">
        <v>4742.019941380001</v>
      </c>
    </row>
    <row r="856" spans="7:16" x14ac:dyDescent="0.2">
      <c r="G856" s="1">
        <v>43882</v>
      </c>
      <c r="H856" s="1">
        <v>6.6166957999999996</v>
      </c>
      <c r="I856" s="1">
        <v>-10.739581100000001</v>
      </c>
      <c r="J856" s="1">
        <v>-4.1228853000000028</v>
      </c>
      <c r="N856" s="1">
        <v>41.022758800185727</v>
      </c>
      <c r="O856" s="1">
        <v>31.773993871866306</v>
      </c>
      <c r="P856" s="1">
        <v>4730.2213558799986</v>
      </c>
    </row>
    <row r="857" spans="7:16" x14ac:dyDescent="0.2">
      <c r="G857" s="1">
        <v>43885</v>
      </c>
      <c r="H857" s="1">
        <v>5.1377390000000007</v>
      </c>
      <c r="I857" s="1">
        <v>-10.573656200000002</v>
      </c>
      <c r="J857" s="1">
        <v>-5.4359172000000004</v>
      </c>
      <c r="N857" s="1">
        <v>37.288746077402365</v>
      </c>
      <c r="O857" s="1">
        <v>28.756678133704735</v>
      </c>
      <c r="P857" s="1">
        <v>4702.3617424299991</v>
      </c>
    </row>
    <row r="858" spans="7:16" x14ac:dyDescent="0.2">
      <c r="G858" s="1">
        <v>43886</v>
      </c>
      <c r="H858" s="1">
        <v>6.2363420999999999</v>
      </c>
      <c r="I858" s="1">
        <v>-15.221039200000003</v>
      </c>
      <c r="J858" s="1">
        <v>-8.9846971</v>
      </c>
      <c r="N858" s="1">
        <v>34.274270495339358</v>
      </c>
      <c r="O858" s="1">
        <v>26.465231197771587</v>
      </c>
      <c r="P858" s="1">
        <v>4584.8544741799997</v>
      </c>
    </row>
    <row r="859" spans="7:16" x14ac:dyDescent="0.2">
      <c r="G859" s="1">
        <v>43887</v>
      </c>
      <c r="H859" s="1">
        <v>5.8992771999999993</v>
      </c>
      <c r="I859" s="1">
        <v>-13.299094800000002</v>
      </c>
      <c r="J859" s="1">
        <v>-7.3998176000000022</v>
      </c>
      <c r="N859" s="1">
        <v>33.788117422666012</v>
      </c>
      <c r="O859" s="1">
        <v>25.938508913649024</v>
      </c>
      <c r="P859" s="1">
        <v>4485.016776479999</v>
      </c>
    </row>
    <row r="860" spans="7:16" x14ac:dyDescent="0.2">
      <c r="G860" s="1">
        <v>43888</v>
      </c>
      <c r="H860" s="1">
        <v>4.2399404000000001</v>
      </c>
      <c r="I860" s="1">
        <v>-12.1943362</v>
      </c>
      <c r="J860" s="1">
        <v>-7.9543958000000012</v>
      </c>
      <c r="N860" s="1">
        <v>29.456197182396622</v>
      </c>
      <c r="O860" s="1">
        <v>22.668764345403897</v>
      </c>
      <c r="P860" s="1">
        <v>4460.0186399800023</v>
      </c>
    </row>
    <row r="861" spans="7:16" x14ac:dyDescent="0.2">
      <c r="G861" s="1">
        <v>43889</v>
      </c>
      <c r="H861" s="1">
        <v>7.2832786999999977</v>
      </c>
      <c r="I861" s="1">
        <v>-15.285758899999999</v>
      </c>
      <c r="J861" s="1">
        <v>-8.0024802000000008</v>
      </c>
      <c r="N861" s="1">
        <v>28.123148738145588</v>
      </c>
      <c r="O861" s="1">
        <v>20.788740947075201</v>
      </c>
      <c r="P861" s="1">
        <v>4320.3444765799995</v>
      </c>
    </row>
    <row r="862" spans="7:16" x14ac:dyDescent="0.2">
      <c r="G862" s="1">
        <v>43892</v>
      </c>
      <c r="H862" s="1">
        <v>13.028003099999999</v>
      </c>
      <c r="I862" s="1">
        <v>-9.8960065999999998</v>
      </c>
      <c r="J862" s="1">
        <v>3.1319964999999987</v>
      </c>
      <c r="N862" s="1">
        <v>32.027746693025087</v>
      </c>
      <c r="O862" s="1">
        <v>23.80224958217271</v>
      </c>
      <c r="P862" s="1">
        <v>4266.6738261799992</v>
      </c>
    </row>
    <row r="863" spans="7:16" x14ac:dyDescent="0.2">
      <c r="G863" s="1">
        <v>43893</v>
      </c>
      <c r="H863" s="1">
        <v>17.074966499999995</v>
      </c>
      <c r="I863" s="1">
        <v>-5.2100353000000013</v>
      </c>
      <c r="J863" s="1">
        <v>11.864931199999997</v>
      </c>
      <c r="N863" s="1">
        <v>30.176065405366945</v>
      </c>
      <c r="O863" s="1">
        <v>22.928714763231206</v>
      </c>
      <c r="P863" s="1">
        <v>4385.2889703799965</v>
      </c>
    </row>
    <row r="864" spans="7:16" x14ac:dyDescent="0.2">
      <c r="G864" s="1">
        <v>43894</v>
      </c>
      <c r="H864" s="1">
        <v>10.655784299999999</v>
      </c>
      <c r="I864" s="1">
        <v>-4.6440134999999989</v>
      </c>
      <c r="J864" s="1">
        <v>6.0117708000000016</v>
      </c>
      <c r="N864" s="1">
        <v>33.706610641667375</v>
      </c>
      <c r="O864" s="1">
        <v>25.437309470752076</v>
      </c>
      <c r="P864" s="1">
        <v>4343.8100428799999</v>
      </c>
    </row>
    <row r="865" spans="7:16" x14ac:dyDescent="0.2">
      <c r="G865" s="1">
        <v>43895</v>
      </c>
      <c r="H865" s="1">
        <v>7.0548152999999996</v>
      </c>
      <c r="I865" s="1">
        <v>-8.5878683999999996</v>
      </c>
      <c r="J865" s="1">
        <v>-1.5330531000000001</v>
      </c>
      <c r="N865" s="1">
        <v>31.145887627593954</v>
      </c>
      <c r="O865" s="1">
        <v>23.641866852367688</v>
      </c>
      <c r="P865" s="1">
        <v>4454.7317258799985</v>
      </c>
    </row>
    <row r="866" spans="7:16" x14ac:dyDescent="0.2">
      <c r="G866" s="1">
        <v>43896</v>
      </c>
      <c r="H866" s="1">
        <v>8.9585197999999995</v>
      </c>
      <c r="I866" s="1">
        <v>-10.347137399999999</v>
      </c>
      <c r="J866" s="1">
        <v>-1.3886175999999997</v>
      </c>
      <c r="N866" s="1">
        <v>29.240580568667216</v>
      </c>
      <c r="O866" s="1">
        <v>21.717966016713085</v>
      </c>
      <c r="P866" s="1">
        <v>4375.7837436799982</v>
      </c>
    </row>
    <row r="867" spans="7:16" x14ac:dyDescent="0.2">
      <c r="G867" s="1">
        <v>43899</v>
      </c>
      <c r="H867" s="1">
        <v>13.119119299999999</v>
      </c>
      <c r="I867" s="1">
        <v>-8.1497478999999977</v>
      </c>
      <c r="J867" s="1">
        <v>4.9693714000000018</v>
      </c>
      <c r="N867" s="1">
        <v>21.719441909492787</v>
      </c>
      <c r="O867" s="1">
        <v>14.599490807799443</v>
      </c>
      <c r="P867" s="1">
        <v>4309.0404671800015</v>
      </c>
    </row>
    <row r="868" spans="7:16" x14ac:dyDescent="0.2">
      <c r="G868" s="1">
        <v>43900</v>
      </c>
      <c r="H868" s="1">
        <v>13.129536299999998</v>
      </c>
      <c r="I868" s="1">
        <v>-11.2175727</v>
      </c>
      <c r="J868" s="1">
        <v>1.9119636000000009</v>
      </c>
      <c r="N868" s="1">
        <v>24.970169752693483</v>
      </c>
      <c r="O868" s="1">
        <v>16.830599721448465</v>
      </c>
      <c r="P868" s="1">
        <v>4064.0543580800013</v>
      </c>
    </row>
    <row r="869" spans="7:16" x14ac:dyDescent="0.2">
      <c r="G869" s="1">
        <v>43901</v>
      </c>
      <c r="H869" s="1">
        <v>11.819932399999995</v>
      </c>
      <c r="I869" s="1">
        <v>-10.609631700000001</v>
      </c>
      <c r="J869" s="1">
        <v>1.2103007000000006</v>
      </c>
      <c r="N869" s="1">
        <v>20.206309573755522</v>
      </c>
      <c r="O869" s="1">
        <v>12.915419777158776</v>
      </c>
      <c r="P869" s="1">
        <v>4165.5745838299981</v>
      </c>
    </row>
    <row r="870" spans="7:16" x14ac:dyDescent="0.2">
      <c r="G870" s="1">
        <v>43902</v>
      </c>
      <c r="H870" s="1">
        <v>16.306851600000002</v>
      </c>
      <c r="I870" s="1">
        <v>-11.7970335</v>
      </c>
      <c r="J870" s="1">
        <v>4.5098181000000013</v>
      </c>
      <c r="N870" s="1">
        <v>10.711846856760577</v>
      </c>
      <c r="O870" s="1">
        <v>3.769747353760446</v>
      </c>
      <c r="P870" s="1">
        <v>4010.5010754800001</v>
      </c>
    </row>
    <row r="871" spans="7:16" x14ac:dyDescent="0.2">
      <c r="G871" s="1">
        <v>43903</v>
      </c>
      <c r="H871" s="1">
        <v>9.6685022000000007</v>
      </c>
      <c r="I871" s="1">
        <v>-15.583218499999997</v>
      </c>
      <c r="J871" s="1">
        <v>-5.914716300000002</v>
      </c>
      <c r="N871" s="1">
        <v>16.142203154628319</v>
      </c>
      <c r="O871" s="1">
        <v>7.6027401114206121</v>
      </c>
      <c r="P871" s="1">
        <v>3693.2982243799993</v>
      </c>
    </row>
    <row r="872" spans="7:16" x14ac:dyDescent="0.2">
      <c r="G872" s="1">
        <v>43906</v>
      </c>
      <c r="H872" s="1">
        <v>17.254960599999997</v>
      </c>
      <c r="I872" s="1">
        <v>-11.650269199999999</v>
      </c>
      <c r="J872" s="1">
        <v>5.6046913999999983</v>
      </c>
      <c r="N872" s="1">
        <v>6.8936711825014152</v>
      </c>
      <c r="O872" s="1">
        <v>-0.15332423398328446</v>
      </c>
      <c r="P872" s="1">
        <v>3854.6183373799995</v>
      </c>
    </row>
    <row r="873" spans="7:16" x14ac:dyDescent="0.2">
      <c r="G873" s="1">
        <v>43907</v>
      </c>
      <c r="H873" s="1">
        <v>9.7109569000000011</v>
      </c>
      <c r="I873" s="1">
        <v>-15.454677999999999</v>
      </c>
      <c r="J873" s="1">
        <v>-5.743721100000001</v>
      </c>
      <c r="N873" s="1">
        <v>10.590855362744451</v>
      </c>
      <c r="O873" s="1">
        <v>2.4376044568245132</v>
      </c>
      <c r="P873" s="1">
        <v>3557.5985512799998</v>
      </c>
    </row>
    <row r="874" spans="7:16" x14ac:dyDescent="0.2">
      <c r="G874" s="1">
        <v>43908</v>
      </c>
      <c r="H874" s="1">
        <v>14.551439100000003</v>
      </c>
      <c r="I874" s="1">
        <v>-20.407614599999999</v>
      </c>
      <c r="J874" s="1">
        <v>-5.8561755000000035</v>
      </c>
      <c r="N874" s="1">
        <v>5.3599902777439627</v>
      </c>
      <c r="O874" s="1">
        <v>-3.3593002785515309</v>
      </c>
      <c r="P874" s="1">
        <v>3671.4736174800014</v>
      </c>
    </row>
    <row r="875" spans="7:16" x14ac:dyDescent="0.2">
      <c r="G875" s="1">
        <v>43909</v>
      </c>
      <c r="H875" s="1">
        <v>9.7260580000000001</v>
      </c>
      <c r="I875" s="1">
        <v>-15.173868099999996</v>
      </c>
      <c r="J875" s="1">
        <v>-5.4478101000000008</v>
      </c>
      <c r="N875" s="1">
        <v>5.4101511874320387</v>
      </c>
      <c r="O875" s="1">
        <v>-3.0559626740947072</v>
      </c>
      <c r="P875" s="1">
        <v>3478.7839076800001</v>
      </c>
    </row>
    <row r="876" spans="7:16" x14ac:dyDescent="0.2">
      <c r="G876" s="1">
        <v>43910</v>
      </c>
      <c r="H876" s="1">
        <v>11.051051699999999</v>
      </c>
      <c r="I876" s="1">
        <v>-10.099644800000002</v>
      </c>
      <c r="J876" s="1">
        <v>0.95140690000000139</v>
      </c>
      <c r="N876" s="1">
        <v>3.420645842996104</v>
      </c>
      <c r="O876" s="1">
        <v>-3.8773073816155996</v>
      </c>
      <c r="P876" s="1">
        <v>3480.98222558</v>
      </c>
    </row>
    <row r="877" spans="7:16" x14ac:dyDescent="0.2">
      <c r="G877" s="1">
        <v>43913</v>
      </c>
      <c r="H877" s="1">
        <v>10.9649789</v>
      </c>
      <c r="I877" s="1">
        <v>-14.651196899999997</v>
      </c>
      <c r="J877" s="1">
        <v>-3.6862180000000011</v>
      </c>
      <c r="N877" s="1">
        <v>2.3050834138373193</v>
      </c>
      <c r="O877" s="1">
        <v>-5.3909052924791112</v>
      </c>
      <c r="P877" s="1">
        <v>3421.29088778</v>
      </c>
    </row>
    <row r="878" spans="7:16" x14ac:dyDescent="0.2">
      <c r="G878" s="1">
        <v>43914</v>
      </c>
      <c r="H878" s="1">
        <v>12.243718300000001</v>
      </c>
      <c r="I878" s="1">
        <v>-7.5901219999999983</v>
      </c>
      <c r="J878" s="1">
        <v>4.6535963000000002</v>
      </c>
      <c r="N878" s="1">
        <v>8.993664541771512</v>
      </c>
      <c r="O878" s="1">
        <v>0.78021448467966614</v>
      </c>
      <c r="P878" s="1">
        <v>3366.8589951799995</v>
      </c>
    </row>
    <row r="879" spans="7:16" x14ac:dyDescent="0.2">
      <c r="G879" s="1">
        <v>43915</v>
      </c>
      <c r="H879" s="1">
        <v>11.564491800000001</v>
      </c>
      <c r="I879" s="1">
        <v>-6.3210510999999983</v>
      </c>
      <c r="J879" s="1">
        <v>5.2434407000000007</v>
      </c>
      <c r="N879" s="1">
        <v>11.22689996508138</v>
      </c>
      <c r="O879" s="1">
        <v>3.3707317548746518</v>
      </c>
      <c r="P879" s="1">
        <v>3598.5940495800028</v>
      </c>
    </row>
    <row r="880" spans="7:16" x14ac:dyDescent="0.2">
      <c r="G880" s="1">
        <v>43916</v>
      </c>
      <c r="H880" s="1">
        <v>12.7859981</v>
      </c>
      <c r="I880" s="1">
        <v>-7.3076310999999974</v>
      </c>
      <c r="J880" s="1">
        <v>5.4783670000000004</v>
      </c>
      <c r="N880" s="1">
        <v>15.408988714969793</v>
      </c>
      <c r="O880" s="1">
        <v>6.9252515320334256</v>
      </c>
      <c r="P880" s="1">
        <v>3685.7188330799995</v>
      </c>
    </row>
    <row r="881" spans="7:16" x14ac:dyDescent="0.2">
      <c r="G881" s="1">
        <v>43917</v>
      </c>
      <c r="H881" s="1">
        <v>8.8047462999999979</v>
      </c>
      <c r="I881" s="1">
        <v>-11.604314799999999</v>
      </c>
      <c r="J881" s="1">
        <v>-2.7995685000000017</v>
      </c>
      <c r="N881" s="1">
        <v>13.353918804853871</v>
      </c>
      <c r="O881" s="1">
        <v>4.9356100278551533</v>
      </c>
      <c r="P881" s="1">
        <v>3826.2529410799989</v>
      </c>
    </row>
    <row r="882" spans="7:16" x14ac:dyDescent="0.2">
      <c r="G882" s="1">
        <v>43920</v>
      </c>
      <c r="H882" s="1">
        <v>10.489197100000002</v>
      </c>
      <c r="I882" s="1">
        <v>-5.2604538999999999</v>
      </c>
      <c r="J882" s="1">
        <v>5.2287432000000011</v>
      </c>
      <c r="N882" s="1">
        <v>15.597205309942934</v>
      </c>
      <c r="O882" s="1">
        <v>6.339979387186629</v>
      </c>
      <c r="P882" s="1">
        <v>3755.9294092799992</v>
      </c>
    </row>
    <row r="883" spans="7:16" x14ac:dyDescent="0.2">
      <c r="G883" s="1">
        <v>43921</v>
      </c>
      <c r="H883" s="1">
        <v>7.0157017999999995</v>
      </c>
      <c r="I883" s="1">
        <v>-6.5238020999999984</v>
      </c>
      <c r="J883" s="1">
        <v>0.49189970000000038</v>
      </c>
      <c r="N883" s="1">
        <v>14.387966777044674</v>
      </c>
      <c r="O883" s="1">
        <v>5.7659832869080772</v>
      </c>
      <c r="P883" s="1">
        <v>3828.5883180799992</v>
      </c>
    </row>
    <row r="884" spans="7:16" x14ac:dyDescent="0.2">
      <c r="G884" s="1">
        <v>43922</v>
      </c>
      <c r="H884" s="1">
        <v>6.3328369000000002</v>
      </c>
      <c r="I884" s="1">
        <v>-10.5693188</v>
      </c>
      <c r="J884" s="1">
        <v>-4.2364819000000029</v>
      </c>
      <c r="N884" s="1">
        <v>10.509034649730834</v>
      </c>
      <c r="O884" s="1">
        <v>2.3041690807799453</v>
      </c>
      <c r="P884" s="1">
        <v>3793.76491618</v>
      </c>
    </row>
    <row r="885" spans="7:16" x14ac:dyDescent="0.2">
      <c r="G885" s="1">
        <v>43923</v>
      </c>
      <c r="H885" s="1">
        <v>11.395267000000002</v>
      </c>
      <c r="I885" s="1">
        <v>-6.6997372000000004</v>
      </c>
      <c r="J885" s="1">
        <v>4.6955298000000019</v>
      </c>
      <c r="N885" s="1">
        <v>11.939896048170944</v>
      </c>
      <c r="O885" s="1">
        <v>3.4782356545960993</v>
      </c>
      <c r="P885" s="1">
        <v>3656.0369000799992</v>
      </c>
    </row>
    <row r="886" spans="7:16" x14ac:dyDescent="0.2">
      <c r="G886" s="1">
        <v>43924</v>
      </c>
      <c r="H886" s="1">
        <v>6.1780184999999994</v>
      </c>
      <c r="I886" s="1">
        <v>-4.5688993</v>
      </c>
      <c r="J886" s="1">
        <v>1.6091192000000001</v>
      </c>
      <c r="N886" s="1">
        <v>10.717843239435881</v>
      </c>
      <c r="O886" s="1">
        <v>2.3324504178272987</v>
      </c>
      <c r="P886" s="1">
        <v>3707.1119315133333</v>
      </c>
    </row>
    <row r="887" spans="7:16" x14ac:dyDescent="0.2">
      <c r="G887" s="1">
        <v>43927</v>
      </c>
      <c r="H887" s="1">
        <v>12.6354281</v>
      </c>
      <c r="I887" s="1">
        <v>-3.1936398000000001</v>
      </c>
      <c r="J887" s="1">
        <v>9.4417883000000025</v>
      </c>
      <c r="N887" s="1">
        <v>16.159016648806357</v>
      </c>
      <c r="O887" s="1">
        <v>6.7645448467966576</v>
      </c>
      <c r="P887" s="1">
        <v>3664.5745041466653</v>
      </c>
    </row>
    <row r="888" spans="7:16" x14ac:dyDescent="0.2">
      <c r="G888" s="1">
        <v>43928</v>
      </c>
      <c r="H888" s="1">
        <v>8.537833899999999</v>
      </c>
      <c r="I888" s="1">
        <v>-4.7687248999999996</v>
      </c>
      <c r="J888" s="1">
        <v>3.7691089999999994</v>
      </c>
      <c r="N888" s="1">
        <v>16.707712313828011</v>
      </c>
      <c r="O888" s="1">
        <v>7.7486888579387179</v>
      </c>
      <c r="P888" s="1">
        <v>3850.1020456800011</v>
      </c>
    </row>
    <row r="889" spans="7:16" x14ac:dyDescent="0.2">
      <c r="G889" s="1">
        <v>43929</v>
      </c>
      <c r="H889" s="1">
        <v>9.8196325000000027</v>
      </c>
      <c r="I889" s="1">
        <v>-5.0117313000000001</v>
      </c>
      <c r="J889" s="1">
        <v>4.8079011999999999</v>
      </c>
      <c r="N889" s="1">
        <v>19.155447832298339</v>
      </c>
      <c r="O889" s="1">
        <v>9.4747665738161579</v>
      </c>
      <c r="P889" s="1">
        <v>3876.5785392799985</v>
      </c>
    </row>
    <row r="890" spans="7:16" x14ac:dyDescent="0.2">
      <c r="G890" s="1">
        <v>43930</v>
      </c>
      <c r="H890" s="1">
        <v>13.886775099999999</v>
      </c>
      <c r="I890" s="1">
        <v>-12.737456600000002</v>
      </c>
      <c r="J890" s="1">
        <v>1.1493184999999992</v>
      </c>
      <c r="N890" s="1">
        <v>20.987159621487752</v>
      </c>
      <c r="O890" s="1">
        <v>11.626485051067784</v>
      </c>
      <c r="P890" s="1">
        <v>3962.4184125800025</v>
      </c>
    </row>
    <row r="891" spans="7:16" x14ac:dyDescent="0.2">
      <c r="G891" s="1">
        <v>43931</v>
      </c>
      <c r="H891" s="1">
        <v>1.1062150000000002</v>
      </c>
      <c r="I891" s="1">
        <v>-0.30421910000000002</v>
      </c>
      <c r="J891" s="1">
        <v>0.80199589999999998</v>
      </c>
      <c r="N891" s="1">
        <v>20.750691078701418</v>
      </c>
      <c r="O891" s="1">
        <v>11.41314531104921</v>
      </c>
      <c r="P891" s="1">
        <v>4030.6354888799983</v>
      </c>
    </row>
    <row r="892" spans="7:16" x14ac:dyDescent="0.2">
      <c r="G892" s="1">
        <v>43934</v>
      </c>
      <c r="H892" s="1">
        <v>7.2616031999999997</v>
      </c>
      <c r="I892" s="1">
        <v>-7.5635458000000009</v>
      </c>
      <c r="J892" s="1">
        <v>-0.30194260000000095</v>
      </c>
      <c r="N892" s="1">
        <v>20.319235283733647</v>
      </c>
      <c r="O892" s="1">
        <v>11.083662674094711</v>
      </c>
      <c r="P892" s="1">
        <v>4025.079248435</v>
      </c>
    </row>
    <row r="893" spans="7:16" x14ac:dyDescent="0.2">
      <c r="G893" s="1">
        <v>43935</v>
      </c>
      <c r="H893" s="1">
        <v>15.701277399999999</v>
      </c>
      <c r="I893" s="1">
        <v>-5.4390129999999992</v>
      </c>
      <c r="J893" s="1">
        <v>10.262264400000001</v>
      </c>
      <c r="N893" s="1">
        <v>22.970107926985857</v>
      </c>
      <c r="O893" s="1">
        <v>12.701594150417824</v>
      </c>
      <c r="P893" s="1">
        <v>4011.7095878300006</v>
      </c>
    </row>
    <row r="894" spans="7:16" x14ac:dyDescent="0.2">
      <c r="G894" s="1">
        <v>43936</v>
      </c>
      <c r="H894" s="1">
        <v>7.6718054999999996</v>
      </c>
      <c r="I894" s="1">
        <v>-6.8460426999999981</v>
      </c>
      <c r="J894" s="1">
        <v>0.82576279999999991</v>
      </c>
      <c r="N894" s="1">
        <v>20.965577055258766</v>
      </c>
      <c r="O894" s="1">
        <v>10.498338997214484</v>
      </c>
      <c r="P894" s="1">
        <v>4092.2027395799978</v>
      </c>
    </row>
    <row r="895" spans="7:16" x14ac:dyDescent="0.2">
      <c r="G895" s="1">
        <v>43937</v>
      </c>
      <c r="H895" s="1">
        <v>5.9381891999999992</v>
      </c>
      <c r="I895" s="1">
        <v>-7.3399173000000024</v>
      </c>
      <c r="J895" s="1">
        <v>-1.401728100000001</v>
      </c>
      <c r="N895" s="1">
        <v>21.327232572668692</v>
      </c>
      <c r="O895" s="1">
        <v>10.49743119777159</v>
      </c>
      <c r="P895" s="1">
        <v>4019.4213910800013</v>
      </c>
    </row>
    <row r="896" spans="7:16" x14ac:dyDescent="0.2">
      <c r="G896" s="1">
        <v>43938</v>
      </c>
      <c r="H896" s="1">
        <v>9.3086838000000007</v>
      </c>
      <c r="I896" s="1">
        <v>-4.8846506000000005</v>
      </c>
      <c r="J896" s="1">
        <v>4.4240332000000002</v>
      </c>
      <c r="N896" s="1">
        <v>23.576590378273703</v>
      </c>
      <c r="O896" s="1">
        <v>12.680018662952644</v>
      </c>
      <c r="P896" s="1">
        <v>4021.7264972800003</v>
      </c>
    </row>
    <row r="897" spans="7:16" x14ac:dyDescent="0.2">
      <c r="G897" s="1">
        <v>43941</v>
      </c>
      <c r="H897" s="1">
        <v>7.7337171999999983</v>
      </c>
      <c r="I897" s="1">
        <v>-5.565421699999999</v>
      </c>
      <c r="J897" s="1">
        <v>2.1682955000000002</v>
      </c>
      <c r="N897" s="1">
        <v>22.234739592470991</v>
      </c>
      <c r="O897" s="1">
        <v>11.686912813370474</v>
      </c>
      <c r="P897" s="1">
        <v>4106.2399358799994</v>
      </c>
    </row>
    <row r="898" spans="7:16" x14ac:dyDescent="0.2">
      <c r="G898" s="1">
        <v>43942</v>
      </c>
      <c r="H898" s="1">
        <v>3.9011818000000007</v>
      </c>
      <c r="I898" s="1">
        <v>-7.0515742999999995</v>
      </c>
      <c r="J898" s="1">
        <v>-3.1503924999999984</v>
      </c>
      <c r="N898" s="1">
        <v>19.376965764067101</v>
      </c>
      <c r="O898" s="1">
        <v>9.2276337047353749</v>
      </c>
      <c r="P898" s="1">
        <v>4063.1517352800024</v>
      </c>
    </row>
    <row r="899" spans="7:16" x14ac:dyDescent="0.2">
      <c r="G899" s="1">
        <v>43943</v>
      </c>
      <c r="H899" s="1">
        <v>5.8908018000000002</v>
      </c>
      <c r="I899" s="1">
        <v>-6.3300667000000015</v>
      </c>
      <c r="J899" s="1">
        <v>-0.43926490000000018</v>
      </c>
      <c r="N899" s="1">
        <v>21.34903939555295</v>
      </c>
      <c r="O899" s="1">
        <v>10.785877437325908</v>
      </c>
      <c r="P899" s="1">
        <v>3970.4418861800023</v>
      </c>
    </row>
    <row r="900" spans="7:16" x14ac:dyDescent="0.2">
      <c r="G900" s="1">
        <v>43944</v>
      </c>
      <c r="H900" s="1">
        <v>3.8407761000000002</v>
      </c>
      <c r="I900" s="1">
        <v>-4.3330785000000009</v>
      </c>
      <c r="J900" s="1">
        <v>-0.49230240000000008</v>
      </c>
      <c r="N900" s="1">
        <v>21.617883455583215</v>
      </c>
      <c r="O900" s="1">
        <v>11.195654596100278</v>
      </c>
      <c r="P900" s="1">
        <v>4026.6916375799992</v>
      </c>
    </row>
    <row r="901" spans="7:16" x14ac:dyDescent="0.2">
      <c r="G901" s="1">
        <v>43945</v>
      </c>
      <c r="H901" s="1">
        <v>5.7784309</v>
      </c>
      <c r="I901" s="1">
        <v>-6.9254457</v>
      </c>
      <c r="J901" s="1">
        <v>-1.1470148000000004</v>
      </c>
      <c r="N901" s="1">
        <v>22.545004948574906</v>
      </c>
      <c r="O901" s="1">
        <v>11.554367966573814</v>
      </c>
      <c r="P901" s="1">
        <v>4037.9266569799988</v>
      </c>
    </row>
    <row r="902" spans="7:16" x14ac:dyDescent="0.2">
      <c r="G902" s="1">
        <v>43948</v>
      </c>
      <c r="H902" s="1">
        <v>6.7683024000000005</v>
      </c>
      <c r="I902" s="1">
        <v>-3.5004869000000007</v>
      </c>
      <c r="J902" s="1">
        <v>3.2678155000000007</v>
      </c>
      <c r="N902" s="1">
        <v>24.164770432574457</v>
      </c>
      <c r="O902" s="1">
        <v>13.193524512534815</v>
      </c>
      <c r="P902" s="1">
        <v>4060.7453541799991</v>
      </c>
    </row>
    <row r="903" spans="7:16" x14ac:dyDescent="0.2">
      <c r="G903" s="1">
        <v>43949</v>
      </c>
      <c r="H903" s="1">
        <v>5.9799537999999997</v>
      </c>
      <c r="I903" s="1">
        <v>-6.083984899999999</v>
      </c>
      <c r="J903" s="1">
        <v>-0.10403110000000054</v>
      </c>
      <c r="N903" s="1">
        <v>24.03188938465701</v>
      </c>
      <c r="O903" s="1">
        <v>13.608706685236772</v>
      </c>
      <c r="P903" s="1">
        <v>4122.2107628800013</v>
      </c>
    </row>
    <row r="904" spans="7:16" x14ac:dyDescent="0.2">
      <c r="G904" s="1">
        <v>43950</v>
      </c>
      <c r="H904" s="1">
        <v>5.0461987999999991</v>
      </c>
      <c r="I904" s="1">
        <v>-5.5547724999999977</v>
      </c>
      <c r="J904" s="1">
        <v>-0.50857370000000024</v>
      </c>
      <c r="N904" s="1">
        <v>26.530385374473735</v>
      </c>
      <c r="O904" s="1">
        <v>15.789134540389972</v>
      </c>
      <c r="P904" s="1">
        <v>4127.8618241799995</v>
      </c>
    </row>
    <row r="905" spans="7:16" x14ac:dyDescent="0.2">
      <c r="G905" s="1">
        <v>43951</v>
      </c>
      <c r="H905" s="1">
        <v>3.9641090999999999</v>
      </c>
      <c r="I905" s="1">
        <v>-6.9277492999999994</v>
      </c>
      <c r="J905" s="1">
        <v>-2.9636402000000004</v>
      </c>
      <c r="N905" s="1">
        <v>25.318812422043266</v>
      </c>
      <c r="O905" s="1">
        <v>14.564902506963792</v>
      </c>
      <c r="P905" s="1">
        <v>4209.3957520299991</v>
      </c>
    </row>
    <row r="906" spans="7:16" x14ac:dyDescent="0.2">
      <c r="G906" s="1">
        <v>43952</v>
      </c>
      <c r="H906" s="1">
        <v>3.9350493000000002</v>
      </c>
      <c r="I906" s="1">
        <v>-5.281116400000001</v>
      </c>
      <c r="J906" s="1">
        <v>-1.3460671000000008</v>
      </c>
      <c r="N906" s="1">
        <v>22.732038494312665</v>
      </c>
      <c r="O906" s="1">
        <v>12.362170473537606</v>
      </c>
      <c r="P906" s="1">
        <v>4162.5479737133337</v>
      </c>
    </row>
    <row r="907" spans="7:16" x14ac:dyDescent="0.2">
      <c r="G907" s="1">
        <v>43955</v>
      </c>
      <c r="H907" s="1">
        <v>3.6062831999999991</v>
      </c>
      <c r="I907" s="1">
        <v>-8.6561018999999995</v>
      </c>
      <c r="J907" s="1">
        <v>-5.0498187000000003</v>
      </c>
      <c r="N907" s="1">
        <v>23.071241401939876</v>
      </c>
      <c r="O907" s="1">
        <v>12.329525974930364</v>
      </c>
      <c r="P907" s="1">
        <v>4077.3841050866672</v>
      </c>
    </row>
    <row r="908" spans="7:16" x14ac:dyDescent="0.2">
      <c r="G908" s="1">
        <v>43956</v>
      </c>
      <c r="H908" s="1">
        <v>5.6922235999999993</v>
      </c>
      <c r="I908" s="1">
        <v>-3.0583067000000002</v>
      </c>
      <c r="J908" s="1">
        <v>2.6339169</v>
      </c>
      <c r="N908" s="1">
        <v>23.988389709029544</v>
      </c>
      <c r="O908" s="1">
        <v>13.090399442896937</v>
      </c>
      <c r="P908" s="1">
        <v>4076.6147645050014</v>
      </c>
    </row>
    <row r="909" spans="7:16" x14ac:dyDescent="0.2">
      <c r="G909" s="1">
        <v>43957</v>
      </c>
      <c r="H909" s="1">
        <v>4.4287589999999994</v>
      </c>
      <c r="I909" s="1">
        <v>-5.506856700000001</v>
      </c>
      <c r="J909" s="1">
        <v>-1.0780976999999996</v>
      </c>
      <c r="N909" s="1">
        <v>23.415486648689154</v>
      </c>
      <c r="O909" s="1">
        <v>12.378986002785519</v>
      </c>
      <c r="P909" s="1">
        <v>4104.8696722100021</v>
      </c>
    </row>
    <row r="910" spans="7:16" x14ac:dyDescent="0.2">
      <c r="G910" s="1">
        <v>43958</v>
      </c>
      <c r="H910" s="1">
        <v>4.7059010999999993</v>
      </c>
      <c r="I910" s="1">
        <v>-5.6123134000000006</v>
      </c>
      <c r="J910" s="1">
        <v>-0.90641230000000039</v>
      </c>
      <c r="N910" s="1">
        <v>24.685663809741754</v>
      </c>
      <c r="O910" s="1">
        <v>13.439591086350973</v>
      </c>
      <c r="P910" s="1">
        <v>4080.416125255002</v>
      </c>
    </row>
    <row r="911" spans="7:16" x14ac:dyDescent="0.2">
      <c r="G911" s="1">
        <v>43959</v>
      </c>
      <c r="H911" s="1">
        <v>7.6819838999999988</v>
      </c>
      <c r="I911" s="1">
        <v>-3.2543424999999995</v>
      </c>
      <c r="J911" s="1">
        <v>4.4276414000000006</v>
      </c>
      <c r="N911" s="1">
        <v>26.378289773903493</v>
      </c>
      <c r="O911" s="1">
        <v>14.99712005571031</v>
      </c>
      <c r="P911" s="1">
        <v>4118.5296963799992</v>
      </c>
    </row>
    <row r="912" spans="7:16" x14ac:dyDescent="0.2">
      <c r="G912" s="1">
        <v>43962</v>
      </c>
      <c r="H912" s="1">
        <v>5.3001529999999999</v>
      </c>
      <c r="I912" s="1">
        <v>-6.0384176000000016</v>
      </c>
      <c r="J912" s="1">
        <v>-0.73826459999999983</v>
      </c>
      <c r="N912" s="1">
        <v>26.418282579446032</v>
      </c>
      <c r="O912" s="1">
        <v>14.789608356545962</v>
      </c>
      <c r="P912" s="1">
        <v>4188.7274672299991</v>
      </c>
    </row>
    <row r="913" spans="7:16" x14ac:dyDescent="0.2">
      <c r="G913" s="1">
        <v>43963</v>
      </c>
      <c r="H913" s="1">
        <v>6.4990477999999996</v>
      </c>
      <c r="I913" s="1">
        <v>-7.4421781000000014</v>
      </c>
      <c r="J913" s="1">
        <v>-0.9431303000000002</v>
      </c>
      <c r="N913" s="1">
        <v>24.847754158177299</v>
      </c>
      <c r="O913" s="1">
        <v>13.660529805013931</v>
      </c>
      <c r="P913" s="1">
        <v>4175.7393086799984</v>
      </c>
    </row>
    <row r="914" spans="7:16" x14ac:dyDescent="0.2">
      <c r="G914" s="1">
        <v>43964</v>
      </c>
      <c r="H914" s="1">
        <v>4.9561201999999991</v>
      </c>
      <c r="I914" s="1">
        <v>-7.6523282999999971</v>
      </c>
      <c r="J914" s="1">
        <v>-2.6962081000000002</v>
      </c>
      <c r="N914" s="1">
        <v>23.408457166365633</v>
      </c>
      <c r="O914" s="1">
        <v>12.222634818941502</v>
      </c>
      <c r="P914" s="1">
        <v>4125.4934355800006</v>
      </c>
    </row>
    <row r="915" spans="7:16" x14ac:dyDescent="0.2">
      <c r="G915" s="1">
        <v>43965</v>
      </c>
      <c r="H915" s="1">
        <v>5.4255612000000006</v>
      </c>
      <c r="I915" s="1">
        <v>-6.9339966000000004</v>
      </c>
      <c r="J915" s="1">
        <v>-1.5084354000000004</v>
      </c>
      <c r="N915" s="1">
        <v>23.932741001192625</v>
      </c>
      <c r="O915" s="1">
        <v>12.25262311977716</v>
      </c>
      <c r="P915" s="1">
        <v>4073.3711575799998</v>
      </c>
    </row>
    <row r="916" spans="7:16" x14ac:dyDescent="0.2">
      <c r="G916" s="1">
        <v>43966</v>
      </c>
      <c r="H916" s="1">
        <v>9.471371900000003</v>
      </c>
      <c r="I916" s="1">
        <v>-4.6215754999999987</v>
      </c>
      <c r="J916" s="1">
        <v>4.8497963999999998</v>
      </c>
      <c r="N916" s="1">
        <v>24.557412253210099</v>
      </c>
      <c r="O916" s="1">
        <v>12.591915598885798</v>
      </c>
      <c r="P916" s="1">
        <v>4082.9967091800008</v>
      </c>
    </row>
    <row r="917" spans="7:16" x14ac:dyDescent="0.2">
      <c r="G917" s="1">
        <v>43969</v>
      </c>
      <c r="H917" s="1">
        <v>9.2483711999999993</v>
      </c>
      <c r="I917" s="1">
        <v>-5.0223545999999999</v>
      </c>
      <c r="J917" s="1">
        <v>4.2260166000000012</v>
      </c>
      <c r="N917" s="1">
        <v>27.360454579142289</v>
      </c>
      <c r="O917" s="1">
        <v>15.604577994428961</v>
      </c>
      <c r="P917" s="1">
        <v>4096.6045920800007</v>
      </c>
    </row>
    <row r="918" spans="7:16" x14ac:dyDescent="0.2">
      <c r="G918" s="1">
        <v>43970</v>
      </c>
      <c r="H918" s="1">
        <v>4.9576773999999997</v>
      </c>
      <c r="I918" s="1">
        <v>-4.7796992000000014</v>
      </c>
      <c r="J918" s="1">
        <v>0.17797819999999934</v>
      </c>
      <c r="N918" s="1">
        <v>26.798374823225611</v>
      </c>
      <c r="O918" s="1">
        <v>15.194122562674094</v>
      </c>
      <c r="P918" s="1">
        <v>4209.0171003300002</v>
      </c>
    </row>
    <row r="919" spans="7:16" x14ac:dyDescent="0.2">
      <c r="G919" s="1">
        <v>43971</v>
      </c>
      <c r="H919" s="1">
        <v>6.8292035000000002</v>
      </c>
      <c r="I919" s="1">
        <v>-4.1629150999999993</v>
      </c>
      <c r="J919" s="1">
        <v>2.6662883999999991</v>
      </c>
      <c r="N919" s="1">
        <v>28.478762734082789</v>
      </c>
      <c r="O919" s="1">
        <v>16.55226908077994</v>
      </c>
      <c r="P919" s="1">
        <v>4188.8691062800017</v>
      </c>
    </row>
    <row r="920" spans="7:16" x14ac:dyDescent="0.2">
      <c r="G920" s="1">
        <v>43972</v>
      </c>
      <c r="H920" s="1">
        <v>6.1974959000000007</v>
      </c>
      <c r="I920" s="1">
        <v>-3.8053816999999999</v>
      </c>
      <c r="J920" s="1">
        <v>2.3921142</v>
      </c>
      <c r="N920" s="1">
        <v>27.6380883656444</v>
      </c>
      <c r="O920" s="1">
        <v>15.864660584958218</v>
      </c>
      <c r="P920" s="1">
        <v>4245.5023389799999</v>
      </c>
    </row>
    <row r="921" spans="7:16" x14ac:dyDescent="0.2">
      <c r="G921" s="1">
        <v>43973</v>
      </c>
      <c r="H921" s="1">
        <v>5.6572586000000005</v>
      </c>
      <c r="I921" s="1">
        <v>-2.3338796999999989</v>
      </c>
      <c r="J921" s="1">
        <v>3.3233789000000007</v>
      </c>
      <c r="N921" s="1">
        <v>27.636028704636086</v>
      </c>
      <c r="O921" s="1">
        <v>15.564891086350979</v>
      </c>
      <c r="P921" s="1">
        <v>4229.4389441900012</v>
      </c>
    </row>
    <row r="922" spans="7:16" x14ac:dyDescent="0.2">
      <c r="G922" s="1">
        <v>43976</v>
      </c>
      <c r="H922" s="1">
        <v>0.70372470000000009</v>
      </c>
      <c r="I922" s="1">
        <v>-1.7935957</v>
      </c>
      <c r="J922" s="1">
        <v>-1.0898710000000003</v>
      </c>
      <c r="N922" s="1">
        <v>28.394290613212409</v>
      </c>
      <c r="O922" s="1">
        <v>16.560507103064072</v>
      </c>
      <c r="P922" s="1">
        <v>4222.1205738799981</v>
      </c>
    </row>
    <row r="923" spans="7:16" x14ac:dyDescent="0.2">
      <c r="G923" s="1">
        <v>43977</v>
      </c>
      <c r="H923" s="1">
        <v>5.9201470999999994</v>
      </c>
      <c r="I923" s="1">
        <v>-4.343324700000001</v>
      </c>
      <c r="J923" s="1">
        <v>1.5768223999999997</v>
      </c>
      <c r="N923" s="1">
        <v>29.260193191958368</v>
      </c>
      <c r="O923" s="1">
        <v>17.611841504178269</v>
      </c>
      <c r="P923" s="1">
        <v>4259.3212431899992</v>
      </c>
    </row>
    <row r="924" spans="7:16" x14ac:dyDescent="0.2">
      <c r="G924" s="1">
        <v>43978</v>
      </c>
      <c r="H924" s="1">
        <v>6.6331847999999995</v>
      </c>
      <c r="I924" s="1">
        <v>-8.3767478000000004</v>
      </c>
      <c r="J924" s="1">
        <v>-1.7435629999999998</v>
      </c>
      <c r="N924" s="1">
        <v>30.477791718772963</v>
      </c>
      <c r="O924" s="1">
        <v>18.610523119777156</v>
      </c>
      <c r="P924" s="1">
        <v>4290.5674006799982</v>
      </c>
    </row>
    <row r="925" spans="7:16" x14ac:dyDescent="0.2">
      <c r="G925" s="1">
        <v>43979</v>
      </c>
      <c r="H925" s="1">
        <v>8.9755195000000008</v>
      </c>
      <c r="I925" s="1">
        <v>-4.505223</v>
      </c>
      <c r="J925" s="1">
        <v>4.470296499999999</v>
      </c>
      <c r="N925" s="1">
        <v>30.785157235128025</v>
      </c>
      <c r="O925" s="1">
        <v>19.002601949860725</v>
      </c>
      <c r="P925" s="1">
        <v>4331.5975250800002</v>
      </c>
    </row>
    <row r="926" spans="7:16" x14ac:dyDescent="0.2">
      <c r="G926" s="1">
        <v>43980</v>
      </c>
      <c r="H926" s="1">
        <v>6.6477931999999997</v>
      </c>
      <c r="I926" s="1">
        <v>-4.6826722000000007</v>
      </c>
      <c r="J926" s="1">
        <v>1.9651210000000003</v>
      </c>
      <c r="N926" s="1">
        <v>31.169477721663249</v>
      </c>
      <c r="O926" s="1">
        <v>19.006481337047347</v>
      </c>
      <c r="P926" s="1">
        <v>4344.12003078</v>
      </c>
    </row>
    <row r="927" spans="7:16" x14ac:dyDescent="0.2">
      <c r="G927" s="1">
        <v>43983</v>
      </c>
      <c r="H927" s="1">
        <v>7.2659682000000005</v>
      </c>
      <c r="I927" s="1">
        <v>-6.2684071999999995</v>
      </c>
      <c r="J927" s="1">
        <v>0.99756100000000147</v>
      </c>
      <c r="N927" s="1">
        <v>32.0992051826166</v>
      </c>
      <c r="O927" s="1">
        <v>20.298675208913654</v>
      </c>
      <c r="P927" s="1">
        <v>4352.0185311799987</v>
      </c>
    </row>
    <row r="928" spans="7:16" x14ac:dyDescent="0.2">
      <c r="G928" s="1">
        <v>43984</v>
      </c>
      <c r="H928" s="1">
        <v>7.2630372000000003</v>
      </c>
      <c r="I928" s="1">
        <v>-8.2725448000000004</v>
      </c>
      <c r="J928" s="1">
        <v>-1.0095076000000007</v>
      </c>
      <c r="N928" s="1">
        <v>32.952697405802169</v>
      </c>
      <c r="O928" s="1">
        <v>21.356076323119773</v>
      </c>
      <c r="P928" s="1">
        <v>4393.7048231600002</v>
      </c>
    </row>
    <row r="929" spans="7:16" x14ac:dyDescent="0.2">
      <c r="G929" s="1">
        <v>43985</v>
      </c>
      <c r="H929" s="1">
        <v>10.9460119</v>
      </c>
      <c r="I929" s="1">
        <v>-4.7535719000000007</v>
      </c>
      <c r="J929" s="1">
        <v>6.1924400000000022</v>
      </c>
      <c r="N929" s="1">
        <v>34.396903191062492</v>
      </c>
      <c r="O929" s="1">
        <v>23.028067409470754</v>
      </c>
      <c r="P929" s="1">
        <v>4418.1268272799989</v>
      </c>
    </row>
    <row r="930" spans="7:16" x14ac:dyDescent="0.2">
      <c r="G930" s="1">
        <v>43986</v>
      </c>
      <c r="H930" s="1">
        <v>12.3436884</v>
      </c>
      <c r="I930" s="1">
        <v>-6.1045618000000008</v>
      </c>
      <c r="J930" s="1">
        <v>6.2391265999999996</v>
      </c>
      <c r="N930" s="1">
        <v>33.992733330634188</v>
      </c>
      <c r="O930" s="1">
        <v>22.817174094707525</v>
      </c>
      <c r="P930" s="1">
        <v>4477.379539479999</v>
      </c>
    </row>
    <row r="931" spans="7:16" x14ac:dyDescent="0.2">
      <c r="G931" s="1">
        <v>43987</v>
      </c>
      <c r="H931" s="1">
        <v>14.5495909</v>
      </c>
      <c r="I931" s="1">
        <v>-5.3600930999999994</v>
      </c>
      <c r="J931" s="1">
        <v>9.1894977999999998</v>
      </c>
      <c r="N931" s="1">
        <v>36.373441852623017</v>
      </c>
      <c r="O931" s="1">
        <v>25.009517270194998</v>
      </c>
      <c r="P931" s="1">
        <v>4474.455863879999</v>
      </c>
    </row>
    <row r="932" spans="7:16" x14ac:dyDescent="0.2">
      <c r="G932" s="1">
        <v>43990</v>
      </c>
      <c r="H932" s="1">
        <v>7.1215539000000003</v>
      </c>
      <c r="I932" s="1">
        <v>-9.7948893999999989</v>
      </c>
      <c r="J932" s="1">
        <v>-2.6733355000000008</v>
      </c>
      <c r="N932" s="1">
        <v>37.913769276473921</v>
      </c>
      <c r="O932" s="1">
        <v>26.294903064066855</v>
      </c>
      <c r="P932" s="1">
        <v>4560.8330794799986</v>
      </c>
    </row>
    <row r="933" spans="7:16" x14ac:dyDescent="0.2">
      <c r="G933" s="1">
        <v>43991</v>
      </c>
      <c r="H933" s="1">
        <v>9.7546959000000015</v>
      </c>
      <c r="I933" s="1">
        <v>-7.2182124000000014</v>
      </c>
      <c r="J933" s="1">
        <v>2.5364834999999997</v>
      </c>
      <c r="N933" s="1">
        <v>37.255140291374985</v>
      </c>
      <c r="O933" s="1">
        <v>25.42169080779945</v>
      </c>
      <c r="P933" s="1">
        <v>4610.9595194300018</v>
      </c>
    </row>
    <row r="934" spans="7:16" x14ac:dyDescent="0.2">
      <c r="G934" s="1">
        <v>43992</v>
      </c>
      <c r="H934" s="1">
        <v>5.9111643000000003</v>
      </c>
      <c r="I934" s="1">
        <v>-10.396912299999997</v>
      </c>
      <c r="J934" s="1">
        <v>-4.4857479999999974</v>
      </c>
      <c r="N934" s="1">
        <v>37.038414696462361</v>
      </c>
      <c r="O934" s="1">
        <v>24.890706406685236</v>
      </c>
      <c r="P934" s="1">
        <v>4585.1875149800007</v>
      </c>
    </row>
    <row r="935" spans="7:16" x14ac:dyDescent="0.2">
      <c r="G935" s="1">
        <v>43993</v>
      </c>
      <c r="H935" s="1">
        <v>5.5047396999999991</v>
      </c>
      <c r="I935" s="1">
        <v>-13.480016500000003</v>
      </c>
      <c r="J935" s="1">
        <v>-7.9752767999999978</v>
      </c>
      <c r="N935" s="1">
        <v>31.102557954895619</v>
      </c>
      <c r="O935" s="1">
        <v>19.911325905292482</v>
      </c>
      <c r="P935" s="1">
        <v>4564.4145319800009</v>
      </c>
    </row>
    <row r="936" spans="7:16" x14ac:dyDescent="0.2">
      <c r="G936" s="1">
        <v>43994</v>
      </c>
      <c r="H936" s="1">
        <v>5.8197918</v>
      </c>
      <c r="I936" s="1">
        <v>-15.845928599999995</v>
      </c>
      <c r="J936" s="1">
        <v>-10.0261368</v>
      </c>
      <c r="N936" s="1">
        <v>31.968647315591106</v>
      </c>
      <c r="O936" s="1">
        <v>20.603826462395538</v>
      </c>
      <c r="P936" s="1">
        <v>4364.4679696799976</v>
      </c>
    </row>
    <row r="937" spans="7:16" x14ac:dyDescent="0.2">
      <c r="G937" s="1">
        <v>43997</v>
      </c>
      <c r="H937" s="1">
        <v>6.3187028999999999</v>
      </c>
      <c r="I937" s="1">
        <v>-5.2540665000000004</v>
      </c>
      <c r="J937" s="1">
        <v>1.0646364000000001</v>
      </c>
      <c r="N937" s="1">
        <v>32.571310945832202</v>
      </c>
      <c r="O937" s="1">
        <v>20.920962395543171</v>
      </c>
      <c r="P937" s="1">
        <v>4384.6119072800002</v>
      </c>
    </row>
    <row r="938" spans="7:16" x14ac:dyDescent="0.2">
      <c r="G938" s="1">
        <v>43998</v>
      </c>
      <c r="H938" s="1">
        <v>19.775928400000005</v>
      </c>
      <c r="I938" s="1">
        <v>-2.4227078999999998</v>
      </c>
      <c r="J938" s="1">
        <v>17.353220499999999</v>
      </c>
      <c r="N938" s="1">
        <v>34.843056722098545</v>
      </c>
      <c r="O938" s="1">
        <v>22.806055153203342</v>
      </c>
      <c r="P938" s="1">
        <v>4395.4292335799992</v>
      </c>
    </row>
    <row r="939" spans="7:16" x14ac:dyDescent="0.2">
      <c r="G939" s="1">
        <v>43999</v>
      </c>
      <c r="H939" s="1">
        <v>8.0020340000000019</v>
      </c>
      <c r="I939" s="1">
        <v>-5.588340800000001</v>
      </c>
      <c r="J939" s="1">
        <v>2.4136932000000013</v>
      </c>
      <c r="N939" s="1">
        <v>34.575376541572446</v>
      </c>
      <c r="O939" s="1">
        <v>22.582366016713088</v>
      </c>
      <c r="P939" s="1">
        <v>4484.4972400799998</v>
      </c>
    </row>
    <row r="940" spans="7:16" x14ac:dyDescent="0.2">
      <c r="G940" s="1">
        <v>44000</v>
      </c>
      <c r="H940" s="1">
        <v>9.6891042999999968</v>
      </c>
      <c r="I940" s="1">
        <v>-5.6829423000000006</v>
      </c>
      <c r="J940" s="1">
        <v>4.0061619999999998</v>
      </c>
      <c r="N940" s="1">
        <v>34.589554253399164</v>
      </c>
      <c r="O940" s="1">
        <v>22.384919498607243</v>
      </c>
      <c r="P940" s="1">
        <v>4475.051932479998</v>
      </c>
    </row>
    <row r="941" spans="7:16" x14ac:dyDescent="0.2">
      <c r="G941" s="1">
        <v>44001</v>
      </c>
      <c r="H941" s="1">
        <v>8.8155648000000024</v>
      </c>
      <c r="I941" s="1">
        <v>-10.1867094</v>
      </c>
      <c r="J941" s="1">
        <v>-1.3711446000000009</v>
      </c>
      <c r="N941" s="1">
        <v>34.318795131317025</v>
      </c>
      <c r="O941" s="1">
        <v>22.297433983286908</v>
      </c>
      <c r="P941" s="1">
        <v>4476.7586291800008</v>
      </c>
    </row>
    <row r="942" spans="7:16" x14ac:dyDescent="0.2">
      <c r="G942" s="1">
        <v>44004</v>
      </c>
      <c r="H942" s="1">
        <v>7.0971973000000004</v>
      </c>
      <c r="I942" s="1">
        <v>-10.004808900000002</v>
      </c>
      <c r="J942" s="1">
        <v>-2.9076116000000005</v>
      </c>
      <c r="N942" s="1">
        <v>35.085493591292533</v>
      </c>
      <c r="O942" s="1">
        <v>22.852032590529252</v>
      </c>
      <c r="P942" s="1">
        <v>4460.8445982800031</v>
      </c>
    </row>
    <row r="943" spans="7:16" x14ac:dyDescent="0.2">
      <c r="G943" s="1">
        <v>44005</v>
      </c>
      <c r="H943" s="1">
        <v>8.0101212999999998</v>
      </c>
      <c r="I943" s="1">
        <v>-6.0567137999999989</v>
      </c>
      <c r="J943" s="1">
        <v>1.9534075</v>
      </c>
      <c r="N943" s="1">
        <v>35.774002127281868</v>
      </c>
      <c r="O943" s="1">
        <v>23.436540947075212</v>
      </c>
      <c r="P943" s="1">
        <v>4480.348813880003</v>
      </c>
    </row>
    <row r="944" spans="7:16" x14ac:dyDescent="0.2">
      <c r="G944" s="1">
        <v>44006</v>
      </c>
      <c r="H944" s="1">
        <v>10.280300599999997</v>
      </c>
      <c r="I944" s="1">
        <v>-8.3611413999999993</v>
      </c>
      <c r="J944" s="1">
        <v>1.9191592000000006</v>
      </c>
      <c r="N944" s="1">
        <v>33.231001852127427</v>
      </c>
      <c r="O944" s="1">
        <v>21.208979665738166</v>
      </c>
      <c r="P944" s="1">
        <v>4501.398456179998</v>
      </c>
    </row>
    <row r="945" spans="7:16" x14ac:dyDescent="0.2">
      <c r="G945" s="1">
        <v>44007</v>
      </c>
      <c r="H945" s="1">
        <v>7.0453246999999992</v>
      </c>
      <c r="I945" s="1">
        <v>-3.6125932000000001</v>
      </c>
      <c r="J945" s="1">
        <v>3.4327314999999992</v>
      </c>
      <c r="N945" s="1">
        <v>34.019566081862287</v>
      </c>
      <c r="O945" s="1">
        <v>21.764677994428972</v>
      </c>
      <c r="P945" s="1">
        <v>4420.2380955800008</v>
      </c>
    </row>
    <row r="946" spans="7:16" x14ac:dyDescent="0.2">
      <c r="G946" s="1">
        <v>44008</v>
      </c>
      <c r="H946" s="1">
        <v>6.2855740000000004</v>
      </c>
      <c r="I946" s="1">
        <v>-8.9750479999999992</v>
      </c>
      <c r="J946" s="1">
        <v>-2.6894740000000006</v>
      </c>
      <c r="N946" s="1">
        <v>32.239653649146746</v>
      </c>
      <c r="O946" s="1">
        <v>20.471678830083565</v>
      </c>
      <c r="P946" s="1">
        <v>4445.4061170133336</v>
      </c>
    </row>
    <row r="947" spans="7:16" x14ac:dyDescent="0.2">
      <c r="G947" s="1">
        <v>44011</v>
      </c>
      <c r="H947" s="1">
        <v>5.0860749000000007</v>
      </c>
      <c r="I947" s="1">
        <v>-6.5868618999999997</v>
      </c>
      <c r="J947" s="1">
        <v>-1.5007869999999992</v>
      </c>
      <c r="N947" s="1">
        <v>33.202075404978807</v>
      </c>
      <c r="O947" s="1">
        <v>21.256771587743728</v>
      </c>
      <c r="P947" s="1">
        <v>4385.9557732466701</v>
      </c>
    </row>
    <row r="948" spans="7:16" x14ac:dyDescent="0.2">
      <c r="G948" s="1">
        <v>44012</v>
      </c>
      <c r="H948" s="1">
        <v>5.7797889999999992</v>
      </c>
      <c r="I948" s="1">
        <v>-3.3198717000000002</v>
      </c>
      <c r="J948" s="1">
        <v>2.4599172999999999</v>
      </c>
      <c r="N948" s="1">
        <v>34.509410037793948</v>
      </c>
      <c r="O948" s="1">
        <v>22.158684679665736</v>
      </c>
      <c r="P948" s="1">
        <v>4417.0036332800018</v>
      </c>
    </row>
    <row r="949" spans="7:16" x14ac:dyDescent="0.2">
      <c r="G949" s="1">
        <v>44013</v>
      </c>
      <c r="H949" s="1">
        <v>6.7592283000000002</v>
      </c>
      <c r="I949" s="1">
        <v>-4.020543</v>
      </c>
      <c r="J949" s="1">
        <v>2.7386853000000011</v>
      </c>
      <c r="N949" s="1">
        <v>35.097004734239036</v>
      </c>
      <c r="O949" s="1">
        <v>22.525925069637886</v>
      </c>
      <c r="P949" s="1">
        <v>4455.8837400799976</v>
      </c>
    </row>
    <row r="950" spans="7:16" x14ac:dyDescent="0.2">
      <c r="G950" s="1">
        <v>44014</v>
      </c>
      <c r="H950" s="1">
        <v>6.8069370999999999</v>
      </c>
      <c r="I950" s="1">
        <v>-3.1810579999999993</v>
      </c>
      <c r="J950" s="1">
        <v>3.6258791000000006</v>
      </c>
      <c r="N950" s="1">
        <v>35.909147847584158</v>
      </c>
      <c r="O950" s="1">
        <v>23.459276044568249</v>
      </c>
      <c r="P950" s="1">
        <v>4470.4757324300008</v>
      </c>
    </row>
    <row r="951" spans="7:16" x14ac:dyDescent="0.2">
      <c r="G951" s="1">
        <v>44015</v>
      </c>
      <c r="H951" s="1">
        <v>1.5883942999999998</v>
      </c>
      <c r="I951" s="1">
        <v>-1.0288393999999998</v>
      </c>
      <c r="J951" s="1">
        <v>0.55955490000000019</v>
      </c>
      <c r="N951" s="1">
        <v>36.822212281334622</v>
      </c>
      <c r="O951" s="1">
        <v>24.017775069637896</v>
      </c>
      <c r="P951" s="1">
        <v>4500.1675826800001</v>
      </c>
    </row>
    <row r="952" spans="7:16" x14ac:dyDescent="0.2">
      <c r="G952" s="1">
        <v>44018</v>
      </c>
      <c r="H952" s="1">
        <v>6.8529968999999991</v>
      </c>
      <c r="I952" s="1">
        <v>-3.1168580000000006</v>
      </c>
      <c r="J952" s="1">
        <v>3.7361388999999985</v>
      </c>
      <c r="N952" s="1">
        <v>38.110289209994541</v>
      </c>
      <c r="O952" s="1">
        <v>25.405190529247921</v>
      </c>
      <c r="P952" s="1">
        <v>4531.5131476800016</v>
      </c>
    </row>
    <row r="953" spans="7:16" x14ac:dyDescent="0.2">
      <c r="G953" s="1">
        <v>44019</v>
      </c>
      <c r="H953" s="1">
        <v>7.0738396999999988</v>
      </c>
      <c r="I953" s="1">
        <v>-4.8608236000000007</v>
      </c>
      <c r="J953" s="1">
        <v>2.213016099999999</v>
      </c>
      <c r="N953" s="1">
        <v>37.099744613783116</v>
      </c>
      <c r="O953" s="1">
        <v>24.442659052924792</v>
      </c>
      <c r="P953" s="1">
        <v>4569.6785203799991</v>
      </c>
    </row>
    <row r="954" spans="7:16" x14ac:dyDescent="0.2">
      <c r="G954" s="1">
        <v>44020</v>
      </c>
      <c r="H954" s="1">
        <v>3.7485421000000003</v>
      </c>
      <c r="I954" s="1">
        <v>-7.5032270999999966</v>
      </c>
      <c r="J954" s="1">
        <v>-3.7546850000000003</v>
      </c>
      <c r="N954" s="1">
        <v>38.04347897061011</v>
      </c>
      <c r="O954" s="1">
        <v>25.066262674094705</v>
      </c>
      <c r="P954" s="1">
        <v>4533.5629661800003</v>
      </c>
    </row>
    <row r="955" spans="7:16" x14ac:dyDescent="0.2">
      <c r="G955" s="1">
        <v>44021</v>
      </c>
      <c r="H955" s="1">
        <v>2.7091998000000004</v>
      </c>
      <c r="I955" s="1">
        <v>-7.0734922999999998</v>
      </c>
      <c r="J955" s="1">
        <v>-4.3642924999999995</v>
      </c>
      <c r="N955" s="1">
        <v>37.677411178684309</v>
      </c>
      <c r="O955" s="1">
        <v>24.418535654596091</v>
      </c>
      <c r="P955" s="1">
        <v>4553.7351483800012</v>
      </c>
    </row>
    <row r="956" spans="7:16" x14ac:dyDescent="0.2">
      <c r="G956" s="1">
        <v>44022</v>
      </c>
      <c r="H956" s="1">
        <v>5.1312252999999997</v>
      </c>
      <c r="I956" s="1">
        <v>-2.3856873000000003</v>
      </c>
      <c r="J956" s="1">
        <v>2.7455379999999998</v>
      </c>
      <c r="N956" s="1">
        <v>38.287906940839605</v>
      </c>
      <c r="O956" s="1">
        <v>24.958563509749304</v>
      </c>
      <c r="P956" s="1">
        <v>4525.3002595800017</v>
      </c>
    </row>
    <row r="957" spans="7:16" x14ac:dyDescent="0.2">
      <c r="G957" s="1">
        <v>44025</v>
      </c>
      <c r="H957" s="1">
        <v>7.0696708999999993</v>
      </c>
      <c r="I957" s="1">
        <v>-2.8565820999999998</v>
      </c>
      <c r="J957" s="1">
        <v>4.2130887999999995</v>
      </c>
      <c r="N957" s="1">
        <v>37.545913596874271</v>
      </c>
      <c r="O957" s="1">
        <v>24.808503621169923</v>
      </c>
      <c r="P957" s="1">
        <v>4550.5430366800019</v>
      </c>
    </row>
    <row r="958" spans="7:16" x14ac:dyDescent="0.2">
      <c r="G958" s="1">
        <v>44026</v>
      </c>
      <c r="H958" s="1">
        <v>5.577506800000001</v>
      </c>
      <c r="I958" s="1">
        <v>-5.6878313999999994</v>
      </c>
      <c r="J958" s="1">
        <v>-0.11032459999999975</v>
      </c>
      <c r="N958" s="1">
        <v>38.572445303596083</v>
      </c>
      <c r="O958" s="1">
        <v>25.446130640668517</v>
      </c>
      <c r="P958" s="1">
        <v>4540.7843089799999</v>
      </c>
    </row>
    <row r="959" spans="7:16" x14ac:dyDescent="0.2">
      <c r="G959" s="1">
        <v>44027</v>
      </c>
      <c r="H959" s="1">
        <v>9.313175900000001</v>
      </c>
      <c r="I959" s="1">
        <v>-5.1588051000000004</v>
      </c>
      <c r="J959" s="1">
        <v>4.1543707999999997</v>
      </c>
      <c r="N959" s="1">
        <v>39.804447735311378</v>
      </c>
      <c r="O959" s="1">
        <v>26.710307242339844</v>
      </c>
      <c r="P959" s="1">
        <v>4573.3939540799984</v>
      </c>
    </row>
    <row r="960" spans="7:16" x14ac:dyDescent="0.2">
      <c r="G960" s="1">
        <v>44028</v>
      </c>
      <c r="H960" s="1">
        <v>5.9735420999999995</v>
      </c>
      <c r="I960" s="1">
        <v>-3.9949408000000006</v>
      </c>
      <c r="J960" s="1">
        <v>1.9786012999999998</v>
      </c>
      <c r="N960" s="1">
        <v>39.060780839971635</v>
      </c>
      <c r="O960" s="1">
        <v>26.012036768802226</v>
      </c>
      <c r="P960" s="1">
        <v>4622.7769055800027</v>
      </c>
    </row>
    <row r="961" spans="7:16" x14ac:dyDescent="0.2">
      <c r="G961" s="1">
        <v>44029</v>
      </c>
      <c r="H961" s="1">
        <v>6.5974544999999996</v>
      </c>
      <c r="I961" s="1">
        <v>-4.4383133999999993</v>
      </c>
      <c r="J961" s="1">
        <v>2.1591411000000003</v>
      </c>
      <c r="N961" s="1">
        <v>39.557438454812093</v>
      </c>
      <c r="O961" s="1">
        <v>26.475619498607244</v>
      </c>
      <c r="P961" s="1">
        <v>4602.8920178800008</v>
      </c>
    </row>
    <row r="962" spans="7:16" x14ac:dyDescent="0.2">
      <c r="G962" s="1">
        <v>44032</v>
      </c>
      <c r="H962" s="1">
        <v>5.0512445000000001</v>
      </c>
      <c r="I962" s="1">
        <v>-4.7171076000000003</v>
      </c>
      <c r="J962" s="1">
        <v>0.33413689999999951</v>
      </c>
      <c r="N962" s="1">
        <v>40.715722735715495</v>
      </c>
      <c r="O962" s="1">
        <v>27.096757103064064</v>
      </c>
      <c r="P962" s="1">
        <v>4618.80992298</v>
      </c>
    </row>
    <row r="963" spans="7:16" x14ac:dyDescent="0.2">
      <c r="G963" s="1">
        <v>44033</v>
      </c>
      <c r="H963" s="1">
        <v>7.1807091999999999</v>
      </c>
      <c r="I963" s="1">
        <v>-2.2917318</v>
      </c>
      <c r="J963" s="1">
        <v>4.8889773999999999</v>
      </c>
      <c r="N963" s="1">
        <v>41.132826647134024</v>
      </c>
      <c r="O963" s="1">
        <v>27.952071866295263</v>
      </c>
      <c r="P963" s="1">
        <v>4643.8764976800012</v>
      </c>
    </row>
    <row r="964" spans="7:16" x14ac:dyDescent="0.2">
      <c r="G964" s="1">
        <v>44034</v>
      </c>
      <c r="H964" s="1">
        <v>6.1068284999999989</v>
      </c>
      <c r="I964" s="1">
        <v>-2.9151695999999996</v>
      </c>
      <c r="J964" s="1">
        <v>3.1916589000000002</v>
      </c>
      <c r="N964" s="1">
        <v>41.64274034623395</v>
      </c>
      <c r="O964" s="1">
        <v>28.274908913649032</v>
      </c>
      <c r="P964" s="1">
        <v>4672.4337776800003</v>
      </c>
    </row>
    <row r="965" spans="7:16" x14ac:dyDescent="0.2">
      <c r="G965" s="1">
        <v>44035</v>
      </c>
      <c r="H965" s="1">
        <v>3.8483215</v>
      </c>
      <c r="I965" s="1">
        <v>-3.5900148999999995</v>
      </c>
      <c r="J965" s="1">
        <v>0.25830660000000044</v>
      </c>
      <c r="N965" s="1">
        <v>40.580306561720562</v>
      </c>
      <c r="O965" s="1">
        <v>27.835167966573806</v>
      </c>
      <c r="P965" s="1">
        <v>4688.8040256799995</v>
      </c>
    </row>
    <row r="966" spans="7:16" x14ac:dyDescent="0.2">
      <c r="G966" s="1">
        <v>44036</v>
      </c>
      <c r="H966" s="1">
        <v>4.4910304999999999</v>
      </c>
      <c r="I966" s="1">
        <v>-3.4426899999999998</v>
      </c>
      <c r="J966" s="1">
        <v>1.0483405000000001</v>
      </c>
      <c r="N966" s="1">
        <v>39.830975117322602</v>
      </c>
      <c r="O966" s="1">
        <v>26.989067688022281</v>
      </c>
      <c r="P966" s="1">
        <v>4666.0568212466678</v>
      </c>
    </row>
    <row r="967" spans="7:16" x14ac:dyDescent="0.2">
      <c r="G967" s="1">
        <v>44039</v>
      </c>
      <c r="H967" s="1">
        <v>4.3803215</v>
      </c>
      <c r="I967" s="1">
        <v>-4.6699698000000014</v>
      </c>
      <c r="J967" s="1">
        <v>-0.28964830000000086</v>
      </c>
      <c r="N967" s="1">
        <v>41.150074341776545</v>
      </c>
      <c r="O967" s="1">
        <v>28.036469637883012</v>
      </c>
      <c r="P967" s="1">
        <v>4644.4246460133345</v>
      </c>
    </row>
    <row r="968" spans="7:16" x14ac:dyDescent="0.2">
      <c r="G968" s="1">
        <v>44040</v>
      </c>
      <c r="H968" s="1">
        <v>5.2026166000000007</v>
      </c>
      <c r="I968" s="1">
        <v>-3.3469823000000001</v>
      </c>
      <c r="J968" s="1">
        <v>1.8556343000000002</v>
      </c>
      <c r="N968" s="1">
        <v>40.519590811115684</v>
      </c>
      <c r="O968" s="1">
        <v>27.757372144846801</v>
      </c>
      <c r="P968" s="1">
        <v>4681.4092157799987</v>
      </c>
    </row>
    <row r="969" spans="7:16" x14ac:dyDescent="0.2">
      <c r="G969" s="1">
        <v>44041</v>
      </c>
      <c r="H969" s="1">
        <v>7.1699839999999986</v>
      </c>
      <c r="I969" s="1">
        <v>-4.5638776999999999</v>
      </c>
      <c r="J969" s="1">
        <v>2.6061062999999995</v>
      </c>
      <c r="N969" s="1">
        <v>41.719080384488336</v>
      </c>
      <c r="O969" s="1">
        <v>28.781090529247916</v>
      </c>
      <c r="P969" s="1">
        <v>4666.626034580001</v>
      </c>
    </row>
    <row r="970" spans="7:16" x14ac:dyDescent="0.2">
      <c r="G970" s="1">
        <v>44042</v>
      </c>
      <c r="H970" s="1">
        <v>4.5539006999999998</v>
      </c>
      <c r="I970" s="1">
        <v>-6.273370299999999</v>
      </c>
      <c r="J970" s="1">
        <v>-1.7194695999999992</v>
      </c>
      <c r="N970" s="1">
        <v>41.170675628129331</v>
      </c>
      <c r="O970" s="1">
        <v>27.966385793871869</v>
      </c>
      <c r="P970" s="1">
        <v>4707.1110101800032</v>
      </c>
    </row>
    <row r="971" spans="7:16" x14ac:dyDescent="0.2">
      <c r="G971" s="1">
        <v>44043</v>
      </c>
      <c r="H971" s="1">
        <v>4.0487677</v>
      </c>
      <c r="I971" s="1">
        <v>-9.5186198999999991</v>
      </c>
      <c r="J971" s="1">
        <v>-5.4698522000000009</v>
      </c>
      <c r="N971" s="1">
        <v>41.425821387043456</v>
      </c>
      <c r="O971" s="1">
        <v>27.64390055710308</v>
      </c>
      <c r="P971" s="1">
        <v>4682.5416198800003</v>
      </c>
    </row>
    <row r="972" spans="7:16" x14ac:dyDescent="0.2">
      <c r="G972" s="1">
        <v>44046</v>
      </c>
      <c r="H972" s="1">
        <v>8.1166321999999997</v>
      </c>
      <c r="I972" s="1">
        <v>-3.3982322999999992</v>
      </c>
      <c r="J972" s="1">
        <v>4.7183999000000014</v>
      </c>
      <c r="N972" s="1">
        <v>42.676987934572082</v>
      </c>
      <c r="O972" s="1">
        <v>28.634348328690798</v>
      </c>
      <c r="P972" s="1">
        <v>4667.9987236800016</v>
      </c>
    </row>
    <row r="973" spans="7:16" x14ac:dyDescent="0.2">
      <c r="G973" s="1">
        <v>44047</v>
      </c>
      <c r="H973" s="1">
        <v>4.4253017999999997</v>
      </c>
      <c r="I973" s="1">
        <v>-3.8543858999999996</v>
      </c>
      <c r="J973" s="1">
        <v>0.57091589999999992</v>
      </c>
      <c r="N973" s="1">
        <v>43.640403659185743</v>
      </c>
      <c r="O973" s="1">
        <v>29.477464902506963</v>
      </c>
      <c r="P973" s="1">
        <v>4708.9000223299981</v>
      </c>
    </row>
    <row r="974" spans="7:16" x14ac:dyDescent="0.2">
      <c r="G974" s="1">
        <v>44048</v>
      </c>
      <c r="H974" s="1">
        <v>5.9229817999999996</v>
      </c>
      <c r="I974" s="1">
        <v>-4.1015167000000003</v>
      </c>
      <c r="J974" s="1">
        <v>1.8214650999999999</v>
      </c>
      <c r="N974" s="1">
        <v>44.487081454944224</v>
      </c>
      <c r="O974" s="1">
        <v>30.384131754874659</v>
      </c>
      <c r="P974" s="1">
        <v>4741.9275522799999</v>
      </c>
    </row>
    <row r="975" spans="7:16" x14ac:dyDescent="0.2">
      <c r="G975" s="1">
        <v>44049</v>
      </c>
      <c r="H975" s="1">
        <v>4.2348964000000002</v>
      </c>
      <c r="I975" s="1">
        <v>-2.3937786999999999</v>
      </c>
      <c r="J975" s="1">
        <v>1.8411176999999999</v>
      </c>
      <c r="N975" s="1">
        <v>45.140822290403037</v>
      </c>
      <c r="O975" s="1">
        <v>30.545430083565474</v>
      </c>
      <c r="P975" s="1">
        <v>4771.236938680001</v>
      </c>
    </row>
    <row r="976" spans="7:16" x14ac:dyDescent="0.2">
      <c r="G976" s="1">
        <v>44050</v>
      </c>
      <c r="H976" s="1">
        <v>4.5317221999999999</v>
      </c>
      <c r="I976" s="1">
        <v>-3.7252109</v>
      </c>
      <c r="J976" s="1">
        <v>0.80651130000000026</v>
      </c>
      <c r="N976" s="1">
        <v>44.585574470388174</v>
      </c>
      <c r="O976" s="1">
        <v>30.18453119777158</v>
      </c>
      <c r="P976" s="1">
        <v>4786.66264598</v>
      </c>
    </row>
    <row r="977" spans="7:16" x14ac:dyDescent="0.2">
      <c r="G977" s="1">
        <v>44053</v>
      </c>
      <c r="H977" s="1">
        <v>5.689870599999999</v>
      </c>
      <c r="I977" s="1">
        <v>-1.9895182000000002</v>
      </c>
      <c r="J977" s="1">
        <v>3.700352399999999</v>
      </c>
      <c r="N977" s="1">
        <v>44.820336414765251</v>
      </c>
      <c r="O977" s="1">
        <v>30.628114345403898</v>
      </c>
      <c r="P977" s="1">
        <v>4776.5191578799986</v>
      </c>
    </row>
    <row r="978" spans="7:16" x14ac:dyDescent="0.2">
      <c r="G978" s="1">
        <v>44054</v>
      </c>
      <c r="H978" s="1">
        <v>6.6143444999999996</v>
      </c>
      <c r="I978" s="1">
        <v>-2.9270958</v>
      </c>
      <c r="J978" s="1">
        <v>3.6872486999999996</v>
      </c>
      <c r="N978" s="1">
        <v>43.547875601948476</v>
      </c>
      <c r="O978" s="1">
        <v>30.165069080779944</v>
      </c>
      <c r="P978" s="1">
        <v>4794.7868688299995</v>
      </c>
    </row>
    <row r="979" spans="7:16" x14ac:dyDescent="0.2">
      <c r="G979" s="1">
        <v>44055</v>
      </c>
      <c r="H979" s="1">
        <v>5.2528829000000004</v>
      </c>
      <c r="I979" s="1">
        <v>-5.0476238000000011</v>
      </c>
      <c r="J979" s="1">
        <v>0.20525910000000067</v>
      </c>
      <c r="N979" s="1">
        <v>45.135923357388918</v>
      </c>
      <c r="O979" s="1">
        <v>31.210237047353761</v>
      </c>
      <c r="P979" s="1">
        <v>4771.2644587799996</v>
      </c>
    </row>
    <row r="980" spans="7:16" x14ac:dyDescent="0.2">
      <c r="G980" s="1">
        <v>44056</v>
      </c>
      <c r="H980" s="1">
        <v>5.1835433999999987</v>
      </c>
      <c r="I980" s="1">
        <v>-4.8502251999999988</v>
      </c>
      <c r="J980" s="1">
        <v>0.3333181999999999</v>
      </c>
      <c r="N980" s="1">
        <v>45.294960516872564</v>
      </c>
      <c r="O980" s="1">
        <v>31.140976880222844</v>
      </c>
      <c r="P980" s="1">
        <v>4814.7164144800008</v>
      </c>
    </row>
    <row r="981" spans="7:16" x14ac:dyDescent="0.2">
      <c r="G981" s="1">
        <v>44057</v>
      </c>
      <c r="H981" s="1">
        <v>5.1390951000000014</v>
      </c>
      <c r="I981" s="1">
        <v>-8.0580376999999999</v>
      </c>
      <c r="J981" s="1">
        <v>-2.9189425999999998</v>
      </c>
      <c r="N981" s="1">
        <v>45.138557711525294</v>
      </c>
      <c r="O981" s="1">
        <v>30.989303342618378</v>
      </c>
      <c r="P981" s="1">
        <v>4816.2872980799975</v>
      </c>
    </row>
    <row r="982" spans="7:16" x14ac:dyDescent="0.2">
      <c r="G982" s="1">
        <v>44060</v>
      </c>
      <c r="H982" s="1">
        <v>4.0124602999999999</v>
      </c>
      <c r="I982" s="1">
        <v>-4.2213915000000002</v>
      </c>
      <c r="J982" s="1">
        <v>-0.20893120000000015</v>
      </c>
      <c r="N982" s="1">
        <v>46.034083291458785</v>
      </c>
      <c r="O982" s="1">
        <v>31.751447075208919</v>
      </c>
      <c r="P982" s="1">
        <v>4808.3951550799984</v>
      </c>
    </row>
    <row r="983" spans="7:16" x14ac:dyDescent="0.2">
      <c r="G983" s="1">
        <v>44061</v>
      </c>
      <c r="H983" s="1">
        <v>5.1168963000000005</v>
      </c>
      <c r="I983" s="1">
        <v>-2.9909084999999997</v>
      </c>
      <c r="J983" s="1">
        <v>2.1259877999999999</v>
      </c>
      <c r="N983" s="1">
        <v>46.377127827793942</v>
      </c>
      <c r="O983" s="1">
        <v>31.77507130919221</v>
      </c>
      <c r="P983" s="1">
        <v>4831.5334842800012</v>
      </c>
    </row>
    <row r="984" spans="7:16" x14ac:dyDescent="0.2">
      <c r="G984" s="1">
        <v>44062</v>
      </c>
      <c r="H984" s="1">
        <v>4.1003477000000004</v>
      </c>
      <c r="I984" s="1">
        <v>-3.3952361000000004</v>
      </c>
      <c r="J984" s="1">
        <v>0.70511159999999928</v>
      </c>
      <c r="N984" s="1">
        <v>45.569951906492257</v>
      </c>
      <c r="O984" s="1">
        <v>31.176669637883009</v>
      </c>
      <c r="P984" s="1">
        <v>4839.5337085800011</v>
      </c>
    </row>
    <row r="985" spans="7:16" x14ac:dyDescent="0.2">
      <c r="G985" s="1">
        <v>44063</v>
      </c>
      <c r="H985" s="1">
        <v>4.0106456000000001</v>
      </c>
      <c r="I985" s="1">
        <v>-2.5400573</v>
      </c>
      <c r="J985" s="1">
        <v>1.4705883</v>
      </c>
      <c r="N985" s="1">
        <v>45.817016606979202</v>
      </c>
      <c r="O985" s="1">
        <v>30.857232033426204</v>
      </c>
      <c r="P985" s="1">
        <v>4816.9235334800005</v>
      </c>
    </row>
    <row r="986" spans="7:16" x14ac:dyDescent="0.2">
      <c r="G986" s="1">
        <v>44064</v>
      </c>
      <c r="H986" s="1">
        <v>2.4346028</v>
      </c>
      <c r="I986" s="1">
        <v>-5.9516575000000005</v>
      </c>
      <c r="J986" s="1">
        <v>-3.5170547000000001</v>
      </c>
      <c r="N986" s="1">
        <v>46.0146240729418</v>
      </c>
      <c r="O986" s="1">
        <v>30.744249582172703</v>
      </c>
      <c r="P986" s="1">
        <v>4816.0121081799998</v>
      </c>
    </row>
    <row r="987" spans="7:16" x14ac:dyDescent="0.2">
      <c r="G987" s="1">
        <v>44067</v>
      </c>
      <c r="H987" s="1">
        <v>4.8897895999999994</v>
      </c>
      <c r="I987" s="1">
        <v>-2.7476483999999997</v>
      </c>
      <c r="J987" s="1">
        <v>2.1421411999999997</v>
      </c>
      <c r="N987" s="1">
        <v>47.019809050757978</v>
      </c>
      <c r="O987" s="1">
        <v>31.787904456824499</v>
      </c>
      <c r="P987" s="1">
        <v>4815.1799049800038</v>
      </c>
    </row>
    <row r="988" spans="7:16" x14ac:dyDescent="0.2">
      <c r="G988" s="1">
        <v>44068</v>
      </c>
      <c r="H988" s="1">
        <v>6.4421082999999992</v>
      </c>
      <c r="I988" s="1">
        <v>-3.4329903000000006</v>
      </c>
      <c r="J988" s="1">
        <v>3.009118</v>
      </c>
      <c r="N988" s="1">
        <v>47.470806509526078</v>
      </c>
      <c r="O988" s="1">
        <v>32.015533704735354</v>
      </c>
      <c r="P988" s="1">
        <v>4852.4026222800012</v>
      </c>
    </row>
    <row r="989" spans="7:16" x14ac:dyDescent="0.2">
      <c r="G989" s="1">
        <v>44069</v>
      </c>
      <c r="H989" s="1">
        <v>6.9840294999999992</v>
      </c>
      <c r="I989" s="1">
        <v>-3.9434486999999998</v>
      </c>
      <c r="J989" s="1">
        <v>3.0405807999999999</v>
      </c>
      <c r="N989" s="1">
        <v>48.751863459062847</v>
      </c>
      <c r="O989" s="1">
        <v>32.575276323119773</v>
      </c>
      <c r="P989" s="1">
        <v>4865.9456459800012</v>
      </c>
    </row>
    <row r="990" spans="7:16" x14ac:dyDescent="0.2">
      <c r="G990" s="1">
        <v>44070</v>
      </c>
      <c r="H990" s="1">
        <v>4.7017897000000008</v>
      </c>
      <c r="I990" s="1">
        <v>-2.5130778</v>
      </c>
      <c r="J990" s="1">
        <v>2.1887118999999999</v>
      </c>
      <c r="N990" s="1">
        <v>48.484246455735907</v>
      </c>
      <c r="O990" s="1">
        <v>32.277468245125348</v>
      </c>
      <c r="P990" s="1">
        <v>4895.9048180799973</v>
      </c>
    </row>
    <row r="991" spans="7:16" x14ac:dyDescent="0.2">
      <c r="G991" s="1">
        <v>44071</v>
      </c>
      <c r="H991" s="1">
        <v>3.7104197000000001</v>
      </c>
      <c r="I991" s="1">
        <v>-5.1194262000000004</v>
      </c>
      <c r="J991" s="1">
        <v>-1.4090065000000003</v>
      </c>
      <c r="N991" s="1">
        <v>49.505513064906829</v>
      </c>
      <c r="O991" s="1">
        <v>33.214430640668525</v>
      </c>
      <c r="P991" s="1">
        <v>4888.8125026799989</v>
      </c>
    </row>
    <row r="992" spans="7:16" x14ac:dyDescent="0.2">
      <c r="G992" s="1">
        <v>44074</v>
      </c>
      <c r="H992" s="1">
        <v>3.9914156000000003</v>
      </c>
      <c r="I992" s="1">
        <v>-5.9836755000000004</v>
      </c>
      <c r="J992" s="1">
        <v>-1.9922599000000005</v>
      </c>
      <c r="N992" s="1">
        <v>49.355409953113849</v>
      </c>
      <c r="O992" s="1">
        <v>32.798637465181059</v>
      </c>
      <c r="P992" s="1">
        <v>4919.2455732800008</v>
      </c>
    </row>
    <row r="993" spans="7:16" x14ac:dyDescent="0.2">
      <c r="G993" s="1">
        <v>44075</v>
      </c>
      <c r="H993" s="1">
        <v>5.162248700000001</v>
      </c>
      <c r="I993" s="1">
        <v>-4.7412323999999995</v>
      </c>
      <c r="J993" s="1">
        <v>0.42101629999999929</v>
      </c>
      <c r="N993" s="1">
        <v>50.490575804176018</v>
      </c>
      <c r="O993" s="1">
        <v>33.366615320334255</v>
      </c>
      <c r="P993" s="1">
        <v>4915.7037777900014</v>
      </c>
    </row>
    <row r="994" spans="7:16" x14ac:dyDescent="0.2">
      <c r="G994" s="1">
        <v>44076</v>
      </c>
      <c r="H994" s="1">
        <v>7.605928200000001</v>
      </c>
      <c r="I994" s="1">
        <v>-4.7944030999999994</v>
      </c>
      <c r="J994" s="1">
        <v>2.8115250999999999</v>
      </c>
      <c r="N994" s="1">
        <v>51.858252141459694</v>
      </c>
      <c r="O994" s="1">
        <v>34.354669916434538</v>
      </c>
      <c r="P994" s="1">
        <v>4931.1392455799996</v>
      </c>
    </row>
    <row r="995" spans="7:16" x14ac:dyDescent="0.2">
      <c r="G995" s="1">
        <v>44077</v>
      </c>
      <c r="H995" s="1">
        <v>4.6127812999999991</v>
      </c>
      <c r="I995" s="1">
        <v>-3.5763030000000002</v>
      </c>
      <c r="J995" s="1">
        <v>1.0364783</v>
      </c>
      <c r="N995" s="1">
        <v>47.735429254963826</v>
      </c>
      <c r="O995" s="1">
        <v>31.904501114206116</v>
      </c>
      <c r="P995" s="1">
        <v>4974.9737327799976</v>
      </c>
    </row>
    <row r="996" spans="7:16" x14ac:dyDescent="0.2">
      <c r="G996" s="1">
        <v>44078</v>
      </c>
      <c r="H996" s="1">
        <v>7.8572905999999998</v>
      </c>
      <c r="I996" s="1">
        <v>-4.507199299999999</v>
      </c>
      <c r="J996" s="1">
        <v>3.3500913000000008</v>
      </c>
      <c r="N996" s="1">
        <v>46.579066427919045</v>
      </c>
      <c r="O996" s="1">
        <v>31.128588857938713</v>
      </c>
      <c r="P996" s="1">
        <v>4872.2393041799978</v>
      </c>
    </row>
    <row r="997" spans="7:16" x14ac:dyDescent="0.2">
      <c r="G997" s="1">
        <v>44081</v>
      </c>
      <c r="H997" s="1">
        <v>1.1407653</v>
      </c>
      <c r="I997" s="1">
        <v>-0.9046152999999999</v>
      </c>
      <c r="J997" s="1">
        <v>0.23615000000000003</v>
      </c>
      <c r="N997" s="1">
        <v>45.126583912311354</v>
      </c>
      <c r="O997" s="1">
        <v>30.513590947075208</v>
      </c>
      <c r="P997" s="1">
        <v>4844.7009339799979</v>
      </c>
    </row>
    <row r="998" spans="7:16" x14ac:dyDescent="0.2">
      <c r="G998" s="1">
        <v>44082</v>
      </c>
      <c r="H998" s="1">
        <v>6.4497735999999994</v>
      </c>
      <c r="I998" s="1">
        <v>-6.0410879999999993</v>
      </c>
      <c r="J998" s="1">
        <v>0.40868559999999987</v>
      </c>
      <c r="N998" s="1">
        <v>43.664550547552913</v>
      </c>
      <c r="O998" s="1">
        <v>29.45530835654597</v>
      </c>
      <c r="P998" s="1">
        <v>4800.8615961300029</v>
      </c>
    </row>
    <row r="999" spans="7:16" x14ac:dyDescent="0.2">
      <c r="G999" s="1">
        <v>44083</v>
      </c>
      <c r="H999" s="1">
        <v>5.1079124999999994</v>
      </c>
      <c r="I999" s="1">
        <v>-4.0742900000000013</v>
      </c>
      <c r="J999" s="1">
        <v>1.0336224999999999</v>
      </c>
      <c r="N999" s="1">
        <v>45.794523679721863</v>
      </c>
      <c r="O999" s="1">
        <v>30.832566016713088</v>
      </c>
      <c r="P999" s="1">
        <v>4772.574463779999</v>
      </c>
    </row>
    <row r="1000" spans="7:16" x14ac:dyDescent="0.2">
      <c r="G1000" s="1">
        <v>44084</v>
      </c>
      <c r="H1000" s="1">
        <v>4.7743377999999996</v>
      </c>
      <c r="I1000" s="1">
        <v>-5.0778660999999996</v>
      </c>
      <c r="J1000" s="1">
        <v>-0.30352830000000036</v>
      </c>
      <c r="N1000" s="1">
        <v>44.15973737332736</v>
      </c>
      <c r="O1000" s="1">
        <v>29.828140111420613</v>
      </c>
      <c r="P1000" s="1">
        <v>4827.4055313800018</v>
      </c>
    </row>
    <row r="1001" spans="7:16" x14ac:dyDescent="0.2">
      <c r="G1001" s="1">
        <v>44085</v>
      </c>
      <c r="H1001" s="1">
        <v>6.1980001999999992</v>
      </c>
      <c r="I1001" s="1">
        <v>-5.2379040000000003</v>
      </c>
      <c r="J1001" s="1">
        <v>0.96009620000000018</v>
      </c>
      <c r="N1001" s="1">
        <v>44.182464851429707</v>
      </c>
      <c r="O1001" s="1">
        <v>29.967311420612816</v>
      </c>
      <c r="P1001" s="1">
        <v>4783.2649194800024</v>
      </c>
    </row>
    <row r="1002" spans="7:16" x14ac:dyDescent="0.2">
      <c r="G1002" s="1">
        <v>44088</v>
      </c>
      <c r="H1002" s="1">
        <v>7.2753154000000011</v>
      </c>
      <c r="I1002" s="1">
        <v>-3.6588306000000004</v>
      </c>
      <c r="J1002" s="1">
        <v>3.6164847999999998</v>
      </c>
      <c r="N1002" s="1">
        <v>46.02916269711698</v>
      </c>
      <c r="O1002" s="1">
        <v>31.392751810584965</v>
      </c>
      <c r="P1002" s="1">
        <v>4790.4810477800011</v>
      </c>
    </row>
    <row r="1003" spans="7:16" x14ac:dyDescent="0.2">
      <c r="G1003" s="1">
        <v>44089</v>
      </c>
      <c r="H1003" s="1">
        <v>19.248958900000002</v>
      </c>
      <c r="I1003" s="1">
        <v>-3.8834793000000007</v>
      </c>
      <c r="J1003" s="1">
        <v>15.365479600000004</v>
      </c>
      <c r="N1003" s="1">
        <v>46.78680951869913</v>
      </c>
      <c r="O1003" s="1">
        <v>31.908029247910861</v>
      </c>
      <c r="P1003" s="1">
        <v>4848.5810631800032</v>
      </c>
    </row>
    <row r="1004" spans="7:16" x14ac:dyDescent="0.2">
      <c r="G1004" s="1">
        <v>44090</v>
      </c>
      <c r="H1004" s="1">
        <v>10.748220299999998</v>
      </c>
      <c r="I1004" s="1">
        <v>-3.3530226000000001</v>
      </c>
      <c r="J1004" s="1">
        <v>7.3951977000000007</v>
      </c>
      <c r="N1004" s="1">
        <v>46.44673680726153</v>
      </c>
      <c r="O1004" s="1">
        <v>32.020464484679671</v>
      </c>
      <c r="P1004" s="1">
        <v>4881.3355440800015</v>
      </c>
    </row>
    <row r="1005" spans="7:16" x14ac:dyDescent="0.2">
      <c r="G1005" s="1">
        <v>44091</v>
      </c>
      <c r="H1005" s="1">
        <v>7.4556960999999999</v>
      </c>
      <c r="I1005" s="1">
        <v>-5.1440406000000003</v>
      </c>
      <c r="J1005" s="1">
        <v>2.3116554999999988</v>
      </c>
      <c r="N1005" s="1">
        <v>45.400105311177121</v>
      </c>
      <c r="O1005" s="1">
        <v>31.270840111420604</v>
      </c>
      <c r="P1005" s="1">
        <v>4887.6788521799981</v>
      </c>
    </row>
    <row r="1006" spans="7:16" x14ac:dyDescent="0.2">
      <c r="G1006" s="1">
        <v>44092</v>
      </c>
      <c r="H1006" s="1">
        <v>7.9672968999999974</v>
      </c>
      <c r="I1006" s="1">
        <v>-14.510158800000001</v>
      </c>
      <c r="J1006" s="1">
        <v>-6.5428619000000001</v>
      </c>
      <c r="N1006" s="1">
        <v>44.409126385929312</v>
      </c>
      <c r="O1006" s="1">
        <v>30.698443454038987</v>
      </c>
      <c r="P1006" s="1">
        <v>4861.7794603800021</v>
      </c>
    </row>
    <row r="1007" spans="7:16" x14ac:dyDescent="0.2">
      <c r="G1007" s="1">
        <v>44095</v>
      </c>
      <c r="H1007" s="1">
        <v>8.7022589999999997</v>
      </c>
      <c r="I1007" s="1">
        <v>-16.747153099999995</v>
      </c>
      <c r="J1007" s="1">
        <v>-8.0448941000000023</v>
      </c>
      <c r="N1007" s="1">
        <v>42.747886939667815</v>
      </c>
      <c r="O1007" s="1">
        <v>28.412113370473541</v>
      </c>
      <c r="P1007" s="1">
        <v>4830.6607676800004</v>
      </c>
    </row>
    <row r="1008" spans="7:16" x14ac:dyDescent="0.2">
      <c r="G1008" s="1">
        <v>44096</v>
      </c>
      <c r="H1008" s="1">
        <v>4.1550896999999996</v>
      </c>
      <c r="I1008" s="1">
        <v>-8.9690828000000025</v>
      </c>
      <c r="J1008" s="1">
        <v>-4.8139931000000002</v>
      </c>
      <c r="N1008" s="1">
        <v>43.665049576055338</v>
      </c>
      <c r="O1008" s="1">
        <v>28.722356824512538</v>
      </c>
      <c r="P1008" s="1">
        <v>4751.9323095133313</v>
      </c>
    </row>
    <row r="1009" spans="7:16" x14ac:dyDescent="0.2">
      <c r="G1009" s="1">
        <v>44097</v>
      </c>
      <c r="H1009" s="1">
        <v>2.9452387999999998</v>
      </c>
      <c r="I1009" s="1">
        <v>-9.8457612999999977</v>
      </c>
      <c r="J1009" s="1">
        <v>-6.9005224999999992</v>
      </c>
      <c r="N1009" s="1">
        <v>41.127524477009388</v>
      </c>
      <c r="O1009" s="1">
        <v>27.110661838440105</v>
      </c>
      <c r="P1009" s="1">
        <v>4766.0985364466687</v>
      </c>
    </row>
    <row r="1010" spans="7:16" x14ac:dyDescent="0.2">
      <c r="G1010" s="1">
        <v>44098</v>
      </c>
      <c r="H1010" s="1">
        <v>5.8303682999999982</v>
      </c>
      <c r="I1010" s="1">
        <v>-5.2311734000000003</v>
      </c>
      <c r="J1010" s="1">
        <v>0.59919490000000009</v>
      </c>
      <c r="N1010" s="1">
        <v>41.112073475213798</v>
      </c>
      <c r="O1010" s="1">
        <v>26.82001922005572</v>
      </c>
      <c r="P1010" s="1">
        <v>4683.183471479997</v>
      </c>
    </row>
    <row r="1011" spans="7:16" x14ac:dyDescent="0.2">
      <c r="G1011" s="1">
        <v>44099</v>
      </c>
      <c r="H1011" s="1">
        <v>5.1916695000000006</v>
      </c>
      <c r="I1011" s="1">
        <v>-4.7250589000000005</v>
      </c>
      <c r="J1011" s="1">
        <v>0.46661060000000004</v>
      </c>
      <c r="N1011" s="1">
        <v>42.643995075908549</v>
      </c>
      <c r="O1011" s="1">
        <v>27.562949860724235</v>
      </c>
      <c r="P1011" s="1">
        <v>4679.9986169800031</v>
      </c>
    </row>
    <row r="1012" spans="7:16" x14ac:dyDescent="0.2">
      <c r="G1012" s="1">
        <v>44102</v>
      </c>
      <c r="H1012" s="1">
        <v>11.31954</v>
      </c>
      <c r="I1012" s="1">
        <v>-2.4402856000000002</v>
      </c>
      <c r="J1012" s="1">
        <v>8.8792544000000007</v>
      </c>
      <c r="N1012" s="1">
        <v>44.864425911991262</v>
      </c>
      <c r="O1012" s="1">
        <v>29.332637325905282</v>
      </c>
      <c r="P1012" s="1">
        <v>4716.9966585800012</v>
      </c>
    </row>
    <row r="1013" spans="7:16" x14ac:dyDescent="0.2">
      <c r="G1013" s="1">
        <v>44103</v>
      </c>
      <c r="H1013" s="1">
        <v>6.0967373999999994</v>
      </c>
      <c r="I1013" s="1">
        <v>-6.2171713000000004</v>
      </c>
      <c r="J1013" s="1">
        <v>-0.12043390000000148</v>
      </c>
      <c r="N1013" s="1">
        <v>44.551333791137544</v>
      </c>
      <c r="O1013" s="1">
        <v>29.197233147632303</v>
      </c>
      <c r="P1013" s="1">
        <v>4792.9286808799998</v>
      </c>
    </row>
    <row r="1014" spans="7:16" x14ac:dyDescent="0.2">
      <c r="G1014" s="1">
        <v>44104</v>
      </c>
      <c r="H1014" s="1">
        <v>5.2431549999999989</v>
      </c>
      <c r="I1014" s="1">
        <v>-4.8607596999999991</v>
      </c>
      <c r="J1014" s="1">
        <v>0.38239529999999972</v>
      </c>
      <c r="N1014" s="1">
        <v>45.044986876436035</v>
      </c>
      <c r="O1014" s="1">
        <v>29.501554596100284</v>
      </c>
      <c r="P1014" s="1">
        <v>4783.6571835800014</v>
      </c>
    </row>
    <row r="1015" spans="7:16" x14ac:dyDescent="0.2">
      <c r="G1015" s="1">
        <v>44105</v>
      </c>
      <c r="H1015" s="1">
        <v>5.7534447999999996</v>
      </c>
      <c r="I1015" s="1">
        <v>-9.1977938999999971</v>
      </c>
      <c r="J1015" s="1">
        <v>-3.4443490999999988</v>
      </c>
      <c r="N1015" s="1">
        <v>46.043504879002519</v>
      </c>
      <c r="O1015" s="1">
        <v>30.17439017111024</v>
      </c>
      <c r="P1015" s="1">
        <v>4794.5400950800013</v>
      </c>
    </row>
    <row r="1016" spans="7:16" x14ac:dyDescent="0.2">
      <c r="G1016" s="1">
        <v>44106</v>
      </c>
      <c r="H1016" s="1">
        <v>6.4337384000000002</v>
      </c>
      <c r="I1016" s="1">
        <v>-4.2592240000000006</v>
      </c>
      <c r="J1016" s="1">
        <v>2.1745144000000001</v>
      </c>
      <c r="N1016" s="1">
        <v>44.832722103939943</v>
      </c>
      <c r="O1016" s="1">
        <v>29.795524074810984</v>
      </c>
      <c r="P1016" s="1">
        <v>4816.3511010419033</v>
      </c>
    </row>
    <row r="1017" spans="7:16" x14ac:dyDescent="0.2">
      <c r="G1017" s="1">
        <v>44109</v>
      </c>
      <c r="H1017" s="1">
        <v>7.0780865000000013</v>
      </c>
      <c r="I1017" s="1">
        <v>-1.4181830000000002</v>
      </c>
      <c r="J1017" s="1">
        <v>5.6599035000000004</v>
      </c>
      <c r="N1017" s="1">
        <v>46.92598948531657</v>
      </c>
      <c r="O1017" s="1">
        <v>31.434044608038217</v>
      </c>
      <c r="P1017" s="1">
        <v>4793.0765516538095</v>
      </c>
    </row>
    <row r="1018" spans="7:16" x14ac:dyDescent="0.2">
      <c r="G1018" s="1">
        <v>44110</v>
      </c>
      <c r="H1018" s="1">
        <v>5.0161822999999996</v>
      </c>
      <c r="I1018" s="1">
        <v>-5.1940875999999996</v>
      </c>
      <c r="J1018" s="1">
        <v>-0.17790529999999999</v>
      </c>
      <c r="N1018" s="1">
        <v>45.6476968279568</v>
      </c>
      <c r="O1018" s="1">
        <v>30.841742021488269</v>
      </c>
      <c r="P1018" s="1">
        <v>4859.948258865712</v>
      </c>
    </row>
    <row r="1019" spans="7:16" x14ac:dyDescent="0.2">
      <c r="G1019" s="1">
        <v>44111</v>
      </c>
      <c r="H1019" s="1">
        <v>7.8339479999999995</v>
      </c>
      <c r="I1019" s="1">
        <v>-4.3567917999999981</v>
      </c>
      <c r="J1019" s="1">
        <v>3.4771562000000009</v>
      </c>
      <c r="N1019" s="1">
        <v>47.299008822787336</v>
      </c>
      <c r="O1019" s="1">
        <v>31.878889017111014</v>
      </c>
      <c r="P1019" s="1">
        <v>4827.9148666942883</v>
      </c>
    </row>
    <row r="1020" spans="7:16" x14ac:dyDescent="0.2">
      <c r="G1020" s="1">
        <v>44112</v>
      </c>
      <c r="H1020" s="1">
        <v>6.8431453999999983</v>
      </c>
      <c r="I1020" s="1">
        <v>-3.4921885000000006</v>
      </c>
      <c r="J1020" s="1">
        <v>3.3509568999999999</v>
      </c>
      <c r="N1020" s="1">
        <v>48.336022268825481</v>
      </c>
      <c r="O1020" s="1">
        <v>32.826814007162753</v>
      </c>
      <c r="P1020" s="1">
        <v>4875.4283375228551</v>
      </c>
    </row>
    <row r="1021" spans="7:16" x14ac:dyDescent="0.2">
      <c r="G1021" s="1">
        <v>44113</v>
      </c>
      <c r="H1021" s="1">
        <v>7.6268016999999979</v>
      </c>
      <c r="I1021" s="1">
        <v>-3.6388797999999998</v>
      </c>
      <c r="J1021" s="1">
        <v>3.9879218999999995</v>
      </c>
      <c r="N1021" s="1">
        <v>49.620661120788455</v>
      </c>
      <c r="O1021" s="1">
        <v>33.680916016713091</v>
      </c>
      <c r="P1021" s="1">
        <v>4912.5993393014296</v>
      </c>
    </row>
    <row r="1022" spans="7:16" x14ac:dyDescent="0.2">
      <c r="G1022" s="1">
        <v>44116</v>
      </c>
      <c r="H1022" s="1">
        <v>7.9569220000000005</v>
      </c>
      <c r="I1022" s="1">
        <v>-3.5248986000000007</v>
      </c>
      <c r="J1022" s="1">
        <v>4.4320233999999994</v>
      </c>
      <c r="N1022" s="1">
        <v>51.415722001542314</v>
      </c>
      <c r="O1022" s="1">
        <v>34.657322284122571</v>
      </c>
      <c r="P1022" s="1">
        <v>4947.2571943300009</v>
      </c>
    </row>
    <row r="1023" spans="7:16" x14ac:dyDescent="0.2">
      <c r="G1023" s="1">
        <v>44117</v>
      </c>
      <c r="H1023" s="1">
        <v>4.6135431000000002</v>
      </c>
      <c r="I1023" s="1">
        <v>-5.2694776000000001</v>
      </c>
      <c r="J1023" s="1">
        <v>-0.6559345000000002</v>
      </c>
      <c r="N1023" s="1">
        <v>50.699257827508291</v>
      </c>
      <c r="O1023" s="1">
        <v>33.929847771587738</v>
      </c>
      <c r="P1023" s="1">
        <v>5003.469806580003</v>
      </c>
    </row>
    <row r="1024" spans="7:16" x14ac:dyDescent="0.2">
      <c r="G1024" s="1">
        <v>44118</v>
      </c>
      <c r="H1024" s="1">
        <v>3.3665463999999998</v>
      </c>
      <c r="I1024" s="1">
        <v>-4.3418764999999988</v>
      </c>
      <c r="J1024" s="1">
        <v>-0.97533009999999953</v>
      </c>
      <c r="N1024" s="1">
        <v>50.111110511274404</v>
      </c>
      <c r="O1024" s="1">
        <v>33.660767409470736</v>
      </c>
      <c r="P1024" s="1">
        <v>4977.2672148699985</v>
      </c>
    </row>
    <row r="1025" spans="7:16" x14ac:dyDescent="0.2">
      <c r="G1025" s="1">
        <v>44119</v>
      </c>
      <c r="H1025" s="1">
        <v>5.7905369000000011</v>
      </c>
      <c r="I1025" s="1">
        <v>-2.6061130000000001</v>
      </c>
      <c r="J1025" s="1">
        <v>3.1844239000000001</v>
      </c>
      <c r="N1025" s="1">
        <v>49.591818214412164</v>
      </c>
      <c r="O1025" s="1">
        <v>33.018589415041774</v>
      </c>
      <c r="P1025" s="1">
        <v>4961.3145136800013</v>
      </c>
    </row>
    <row r="1026" spans="7:16" x14ac:dyDescent="0.2">
      <c r="G1026" s="1">
        <v>44120</v>
      </c>
      <c r="H1026" s="1">
        <v>7.4860612</v>
      </c>
      <c r="I1026" s="1">
        <v>-3.7261504000000003</v>
      </c>
      <c r="J1026" s="1">
        <v>3.7599107999999992</v>
      </c>
      <c r="N1026" s="1">
        <v>50.403785394861757</v>
      </c>
      <c r="O1026" s="1">
        <v>33.210016713091917</v>
      </c>
      <c r="P1026" s="1">
        <v>4949.1662739799967</v>
      </c>
    </row>
    <row r="1027" spans="7:16" x14ac:dyDescent="0.2">
      <c r="G1027" s="1">
        <v>44123</v>
      </c>
      <c r="H1027" s="1">
        <v>2.143802</v>
      </c>
      <c r="I1027" s="1">
        <v>-3.2600125999999996</v>
      </c>
      <c r="J1027" s="1">
        <v>-1.1162106000000001</v>
      </c>
      <c r="N1027" s="1">
        <v>48.122165662990717</v>
      </c>
      <c r="O1027" s="1">
        <v>32.469247632311976</v>
      </c>
      <c r="P1027" s="1">
        <v>5079.1402100800024</v>
      </c>
    </row>
    <row r="1028" spans="7:16" x14ac:dyDescent="0.2">
      <c r="G1028" s="1">
        <v>44124</v>
      </c>
      <c r="H1028" s="1">
        <v>3.4691555999999997</v>
      </c>
      <c r="I1028" s="1">
        <v>-4.6967631999999995</v>
      </c>
      <c r="J1028" s="1">
        <v>-1.2276076000000005</v>
      </c>
      <c r="N1028" s="1">
        <v>48.429096907260892</v>
      </c>
      <c r="O1028" s="1">
        <v>32.751654596100288</v>
      </c>
      <c r="P1028" s="1">
        <v>4915.6264272799999</v>
      </c>
    </row>
    <row r="1029" spans="7:16" x14ac:dyDescent="0.2">
      <c r="G1029" s="1">
        <v>44125</v>
      </c>
      <c r="H1029" s="1">
        <v>4.9569267999999989</v>
      </c>
      <c r="I1029" s="1">
        <v>-5.4968601000000001</v>
      </c>
      <c r="J1029" s="1">
        <v>-0.53993330000000028</v>
      </c>
      <c r="N1029" s="1">
        <v>48.382412755774645</v>
      </c>
      <c r="O1029" s="1">
        <v>32.657754596100268</v>
      </c>
      <c r="P1029" s="1">
        <v>4924.3210594799984</v>
      </c>
    </row>
    <row r="1030" spans="7:16" x14ac:dyDescent="0.2">
      <c r="G1030" s="1">
        <v>44126</v>
      </c>
      <c r="H1030" s="1">
        <v>3.9248580999999989</v>
      </c>
      <c r="I1030" s="1">
        <v>-4.5411225999999987</v>
      </c>
      <c r="J1030" s="1">
        <v>-0.61626449999999977</v>
      </c>
      <c r="N1030" s="1">
        <v>48.546041893783638</v>
      </c>
      <c r="O1030" s="1">
        <v>32.840984401114206</v>
      </c>
      <c r="P1030" s="1">
        <v>4922.6530220800014</v>
      </c>
    </row>
    <row r="1031" spans="7:16" x14ac:dyDescent="0.2">
      <c r="G1031" s="1">
        <v>44127</v>
      </c>
      <c r="H1031" s="1">
        <v>4.1955625999999997</v>
      </c>
      <c r="I1031" s="1">
        <v>-3.1435077999999996</v>
      </c>
      <c r="J1031" s="1">
        <v>1.0520547999999998</v>
      </c>
      <c r="N1031" s="1">
        <v>49.003519379738194</v>
      </c>
      <c r="O1031" s="1">
        <v>33.235296657381603</v>
      </c>
      <c r="P1031" s="1">
        <v>4930.045846080001</v>
      </c>
    </row>
    <row r="1032" spans="7:16" x14ac:dyDescent="0.2">
      <c r="G1032" s="1">
        <v>44130</v>
      </c>
      <c r="H1032" s="1">
        <v>2.6928733</v>
      </c>
      <c r="I1032" s="1">
        <v>-4.7750223999999992</v>
      </c>
      <c r="J1032" s="1">
        <v>-2.0821491000000005</v>
      </c>
      <c r="N1032" s="1">
        <v>46.899142164822628</v>
      </c>
      <c r="O1032" s="1">
        <v>31.50845919220054</v>
      </c>
      <c r="P1032" s="1">
        <v>4946.5972321800009</v>
      </c>
    </row>
    <row r="1033" spans="7:16" x14ac:dyDescent="0.2">
      <c r="G1033" s="1">
        <v>44131</v>
      </c>
      <c r="H1033" s="1">
        <v>4.0304253000000001</v>
      </c>
      <c r="I1033" s="1">
        <v>-4.6606632999999995</v>
      </c>
      <c r="J1033" s="1">
        <v>-0.63023799999999974</v>
      </c>
      <c r="N1033" s="1">
        <v>46.802272544350956</v>
      </c>
      <c r="O1033" s="1">
        <v>31.120831197771583</v>
      </c>
      <c r="P1033" s="1">
        <v>4880.7528818799974</v>
      </c>
    </row>
    <row r="1034" spans="7:16" x14ac:dyDescent="0.2">
      <c r="G1034" s="1">
        <v>44132</v>
      </c>
      <c r="H1034" s="1">
        <v>4.6158986999999998</v>
      </c>
      <c r="I1034" s="1">
        <v>-9.4182124999999992</v>
      </c>
      <c r="J1034" s="1">
        <v>-4.8023138000000021</v>
      </c>
      <c r="N1034" s="1">
        <v>42.943337674918716</v>
      </c>
      <c r="O1034" s="1">
        <v>28.194014763231188</v>
      </c>
      <c r="P1034" s="1">
        <v>4870.1903313800012</v>
      </c>
    </row>
    <row r="1035" spans="7:16" x14ac:dyDescent="0.2">
      <c r="G1035" s="1">
        <v>44133</v>
      </c>
      <c r="H1035" s="1">
        <v>3.4173235000000006</v>
      </c>
      <c r="I1035" s="1">
        <v>-6.8850989999999994</v>
      </c>
      <c r="J1035" s="1">
        <v>-3.4677755000000001</v>
      </c>
      <c r="N1035" s="1">
        <v>43.802265399919385</v>
      </c>
      <c r="O1035" s="1">
        <v>28.602899721448455</v>
      </c>
      <c r="P1035" s="1">
        <v>4753.0514689799984</v>
      </c>
    </row>
    <row r="1036" spans="7:16" x14ac:dyDescent="0.2">
      <c r="G1036" s="1">
        <v>44134</v>
      </c>
      <c r="H1036" s="1">
        <v>4.303176200000002</v>
      </c>
      <c r="I1036" s="1">
        <v>-7.5429956000000002</v>
      </c>
      <c r="J1036" s="1">
        <v>-3.2398194000000009</v>
      </c>
      <c r="N1036" s="1">
        <v>42.270408852479505</v>
      </c>
      <c r="O1036" s="1">
        <v>27.767364623955434</v>
      </c>
      <c r="P1036" s="1">
        <v>4771.8669024800001</v>
      </c>
    </row>
    <row r="1037" spans="7:16" x14ac:dyDescent="0.2">
      <c r="G1037" s="1">
        <v>44137</v>
      </c>
      <c r="H1037" s="1">
        <v>8.530429100000001</v>
      </c>
      <c r="I1037" s="1">
        <v>-5.6593208999999991</v>
      </c>
      <c r="J1037" s="1">
        <v>2.8711081999999992</v>
      </c>
      <c r="N1037" s="1">
        <v>43.694511182300445</v>
      </c>
      <c r="O1037" s="1">
        <v>29.156544289693592</v>
      </c>
      <c r="P1037" s="1">
        <v>4728.826140780001</v>
      </c>
    </row>
    <row r="1038" spans="7:16" x14ac:dyDescent="0.2">
      <c r="G1038" s="1">
        <v>44138</v>
      </c>
      <c r="H1038" s="1">
        <v>6.3196636999999996</v>
      </c>
      <c r="I1038" s="1">
        <v>-3.1818013999999999</v>
      </c>
      <c r="J1038" s="1">
        <v>3.1378623000000001</v>
      </c>
      <c r="N1038" s="1">
        <v>45.869371520080087</v>
      </c>
      <c r="O1038" s="1">
        <v>31.165049164345401</v>
      </c>
      <c r="P1038" s="1">
        <v>4781.0317256800008</v>
      </c>
    </row>
    <row r="1039" spans="7:16" x14ac:dyDescent="0.2">
      <c r="G1039" s="1">
        <v>44139</v>
      </c>
      <c r="H1039" s="1">
        <v>12.083846000000001</v>
      </c>
      <c r="I1039" s="1">
        <v>-3.4747407999999989</v>
      </c>
      <c r="J1039" s="1">
        <v>8.6091052000000001</v>
      </c>
      <c r="N1039" s="1">
        <v>48.721196681521207</v>
      </c>
      <c r="O1039" s="1">
        <v>32.727398885793882</v>
      </c>
      <c r="P1039" s="1">
        <v>4853.1609038299985</v>
      </c>
    </row>
    <row r="1040" spans="7:16" x14ac:dyDescent="0.2">
      <c r="G1040" s="1">
        <v>44140</v>
      </c>
      <c r="H1040" s="1">
        <v>8.5638574000000016</v>
      </c>
      <c r="I1040" s="1">
        <v>-5.4502459999999999</v>
      </c>
      <c r="J1040" s="1">
        <v>3.1136113999999999</v>
      </c>
      <c r="N1040" s="1">
        <v>51.670148148545692</v>
      </c>
      <c r="O1040" s="1">
        <v>35.102513370473538</v>
      </c>
      <c r="P1040" s="1">
        <v>4930.1423299799999</v>
      </c>
    </row>
    <row r="1041" spans="7:16" x14ac:dyDescent="0.2">
      <c r="G1041" s="1">
        <v>44141</v>
      </c>
      <c r="H1041" s="1">
        <v>8.4743265999999995</v>
      </c>
      <c r="I1041" s="1">
        <v>-5.0807691999999998</v>
      </c>
      <c r="J1041" s="1">
        <v>3.3935573999999997</v>
      </c>
      <c r="N1041" s="1">
        <v>51.809025263264445</v>
      </c>
      <c r="O1041" s="1">
        <v>35.146170194986091</v>
      </c>
      <c r="P1041" s="1">
        <v>5021.1785314800009</v>
      </c>
    </row>
    <row r="1042" spans="7:16" x14ac:dyDescent="0.2">
      <c r="G1042" s="1">
        <v>44144</v>
      </c>
      <c r="H1042" s="1">
        <v>21.672777999999994</v>
      </c>
      <c r="I1042" s="1">
        <v>-3.4907269000000003</v>
      </c>
      <c r="J1042" s="1">
        <v>18.182051099999995</v>
      </c>
      <c r="N1042" s="1">
        <v>52.495998291237818</v>
      </c>
      <c r="O1042" s="1">
        <v>36.99422033426184</v>
      </c>
      <c r="P1042" s="1">
        <v>5026.8394645800017</v>
      </c>
    </row>
    <row r="1043" spans="7:16" x14ac:dyDescent="0.2">
      <c r="G1043" s="1">
        <v>44145</v>
      </c>
      <c r="H1043" s="1">
        <v>10.242251600000003</v>
      </c>
      <c r="I1043" s="1">
        <v>-6.9209247000000005</v>
      </c>
      <c r="J1043" s="1">
        <v>3.3213269000000003</v>
      </c>
      <c r="N1043" s="1">
        <v>52.171653722394694</v>
      </c>
      <c r="O1043" s="1">
        <v>37.208862674094725</v>
      </c>
      <c r="P1043" s="1">
        <v>5091.1065896800001</v>
      </c>
    </row>
    <row r="1044" spans="7:16" x14ac:dyDescent="0.2">
      <c r="G1044" s="1">
        <v>44146</v>
      </c>
      <c r="H1044" s="1">
        <v>7.0674701999999998</v>
      </c>
      <c r="I1044" s="1">
        <v>-3.2307115999999998</v>
      </c>
      <c r="J1044" s="1">
        <v>3.8367585999999991</v>
      </c>
      <c r="N1044" s="1">
        <v>53.382097566142484</v>
      </c>
      <c r="O1044" s="1">
        <v>37.753535933147624</v>
      </c>
      <c r="P1044" s="1">
        <v>5100.2819813800015</v>
      </c>
    </row>
    <row r="1045" spans="7:16" x14ac:dyDescent="0.2">
      <c r="G1045" s="1">
        <v>44147</v>
      </c>
      <c r="H1045" s="1">
        <v>5.6296586000000008</v>
      </c>
      <c r="I1045" s="1">
        <v>-9.4960150000000016</v>
      </c>
      <c r="J1045" s="1">
        <v>-3.8663563999999981</v>
      </c>
      <c r="N1045" s="1">
        <v>52.421306047096841</v>
      </c>
      <c r="O1045" s="1">
        <v>36.834086350974928</v>
      </c>
      <c r="P1045" s="1">
        <v>5132.6592934800001</v>
      </c>
    </row>
    <row r="1046" spans="7:16" x14ac:dyDescent="0.2">
      <c r="G1046" s="1">
        <v>44148</v>
      </c>
      <c r="H1046" s="1">
        <v>6.4640838000000009</v>
      </c>
      <c r="I1046" s="1">
        <v>-6.3055370000000011</v>
      </c>
      <c r="J1046" s="1">
        <v>0.15854680000000021</v>
      </c>
      <c r="N1046" s="1">
        <v>53.861695802542819</v>
      </c>
      <c r="O1046" s="1">
        <v>38.036713370473535</v>
      </c>
      <c r="P1046" s="1">
        <v>5096.1944865799996</v>
      </c>
    </row>
    <row r="1047" spans="7:16" x14ac:dyDescent="0.2">
      <c r="G1047" s="1">
        <v>44151</v>
      </c>
      <c r="H1047" s="1">
        <v>11.396099899999998</v>
      </c>
      <c r="I1047" s="1">
        <v>-2.8858702000000007</v>
      </c>
      <c r="J1047" s="1">
        <v>8.5102296999999982</v>
      </c>
      <c r="N1047" s="1">
        <v>55.571751104424102</v>
      </c>
      <c r="O1047" s="1">
        <v>39.629747632311989</v>
      </c>
      <c r="P1047" s="1">
        <v>5144.7720730799974</v>
      </c>
    </row>
    <row r="1048" spans="7:16" x14ac:dyDescent="0.2">
      <c r="G1048" s="1">
        <v>44152</v>
      </c>
      <c r="H1048" s="1">
        <v>8.3705624000000025</v>
      </c>
      <c r="I1048" s="1">
        <v>-3.7621354999999999</v>
      </c>
      <c r="J1048" s="1">
        <v>4.6084268999999995</v>
      </c>
      <c r="N1048" s="1">
        <v>55.242574567818266</v>
      </c>
      <c r="O1048" s="1">
        <v>39.551204735376039</v>
      </c>
      <c r="P1048" s="1">
        <v>5211.1822600799997</v>
      </c>
    </row>
    <row r="1049" spans="7:16" x14ac:dyDescent="0.2">
      <c r="G1049" s="1">
        <v>44153</v>
      </c>
      <c r="H1049" s="1">
        <v>9.8864701000000004</v>
      </c>
      <c r="I1049" s="1">
        <v>-6.3026125000000004</v>
      </c>
      <c r="J1049" s="1">
        <v>3.5838575999999982</v>
      </c>
      <c r="N1049" s="1">
        <v>54.011658980386159</v>
      </c>
      <c r="O1049" s="1">
        <v>38.848890250696371</v>
      </c>
      <c r="P1049" s="1">
        <v>5209.8157971799992</v>
      </c>
    </row>
    <row r="1050" spans="7:16" x14ac:dyDescent="0.2">
      <c r="G1050" s="1">
        <v>44154</v>
      </c>
      <c r="H1050" s="1">
        <v>5.6711706000000008</v>
      </c>
      <c r="I1050" s="1">
        <v>-5.6663990999999996</v>
      </c>
      <c r="J1050" s="1">
        <v>4.7715000000002616E-3</v>
      </c>
      <c r="N1050" s="1">
        <v>54.486256940091941</v>
      </c>
      <c r="O1050" s="1">
        <v>38.993437325905283</v>
      </c>
      <c r="P1050" s="1">
        <v>5177.4242977800004</v>
      </c>
    </row>
    <row r="1051" spans="7:16" x14ac:dyDescent="0.2">
      <c r="G1051" s="1">
        <v>44155</v>
      </c>
      <c r="H1051" s="1">
        <v>4.8544374999999995</v>
      </c>
      <c r="I1051" s="1">
        <v>-7.168387000000001</v>
      </c>
      <c r="J1051" s="1">
        <v>-2.3139494999999997</v>
      </c>
      <c r="N1051" s="1">
        <v>54.122626775159937</v>
      </c>
      <c r="O1051" s="1">
        <v>39.015780501392769</v>
      </c>
      <c r="P1051" s="1">
        <v>5191.2276249799979</v>
      </c>
    </row>
    <row r="1052" spans="7:16" x14ac:dyDescent="0.2">
      <c r="G1052" s="1">
        <v>44158</v>
      </c>
      <c r="H1052" s="1">
        <v>8.5410914999999985</v>
      </c>
      <c r="I1052" s="1">
        <v>-3.2022273000000001</v>
      </c>
      <c r="J1052" s="1">
        <v>5.3388642000000015</v>
      </c>
      <c r="N1052" s="1">
        <v>54.640551441968796</v>
      </c>
      <c r="O1052" s="1">
        <v>39.527586629526446</v>
      </c>
      <c r="P1052" s="1">
        <v>5180.5588467800007</v>
      </c>
    </row>
    <row r="1053" spans="7:16" x14ac:dyDescent="0.2">
      <c r="G1053" s="1">
        <v>44159</v>
      </c>
      <c r="H1053" s="1">
        <v>9.9762681999999998</v>
      </c>
      <c r="I1053" s="1">
        <v>-4.3210744999999999</v>
      </c>
      <c r="J1053" s="1">
        <v>5.6551937000000017</v>
      </c>
      <c r="N1053" s="1">
        <v>56.361460253751787</v>
      </c>
      <c r="O1053" s="1">
        <v>40.911935097493028</v>
      </c>
      <c r="P1053" s="1">
        <v>5207.1767325300007</v>
      </c>
    </row>
    <row r="1054" spans="7:16" x14ac:dyDescent="0.2">
      <c r="G1054" s="1">
        <v>44160</v>
      </c>
      <c r="H1054" s="1">
        <v>12.4107459</v>
      </c>
      <c r="I1054" s="1">
        <v>-5.803728500000001</v>
      </c>
      <c r="J1054" s="1">
        <v>6.607017400000001</v>
      </c>
      <c r="N1054" s="1">
        <v>56.428727572581018</v>
      </c>
      <c r="O1054" s="1">
        <v>40.833786908077997</v>
      </c>
      <c r="P1054" s="1">
        <v>5267.9579263800006</v>
      </c>
    </row>
    <row r="1055" spans="7:16" x14ac:dyDescent="0.2">
      <c r="G1055" s="1">
        <v>44161</v>
      </c>
      <c r="H1055" s="1">
        <v>2.4200728999999996</v>
      </c>
      <c r="I1055" s="1">
        <v>-1.7498872999999999</v>
      </c>
      <c r="J1055" s="1">
        <v>0.67018559999999971</v>
      </c>
      <c r="N1055" s="1">
        <v>56.866898234629147</v>
      </c>
      <c r="O1055" s="1">
        <v>41.111905153203352</v>
      </c>
      <c r="P1055" s="1">
        <v>5272.0917330800003</v>
      </c>
    </row>
    <row r="1056" spans="7:16" x14ac:dyDescent="0.2">
      <c r="G1056" s="1">
        <v>44162</v>
      </c>
      <c r="H1056" s="1">
        <v>4.7625584999999999</v>
      </c>
      <c r="I1056" s="1">
        <v>-3.6273706000000008</v>
      </c>
      <c r="J1056" s="1">
        <v>1.1351879000000002</v>
      </c>
      <c r="N1056" s="1">
        <v>57.250421562187469</v>
      </c>
      <c r="O1056" s="1">
        <v>41.452397214484662</v>
      </c>
      <c r="P1056" s="1">
        <v>5286.3431512799989</v>
      </c>
    </row>
    <row r="1057" spans="7:16" x14ac:dyDescent="0.2">
      <c r="G1057" s="1">
        <v>44165</v>
      </c>
      <c r="H1057" s="1">
        <v>7.6695655000000027</v>
      </c>
      <c r="I1057" s="1">
        <v>-6.635214600000003</v>
      </c>
      <c r="J1057" s="1">
        <v>1.0343509000000004</v>
      </c>
      <c r="N1057" s="1">
        <v>56.161059035547943</v>
      </c>
      <c r="O1057" s="1">
        <v>40.188884122562683</v>
      </c>
      <c r="P1057" s="1">
        <v>5296.9266526800002</v>
      </c>
    </row>
    <row r="1058" spans="7:16" x14ac:dyDescent="0.2">
      <c r="G1058" s="1">
        <v>44166</v>
      </c>
      <c r="H1058" s="1">
        <v>6.7166507000000006</v>
      </c>
      <c r="I1058" s="1">
        <v>-4.5820660000000002</v>
      </c>
      <c r="J1058" s="1">
        <v>2.1345847000000009</v>
      </c>
      <c r="N1058" s="1">
        <v>57.960835412663485</v>
      </c>
      <c r="O1058" s="1">
        <v>41.769455710306396</v>
      </c>
      <c r="P1058" s="1">
        <v>5262.8548491200017</v>
      </c>
    </row>
    <row r="1059" spans="7:16" x14ac:dyDescent="0.2">
      <c r="G1059" s="1">
        <v>44167</v>
      </c>
      <c r="H1059" s="1">
        <v>6.1126342999999999</v>
      </c>
      <c r="I1059" s="1">
        <v>-13.066943900000002</v>
      </c>
      <c r="J1059" s="1">
        <v>-6.9543096000000011</v>
      </c>
      <c r="N1059" s="1">
        <v>57.993270131340381</v>
      </c>
      <c r="O1059" s="1">
        <v>41.931141504178285</v>
      </c>
      <c r="P1059" s="1">
        <v>5309.3890447800022</v>
      </c>
    </row>
    <row r="1060" spans="7:16" x14ac:dyDescent="0.2">
      <c r="G1060" s="1">
        <v>44168</v>
      </c>
      <c r="H1060" s="1">
        <v>6.0000150000000003</v>
      </c>
      <c r="I1060" s="1">
        <v>-5.0340981999999999</v>
      </c>
      <c r="J1060" s="1">
        <v>0.96591679999999969</v>
      </c>
      <c r="N1060" s="1">
        <v>58.421034938897783</v>
      </c>
      <c r="O1060" s="1">
        <v>42.459007520891369</v>
      </c>
      <c r="P1060" s="1">
        <v>5307.7186589799985</v>
      </c>
    </row>
    <row r="1061" spans="7:16" x14ac:dyDescent="0.2">
      <c r="G1061" s="1">
        <v>44169</v>
      </c>
      <c r="H1061" s="1">
        <v>5.9130170000000009</v>
      </c>
      <c r="I1061" s="1">
        <v>-7.807622499999999</v>
      </c>
      <c r="J1061" s="1">
        <v>-1.8946054999999995</v>
      </c>
      <c r="N1061" s="1">
        <v>59.47578453941987</v>
      </c>
      <c r="O1061" s="1">
        <v>43.492032311977702</v>
      </c>
      <c r="P1061" s="1">
        <v>5325.8705083800014</v>
      </c>
    </row>
    <row r="1062" spans="7:16" x14ac:dyDescent="0.2">
      <c r="G1062" s="1">
        <v>44172</v>
      </c>
      <c r="H1062" s="1">
        <v>5.9082777999999996</v>
      </c>
      <c r="I1062" s="1">
        <v>-5.3230037999999995</v>
      </c>
      <c r="J1062" s="1">
        <v>0.58527400000000029</v>
      </c>
      <c r="N1062" s="1">
        <v>59.370871688200594</v>
      </c>
      <c r="O1062" s="1">
        <v>43.296006128133691</v>
      </c>
      <c r="P1062" s="1">
        <v>5358.8748960800003</v>
      </c>
    </row>
    <row r="1063" spans="7:16" x14ac:dyDescent="0.2">
      <c r="G1063" s="1">
        <v>44173</v>
      </c>
      <c r="H1063" s="1">
        <v>7.1809034</v>
      </c>
      <c r="I1063" s="1">
        <v>-5.9594171000000014</v>
      </c>
      <c r="J1063" s="1">
        <v>1.2214862999999998</v>
      </c>
      <c r="N1063" s="1">
        <v>59.761087335635054</v>
      </c>
      <c r="O1063" s="1">
        <v>43.539868802228433</v>
      </c>
      <c r="P1063" s="1">
        <v>5352.2652830799989</v>
      </c>
    </row>
    <row r="1064" spans="7:16" x14ac:dyDescent="0.2">
      <c r="G1064" s="1">
        <v>44174</v>
      </c>
      <c r="H1064" s="1">
        <v>7.9184679999999963</v>
      </c>
      <c r="I1064" s="1">
        <v>-5.5922080000000003</v>
      </c>
      <c r="J1064" s="1">
        <v>2.3262600000000009</v>
      </c>
      <c r="N1064" s="1">
        <v>58.55029701308279</v>
      </c>
      <c r="O1064" s="1">
        <v>42.939999164345409</v>
      </c>
      <c r="P1064" s="1">
        <v>5364.8523642800019</v>
      </c>
    </row>
    <row r="1065" spans="7:16" x14ac:dyDescent="0.2">
      <c r="G1065" s="1">
        <v>44175</v>
      </c>
      <c r="H1065" s="1">
        <v>7.0558775000000011</v>
      </c>
      <c r="I1065" s="1">
        <v>-5.9294173999999993</v>
      </c>
      <c r="J1065" s="1">
        <v>1.1264600999999996</v>
      </c>
      <c r="N1065" s="1">
        <v>58.78305350710194</v>
      </c>
      <c r="O1065" s="1">
        <v>43.237962674094689</v>
      </c>
      <c r="P1065" s="1">
        <v>5340.6798729800003</v>
      </c>
    </row>
    <row r="1066" spans="7:16" x14ac:dyDescent="0.2">
      <c r="G1066" s="1">
        <v>44176</v>
      </c>
      <c r="H1066" s="1">
        <v>5.1688854000000006</v>
      </c>
      <c r="I1066" s="1">
        <v>-7.3206226999999995</v>
      </c>
      <c r="J1066" s="1">
        <v>-2.1517372999999989</v>
      </c>
      <c r="N1066" s="1">
        <v>58.505845650944231</v>
      </c>
      <c r="O1066" s="1">
        <v>42.837217270194976</v>
      </c>
      <c r="P1066" s="1">
        <v>5349.2375223799991</v>
      </c>
    </row>
    <row r="1067" spans="7:16" x14ac:dyDescent="0.2">
      <c r="G1067" s="1">
        <v>44179</v>
      </c>
      <c r="H1067" s="1">
        <v>9.1041519999999991</v>
      </c>
      <c r="I1067" s="1">
        <v>-5.1283215999999996</v>
      </c>
      <c r="J1067" s="1">
        <v>3.9758303999999995</v>
      </c>
      <c r="N1067" s="1">
        <v>58.425671150367798</v>
      </c>
      <c r="O1067" s="1">
        <v>42.77879192200556</v>
      </c>
      <c r="P1067" s="1">
        <v>5338.5415803800015</v>
      </c>
    </row>
    <row r="1068" spans="7:16" x14ac:dyDescent="0.2">
      <c r="G1068" s="1">
        <v>44180</v>
      </c>
      <c r="H1068" s="1">
        <v>20.542783500000002</v>
      </c>
      <c r="I1068" s="1">
        <v>-6.9057047999999988</v>
      </c>
      <c r="J1068" s="1">
        <v>13.637078699999998</v>
      </c>
      <c r="N1068" s="1">
        <v>60.10274719654025</v>
      </c>
      <c r="O1068" s="1">
        <v>43.990956545960998</v>
      </c>
      <c r="P1068" s="1">
        <v>5328.3909151800008</v>
      </c>
    </row>
    <row r="1069" spans="7:16" x14ac:dyDescent="0.2">
      <c r="G1069" s="1">
        <v>44181</v>
      </c>
      <c r="H1069" s="1">
        <v>19.434519200000004</v>
      </c>
      <c r="I1069" s="1">
        <v>-11.185890800000005</v>
      </c>
      <c r="J1069" s="1">
        <v>8.248628400000003</v>
      </c>
      <c r="N1069" s="1">
        <v>60.597035220501589</v>
      </c>
      <c r="O1069" s="1">
        <v>44.332021448467962</v>
      </c>
      <c r="P1069" s="1">
        <v>5392.7971180799977</v>
      </c>
    </row>
    <row r="1070" spans="7:16" x14ac:dyDescent="0.2">
      <c r="G1070" s="1">
        <v>44182</v>
      </c>
      <c r="H1070" s="1">
        <v>16.882633800000001</v>
      </c>
      <c r="I1070" s="1">
        <v>-6.6732938000000015</v>
      </c>
      <c r="J1070" s="1">
        <v>10.209339999999999</v>
      </c>
      <c r="N1070" s="1">
        <v>61.80301378603685</v>
      </c>
      <c r="O1070" s="1">
        <v>45.383144568245129</v>
      </c>
      <c r="P1070" s="1">
        <v>5411.6351149800003</v>
      </c>
    </row>
    <row r="1071" spans="7:16" x14ac:dyDescent="0.2">
      <c r="G1071" s="1">
        <v>44183</v>
      </c>
      <c r="H1071" s="1">
        <v>7.8021436000000017</v>
      </c>
      <c r="I1071" s="1">
        <v>-16.825691800000001</v>
      </c>
      <c r="J1071" s="1">
        <v>-9.0235482000000022</v>
      </c>
      <c r="N1071" s="1">
        <v>61.210517468184065</v>
      </c>
      <c r="O1071" s="1">
        <v>44.85258523676881</v>
      </c>
      <c r="P1071" s="1">
        <v>5456.4343390800013</v>
      </c>
    </row>
    <row r="1072" spans="7:16" x14ac:dyDescent="0.2">
      <c r="G1072" s="1">
        <v>44186</v>
      </c>
      <c r="H1072" s="1">
        <v>9.7562884000000007</v>
      </c>
      <c r="I1072" s="1">
        <v>-14.598643899999999</v>
      </c>
      <c r="J1072" s="1">
        <v>-4.8423555</v>
      </c>
      <c r="N1072" s="1">
        <v>60.553075685659969</v>
      </c>
      <c r="O1072" s="1">
        <v>43.929379665738153</v>
      </c>
      <c r="P1072" s="1">
        <v>5427.6197711799978</v>
      </c>
    </row>
    <row r="1073" spans="7:16" x14ac:dyDescent="0.2">
      <c r="G1073" s="1">
        <v>44187</v>
      </c>
      <c r="H1073" s="1">
        <v>6.474445499999999</v>
      </c>
      <c r="I1073" s="1">
        <v>-11.102229600000001</v>
      </c>
      <c r="J1073" s="1">
        <v>-4.6277841000000013</v>
      </c>
      <c r="N1073" s="1">
        <v>60.387767505520706</v>
      </c>
      <c r="O1073" s="1">
        <v>43.709288857938716</v>
      </c>
      <c r="P1073" s="1">
        <v>5393.20436978</v>
      </c>
    </row>
    <row r="1074" spans="7:16" x14ac:dyDescent="0.2">
      <c r="G1074" s="1">
        <v>44188</v>
      </c>
      <c r="H1074" s="1">
        <v>4.4699192000000005</v>
      </c>
      <c r="I1074" s="1">
        <v>-8.9823819</v>
      </c>
      <c r="J1074" s="1">
        <v>-4.5124626999999986</v>
      </c>
      <c r="N1074" s="1">
        <v>60.675962683186881</v>
      </c>
      <c r="O1074" s="1">
        <v>44.363713927576619</v>
      </c>
      <c r="P1074" s="1">
        <v>5376.6231755800009</v>
      </c>
    </row>
    <row r="1075" spans="7:16" x14ac:dyDescent="0.2">
      <c r="G1075" s="1">
        <v>44189</v>
      </c>
      <c r="H1075" s="1">
        <v>4.7841635999999994</v>
      </c>
      <c r="I1075" s="1">
        <v>-2.7825474000000003</v>
      </c>
      <c r="J1075" s="1">
        <v>2.0016162</v>
      </c>
      <c r="N1075" s="1">
        <v>61.091634349898662</v>
      </c>
      <c r="O1075" s="1">
        <v>44.63937418755804</v>
      </c>
      <c r="P1075" s="1">
        <v>5388.8156698799976</v>
      </c>
    </row>
    <row r="1076" spans="7:16" x14ac:dyDescent="0.2">
      <c r="G1076" s="1">
        <v>44190</v>
      </c>
      <c r="H1076" s="1">
        <v>0.87609950000000003</v>
      </c>
      <c r="I1076" s="1">
        <v>-0.33767370000000002</v>
      </c>
      <c r="J1076" s="1">
        <v>0.53842579999999995</v>
      </c>
      <c r="N1076" s="1">
        <v>61.535414648385121</v>
      </c>
      <c r="O1076" s="1">
        <v>44.893631012070557</v>
      </c>
      <c r="P1076" s="1">
        <v>5415.4653388200004</v>
      </c>
    </row>
    <row r="1077" spans="7:16" x14ac:dyDescent="0.2">
      <c r="G1077" s="1">
        <v>44193</v>
      </c>
      <c r="H1077" s="1">
        <v>5.7274769000000001</v>
      </c>
      <c r="I1077" s="1">
        <v>-1.6719921000000002</v>
      </c>
      <c r="J1077" s="1">
        <v>4.0554847999999994</v>
      </c>
      <c r="N1077" s="1">
        <v>61.946568960867168</v>
      </c>
      <c r="O1077" s="1">
        <v>45.153710399257186</v>
      </c>
      <c r="P1077" s="1">
        <v>5428.9476398249999</v>
      </c>
    </row>
    <row r="1078" spans="7:16" x14ac:dyDescent="0.2">
      <c r="G1078" s="1">
        <v>44194</v>
      </c>
      <c r="H1078" s="1">
        <v>6.1267700000000005</v>
      </c>
      <c r="I1078" s="1">
        <v>-2.9821776</v>
      </c>
      <c r="J1078" s="1">
        <v>3.1445923999999996</v>
      </c>
      <c r="N1078" s="1">
        <v>62.112659924843214</v>
      </c>
      <c r="O1078" s="1">
        <v>45.371126183844012</v>
      </c>
      <c r="P1078" s="1">
        <v>5438.0694084300003</v>
      </c>
    </row>
    <row r="1079" spans="7:16" x14ac:dyDescent="0.2">
      <c r="G1079" s="1">
        <v>44195</v>
      </c>
      <c r="H1079" s="1">
        <v>4.3596319000000001</v>
      </c>
      <c r="I1079" s="1">
        <v>-5.1597935999999995</v>
      </c>
      <c r="J1079" s="1">
        <v>-0.80016169999999964</v>
      </c>
      <c r="N1079" s="1">
        <v>62.55973704293303</v>
      </c>
      <c r="O1079" s="1">
        <v>46.05957493036211</v>
      </c>
      <c r="P1079" s="1">
        <v>5438.8573449800006</v>
      </c>
    </row>
    <row r="1080" spans="7:16" x14ac:dyDescent="0.2">
      <c r="G1080" s="1">
        <v>44196</v>
      </c>
      <c r="H1080" s="1">
        <v>7.9620344999999997</v>
      </c>
      <c r="I1080" s="1">
        <v>-3.3861484999999996</v>
      </c>
      <c r="J1080" s="1">
        <v>4.5758859999999979</v>
      </c>
      <c r="N1080" s="1">
        <v>62.784613240151046</v>
      </c>
      <c r="O1080" s="1">
        <v>46.137833890436376</v>
      </c>
      <c r="P1080" s="1">
        <v>5454.8719124800027</v>
      </c>
    </row>
    <row r="1081" spans="7:16" x14ac:dyDescent="0.2">
      <c r="G1081" s="1">
        <v>44197</v>
      </c>
      <c r="H1081" s="1">
        <v>0</v>
      </c>
      <c r="I1081" s="1">
        <v>0</v>
      </c>
      <c r="J1081" s="1">
        <v>0</v>
      </c>
      <c r="N1081" s="1">
        <v>62.181908704414383</v>
      </c>
      <c r="O1081" s="1">
        <v>45.893936722376964</v>
      </c>
      <c r="P1081" s="1">
        <v>5496.4387366499977</v>
      </c>
    </row>
    <row r="1082" spans="7:16" x14ac:dyDescent="0.2">
      <c r="G1082" s="1">
        <v>44200</v>
      </c>
      <c r="H1082" s="1">
        <v>6.9531050999999993</v>
      </c>
      <c r="I1082" s="1">
        <v>-6.4470146000000002</v>
      </c>
      <c r="J1082" s="1">
        <v>0.50609049999999989</v>
      </c>
      <c r="N1082" s="1">
        <v>61.625058619898354</v>
      </c>
      <c r="O1082" s="1">
        <v>45.704389136490235</v>
      </c>
      <c r="P1082" s="1">
        <v>5461.8894303149991</v>
      </c>
    </row>
    <row r="1083" spans="7:16" x14ac:dyDescent="0.2">
      <c r="G1083" s="1">
        <v>44201</v>
      </c>
      <c r="H1083" s="1">
        <v>5.7497324000000001</v>
      </c>
      <c r="I1083" s="1">
        <v>-7.7550800000000013</v>
      </c>
      <c r="J1083" s="1">
        <v>-2.0053476000000012</v>
      </c>
      <c r="N1083" s="1">
        <v>62.788641382128077</v>
      </c>
      <c r="O1083" s="1">
        <v>46.799947075208912</v>
      </c>
      <c r="P1083" s="1">
        <v>5436.2618289799975</v>
      </c>
    </row>
    <row r="1084" spans="7:16" x14ac:dyDescent="0.2">
      <c r="G1084" s="1">
        <v>44202</v>
      </c>
      <c r="H1084" s="1">
        <v>12.907387200000001</v>
      </c>
      <c r="I1084" s="1">
        <v>-5.1941896999999981</v>
      </c>
      <c r="J1084" s="1">
        <v>7.7131975000000015</v>
      </c>
      <c r="N1084" s="1">
        <v>63.327742857298503</v>
      </c>
      <c r="O1084" s="1">
        <v>47.799619777158789</v>
      </c>
      <c r="P1084" s="1">
        <v>5472.3524584799998</v>
      </c>
    </row>
    <row r="1085" spans="7:16" x14ac:dyDescent="0.2">
      <c r="G1085" s="1">
        <v>44203</v>
      </c>
      <c r="H1085" s="1">
        <v>6.9387437000000007</v>
      </c>
      <c r="I1085" s="1">
        <v>-7.6131073999999979</v>
      </c>
      <c r="J1085" s="1">
        <v>-0.67436369999999979</v>
      </c>
      <c r="N1085" s="1">
        <v>65.2640256313272</v>
      </c>
      <c r="O1085" s="1">
        <v>48.874082729805032</v>
      </c>
      <c r="P1085" s="1">
        <v>5510.4843247800009</v>
      </c>
    </row>
    <row r="1086" spans="7:16" x14ac:dyDescent="0.2">
      <c r="G1086" s="1">
        <v>44204</v>
      </c>
      <c r="H1086" s="1">
        <v>9.1377336999999983</v>
      </c>
      <c r="I1086" s="1">
        <v>-3.8671244999999992</v>
      </c>
      <c r="J1086" s="1">
        <v>5.2706091999999982</v>
      </c>
      <c r="N1086" s="1">
        <v>66.257409588218351</v>
      </c>
      <c r="O1086" s="1">
        <v>49.484776044568243</v>
      </c>
      <c r="P1086" s="1">
        <v>5559.1004163800008</v>
      </c>
    </row>
    <row r="1087" spans="7:16" x14ac:dyDescent="0.2">
      <c r="G1087" s="1">
        <v>44207</v>
      </c>
      <c r="H1087" s="1">
        <v>7.3775381999999992</v>
      </c>
      <c r="I1087" s="1">
        <v>-4.6282096000000008</v>
      </c>
      <c r="J1087" s="1">
        <v>2.7493286000000019</v>
      </c>
      <c r="N1087" s="1">
        <v>65.168308978474798</v>
      </c>
      <c r="O1087" s="1">
        <v>48.672454735376043</v>
      </c>
      <c r="P1087" s="1">
        <v>5584.985837279999</v>
      </c>
    </row>
    <row r="1088" spans="7:16" x14ac:dyDescent="0.2">
      <c r="G1088" s="1">
        <v>44208</v>
      </c>
      <c r="H1088" s="1">
        <v>7.3315219000000003</v>
      </c>
      <c r="I1088" s="1">
        <v>-4.2040359999999994</v>
      </c>
      <c r="J1088" s="1">
        <v>3.1274858999999999</v>
      </c>
      <c r="N1088" s="1">
        <v>65.60111141877843</v>
      </c>
      <c r="O1088" s="1">
        <v>49.302238997214502</v>
      </c>
      <c r="P1088" s="1">
        <v>5563.6742296799994</v>
      </c>
    </row>
    <row r="1089" spans="7:16" x14ac:dyDescent="0.2">
      <c r="G1089" s="1">
        <v>44209</v>
      </c>
      <c r="H1089" s="1">
        <v>8.5972705999999981</v>
      </c>
      <c r="I1089" s="1">
        <v>-8.4621814000000004</v>
      </c>
      <c r="J1089" s="1">
        <v>0.13508919999999952</v>
      </c>
      <c r="N1089" s="1">
        <v>65.885643674355109</v>
      </c>
      <c r="O1089" s="1">
        <v>49.450487186629537</v>
      </c>
      <c r="P1089" s="1">
        <v>5584.6999504799987</v>
      </c>
    </row>
    <row r="1090" spans="7:16" x14ac:dyDescent="0.2">
      <c r="G1090" s="1">
        <v>44210</v>
      </c>
      <c r="H1090" s="1">
        <v>13.891366099999999</v>
      </c>
      <c r="I1090" s="1">
        <v>-8.2154952999999988</v>
      </c>
      <c r="J1090" s="1">
        <v>5.6758707999999993</v>
      </c>
      <c r="N1090" s="1">
        <v>66.043860543360154</v>
      </c>
      <c r="O1090" s="1">
        <v>49.95517019498606</v>
      </c>
      <c r="P1090" s="1">
        <v>5592.9961977799994</v>
      </c>
    </row>
    <row r="1091" spans="7:16" x14ac:dyDescent="0.2">
      <c r="G1091" s="1">
        <v>44211</v>
      </c>
      <c r="H1091" s="1">
        <v>9.1782599999999999</v>
      </c>
      <c r="I1091" s="1">
        <v>-6.7562534999999997</v>
      </c>
      <c r="J1091" s="1">
        <v>2.4220064999999993</v>
      </c>
      <c r="N1091" s="1">
        <v>64.534988141772573</v>
      </c>
      <c r="O1091" s="1">
        <v>48.583384401114245</v>
      </c>
      <c r="P1091" s="1">
        <v>5610.9310531800011</v>
      </c>
    </row>
    <row r="1092" spans="7:16" x14ac:dyDescent="0.2">
      <c r="G1092" s="1">
        <v>44214</v>
      </c>
      <c r="H1092" s="1">
        <v>0.59994770000000008</v>
      </c>
      <c r="I1092" s="1">
        <v>-0.80331589999999997</v>
      </c>
      <c r="J1092" s="1">
        <v>-0.20336819999999997</v>
      </c>
      <c r="N1092" s="1">
        <v>65.083848620593329</v>
      </c>
      <c r="O1092" s="1">
        <v>48.900760584958221</v>
      </c>
      <c r="P1092" s="1">
        <v>5566.1843794800016</v>
      </c>
    </row>
    <row r="1093" spans="7:16" x14ac:dyDescent="0.2">
      <c r="G1093" s="1">
        <v>44215</v>
      </c>
      <c r="H1093" s="1">
        <v>7.6449937000000006</v>
      </c>
      <c r="I1093" s="1">
        <v>-9.5868521999999992</v>
      </c>
      <c r="J1093" s="1">
        <v>-1.9418585000000002</v>
      </c>
      <c r="N1093" s="1">
        <v>65.842356911548706</v>
      </c>
      <c r="O1093" s="1">
        <v>49.466983008356536</v>
      </c>
      <c r="P1093" s="1">
        <v>5583.0750254800005</v>
      </c>
    </row>
    <row r="1094" spans="7:16" x14ac:dyDescent="0.2">
      <c r="G1094" s="1">
        <v>44216</v>
      </c>
      <c r="H1094" s="1">
        <v>7.0991260999999994</v>
      </c>
      <c r="I1094" s="1">
        <v>-8.060848</v>
      </c>
      <c r="J1094" s="1">
        <v>-0.96172190000000013</v>
      </c>
      <c r="N1094" s="1">
        <v>67.728235414875556</v>
      </c>
      <c r="O1094" s="1">
        <v>50.665267409470786</v>
      </c>
      <c r="P1094" s="1">
        <v>5600.0361265799993</v>
      </c>
    </row>
    <row r="1095" spans="7:16" x14ac:dyDescent="0.2">
      <c r="G1095" s="1">
        <v>44217</v>
      </c>
      <c r="H1095" s="1">
        <v>5.8845764000000003</v>
      </c>
      <c r="I1095" s="1">
        <v>-5.5778530999999987</v>
      </c>
      <c r="J1095" s="1">
        <v>0.30672329999999981</v>
      </c>
      <c r="N1095" s="1">
        <v>67.932245355990844</v>
      </c>
      <c r="O1095" s="1">
        <v>50.635488857938711</v>
      </c>
      <c r="P1095" s="1">
        <v>5647.9355334799975</v>
      </c>
    </row>
    <row r="1096" spans="7:16" x14ac:dyDescent="0.2">
      <c r="G1096" s="1">
        <v>44218</v>
      </c>
      <c r="H1096" s="1">
        <v>5.8872525999999992</v>
      </c>
      <c r="I1096" s="1">
        <v>-6.5887349999999998</v>
      </c>
      <c r="J1096" s="1">
        <v>-0.70148240000000028</v>
      </c>
      <c r="N1096" s="1">
        <v>67.425265369734348</v>
      </c>
      <c r="O1096" s="1">
        <v>50.162894428969331</v>
      </c>
      <c r="P1096" s="1">
        <v>5648.4543034800017</v>
      </c>
    </row>
    <row r="1097" spans="7:16" x14ac:dyDescent="0.2">
      <c r="G1097" s="1">
        <v>44221</v>
      </c>
      <c r="H1097" s="1">
        <v>4.0915626000000005</v>
      </c>
      <c r="I1097" s="1">
        <v>-7.6595145999999996</v>
      </c>
      <c r="J1097" s="1">
        <v>-3.5679520000000009</v>
      </c>
      <c r="N1097" s="1">
        <v>67.962309715850125</v>
      </c>
      <c r="O1097" s="1">
        <v>50.394410306406684</v>
      </c>
      <c r="P1097" s="1">
        <v>5631.4440298799982</v>
      </c>
    </row>
    <row r="1098" spans="7:16" x14ac:dyDescent="0.2">
      <c r="G1098" s="1">
        <v>44222</v>
      </c>
      <c r="H1098" s="1">
        <v>4.9341282</v>
      </c>
      <c r="I1098" s="1">
        <v>-5.4301749999999993</v>
      </c>
      <c r="J1098" s="1">
        <v>-0.49604680000000012</v>
      </c>
      <c r="N1098" s="1">
        <v>67.550407478402335</v>
      </c>
      <c r="O1098" s="1">
        <v>50.101168523676868</v>
      </c>
      <c r="P1098" s="1">
        <v>5640.6907106799999</v>
      </c>
    </row>
    <row r="1099" spans="7:16" x14ac:dyDescent="0.2">
      <c r="G1099" s="1">
        <v>44223</v>
      </c>
      <c r="H1099" s="1">
        <v>6.5638908999999988</v>
      </c>
      <c r="I1099" s="1">
        <v>-8.927036799999998</v>
      </c>
      <c r="J1099" s="1">
        <v>-2.363145900000001</v>
      </c>
      <c r="N1099" s="1">
        <v>64.310895166068775</v>
      </c>
      <c r="O1099" s="1">
        <v>47.725136211699187</v>
      </c>
      <c r="P1099" s="1">
        <v>5627.1444029299983</v>
      </c>
    </row>
    <row r="1100" spans="7:16" x14ac:dyDescent="0.2">
      <c r="G1100" s="1">
        <v>44224</v>
      </c>
      <c r="H1100" s="1">
        <v>5.3582050000000017</v>
      </c>
      <c r="I1100" s="1">
        <v>-8.1419192999999996</v>
      </c>
      <c r="J1100" s="1">
        <v>-2.7837143000000002</v>
      </c>
      <c r="N1100" s="1">
        <v>64.928962562889751</v>
      </c>
      <c r="O1100" s="1">
        <v>48.166065181058471</v>
      </c>
      <c r="P1100" s="1">
        <v>5531.588765479999</v>
      </c>
    </row>
    <row r="1101" spans="7:16" x14ac:dyDescent="0.2">
      <c r="G1101" s="1">
        <v>44225</v>
      </c>
      <c r="H1101" s="1">
        <v>6.7747672999999988</v>
      </c>
      <c r="I1101" s="1">
        <v>-12.519683500000001</v>
      </c>
      <c r="J1101" s="1">
        <v>-5.7449162000000005</v>
      </c>
      <c r="N1101" s="1">
        <v>62.097138434894433</v>
      </c>
      <c r="O1101" s="1">
        <v>46.094645125348187</v>
      </c>
      <c r="P1101" s="1">
        <v>5548.1922282800024</v>
      </c>
    </row>
    <row r="1102" spans="7:16" x14ac:dyDescent="0.2">
      <c r="G1102" s="1">
        <v>44228</v>
      </c>
      <c r="H1102" s="1">
        <v>7.7753554999999999</v>
      </c>
      <c r="I1102" s="1">
        <v>-9.9369691000000042</v>
      </c>
      <c r="J1102" s="1">
        <v>-2.1616136000000017</v>
      </c>
      <c r="N1102" s="1">
        <v>64.68189625727743</v>
      </c>
      <c r="O1102" s="1">
        <v>47.860033704735365</v>
      </c>
      <c r="P1102" s="1">
        <v>5456.8296881800015</v>
      </c>
    </row>
    <row r="1103" spans="7:16" x14ac:dyDescent="0.2">
      <c r="G1103" s="1">
        <v>44229</v>
      </c>
      <c r="H1103" s="1">
        <v>9.0470166999999986</v>
      </c>
      <c r="I1103" s="1">
        <v>-5.7043234000000007</v>
      </c>
      <c r="J1103" s="1">
        <v>3.3426932999999996</v>
      </c>
      <c r="N1103" s="1">
        <v>66.610326658367399</v>
      </c>
      <c r="O1103" s="1">
        <v>49.199213649025076</v>
      </c>
      <c r="P1103" s="1">
        <v>5525.6130329800017</v>
      </c>
    </row>
    <row r="1104" spans="7:16" x14ac:dyDescent="0.2">
      <c r="G1104" s="1">
        <v>44230</v>
      </c>
      <c r="H1104" s="1">
        <v>6.1244901</v>
      </c>
      <c r="I1104" s="1">
        <v>-5.3302950999999998</v>
      </c>
      <c r="J1104" s="1">
        <v>0.79419499999999976</v>
      </c>
      <c r="N1104" s="1">
        <v>66.797691788248514</v>
      </c>
      <c r="O1104" s="1">
        <v>49.48861476323119</v>
      </c>
      <c r="P1104" s="1">
        <v>5581.8089815800004</v>
      </c>
    </row>
    <row r="1105" spans="7:16" x14ac:dyDescent="0.2">
      <c r="G1105" s="1">
        <v>44231</v>
      </c>
      <c r="H1105" s="1">
        <v>24.261786100000002</v>
      </c>
      <c r="I1105" s="1">
        <v>-4.9692091000000005</v>
      </c>
      <c r="J1105" s="1">
        <v>19.292577000000009</v>
      </c>
      <c r="N1105" s="1">
        <v>67.936911237038146</v>
      </c>
      <c r="O1105" s="1">
        <v>49.960773816156014</v>
      </c>
      <c r="P1105" s="1">
        <v>5593.871534580001</v>
      </c>
    </row>
    <row r="1106" spans="7:16" x14ac:dyDescent="0.2">
      <c r="G1106" s="1">
        <v>44232</v>
      </c>
      <c r="H1106" s="1">
        <v>5.6334721999999999</v>
      </c>
      <c r="I1106" s="1">
        <v>-3.2976008999999999</v>
      </c>
      <c r="J1106" s="1">
        <v>2.3358713</v>
      </c>
      <c r="N1106" s="1">
        <v>69.013656690645931</v>
      </c>
      <c r="O1106" s="1">
        <v>50.995865459610044</v>
      </c>
      <c r="P1106" s="1">
        <v>5639.1695877799993</v>
      </c>
    </row>
    <row r="1107" spans="7:16" x14ac:dyDescent="0.2">
      <c r="G1107" s="1">
        <v>44235</v>
      </c>
      <c r="H1107" s="1">
        <v>6.1982283999999996</v>
      </c>
      <c r="I1107" s="1">
        <v>-6.1533497000000015</v>
      </c>
      <c r="J1107" s="1">
        <v>4.4878699999999883E-2</v>
      </c>
      <c r="N1107" s="1">
        <v>70.518234806465472</v>
      </c>
      <c r="O1107" s="1">
        <v>52.191889171309192</v>
      </c>
      <c r="P1107" s="1">
        <v>5676.3106814800021</v>
      </c>
    </row>
    <row r="1108" spans="7:16" x14ac:dyDescent="0.2">
      <c r="G1108" s="1">
        <v>44236</v>
      </c>
      <c r="H1108" s="1">
        <v>6.6465963000000006</v>
      </c>
      <c r="I1108" s="1">
        <v>-5.0325194</v>
      </c>
      <c r="J1108" s="1">
        <v>1.6140769000000004</v>
      </c>
      <c r="N1108" s="1">
        <v>70.881201790038631</v>
      </c>
      <c r="O1108" s="1">
        <v>52.66061149025068</v>
      </c>
      <c r="P1108" s="1">
        <v>5725.4747307300004</v>
      </c>
    </row>
    <row r="1109" spans="7:16" x14ac:dyDescent="0.2">
      <c r="G1109" s="1">
        <v>44237</v>
      </c>
      <c r="H1109" s="1">
        <v>8.6611587000000032</v>
      </c>
      <c r="I1109" s="1">
        <v>-5.307139499999999</v>
      </c>
      <c r="J1109" s="1">
        <v>3.3540192000000011</v>
      </c>
      <c r="N1109" s="1">
        <v>70.865519349892864</v>
      </c>
      <c r="O1109" s="1">
        <v>52.829680884401078</v>
      </c>
      <c r="P1109" s="1">
        <v>5740.2845476800012</v>
      </c>
    </row>
    <row r="1110" spans="7:16" x14ac:dyDescent="0.2">
      <c r="G1110" s="1">
        <v>44238</v>
      </c>
      <c r="H1110" s="1">
        <v>6.0152182000000005</v>
      </c>
      <c r="I1110" s="1">
        <v>-4.6677118999999996</v>
      </c>
      <c r="J1110" s="1">
        <v>1.3475063000000003</v>
      </c>
      <c r="N1110" s="1">
        <v>71.358996140639945</v>
      </c>
      <c r="O1110" s="1">
        <v>53.151069034354691</v>
      </c>
      <c r="P1110" s="1">
        <v>5745.5674284299994</v>
      </c>
    </row>
    <row r="1111" spans="7:16" x14ac:dyDescent="0.2">
      <c r="G1111" s="1">
        <v>44239</v>
      </c>
      <c r="H1111" s="1">
        <v>4.5687468999999998</v>
      </c>
      <c r="I1111" s="1">
        <v>-6.4292413999999987</v>
      </c>
      <c r="J1111" s="1">
        <v>-1.8604944999999997</v>
      </c>
      <c r="N1111" s="1">
        <v>71.923044712609126</v>
      </c>
      <c r="O1111" s="1">
        <v>53.570293767409488</v>
      </c>
      <c r="P1111" s="1">
        <v>5757.4387861966643</v>
      </c>
    </row>
    <row r="1112" spans="7:16" x14ac:dyDescent="0.2">
      <c r="G1112" s="1">
        <v>44242</v>
      </c>
      <c r="H1112" s="1">
        <v>0.20310899999999998</v>
      </c>
      <c r="I1112" s="1">
        <v>-0.91020619999999985</v>
      </c>
      <c r="J1112" s="1">
        <v>-0.70709719999999998</v>
      </c>
      <c r="N1112" s="1">
        <v>72.031563706294065</v>
      </c>
      <c r="O1112" s="1">
        <v>53.890619057567349</v>
      </c>
      <c r="P1112" s="1">
        <v>5771.3571342633295</v>
      </c>
    </row>
    <row r="1113" spans="7:16" x14ac:dyDescent="0.2">
      <c r="G1113" s="1">
        <v>44243</v>
      </c>
      <c r="H1113" s="1">
        <v>5.5494552999999991</v>
      </c>
      <c r="I1113" s="1">
        <v>-5.3958266000000004</v>
      </c>
      <c r="J1113" s="1">
        <v>0.15362869999999995</v>
      </c>
      <c r="N1113" s="1">
        <v>71.905681764319667</v>
      </c>
      <c r="O1113" s="1">
        <v>53.72672150649953</v>
      </c>
      <c r="P1113" s="1">
        <v>5777.3695140299988</v>
      </c>
    </row>
    <row r="1114" spans="7:16" x14ac:dyDescent="0.2">
      <c r="G1114" s="1">
        <v>44244</v>
      </c>
      <c r="H1114" s="1">
        <v>6.6878383999999969</v>
      </c>
      <c r="I1114" s="1">
        <v>-4.5753702000000009</v>
      </c>
      <c r="J1114" s="1">
        <v>2.1124682000000012</v>
      </c>
      <c r="N1114" s="1">
        <v>71.436836644752162</v>
      </c>
      <c r="O1114" s="1">
        <v>53.2553843082637</v>
      </c>
      <c r="P1114" s="1">
        <v>5772.8211585966637</v>
      </c>
    </row>
    <row r="1115" spans="7:16" x14ac:dyDescent="0.2">
      <c r="G1115" s="1">
        <v>44245</v>
      </c>
      <c r="H1115" s="1">
        <v>7.0037643999999988</v>
      </c>
      <c r="I1115" s="1">
        <v>-5.8825386000000002</v>
      </c>
      <c r="J1115" s="1">
        <v>1.1212258000000006</v>
      </c>
      <c r="N1115" s="1">
        <v>70.515036416218877</v>
      </c>
      <c r="O1115" s="1">
        <v>52.374780779944302</v>
      </c>
      <c r="P1115" s="1">
        <v>5763.0299705633333</v>
      </c>
    </row>
    <row r="1116" spans="7:16" x14ac:dyDescent="0.2">
      <c r="G1116" s="1">
        <v>44246</v>
      </c>
      <c r="H1116" s="1">
        <v>5.4720845000000002</v>
      </c>
      <c r="I1116" s="1">
        <v>-4.8600116000000009</v>
      </c>
      <c r="J1116" s="1">
        <v>0.61207289999999892</v>
      </c>
      <c r="N1116" s="1">
        <v>70.755524008129271</v>
      </c>
      <c r="O1116" s="1">
        <v>52.994831476323128</v>
      </c>
      <c r="P1116" s="1">
        <v>5733.1059113800002</v>
      </c>
    </row>
    <row r="1117" spans="7:16" x14ac:dyDescent="0.2">
      <c r="G1117" s="1">
        <v>44249</v>
      </c>
      <c r="H1117" s="1">
        <v>9.6651973999999985</v>
      </c>
      <c r="I1117" s="1">
        <v>-3.5457464000000001</v>
      </c>
      <c r="J1117" s="1">
        <v>6.1194509999999971</v>
      </c>
      <c r="N1117" s="1">
        <v>69.226994971954355</v>
      </c>
      <c r="O1117" s="1">
        <v>52.112217827298053</v>
      </c>
      <c r="P1117" s="1">
        <v>5745.3242506799997</v>
      </c>
    </row>
    <row r="1118" spans="7:16" x14ac:dyDescent="0.2">
      <c r="G1118" s="1">
        <v>44250</v>
      </c>
      <c r="H1118" s="1">
        <v>6.2528393999999992</v>
      </c>
      <c r="I1118" s="1">
        <v>-6.5765604</v>
      </c>
      <c r="J1118" s="1">
        <v>-0.32372100000000043</v>
      </c>
      <c r="N1118" s="1">
        <v>68.912932849238317</v>
      </c>
      <c r="O1118" s="1">
        <v>51.904506545960999</v>
      </c>
      <c r="P1118" s="1">
        <v>5720.4353742800004</v>
      </c>
    </row>
    <row r="1119" spans="7:16" x14ac:dyDescent="0.2">
      <c r="G1119" s="1">
        <v>44251</v>
      </c>
      <c r="H1119" s="1">
        <v>8.4809194000000012</v>
      </c>
      <c r="I1119" s="1">
        <v>-4.0703995999999991</v>
      </c>
      <c r="J1119" s="1">
        <v>4.4105198000000003</v>
      </c>
      <c r="N1119" s="1">
        <v>69.99422559138128</v>
      </c>
      <c r="O1119" s="1">
        <v>52.585616434540384</v>
      </c>
      <c r="P1119" s="1">
        <v>5712.747957829999</v>
      </c>
    </row>
    <row r="1120" spans="7:16" x14ac:dyDescent="0.2">
      <c r="G1120" s="1">
        <v>44252</v>
      </c>
      <c r="H1120" s="1">
        <v>7.2039128999999997</v>
      </c>
      <c r="I1120" s="1">
        <v>-6.2549844000000014</v>
      </c>
      <c r="J1120" s="1">
        <v>0.94892850000000006</v>
      </c>
      <c r="N1120" s="1">
        <v>66.557188399618653</v>
      </c>
      <c r="O1120" s="1">
        <v>50.422746796657407</v>
      </c>
      <c r="P1120" s="1">
        <v>5748.1863336799997</v>
      </c>
    </row>
    <row r="1121" spans="7:16" x14ac:dyDescent="0.2">
      <c r="G1121" s="1">
        <v>44253</v>
      </c>
      <c r="H1121" s="1">
        <v>9.1052386000000016</v>
      </c>
      <c r="I1121" s="1">
        <v>-7.0686956000000007</v>
      </c>
      <c r="J1121" s="1">
        <v>2.036543</v>
      </c>
      <c r="N1121" s="1">
        <v>65.168660546458597</v>
      </c>
      <c r="O1121" s="1">
        <v>48.683616155988886</v>
      </c>
      <c r="P1121" s="1">
        <v>5651.5479468799995</v>
      </c>
    </row>
    <row r="1122" spans="7:16" x14ac:dyDescent="0.2">
      <c r="G1122" s="1">
        <v>44256</v>
      </c>
      <c r="H1122" s="1">
        <v>6.4214034000000018</v>
      </c>
      <c r="I1122" s="1">
        <v>-8.9241846999999996</v>
      </c>
      <c r="J1122" s="1">
        <v>-2.5027813000000005</v>
      </c>
      <c r="N1122" s="1">
        <v>68.789465132089731</v>
      </c>
      <c r="O1122" s="1">
        <v>51.189128272980497</v>
      </c>
      <c r="P1122" s="1">
        <v>5600.7099295799999</v>
      </c>
    </row>
    <row r="1123" spans="7:16" x14ac:dyDescent="0.2">
      <c r="G1123" s="1">
        <v>44257</v>
      </c>
      <c r="H1123" s="1">
        <v>6.3895125000000004</v>
      </c>
      <c r="I1123" s="1">
        <v>-7.5387357000000002</v>
      </c>
      <c r="J1123" s="1">
        <v>-1.1492232000000002</v>
      </c>
      <c r="N1123" s="1">
        <v>67.426642896501122</v>
      </c>
      <c r="O1123" s="1">
        <v>50.496228133704726</v>
      </c>
      <c r="P1123" s="1">
        <v>5702.8156931299991</v>
      </c>
    </row>
    <row r="1124" spans="7:16" x14ac:dyDescent="0.2">
      <c r="G1124" s="1">
        <v>44258</v>
      </c>
      <c r="H1124" s="1">
        <v>11.408715500000001</v>
      </c>
      <c r="I1124" s="1">
        <v>-6.3718047000000002</v>
      </c>
      <c r="J1124" s="1">
        <v>5.0369107999999994</v>
      </c>
      <c r="N1124" s="1">
        <v>65.53440074602895</v>
      </c>
      <c r="O1124" s="1">
        <v>49.69215097493035</v>
      </c>
      <c r="P1124" s="1">
        <v>5668.4013405800006</v>
      </c>
    </row>
    <row r="1125" spans="7:16" x14ac:dyDescent="0.2">
      <c r="G1125" s="1">
        <v>44259</v>
      </c>
      <c r="H1125" s="1">
        <v>6.5642505999999994</v>
      </c>
      <c r="I1125" s="1">
        <v>-9.6343417000000002</v>
      </c>
      <c r="J1125" s="1">
        <v>-3.0700911</v>
      </c>
      <c r="N1125" s="1">
        <v>62.936265140483798</v>
      </c>
      <c r="O1125" s="1">
        <v>47.778701949860739</v>
      </c>
      <c r="P1125" s="1">
        <v>5629.9243846800018</v>
      </c>
    </row>
    <row r="1126" spans="7:16" x14ac:dyDescent="0.2">
      <c r="G1126" s="1">
        <v>44260</v>
      </c>
      <c r="H1126" s="1">
        <v>10.728581800000002</v>
      </c>
      <c r="I1126" s="1">
        <v>-7.8108678000000005</v>
      </c>
      <c r="J1126" s="1">
        <v>2.9177140000000015</v>
      </c>
      <c r="N1126" s="1">
        <v>64.792730017726811</v>
      </c>
      <c r="O1126" s="1">
        <v>48.593226183844024</v>
      </c>
      <c r="P1126" s="1">
        <v>5551.9841149799968</v>
      </c>
    </row>
    <row r="1127" spans="7:16" x14ac:dyDescent="0.2">
      <c r="G1127" s="1">
        <v>44263</v>
      </c>
      <c r="H1127" s="1">
        <v>8.3902143999999996</v>
      </c>
      <c r="I1127" s="1">
        <v>-4.9441248000000009</v>
      </c>
      <c r="J1127" s="1">
        <v>3.4460896000000028</v>
      </c>
      <c r="N1127" s="1">
        <v>63.778826814272158</v>
      </c>
      <c r="O1127" s="1">
        <v>48.243823398328679</v>
      </c>
      <c r="P1127" s="1">
        <v>5608.9130556800019</v>
      </c>
    </row>
    <row r="1128" spans="7:16" x14ac:dyDescent="0.2">
      <c r="G1128" s="1">
        <v>44264</v>
      </c>
      <c r="H1128" s="1">
        <v>9.4785192000000027</v>
      </c>
      <c r="I1128" s="1">
        <v>-7.1329535000000002</v>
      </c>
      <c r="J1128" s="1">
        <v>2.3455657000000008</v>
      </c>
      <c r="N1128" s="1">
        <v>66.387029644296462</v>
      </c>
      <c r="O1128" s="1">
        <v>49.743411699164319</v>
      </c>
      <c r="P1128" s="1">
        <v>5589.3983262800011</v>
      </c>
    </row>
    <row r="1129" spans="7:16" x14ac:dyDescent="0.2">
      <c r="G1129" s="1">
        <v>44265</v>
      </c>
      <c r="H1129" s="1">
        <v>10.118047099999998</v>
      </c>
      <c r="I1129" s="1">
        <v>-6.6070061999999998</v>
      </c>
      <c r="J1129" s="1">
        <v>3.5110408999999998</v>
      </c>
      <c r="N1129" s="1">
        <v>67.146266517612631</v>
      </c>
      <c r="O1129" s="1">
        <v>50.513372144846805</v>
      </c>
      <c r="P1129" s="1">
        <v>5660.29854058</v>
      </c>
    </row>
    <row r="1130" spans="7:16" x14ac:dyDescent="0.2">
      <c r="G1130" s="1">
        <v>44266</v>
      </c>
      <c r="H1130" s="1">
        <v>8.5314622000000018</v>
      </c>
      <c r="I1130" s="1">
        <v>-4.4072316000000002</v>
      </c>
      <c r="J1130" s="1">
        <v>4.1242306000000006</v>
      </c>
      <c r="N1130" s="1">
        <v>69.283719902576593</v>
      </c>
      <c r="O1130" s="1">
        <v>52.183538997214491</v>
      </c>
      <c r="P1130" s="1">
        <v>5693.251243679998</v>
      </c>
    </row>
    <row r="1131" spans="7:16" x14ac:dyDescent="0.2">
      <c r="G1131" s="1">
        <v>44267</v>
      </c>
      <c r="H1131" s="1">
        <v>7.2299745999999994</v>
      </c>
      <c r="I1131" s="1">
        <v>-6.6833064000000002</v>
      </c>
      <c r="J1131" s="1">
        <v>0.54666820000000038</v>
      </c>
      <c r="N1131" s="1">
        <v>69.285311554964252</v>
      </c>
      <c r="O1131" s="1">
        <v>52.15123844011142</v>
      </c>
      <c r="P1131" s="1">
        <v>5754.3866437299985</v>
      </c>
    </row>
    <row r="1132" spans="7:16" x14ac:dyDescent="0.2">
      <c r="G1132" s="1">
        <v>44270</v>
      </c>
      <c r="H1132" s="1">
        <v>6.3467561000000003</v>
      </c>
      <c r="I1132" s="1">
        <v>-5.024722399999999</v>
      </c>
      <c r="J1132" s="1">
        <v>1.3220337000000002</v>
      </c>
      <c r="N1132" s="1">
        <v>70.29059944125018</v>
      </c>
      <c r="O1132" s="1">
        <v>52.729584540389965</v>
      </c>
      <c r="P1132" s="1">
        <v>5757.5623666799975</v>
      </c>
    </row>
    <row r="1133" spans="7:16" x14ac:dyDescent="0.2">
      <c r="G1133" s="1">
        <v>44271</v>
      </c>
      <c r="H1133" s="1">
        <v>17.783959699999993</v>
      </c>
      <c r="I1133" s="1">
        <v>-4.2578489000000008</v>
      </c>
      <c r="J1133" s="1">
        <v>13.526110800000001</v>
      </c>
      <c r="N1133" s="1">
        <v>70.227805787470075</v>
      </c>
      <c r="O1133" s="1">
        <v>52.662107799442893</v>
      </c>
      <c r="P1133" s="1">
        <v>5786.3024345300009</v>
      </c>
    </row>
    <row r="1134" spans="7:16" x14ac:dyDescent="0.2">
      <c r="G1134" s="1">
        <v>44272</v>
      </c>
      <c r="H1134" s="1">
        <v>20.622061899999999</v>
      </c>
      <c r="I1134" s="1">
        <v>-3.2365274000000004</v>
      </c>
      <c r="J1134" s="1">
        <v>17.385534499999999</v>
      </c>
      <c r="N1134" s="1">
        <v>70.648967281875372</v>
      </c>
      <c r="O1134" s="1">
        <v>52.82062896935934</v>
      </c>
      <c r="P1134" s="1">
        <v>5794.0190679800016</v>
      </c>
    </row>
    <row r="1135" spans="7:16" x14ac:dyDescent="0.2">
      <c r="G1135" s="1">
        <v>44273</v>
      </c>
      <c r="H1135" s="1">
        <v>27.078579199999997</v>
      </c>
      <c r="I1135" s="1">
        <v>-6.4652953000000002</v>
      </c>
      <c r="J1135" s="1">
        <v>20.613283899999995</v>
      </c>
      <c r="N1135" s="1">
        <v>68.530677860891302</v>
      </c>
      <c r="O1135" s="1">
        <v>51.691491086350993</v>
      </c>
      <c r="P1135" s="1">
        <v>5824.2674371799976</v>
      </c>
    </row>
    <row r="1136" spans="7:16" x14ac:dyDescent="0.2">
      <c r="G1136" s="1">
        <v>44274</v>
      </c>
      <c r="H1136" s="1">
        <v>5.4334930999999989</v>
      </c>
      <c r="I1136" s="1">
        <v>-20.548909799999997</v>
      </c>
      <c r="J1136" s="1">
        <v>-15.115416700000001</v>
      </c>
      <c r="N1136" s="1">
        <v>68.508436602950269</v>
      </c>
      <c r="O1136" s="1">
        <v>51.551233426183856</v>
      </c>
      <c r="P1136" s="1">
        <v>5788.1242886799982</v>
      </c>
    </row>
    <row r="1137" spans="7:16" x14ac:dyDescent="0.2">
      <c r="G1137" s="1">
        <v>44277</v>
      </c>
      <c r="H1137" s="1">
        <v>10.744969800000002</v>
      </c>
      <c r="I1137" s="1">
        <v>-22.991552599999999</v>
      </c>
      <c r="J1137" s="1">
        <v>-12.246582799999999</v>
      </c>
      <c r="N1137" s="1">
        <v>69.176623247789152</v>
      </c>
      <c r="O1137" s="1">
        <v>51.754492479108634</v>
      </c>
      <c r="P1137" s="1">
        <v>5772.4990492799989</v>
      </c>
    </row>
    <row r="1138" spans="7:16" x14ac:dyDescent="0.2">
      <c r="G1138" s="1">
        <v>44278</v>
      </c>
      <c r="H1138" s="1">
        <v>11.2995863</v>
      </c>
      <c r="I1138" s="1">
        <v>-7.825553199999999</v>
      </c>
      <c r="J1138" s="1">
        <v>3.4740331000000007</v>
      </c>
      <c r="N1138" s="1">
        <v>67.501298046341972</v>
      </c>
      <c r="O1138" s="1">
        <v>50.179628690807824</v>
      </c>
      <c r="P1138" s="1">
        <v>5767.1932003800002</v>
      </c>
    </row>
    <row r="1139" spans="7:16" x14ac:dyDescent="0.2">
      <c r="G1139" s="1">
        <v>44279</v>
      </c>
      <c r="H1139" s="1">
        <v>8.2371008999999997</v>
      </c>
      <c r="I1139" s="1">
        <v>-7.224117800000001</v>
      </c>
      <c r="J1139" s="1">
        <v>1.0129831000000005</v>
      </c>
      <c r="N1139" s="1">
        <v>65.897391706393478</v>
      </c>
      <c r="O1139" s="1">
        <v>49.162554596100293</v>
      </c>
      <c r="P1139" s="1">
        <v>5713.8031368800002</v>
      </c>
    </row>
    <row r="1140" spans="7:16" x14ac:dyDescent="0.2">
      <c r="G1140" s="1">
        <v>44280</v>
      </c>
      <c r="H1140" s="1">
        <v>7.2942286999999997</v>
      </c>
      <c r="I1140" s="1">
        <v>-5.6293900000000008</v>
      </c>
      <c r="J1140" s="1">
        <v>1.6648386999999982</v>
      </c>
      <c r="N1140" s="1">
        <v>66.762911900669778</v>
      </c>
      <c r="O1140" s="1">
        <v>49.740901392757657</v>
      </c>
      <c r="P1140" s="1">
        <v>5671.855132679998</v>
      </c>
    </row>
    <row r="1141" spans="7:16" x14ac:dyDescent="0.2">
      <c r="G1141" s="1">
        <v>44281</v>
      </c>
      <c r="H1141" s="1">
        <v>5.6922582999999989</v>
      </c>
      <c r="I1141" s="1">
        <v>-13.446244200000001</v>
      </c>
      <c r="J1141" s="1">
        <v>-7.7539859000000018</v>
      </c>
      <c r="N1141" s="1">
        <v>69.167847615222712</v>
      </c>
      <c r="O1141" s="1">
        <v>51.62499387186628</v>
      </c>
      <c r="P1141" s="1">
        <v>5699.1099879799986</v>
      </c>
    </row>
    <row r="1142" spans="7:16" x14ac:dyDescent="0.2">
      <c r="G1142" s="1">
        <v>44284</v>
      </c>
      <c r="H1142" s="1">
        <v>8.6050913999999974</v>
      </c>
      <c r="I1142" s="1">
        <v>-3.1781666999999998</v>
      </c>
      <c r="J1142" s="1">
        <v>5.4269246999999998</v>
      </c>
      <c r="N1142" s="1">
        <v>68.606058197091983</v>
      </c>
      <c r="O1142" s="1">
        <v>51.103921727019511</v>
      </c>
      <c r="P1142" s="1">
        <v>5764.804764479999</v>
      </c>
    </row>
    <row r="1143" spans="7:16" x14ac:dyDescent="0.2">
      <c r="G1143" s="1">
        <v>44285</v>
      </c>
      <c r="H1143" s="1">
        <v>8.6537679000000036</v>
      </c>
      <c r="I1143" s="1">
        <v>-3.6578741999999997</v>
      </c>
      <c r="J1143" s="1">
        <v>4.9958937000000008</v>
      </c>
      <c r="N1143" s="1">
        <v>68.482758868654372</v>
      </c>
      <c r="O1143" s="1">
        <v>51.108720334261811</v>
      </c>
      <c r="P1143" s="1">
        <v>5749.4603520300006</v>
      </c>
    </row>
    <row r="1144" spans="7:16" x14ac:dyDescent="0.2">
      <c r="G1144" s="1">
        <v>44286</v>
      </c>
      <c r="H1144" s="1">
        <v>11.560925899999999</v>
      </c>
      <c r="I1144" s="1">
        <v>-2.9631099999999999</v>
      </c>
      <c r="J1144" s="1">
        <v>8.5978159000000023</v>
      </c>
      <c r="N1144" s="1">
        <v>69.207834994001203</v>
      </c>
      <c r="O1144" s="1">
        <v>51.541243732590502</v>
      </c>
      <c r="P1144" s="1">
        <v>5752.1209016799985</v>
      </c>
    </row>
    <row r="1145" spans="7:16" x14ac:dyDescent="0.2">
      <c r="G1145" s="1">
        <v>44287</v>
      </c>
      <c r="H1145" s="1">
        <v>7.4049781999999995</v>
      </c>
      <c r="I1145" s="1">
        <v>-8.4030336000000005</v>
      </c>
      <c r="J1145" s="1">
        <v>-0.99805539999999926</v>
      </c>
      <c r="N1145" s="1">
        <v>71.072595212280731</v>
      </c>
      <c r="O1145" s="1">
        <v>52.937860724233985</v>
      </c>
      <c r="P1145" s="1">
        <v>5773.8240743799979</v>
      </c>
    </row>
    <row r="1146" spans="7:16" x14ac:dyDescent="0.2">
      <c r="G1146" s="1">
        <v>44288</v>
      </c>
      <c r="H1146" s="1">
        <v>0.36942510000000001</v>
      </c>
      <c r="I1146" s="1">
        <v>-0.88536539999999997</v>
      </c>
      <c r="J1146" s="1">
        <v>-0.51594030000000002</v>
      </c>
      <c r="N1146" s="1">
        <v>72.130753283039041</v>
      </c>
      <c r="O1146" s="1">
        <v>53.551281662024145</v>
      </c>
      <c r="P1146" s="1">
        <v>5826.3715044466662</v>
      </c>
    </row>
    <row r="1147" spans="7:16" x14ac:dyDescent="0.2">
      <c r="G1147" s="1">
        <v>44291</v>
      </c>
      <c r="H1147" s="1">
        <v>5.6176835999999986</v>
      </c>
      <c r="I1147" s="1">
        <v>-7.1209943999999989</v>
      </c>
      <c r="J1147" s="1">
        <v>-1.5033108000000031</v>
      </c>
      <c r="N1147" s="1">
        <v>73.127574939939421</v>
      </c>
      <c r="O1147" s="1">
        <v>54.133704688950772</v>
      </c>
      <c r="P1147" s="1">
        <v>5866.1460631116661</v>
      </c>
    </row>
    <row r="1148" spans="7:16" x14ac:dyDescent="0.2">
      <c r="G1148" s="1">
        <v>44292</v>
      </c>
      <c r="H1148" s="1">
        <v>8.6862520999999973</v>
      </c>
      <c r="I1148" s="1">
        <v>-3.3324682000000001</v>
      </c>
      <c r="J1148" s="1">
        <v>5.3537839000000016</v>
      </c>
      <c r="N1148" s="1">
        <v>73.008541818758403</v>
      </c>
      <c r="O1148" s="1">
        <v>54.166607103064067</v>
      </c>
      <c r="P1148" s="1">
        <v>5892.4884051366671</v>
      </c>
    </row>
    <row r="1149" spans="7:16" x14ac:dyDescent="0.2">
      <c r="G1149" s="1">
        <v>44293</v>
      </c>
      <c r="H1149" s="1">
        <v>7.4290992000000013</v>
      </c>
      <c r="I1149" s="1">
        <v>-5.2121657999999993</v>
      </c>
      <c r="J1149" s="1">
        <v>2.2169334000000007</v>
      </c>
      <c r="N1149" s="1">
        <v>72.81109725037166</v>
      </c>
      <c r="O1149" s="1">
        <v>53.870129247910846</v>
      </c>
      <c r="P1149" s="1">
        <v>5881.395757629999</v>
      </c>
    </row>
    <row r="1150" spans="7:16" x14ac:dyDescent="0.2">
      <c r="G1150" s="1">
        <v>44294</v>
      </c>
      <c r="H1150" s="1">
        <v>6.4884084999999985</v>
      </c>
      <c r="I1150" s="1">
        <v>-5.1124378000000013</v>
      </c>
      <c r="J1150" s="1">
        <v>1.3759706999999999</v>
      </c>
      <c r="N1150" s="1">
        <v>73.828427195616982</v>
      </c>
      <c r="O1150" s="1">
        <v>54.635959052924797</v>
      </c>
      <c r="P1150" s="1">
        <v>5876.9788787799989</v>
      </c>
    </row>
    <row r="1151" spans="7:16" x14ac:dyDescent="0.2">
      <c r="G1151" s="1">
        <v>44295</v>
      </c>
      <c r="H1151" s="1">
        <v>5.7662097000000019</v>
      </c>
      <c r="I1151" s="1">
        <v>-5.5040651999999994</v>
      </c>
      <c r="J1151" s="1">
        <v>0.26214450000000017</v>
      </c>
      <c r="N1151" s="1">
        <v>74.44182785151267</v>
      </c>
      <c r="O1151" s="1">
        <v>54.718910863509755</v>
      </c>
      <c r="P1151" s="1">
        <v>5905.4984667800027</v>
      </c>
    </row>
    <row r="1152" spans="7:16" x14ac:dyDescent="0.2">
      <c r="G1152" s="1">
        <v>44298</v>
      </c>
      <c r="H1152" s="1">
        <v>8.6809417</v>
      </c>
      <c r="I1152" s="1">
        <v>-2.8397798999999999</v>
      </c>
      <c r="J1152" s="1">
        <v>5.8411618000000001</v>
      </c>
      <c r="N1152" s="1">
        <v>74.289857655571353</v>
      </c>
      <c r="O1152" s="1">
        <v>54.455177994428958</v>
      </c>
      <c r="P1152" s="1">
        <v>5919.1250421800005</v>
      </c>
    </row>
    <row r="1153" spans="7:16" x14ac:dyDescent="0.2">
      <c r="G1153" s="1">
        <v>44299</v>
      </c>
      <c r="H1153" s="1">
        <v>7.9088887000000003</v>
      </c>
      <c r="I1153" s="1">
        <v>-3.0837186999999995</v>
      </c>
      <c r="J1153" s="1">
        <v>4.8251700000000008</v>
      </c>
      <c r="N1153" s="1">
        <v>75.005321907755913</v>
      </c>
      <c r="O1153" s="1">
        <v>54.941284122562678</v>
      </c>
      <c r="P1153" s="1">
        <v>5917.7235442799965</v>
      </c>
    </row>
    <row r="1154" spans="7:16" x14ac:dyDescent="0.2">
      <c r="G1154" s="1">
        <v>44300</v>
      </c>
      <c r="H1154" s="1">
        <v>10.375643699999999</v>
      </c>
      <c r="I1154" s="1">
        <v>-2.9188479999999997</v>
      </c>
      <c r="J1154" s="1">
        <v>7.4567957000000007</v>
      </c>
      <c r="N1154" s="1">
        <v>74.684676319634491</v>
      </c>
      <c r="O1154" s="1">
        <v>55.172724512534806</v>
      </c>
      <c r="P1154" s="1">
        <v>5941.6819435799998</v>
      </c>
    </row>
    <row r="1155" spans="7:16" x14ac:dyDescent="0.2">
      <c r="G1155" s="1">
        <v>44301</v>
      </c>
      <c r="H1155" s="1">
        <v>7.3708889999999982</v>
      </c>
      <c r="I1155" s="1">
        <v>-3.1516890000000002</v>
      </c>
      <c r="J1155" s="1">
        <v>4.2191999999999998</v>
      </c>
      <c r="N1155" s="1">
        <v>76.381639399633784</v>
      </c>
      <c r="O1155" s="1">
        <v>56.239500557103071</v>
      </c>
      <c r="P1155" s="1">
        <v>5947.9348007300032</v>
      </c>
    </row>
    <row r="1156" spans="7:16" x14ac:dyDescent="0.2">
      <c r="G1156" s="1">
        <v>44302</v>
      </c>
      <c r="H1156" s="1">
        <v>5.9411060999999998</v>
      </c>
      <c r="I1156" s="1">
        <v>-5.6996472999999996</v>
      </c>
      <c r="J1156" s="1">
        <v>0.24145880000000061</v>
      </c>
      <c r="N1156" s="1">
        <v>76.826064675258294</v>
      </c>
      <c r="O1156" s="1">
        <v>56.779010027855151</v>
      </c>
      <c r="P1156" s="1">
        <v>6000.1594705800007</v>
      </c>
    </row>
    <row r="1157" spans="7:16" x14ac:dyDescent="0.2">
      <c r="G1157" s="1">
        <v>44305</v>
      </c>
      <c r="H1157" s="1">
        <v>5.9884991999999988</v>
      </c>
      <c r="I1157" s="1">
        <v>-5.6879811999999994</v>
      </c>
      <c r="J1157" s="1">
        <v>0.30051800000000056</v>
      </c>
      <c r="N1157" s="1">
        <v>76.017709039398241</v>
      </c>
      <c r="O1157" s="1">
        <v>56.379256267409502</v>
      </c>
      <c r="P1157" s="1">
        <v>6016.5108758800025</v>
      </c>
    </row>
    <row r="1158" spans="7:16" x14ac:dyDescent="0.2">
      <c r="G1158" s="1">
        <v>44306</v>
      </c>
      <c r="H1158" s="1">
        <v>6.504985500000001</v>
      </c>
      <c r="I1158" s="1">
        <v>-4.7924994000000005</v>
      </c>
      <c r="J1158" s="1">
        <v>1.7124860999999993</v>
      </c>
      <c r="N1158" s="1">
        <v>74.425353880681072</v>
      </c>
      <c r="O1158" s="1">
        <v>55.111962395543195</v>
      </c>
      <c r="P1158" s="1">
        <v>5997.4757174799997</v>
      </c>
    </row>
    <row r="1159" spans="7:16" x14ac:dyDescent="0.2">
      <c r="G1159" s="1">
        <v>44307</v>
      </c>
      <c r="H1159" s="1">
        <v>6.5219455999999996</v>
      </c>
      <c r="I1159" s="1">
        <v>-7.0097996999999976</v>
      </c>
      <c r="J1159" s="1">
        <v>-0.48785410000000023</v>
      </c>
      <c r="N1159" s="1">
        <v>75.738948665062068</v>
      </c>
      <c r="O1159" s="1">
        <v>56.128873816155981</v>
      </c>
      <c r="P1159" s="1">
        <v>5948.4609181799988</v>
      </c>
    </row>
    <row r="1160" spans="7:16" x14ac:dyDescent="0.2">
      <c r="G1160" s="1">
        <v>44308</v>
      </c>
      <c r="H1160" s="1">
        <v>5.6943446999999994</v>
      </c>
      <c r="I1160" s="1">
        <v>-8.2520907000000001</v>
      </c>
      <c r="J1160" s="1">
        <v>-2.5577459999999994</v>
      </c>
      <c r="N1160" s="1">
        <v>74.869613779403394</v>
      </c>
      <c r="O1160" s="1">
        <v>55.792255431754896</v>
      </c>
      <c r="P1160" s="1">
        <v>5985.9549832300027</v>
      </c>
    </row>
    <row r="1161" spans="7:16" x14ac:dyDescent="0.2">
      <c r="G1161" s="1">
        <v>44309</v>
      </c>
      <c r="H1161" s="1">
        <v>5.9325532999999995</v>
      </c>
      <c r="I1161" s="1">
        <v>-7.5994231999999995</v>
      </c>
      <c r="J1161" s="1">
        <v>-1.6668698999999989</v>
      </c>
      <c r="N1161" s="1">
        <v>76.534959322157235</v>
      </c>
      <c r="O1161" s="1">
        <v>56.902053203342604</v>
      </c>
      <c r="P1161" s="1">
        <v>5964.6127543800003</v>
      </c>
    </row>
    <row r="1162" spans="7:16" x14ac:dyDescent="0.2">
      <c r="G1162" s="1">
        <v>44312</v>
      </c>
      <c r="H1162" s="1">
        <v>8.4348378999999998</v>
      </c>
      <c r="I1162" s="1">
        <v>-4.2648845000000009</v>
      </c>
      <c r="J1162" s="1">
        <v>4.1699533999999989</v>
      </c>
      <c r="N1162" s="1">
        <v>77.071891142556922</v>
      </c>
      <c r="O1162" s="1">
        <v>57.288872701949877</v>
      </c>
      <c r="P1162" s="1">
        <v>6009.0489550800003</v>
      </c>
    </row>
    <row r="1163" spans="7:16" x14ac:dyDescent="0.2">
      <c r="G1163" s="1">
        <v>44313</v>
      </c>
      <c r="H1163" s="1">
        <v>8.7002067999999966</v>
      </c>
      <c r="I1163" s="1">
        <v>-6.1413438999999999</v>
      </c>
      <c r="J1163" s="1">
        <v>2.5588628999999994</v>
      </c>
      <c r="N1163" s="1">
        <v>76.787931275243537</v>
      </c>
      <c r="O1163" s="1">
        <v>57.069449582172702</v>
      </c>
      <c r="P1163" s="1">
        <v>6027.7190001800018</v>
      </c>
    </row>
    <row r="1164" spans="7:16" x14ac:dyDescent="0.2">
      <c r="G1164" s="1">
        <v>44314</v>
      </c>
      <c r="H1164" s="1">
        <v>8.2758371999999998</v>
      </c>
      <c r="I1164" s="1">
        <v>-6.4905712000000007</v>
      </c>
      <c r="J1164" s="1">
        <v>1.7852659999999994</v>
      </c>
      <c r="N1164" s="1">
        <v>76.740003774688418</v>
      </c>
      <c r="O1164" s="1">
        <v>57.269371309192195</v>
      </c>
      <c r="P1164" s="1">
        <v>6020.2912282799989</v>
      </c>
    </row>
    <row r="1165" spans="7:16" x14ac:dyDescent="0.2">
      <c r="G1165" s="1">
        <v>44315</v>
      </c>
      <c r="H1165" s="1">
        <v>8.070901000000001</v>
      </c>
      <c r="I1165" s="1">
        <v>-3.6571634000000004</v>
      </c>
      <c r="J1165" s="1">
        <v>4.4137375999999984</v>
      </c>
      <c r="N1165" s="1">
        <v>77.147264862580869</v>
      </c>
      <c r="O1165" s="1">
        <v>57.499577019498595</v>
      </c>
      <c r="P1165" s="1">
        <v>6026.5679280800023</v>
      </c>
    </row>
    <row r="1166" spans="7:16" x14ac:dyDescent="0.2">
      <c r="G1166" s="1">
        <v>44316</v>
      </c>
      <c r="H1166" s="1">
        <v>10.997807700000003</v>
      </c>
      <c r="I1166" s="1">
        <v>-4.2013599999999993</v>
      </c>
      <c r="J1166" s="1">
        <v>6.7964477000000016</v>
      </c>
      <c r="N1166" s="1">
        <v>75.794708848867671</v>
      </c>
      <c r="O1166" s="1">
        <v>56.289974233983287</v>
      </c>
      <c r="P1166" s="1">
        <v>6042.3249860800015</v>
      </c>
    </row>
    <row r="1167" spans="7:16" x14ac:dyDescent="0.2">
      <c r="G1167" s="1">
        <v>44319</v>
      </c>
      <c r="H1167" s="1">
        <v>7.6348991999999987</v>
      </c>
      <c r="I1167" s="1">
        <v>-0.99077939999999998</v>
      </c>
      <c r="J1167" s="1">
        <v>6.6441197999999977</v>
      </c>
      <c r="N1167" s="1">
        <v>76.209373497020621</v>
      </c>
      <c r="O1167" s="1">
        <v>56.778343384401111</v>
      </c>
      <c r="P1167" s="1">
        <v>6004.6430113299994</v>
      </c>
    </row>
    <row r="1168" spans="7:16" x14ac:dyDescent="0.2">
      <c r="G1168" s="1">
        <v>44320</v>
      </c>
      <c r="H1168" s="1">
        <v>4.0535630000000005</v>
      </c>
      <c r="I1168" s="1">
        <v>-10.4113563</v>
      </c>
      <c r="J1168" s="1">
        <v>-6.3577933</v>
      </c>
      <c r="N1168" s="1">
        <v>74.846580630794136</v>
      </c>
      <c r="O1168" s="1">
        <v>55.868088161559882</v>
      </c>
      <c r="P1168" s="1">
        <v>6044.1646996049994</v>
      </c>
    </row>
    <row r="1169" spans="7:16" x14ac:dyDescent="0.2">
      <c r="G1169" s="1">
        <v>44321</v>
      </c>
      <c r="H1169" s="1">
        <v>4.9764801999999992</v>
      </c>
      <c r="I1169" s="1">
        <v>-4.4590826000000003</v>
      </c>
      <c r="J1169" s="1">
        <v>0.51739760000000012</v>
      </c>
      <c r="N1169" s="1">
        <v>75.041167003295882</v>
      </c>
      <c r="O1169" s="1">
        <v>56.369484192200566</v>
      </c>
      <c r="P1169" s="1">
        <v>5992.1706329299996</v>
      </c>
    </row>
    <row r="1170" spans="7:16" x14ac:dyDescent="0.2">
      <c r="G1170" s="1">
        <v>44322</v>
      </c>
      <c r="H1170" s="1">
        <v>5.6456741000000008</v>
      </c>
      <c r="I1170" s="1">
        <v>-4.0042184999999986</v>
      </c>
      <c r="J1170" s="1">
        <v>1.6414556000000002</v>
      </c>
      <c r="N1170" s="1">
        <v>76.115739608440876</v>
      </c>
      <c r="O1170" s="1">
        <v>57.194787465181051</v>
      </c>
      <c r="P1170" s="1">
        <v>6006.8918214549994</v>
      </c>
    </row>
    <row r="1171" spans="7:16" x14ac:dyDescent="0.2">
      <c r="G1171" s="1">
        <v>44323</v>
      </c>
      <c r="H1171" s="1">
        <v>7.8623182000000007</v>
      </c>
      <c r="I1171" s="1">
        <v>-3.3546731999999992</v>
      </c>
      <c r="J1171" s="1">
        <v>4.5076450000000001</v>
      </c>
      <c r="N1171" s="1">
        <v>77.625876642574127</v>
      </c>
      <c r="O1171" s="1">
        <v>58.551867409470759</v>
      </c>
      <c r="P1171" s="1">
        <v>6043.620813579997</v>
      </c>
    </row>
    <row r="1172" spans="7:16" x14ac:dyDescent="0.2">
      <c r="G1172" s="1">
        <v>44326</v>
      </c>
      <c r="H1172" s="1">
        <v>8.5675346000000001</v>
      </c>
      <c r="I1172" s="1">
        <v>-5.5991809999999989</v>
      </c>
      <c r="J1172" s="1">
        <v>2.9683536000000008</v>
      </c>
      <c r="N1172" s="1">
        <v>75.924820091977665</v>
      </c>
      <c r="O1172" s="1">
        <v>57.80897075208911</v>
      </c>
      <c r="P1172" s="1">
        <v>6094.3220046799979</v>
      </c>
    </row>
    <row r="1173" spans="7:16" x14ac:dyDescent="0.2">
      <c r="G1173" s="1">
        <v>44327</v>
      </c>
      <c r="H1173" s="1">
        <v>9.5856125999999975</v>
      </c>
      <c r="I1173" s="1">
        <v>-4.0285018999999993</v>
      </c>
      <c r="J1173" s="1">
        <v>5.5571107000000017</v>
      </c>
      <c r="N1173" s="1">
        <v>74.424270773922942</v>
      </c>
      <c r="O1173" s="1">
        <v>56.392663231197794</v>
      </c>
      <c r="P1173" s="1">
        <v>6057.9861910799991</v>
      </c>
    </row>
    <row r="1174" spans="7:16" x14ac:dyDescent="0.2">
      <c r="G1174" s="1">
        <v>44328</v>
      </c>
      <c r="H1174" s="1">
        <v>5.8019502000000012</v>
      </c>
      <c r="I1174" s="1">
        <v>-4.3772867</v>
      </c>
      <c r="J1174" s="1">
        <v>1.4246634999999999</v>
      </c>
      <c r="N1174" s="1">
        <v>70.697406393293519</v>
      </c>
      <c r="O1174" s="1">
        <v>53.790363509749305</v>
      </c>
      <c r="P1174" s="1">
        <v>6009.8762547800015</v>
      </c>
    </row>
    <row r="1175" spans="7:16" x14ac:dyDescent="0.2">
      <c r="G1175" s="1">
        <v>44329</v>
      </c>
      <c r="H1175" s="1">
        <v>7.6332937999999997</v>
      </c>
      <c r="I1175" s="1">
        <v>-5.1837153999999996</v>
      </c>
      <c r="J1175" s="1">
        <v>2.4495783999999983</v>
      </c>
      <c r="N1175" s="1">
        <v>72.044870203564486</v>
      </c>
      <c r="O1175" s="1">
        <v>54.552524791086327</v>
      </c>
      <c r="P1175" s="1">
        <v>5899.4034641799999</v>
      </c>
    </row>
    <row r="1176" spans="7:16" x14ac:dyDescent="0.2">
      <c r="G1176" s="1">
        <v>44330</v>
      </c>
      <c r="H1176" s="1">
        <v>8.6831448999999985</v>
      </c>
      <c r="I1176" s="1">
        <v>-7.358803100000002</v>
      </c>
      <c r="J1176" s="1">
        <v>1.3243417999999991</v>
      </c>
      <c r="N1176" s="1">
        <v>74.768277412714852</v>
      </c>
      <c r="O1176" s="1">
        <v>56.722355710306438</v>
      </c>
      <c r="P1176" s="1">
        <v>5946.6241316299984</v>
      </c>
    </row>
    <row r="1177" spans="7:16" x14ac:dyDescent="0.2">
      <c r="G1177" s="1">
        <v>44333</v>
      </c>
      <c r="H1177" s="1">
        <v>7.8594464999999998</v>
      </c>
      <c r="I1177" s="1">
        <v>-4.4931359000000004</v>
      </c>
      <c r="J1177" s="1">
        <v>3.3663106000000003</v>
      </c>
      <c r="N1177" s="1">
        <v>74.422051368257684</v>
      </c>
      <c r="O1177" s="1">
        <v>56.74445125348187</v>
      </c>
      <c r="P1177" s="1">
        <v>6024.1647816799987</v>
      </c>
    </row>
    <row r="1178" spans="7:16" x14ac:dyDescent="0.2">
      <c r="G1178" s="1">
        <v>44334</v>
      </c>
      <c r="H1178" s="1">
        <v>6.5226686999999979</v>
      </c>
      <c r="I1178" s="1">
        <v>-3.4838320999999999</v>
      </c>
      <c r="J1178" s="1">
        <v>3.0388366000000007</v>
      </c>
      <c r="N1178" s="1">
        <v>73.939738049318763</v>
      </c>
      <c r="O1178" s="1">
        <v>56.806437325905293</v>
      </c>
      <c r="P1178" s="1">
        <v>6023.2613200800006</v>
      </c>
    </row>
    <row r="1179" spans="7:16" x14ac:dyDescent="0.2">
      <c r="G1179" s="1">
        <v>44335</v>
      </c>
      <c r="H1179" s="1">
        <v>6.9109940000000005</v>
      </c>
      <c r="I1179" s="1">
        <v>-7.5099688000000011</v>
      </c>
      <c r="J1179" s="1">
        <v>-0.5989747999999997</v>
      </c>
      <c r="N1179" s="1">
        <v>73.173335206223044</v>
      </c>
      <c r="O1179" s="1">
        <v>55.876606545961003</v>
      </c>
      <c r="P1179" s="1">
        <v>6017.9487170800012</v>
      </c>
    </row>
    <row r="1180" spans="7:16" x14ac:dyDescent="0.2">
      <c r="G1180" s="1">
        <v>44336</v>
      </c>
      <c r="H1180" s="1">
        <v>8.9825361000000008</v>
      </c>
      <c r="I1180" s="1">
        <v>-4.5487340000000014</v>
      </c>
      <c r="J1180" s="1">
        <v>4.4338020999999985</v>
      </c>
      <c r="N1180" s="1">
        <v>74.95159483656208</v>
      </c>
      <c r="O1180" s="1">
        <v>57.160776323119784</v>
      </c>
      <c r="P1180" s="1">
        <v>5989.204121429997</v>
      </c>
    </row>
    <row r="1181" spans="7:16" x14ac:dyDescent="0.2">
      <c r="G1181" s="1">
        <v>44337</v>
      </c>
      <c r="H1181" s="1">
        <v>6.4821922000000001</v>
      </c>
      <c r="I1181" s="1">
        <v>-5.5944464999999992</v>
      </c>
      <c r="J1181" s="1">
        <v>0.88774569999999997</v>
      </c>
      <c r="N1181" s="1">
        <v>74.821866654543427</v>
      </c>
      <c r="O1181" s="1">
        <v>57.068038997214501</v>
      </c>
      <c r="P1181" s="1">
        <v>6042.3302296800002</v>
      </c>
    </row>
    <row r="1182" spans="7:16" x14ac:dyDescent="0.2">
      <c r="G1182" s="1">
        <v>44340</v>
      </c>
      <c r="H1182" s="1">
        <v>8.4309767000000004</v>
      </c>
      <c r="I1182" s="1">
        <v>-2.9622546999999995</v>
      </c>
      <c r="J1182" s="1">
        <v>5.4687219999999988</v>
      </c>
      <c r="N1182" s="1">
        <v>76.383371376817891</v>
      </c>
      <c r="O1182" s="1">
        <v>58.050863649025025</v>
      </c>
      <c r="P1182" s="1">
        <v>6041.1611299799997</v>
      </c>
    </row>
    <row r="1183" spans="7:16" x14ac:dyDescent="0.2">
      <c r="G1183" s="1">
        <v>44341</v>
      </c>
      <c r="H1183" s="1">
        <v>8.3941298000000018</v>
      </c>
      <c r="I1183" s="1">
        <v>-5.3457235000000001</v>
      </c>
      <c r="J1183" s="1">
        <v>3.0484062999999986</v>
      </c>
      <c r="N1183" s="1">
        <v>76.290080144124275</v>
      </c>
      <c r="O1183" s="1">
        <v>58.17381894150418</v>
      </c>
      <c r="P1183" s="1">
        <v>6100.8247360400019</v>
      </c>
    </row>
    <row r="1184" spans="7:16" x14ac:dyDescent="0.2">
      <c r="G1184" s="1">
        <v>44342</v>
      </c>
      <c r="H1184" s="1">
        <v>6.7807412000000014</v>
      </c>
      <c r="I1184" s="1">
        <v>-6.3057681999999984</v>
      </c>
      <c r="J1184" s="1">
        <v>0.47497299999999992</v>
      </c>
      <c r="N1184" s="1">
        <v>76.810166223226233</v>
      </c>
      <c r="O1184" s="1">
        <v>58.594973816155999</v>
      </c>
      <c r="P1184" s="1">
        <v>6089.8951356800007</v>
      </c>
    </row>
    <row r="1185" spans="7:16" x14ac:dyDescent="0.2">
      <c r="G1185" s="1">
        <v>44343</v>
      </c>
      <c r="H1185" s="1">
        <v>7.4740356999999999</v>
      </c>
      <c r="I1185" s="1">
        <v>-5.5472983000000005</v>
      </c>
      <c r="J1185" s="1">
        <v>1.9267374000000006</v>
      </c>
      <c r="N1185" s="1">
        <v>76.833110232330654</v>
      </c>
      <c r="O1185" s="1">
        <v>58.795603064066817</v>
      </c>
      <c r="P1185" s="1">
        <v>6106.5689740799999</v>
      </c>
    </row>
    <row r="1186" spans="7:16" x14ac:dyDescent="0.2">
      <c r="G1186" s="1">
        <v>44344</v>
      </c>
      <c r="H1186" s="1">
        <v>4.9031644999999999</v>
      </c>
      <c r="I1186" s="1">
        <v>-8.1102708999999997</v>
      </c>
      <c r="J1186" s="1">
        <v>-3.2071064000000002</v>
      </c>
      <c r="N1186" s="1">
        <v>77.435961993315857</v>
      </c>
      <c r="O1186" s="1">
        <v>59.345112534818959</v>
      </c>
      <c r="P1186" s="1">
        <v>6110.1678658800029</v>
      </c>
    </row>
    <row r="1187" spans="7:16" x14ac:dyDescent="0.2">
      <c r="G1187" s="1">
        <v>44347</v>
      </c>
      <c r="H1187" s="1">
        <v>0.5799974</v>
      </c>
      <c r="I1187" s="1">
        <v>-0.50332239999999995</v>
      </c>
      <c r="J1187" s="1">
        <v>7.6675000000000021E-2</v>
      </c>
      <c r="N1187" s="1">
        <v>77.444037462456592</v>
      </c>
      <c r="O1187" s="1">
        <v>59.496555988857935</v>
      </c>
      <c r="P1187" s="1">
        <v>6129.3856965799978</v>
      </c>
    </row>
    <row r="1188" spans="7:16" x14ac:dyDescent="0.2">
      <c r="G1188" s="1">
        <v>44348</v>
      </c>
      <c r="H1188" s="1">
        <v>8.8542086000000015</v>
      </c>
      <c r="I1188" s="1">
        <v>-3.5010135999999998</v>
      </c>
      <c r="J1188" s="1">
        <v>5.3531950000000021</v>
      </c>
      <c r="N1188" s="1">
        <v>77.609792534351612</v>
      </c>
      <c r="O1188" s="1">
        <v>59.827098328690802</v>
      </c>
      <c r="P1188" s="1">
        <v>6137.7765308799999</v>
      </c>
    </row>
    <row r="1189" spans="7:16" x14ac:dyDescent="0.2">
      <c r="G1189" s="1">
        <v>44349</v>
      </c>
      <c r="H1189" s="1">
        <v>6.9328182999999992</v>
      </c>
      <c r="I1189" s="1">
        <v>-8.0976146999999994</v>
      </c>
      <c r="J1189" s="1">
        <v>-1.1647963999999993</v>
      </c>
      <c r="N1189" s="1">
        <v>77.910097386865544</v>
      </c>
      <c r="O1189" s="1">
        <v>60.094046518105849</v>
      </c>
      <c r="P1189" s="1">
        <v>6144.6199304800011</v>
      </c>
    </row>
    <row r="1190" spans="7:16" x14ac:dyDescent="0.2">
      <c r="G1190" s="1">
        <v>44350</v>
      </c>
      <c r="H1190" s="1">
        <v>7.8732047000000023</v>
      </c>
      <c r="I1190" s="1">
        <v>-4.3165912999999998</v>
      </c>
      <c r="J1190" s="1">
        <v>3.5566134000000034</v>
      </c>
      <c r="N1190" s="1">
        <v>76.919739284218267</v>
      </c>
      <c r="O1190" s="1">
        <v>59.257296935933162</v>
      </c>
      <c r="P1190" s="1">
        <v>6155.60337428</v>
      </c>
    </row>
    <row r="1191" spans="7:16" x14ac:dyDescent="0.2">
      <c r="G1191" s="1">
        <v>44351</v>
      </c>
      <c r="H1191" s="1">
        <v>5.0787306000000001</v>
      </c>
      <c r="I1191" s="1">
        <v>-5.7491538999999996</v>
      </c>
      <c r="J1191" s="1">
        <v>-0.67042330000000028</v>
      </c>
      <c r="N1191" s="1">
        <v>78.463371942628626</v>
      </c>
      <c r="O1191" s="1">
        <v>60.318651253481882</v>
      </c>
      <c r="P1191" s="1">
        <v>6130.3194538799999</v>
      </c>
    </row>
    <row r="1192" spans="7:16" x14ac:dyDescent="0.2">
      <c r="G1192" s="1">
        <v>44354</v>
      </c>
      <c r="H1192" s="1">
        <v>6.1122804999999998</v>
      </c>
      <c r="I1192" s="1">
        <v>-7.5927837</v>
      </c>
      <c r="J1192" s="1">
        <v>-1.4805031999999998</v>
      </c>
      <c r="N1192" s="1">
        <v>78.603775692860282</v>
      </c>
      <c r="O1192" s="1">
        <v>60.543550696378809</v>
      </c>
      <c r="P1192" s="1">
        <v>6175.0427639799991</v>
      </c>
    </row>
    <row r="1193" spans="7:16" x14ac:dyDescent="0.2">
      <c r="G1193" s="1">
        <v>44355</v>
      </c>
      <c r="H1193" s="1">
        <v>7.3708812999999989</v>
      </c>
      <c r="I1193" s="1">
        <v>-3.4684716999999998</v>
      </c>
      <c r="J1193" s="1">
        <v>3.9024096000000004</v>
      </c>
      <c r="N1193" s="1">
        <v>78.746481254762202</v>
      </c>
      <c r="O1193" s="1">
        <v>60.589373816156012</v>
      </c>
      <c r="P1193" s="1">
        <v>6178.2204955800007</v>
      </c>
    </row>
    <row r="1194" spans="7:16" x14ac:dyDescent="0.2">
      <c r="G1194" s="1">
        <v>44356</v>
      </c>
      <c r="H1194" s="1">
        <v>8.157794599999999</v>
      </c>
      <c r="I1194" s="1">
        <v>-4.0129640000000002</v>
      </c>
      <c r="J1194" s="1">
        <v>4.1448306000000006</v>
      </c>
      <c r="N1194" s="1">
        <v>78.408220316980689</v>
      </c>
      <c r="O1194" s="1">
        <v>60.336474651810597</v>
      </c>
      <c r="P1194" s="1">
        <v>6186.422478980001</v>
      </c>
    </row>
    <row r="1195" spans="7:16" x14ac:dyDescent="0.2">
      <c r="G1195" s="1">
        <v>44357</v>
      </c>
      <c r="H1195" s="1">
        <v>7.1490634000000011</v>
      </c>
      <c r="I1195" s="1">
        <v>-4.8173802000000006</v>
      </c>
      <c r="J1195" s="1">
        <v>2.3316832000000005</v>
      </c>
      <c r="N1195" s="1">
        <v>79.143689328283102</v>
      </c>
      <c r="O1195" s="1">
        <v>60.850485236768812</v>
      </c>
      <c r="P1195" s="1">
        <v>6178.502330979999</v>
      </c>
    </row>
    <row r="1196" spans="7:16" x14ac:dyDescent="0.2">
      <c r="G1196" s="1">
        <v>44358</v>
      </c>
      <c r="H1196" s="1">
        <v>5.8653165000000014</v>
      </c>
      <c r="I1196" s="1">
        <v>-2.5514619999999999</v>
      </c>
      <c r="J1196" s="1">
        <v>3.3138544999999997</v>
      </c>
      <c r="N1196" s="1">
        <v>79.412983221515958</v>
      </c>
      <c r="O1196" s="1">
        <v>60.882818662952644</v>
      </c>
      <c r="P1196" s="1">
        <v>6193.4844145800025</v>
      </c>
    </row>
    <row r="1197" spans="7:16" x14ac:dyDescent="0.2">
      <c r="G1197" s="1">
        <v>44361</v>
      </c>
      <c r="H1197" s="1">
        <v>8.6270081000000012</v>
      </c>
      <c r="I1197" s="1">
        <v>-2.8242933999999997</v>
      </c>
      <c r="J1197" s="1">
        <v>5.8027146999999992</v>
      </c>
      <c r="N1197" s="1">
        <v>79.771576321279525</v>
      </c>
      <c r="O1197" s="1">
        <v>60.902424791086339</v>
      </c>
      <c r="P1197" s="1">
        <v>6201.8471893800024</v>
      </c>
    </row>
    <row r="1198" spans="7:16" x14ac:dyDescent="0.2">
      <c r="G1198" s="1">
        <v>44362</v>
      </c>
      <c r="H1198" s="1">
        <v>18.563293600000002</v>
      </c>
      <c r="I1198" s="1">
        <v>-5.6645555999999999</v>
      </c>
      <c r="J1198" s="1">
        <v>12.898738000000002</v>
      </c>
      <c r="N1198" s="1">
        <v>79.488280519268685</v>
      </c>
      <c r="O1198" s="1">
        <v>60.676633983286898</v>
      </c>
      <c r="P1198" s="1">
        <v>6210.1216723799998</v>
      </c>
    </row>
    <row r="1199" spans="7:16" x14ac:dyDescent="0.2">
      <c r="G1199" s="1">
        <v>44363</v>
      </c>
      <c r="H1199" s="1">
        <v>6.9680662999999994</v>
      </c>
      <c r="I1199" s="1">
        <v>-4.4544684000000005</v>
      </c>
      <c r="J1199" s="1">
        <v>2.5135979000000002</v>
      </c>
      <c r="N1199" s="1">
        <v>78.592246150867155</v>
      </c>
      <c r="O1199" s="1">
        <v>60.065258774373248</v>
      </c>
      <c r="P1199" s="1">
        <v>6216.8851006799969</v>
      </c>
    </row>
    <row r="1200" spans="7:16" x14ac:dyDescent="0.2">
      <c r="G1200" s="1">
        <v>44364</v>
      </c>
      <c r="H1200" s="1">
        <v>8.2627500000000005</v>
      </c>
      <c r="I1200" s="1">
        <v>-7.6659594000000002</v>
      </c>
      <c r="J1200" s="1">
        <v>0.59679059999999917</v>
      </c>
      <c r="N1200" s="1">
        <v>78.174949992829966</v>
      </c>
      <c r="O1200" s="1">
        <v>58.792420055710302</v>
      </c>
      <c r="P1200" s="1">
        <v>6190.3732761800002</v>
      </c>
    </row>
    <row r="1201" spans="7:16" x14ac:dyDescent="0.2">
      <c r="G1201" s="1">
        <v>44365</v>
      </c>
      <c r="H1201" s="1">
        <v>6.3510717999999997</v>
      </c>
      <c r="I1201" s="1">
        <v>-16.0066861</v>
      </c>
      <c r="J1201" s="1">
        <v>-9.6556142999999999</v>
      </c>
      <c r="N1201" s="1">
        <v>76.096709847511335</v>
      </c>
      <c r="O1201" s="1">
        <v>57.140655153203333</v>
      </c>
      <c r="P1201" s="1">
        <v>6159.8394672800005</v>
      </c>
    </row>
    <row r="1202" spans="7:16" x14ac:dyDescent="0.2">
      <c r="G1202" s="1">
        <v>44368</v>
      </c>
      <c r="H1202" s="1">
        <v>8.6045747999999982</v>
      </c>
      <c r="I1202" s="1">
        <v>-7.8797289999999993</v>
      </c>
      <c r="J1202" s="1">
        <v>0.72484579999999788</v>
      </c>
      <c r="N1202" s="1">
        <v>77.747184382710714</v>
      </c>
      <c r="O1202" s="1">
        <v>58.414427855153221</v>
      </c>
      <c r="P1202" s="1">
        <v>6081.0724908800003</v>
      </c>
    </row>
    <row r="1203" spans="7:16" x14ac:dyDescent="0.2">
      <c r="G1203" s="1">
        <v>44369</v>
      </c>
      <c r="H1203" s="1">
        <v>8.0723852999999988</v>
      </c>
      <c r="I1203" s="1">
        <v>-6.5794668999999999</v>
      </c>
      <c r="J1203" s="1">
        <v>1.4929184000000002</v>
      </c>
      <c r="N1203" s="1">
        <v>78.737574994319658</v>
      </c>
      <c r="O1203" s="1">
        <v>58.913208077994433</v>
      </c>
      <c r="P1203" s="1">
        <v>6126.3790899799988</v>
      </c>
    </row>
    <row r="1204" spans="7:16" x14ac:dyDescent="0.2">
      <c r="G1204" s="1">
        <v>44370</v>
      </c>
      <c r="H1204" s="1">
        <v>20.516603499999999</v>
      </c>
      <c r="I1204" s="1">
        <v>-5.7918529999999997</v>
      </c>
      <c r="J1204" s="1">
        <v>14.724750500000003</v>
      </c>
      <c r="N1204" s="1">
        <v>78.723987894501377</v>
      </c>
      <c r="O1204" s="1">
        <v>58.828826183844008</v>
      </c>
      <c r="P1204" s="1">
        <v>6156.3354049800009</v>
      </c>
    </row>
    <row r="1205" spans="7:16" x14ac:dyDescent="0.2">
      <c r="G1205" s="1">
        <v>44371</v>
      </c>
      <c r="H1205" s="1">
        <v>5.5417506999999997</v>
      </c>
      <c r="I1205" s="1">
        <v>-2.9860975000000001</v>
      </c>
      <c r="J1205" s="1">
        <v>2.5556532000000005</v>
      </c>
      <c r="N1205" s="1">
        <v>79.798830050974431</v>
      </c>
      <c r="O1205" s="1">
        <v>59.667861281337046</v>
      </c>
      <c r="P1205" s="1">
        <v>6164.4237897800003</v>
      </c>
    </row>
    <row r="1206" spans="7:16" x14ac:dyDescent="0.2">
      <c r="G1206" s="1">
        <v>44372</v>
      </c>
      <c r="H1206" s="1">
        <v>8.6778122000000018</v>
      </c>
      <c r="I1206" s="1">
        <v>-17.1957624</v>
      </c>
      <c r="J1206" s="1">
        <v>-8.5179501999999996</v>
      </c>
      <c r="N1206" s="1">
        <v>80.384793470692941</v>
      </c>
      <c r="O1206" s="1">
        <v>60.272958774373258</v>
      </c>
      <c r="P1206" s="1">
        <v>6196.4349503800013</v>
      </c>
    </row>
    <row r="1207" spans="7:16" x14ac:dyDescent="0.2">
      <c r="G1207" s="1">
        <v>44375</v>
      </c>
      <c r="H1207" s="1">
        <v>5.1271998000000005</v>
      </c>
      <c r="I1207" s="1">
        <v>-5.1412812999999993</v>
      </c>
      <c r="J1207" s="1">
        <v>-1.4081499999999483E-2</v>
      </c>
      <c r="N1207" s="1">
        <v>80.622473108572166</v>
      </c>
      <c r="O1207" s="1">
        <v>60.021262952646239</v>
      </c>
      <c r="P1207" s="1">
        <v>6209.7613208799985</v>
      </c>
    </row>
    <row r="1208" spans="7:16" x14ac:dyDescent="0.2">
      <c r="G1208" s="1">
        <v>44376</v>
      </c>
      <c r="H1208" s="1">
        <v>6.1189414000000006</v>
      </c>
      <c r="I1208" s="1">
        <v>-4.2645369000000004</v>
      </c>
      <c r="J1208" s="1">
        <v>1.8544044999999993</v>
      </c>
      <c r="N1208" s="1">
        <v>80.609227690214055</v>
      </c>
      <c r="O1208" s="1">
        <v>59.804697771587747</v>
      </c>
      <c r="P1208" s="1">
        <v>6209.1533980800023</v>
      </c>
    </row>
    <row r="1209" spans="7:16" x14ac:dyDescent="0.2">
      <c r="G1209" s="1">
        <v>44377</v>
      </c>
      <c r="H1209" s="1">
        <v>9.1224732000000017</v>
      </c>
      <c r="I1209" s="1">
        <v>-4.7662115000000007</v>
      </c>
      <c r="J1209" s="1">
        <v>4.3562616999999992</v>
      </c>
      <c r="N1209" s="1">
        <v>80.469907957212669</v>
      </c>
      <c r="O1209" s="1">
        <v>59.555037047353764</v>
      </c>
      <c r="P1209" s="1">
        <v>6204.5238096800022</v>
      </c>
    </row>
    <row r="1210" spans="7:16" x14ac:dyDescent="0.2">
      <c r="G1210" s="1">
        <v>44378</v>
      </c>
      <c r="H1210" s="1">
        <v>4.1452846000000001</v>
      </c>
      <c r="I1210" s="1">
        <v>-5.9046685000000005</v>
      </c>
      <c r="J1210" s="1">
        <v>-1.7593838999999998</v>
      </c>
      <c r="N1210" s="1">
        <v>81.005677053443634</v>
      </c>
      <c r="O1210" s="1">
        <v>59.877508356545945</v>
      </c>
      <c r="P1210" s="1">
        <v>6201.9331146799996</v>
      </c>
    </row>
    <row r="1211" spans="7:16" x14ac:dyDescent="0.2">
      <c r="G1211" s="1">
        <v>44379</v>
      </c>
      <c r="H1211" s="1">
        <v>5.9110780000000007</v>
      </c>
      <c r="I1211" s="1">
        <v>-4.5876020999999998</v>
      </c>
      <c r="J1211" s="1">
        <v>1.3234759</v>
      </c>
      <c r="N1211" s="1">
        <v>82.017798927630537</v>
      </c>
      <c r="O1211" s="1">
        <v>60.273694150417853</v>
      </c>
      <c r="P1211" s="1">
        <v>6214.0414434299983</v>
      </c>
    </row>
    <row r="1212" spans="7:16" x14ac:dyDescent="0.2">
      <c r="G1212" s="1">
        <v>44382</v>
      </c>
      <c r="H1212" s="1">
        <v>0.93266360000000004</v>
      </c>
      <c r="I1212" s="1">
        <v>-0.62533749999999999</v>
      </c>
      <c r="J1212" s="1">
        <v>0.30732609999999999</v>
      </c>
      <c r="N1212" s="1">
        <v>81.834325758774739</v>
      </c>
      <c r="O1212" s="1">
        <v>60.137568941504149</v>
      </c>
      <c r="P1212" s="1">
        <v>6240.8159564799998</v>
      </c>
    </row>
    <row r="1213" spans="7:16" x14ac:dyDescent="0.2">
      <c r="G1213" s="1">
        <v>44383</v>
      </c>
      <c r="H1213" s="1">
        <v>5.6241306</v>
      </c>
      <c r="I1213" s="1">
        <v>-5.4378274999999991</v>
      </c>
      <c r="J1213" s="1">
        <v>0.18630310000000033</v>
      </c>
      <c r="N1213" s="1">
        <v>81.572368717086675</v>
      </c>
      <c r="O1213" s="1">
        <v>59.621831476323116</v>
      </c>
      <c r="P1213" s="1">
        <v>6230.477361979998</v>
      </c>
    </row>
    <row r="1214" spans="7:16" x14ac:dyDescent="0.2">
      <c r="G1214" s="1">
        <v>44384</v>
      </c>
      <c r="H1214" s="1">
        <v>7.1805447000000004</v>
      </c>
      <c r="I1214" s="1">
        <v>-7.4342304999999991</v>
      </c>
      <c r="J1214" s="1">
        <v>-0.25368580000000018</v>
      </c>
      <c r="N1214" s="1">
        <v>81.912785118893694</v>
      </c>
      <c r="O1214" s="1">
        <v>59.893310306406704</v>
      </c>
      <c r="P1214" s="1">
        <v>6221.6616207800007</v>
      </c>
    </row>
    <row r="1215" spans="7:16" x14ac:dyDescent="0.2">
      <c r="G1215" s="1">
        <v>44385</v>
      </c>
      <c r="H1215" s="1">
        <v>8.8159154000000015</v>
      </c>
      <c r="I1215" s="1">
        <v>-3.0017537999999999</v>
      </c>
      <c r="J1215" s="1">
        <v>5.8141616000000038</v>
      </c>
      <c r="N1215" s="1">
        <v>80.446197944018408</v>
      </c>
      <c r="O1215" s="1">
        <v>58.462042896935941</v>
      </c>
      <c r="P1215" s="1">
        <v>6226.1475650799994</v>
      </c>
    </row>
    <row r="1216" spans="7:16" x14ac:dyDescent="0.2">
      <c r="G1216" s="1">
        <v>44386</v>
      </c>
      <c r="H1216" s="1">
        <v>5.9373307000000004</v>
      </c>
      <c r="I1216" s="1">
        <v>-5.078033099999999</v>
      </c>
      <c r="J1216" s="1">
        <v>0.85929759999999911</v>
      </c>
      <c r="N1216" s="1">
        <v>82.319936141422517</v>
      </c>
      <c r="O1216" s="1">
        <v>60.133375487465194</v>
      </c>
      <c r="P1216" s="1">
        <v>6179.4092143800017</v>
      </c>
    </row>
    <row r="1217" spans="7:16" x14ac:dyDescent="0.2">
      <c r="G1217" s="1">
        <v>44389</v>
      </c>
      <c r="H1217" s="1">
        <v>7.9238765000000004</v>
      </c>
      <c r="I1217" s="1">
        <v>-6.3115513000000005</v>
      </c>
      <c r="J1217" s="1">
        <v>1.6123252000000008</v>
      </c>
      <c r="N1217" s="1">
        <v>82.929698668890765</v>
      </c>
      <c r="O1217" s="1">
        <v>60.621160445682442</v>
      </c>
      <c r="P1217" s="1">
        <v>6240.2896378799996</v>
      </c>
    </row>
    <row r="1218" spans="7:16" x14ac:dyDescent="0.2">
      <c r="G1218" s="1">
        <v>44390</v>
      </c>
      <c r="H1218" s="1">
        <v>4.806875899999997</v>
      </c>
      <c r="I1218" s="1">
        <v>-3.8007160000000004</v>
      </c>
      <c r="J1218" s="1">
        <v>1.0061599000000006</v>
      </c>
      <c r="N1218" s="1">
        <v>82.323946267024468</v>
      </c>
      <c r="O1218" s="1">
        <v>60.085211420612787</v>
      </c>
      <c r="P1218" s="1">
        <v>6262.2895288799991</v>
      </c>
    </row>
    <row r="1219" spans="7:16" x14ac:dyDescent="0.2">
      <c r="G1219" s="1">
        <v>44391</v>
      </c>
      <c r="H1219" s="1">
        <v>7.0978722000000003</v>
      </c>
      <c r="I1219" s="1">
        <v>-3.8718560999999996</v>
      </c>
      <c r="J1219" s="1">
        <v>3.2260160999999994</v>
      </c>
      <c r="N1219" s="1">
        <v>82.399135613061603</v>
      </c>
      <c r="O1219" s="1">
        <v>59.997258495821725</v>
      </c>
      <c r="P1219" s="1">
        <v>6241.6583540799993</v>
      </c>
    </row>
    <row r="1220" spans="7:16" x14ac:dyDescent="0.2">
      <c r="G1220" s="1">
        <v>44392</v>
      </c>
      <c r="H1220" s="1">
        <v>6.575083900000001</v>
      </c>
      <c r="I1220" s="1">
        <v>-5.7280115000000009</v>
      </c>
      <c r="J1220" s="1">
        <v>0.84707239999999984</v>
      </c>
      <c r="N1220" s="1">
        <v>81.666128315246183</v>
      </c>
      <c r="O1220" s="1">
        <v>59.533063788300858</v>
      </c>
      <c r="P1220" s="1">
        <v>6246.0345331800017</v>
      </c>
    </row>
    <row r="1221" spans="7:16" x14ac:dyDescent="0.2">
      <c r="G1221" s="1">
        <v>44393</v>
      </c>
      <c r="H1221" s="1">
        <v>4.6960075000000003</v>
      </c>
      <c r="I1221" s="1">
        <v>-6.6564208000000011</v>
      </c>
      <c r="J1221" s="1">
        <v>-1.960413299999999</v>
      </c>
      <c r="N1221" s="1">
        <v>80.362436690336395</v>
      </c>
      <c r="O1221" s="1">
        <v>58.584829805013939</v>
      </c>
      <c r="P1221" s="1">
        <v>6225.08879428</v>
      </c>
    </row>
    <row r="1222" spans="7:16" x14ac:dyDescent="0.2">
      <c r="G1222" s="1">
        <v>44396</v>
      </c>
      <c r="H1222" s="1">
        <v>11.205412300000001</v>
      </c>
      <c r="I1222" s="1">
        <v>-6.6417187000000002</v>
      </c>
      <c r="J1222" s="1">
        <v>4.5636935999999988</v>
      </c>
      <c r="N1222" s="1">
        <v>78.016970928150954</v>
      </c>
      <c r="O1222" s="1">
        <v>56.424873259052909</v>
      </c>
      <c r="P1222" s="1">
        <v>6182.2366988799995</v>
      </c>
    </row>
    <row r="1223" spans="7:16" x14ac:dyDescent="0.2">
      <c r="G1223" s="1">
        <v>44397</v>
      </c>
      <c r="H1223" s="1">
        <v>11.5440375</v>
      </c>
      <c r="I1223" s="1">
        <v>-8.0195658000000005</v>
      </c>
      <c r="J1223" s="1">
        <v>3.5244717000000034</v>
      </c>
      <c r="N1223" s="1">
        <v>80.100162604725938</v>
      </c>
      <c r="O1223" s="1">
        <v>57.901367409470751</v>
      </c>
      <c r="P1223" s="1">
        <v>6112.051511579999</v>
      </c>
    </row>
    <row r="1224" spans="7:16" x14ac:dyDescent="0.2">
      <c r="G1224" s="1">
        <v>44398</v>
      </c>
      <c r="H1224" s="1">
        <v>6.9817495999999997</v>
      </c>
      <c r="I1224" s="1">
        <v>-10.129092399999999</v>
      </c>
      <c r="J1224" s="1">
        <v>-3.1473427999999992</v>
      </c>
      <c r="N1224" s="1">
        <v>81.496213210182091</v>
      </c>
      <c r="O1224" s="1">
        <v>59.076222841225615</v>
      </c>
      <c r="P1224" s="1">
        <v>6173.7267361799986</v>
      </c>
    </row>
    <row r="1225" spans="7:16" x14ac:dyDescent="0.2">
      <c r="G1225" s="1">
        <v>44399</v>
      </c>
      <c r="H1225" s="1">
        <v>6.4349812000000011</v>
      </c>
      <c r="I1225" s="1">
        <v>-5.0679991000000006</v>
      </c>
      <c r="J1225" s="1">
        <v>1.3669820999999995</v>
      </c>
      <c r="N1225" s="1">
        <v>81.75407058332739</v>
      </c>
      <c r="O1225" s="1">
        <v>59.17204893221912</v>
      </c>
      <c r="P1225" s="1">
        <v>6214.4905907800021</v>
      </c>
    </row>
    <row r="1226" spans="7:16" x14ac:dyDescent="0.2">
      <c r="G1226" s="1">
        <v>44400</v>
      </c>
      <c r="H1226" s="1">
        <v>7.5787278000000002</v>
      </c>
      <c r="I1226" s="1">
        <v>-4.8380929000000004</v>
      </c>
      <c r="J1226" s="1">
        <v>2.7406349000000003</v>
      </c>
      <c r="N1226" s="1">
        <v>83.141431207719293</v>
      </c>
      <c r="O1226" s="1">
        <v>59.838473630454949</v>
      </c>
      <c r="P1226" s="1">
        <v>6219.4513976466642</v>
      </c>
    </row>
    <row r="1227" spans="7:16" x14ac:dyDescent="0.2">
      <c r="G1227" s="1">
        <v>44403</v>
      </c>
      <c r="H1227" s="1">
        <v>6.6407866000000011</v>
      </c>
      <c r="I1227" s="1">
        <v>-3.5509565999999997</v>
      </c>
      <c r="J1227" s="1">
        <v>3.0898299999999996</v>
      </c>
      <c r="N1227" s="1">
        <v>83.271484682933462</v>
      </c>
      <c r="O1227" s="1">
        <v>59.726065181058502</v>
      </c>
      <c r="P1227" s="1">
        <v>6255.8590971133335</v>
      </c>
    </row>
    <row r="1228" spans="7:16" x14ac:dyDescent="0.2">
      <c r="G1228" s="1">
        <v>44404</v>
      </c>
      <c r="H1228" s="1">
        <v>10.527555600000001</v>
      </c>
      <c r="I1228" s="1">
        <v>-3.7615202999999999</v>
      </c>
      <c r="J1228" s="1">
        <v>6.7660352999999995</v>
      </c>
      <c r="N1228" s="1">
        <v>82.351739305325182</v>
      </c>
      <c r="O1228" s="1">
        <v>58.90565682451254</v>
      </c>
      <c r="P1228" s="1">
        <v>6262.0855051800008</v>
      </c>
    </row>
    <row r="1229" spans="7:16" x14ac:dyDescent="0.2">
      <c r="G1229" s="1">
        <v>44405</v>
      </c>
      <c r="H1229" s="1">
        <v>8.2153923000000013</v>
      </c>
      <c r="I1229" s="1">
        <v>-3.2273803000000001</v>
      </c>
      <c r="J1229" s="1">
        <v>4.9880120000000003</v>
      </c>
      <c r="N1229" s="1">
        <v>82.695206147548319</v>
      </c>
      <c r="O1229" s="1">
        <v>59.503156824512537</v>
      </c>
      <c r="P1229" s="1">
        <v>6246.0228246799961</v>
      </c>
    </row>
    <row r="1230" spans="7:16" x14ac:dyDescent="0.2">
      <c r="G1230" s="1">
        <v>44406</v>
      </c>
      <c r="H1230" s="1">
        <v>7.9533147999999994</v>
      </c>
      <c r="I1230" s="1">
        <v>-3.7163864000000002</v>
      </c>
      <c r="J1230" s="1">
        <v>4.2369284</v>
      </c>
      <c r="N1230" s="1">
        <v>83.630634209187704</v>
      </c>
      <c r="O1230" s="1">
        <v>60.541743732590568</v>
      </c>
      <c r="P1230" s="1">
        <v>6264.129580679999</v>
      </c>
    </row>
    <row r="1231" spans="7:16" x14ac:dyDescent="0.2">
      <c r="G1231" s="1">
        <v>44407</v>
      </c>
      <c r="H1231" s="1">
        <v>5.7256825000000005</v>
      </c>
      <c r="I1231" s="1">
        <v>-5.4511818999999999</v>
      </c>
      <c r="J1231" s="1">
        <v>0.27450060000000032</v>
      </c>
      <c r="N1231" s="1">
        <v>82.625411971543031</v>
      </c>
      <c r="O1231" s="1">
        <v>59.662184401114196</v>
      </c>
      <c r="P1231" s="1">
        <v>6302.3419224799991</v>
      </c>
    </row>
    <row r="1232" spans="7:16" x14ac:dyDescent="0.2">
      <c r="G1232" s="1">
        <v>44410</v>
      </c>
      <c r="H1232" s="1">
        <v>5.4795726000000009</v>
      </c>
      <c r="I1232" s="1">
        <v>-4.9529806000000001</v>
      </c>
      <c r="J1232" s="1">
        <v>0.52659200000000095</v>
      </c>
      <c r="N1232" s="1">
        <v>82.834021183070888</v>
      </c>
      <c r="O1232" s="1">
        <v>60.037326462395534</v>
      </c>
      <c r="P1232" s="1">
        <v>6269.2529126800009</v>
      </c>
    </row>
    <row r="1233" spans="7:16" x14ac:dyDescent="0.2">
      <c r="G1233" s="1">
        <v>44411</v>
      </c>
      <c r="H1233" s="1">
        <v>5.3950137000000016</v>
      </c>
      <c r="I1233" s="1">
        <v>-4.6773334999999996</v>
      </c>
      <c r="J1233" s="1">
        <v>0.71768020000000021</v>
      </c>
      <c r="N1233" s="1">
        <v>83.856340423751661</v>
      </c>
      <c r="O1233" s="1">
        <v>60.661958495821722</v>
      </c>
      <c r="P1233" s="1">
        <v>6280.7363018300002</v>
      </c>
    </row>
    <row r="1234" spans="7:16" x14ac:dyDescent="0.2">
      <c r="G1234" s="1">
        <v>44412</v>
      </c>
      <c r="H1234" s="1">
        <v>4.5294036000000011</v>
      </c>
      <c r="I1234" s="1">
        <v>-6.1473201999999993</v>
      </c>
      <c r="J1234" s="1">
        <v>-1.6179166</v>
      </c>
      <c r="N1234" s="1">
        <v>83.224577371240201</v>
      </c>
      <c r="O1234" s="1">
        <v>60.262489693593317</v>
      </c>
      <c r="P1234" s="1">
        <v>6310.5065739800011</v>
      </c>
    </row>
    <row r="1235" spans="7:16" x14ac:dyDescent="0.2">
      <c r="G1235" s="1">
        <v>44413</v>
      </c>
      <c r="H1235" s="1">
        <v>4.2941686000000008</v>
      </c>
      <c r="I1235" s="1">
        <v>-3.0815014999999999</v>
      </c>
      <c r="J1235" s="1">
        <v>1.2126671000000002</v>
      </c>
      <c r="N1235" s="1">
        <v>84.255018478169021</v>
      </c>
      <c r="O1235" s="1">
        <v>60.91308189415043</v>
      </c>
      <c r="P1235" s="1">
        <v>6285.1951893800015</v>
      </c>
    </row>
    <row r="1236" spans="7:16" x14ac:dyDescent="0.2">
      <c r="G1236" s="1">
        <v>44414</v>
      </c>
      <c r="H1236" s="1">
        <v>7.2727695999999984</v>
      </c>
      <c r="I1236" s="1">
        <v>-2.0209051000000002</v>
      </c>
      <c r="J1236" s="1">
        <v>5.2518645000000008</v>
      </c>
      <c r="N1236" s="1">
        <v>84.067009087418697</v>
      </c>
      <c r="O1236" s="1">
        <v>60.529216713091913</v>
      </c>
      <c r="P1236" s="1">
        <v>6314.1573127800002</v>
      </c>
    </row>
    <row r="1237" spans="7:16" x14ac:dyDescent="0.2">
      <c r="G1237" s="1">
        <v>44417</v>
      </c>
      <c r="H1237" s="1">
        <v>4.5805698000000001</v>
      </c>
      <c r="I1237" s="1">
        <v>-3.2221264000000001</v>
      </c>
      <c r="J1237" s="1">
        <v>1.3584433999999999</v>
      </c>
      <c r="N1237" s="1">
        <v>83.896045062668932</v>
      </c>
      <c r="O1237" s="1">
        <v>60.328401810584964</v>
      </c>
      <c r="P1237" s="1">
        <v>6310.4750537799982</v>
      </c>
    </row>
    <row r="1238" spans="7:16" x14ac:dyDescent="0.2">
      <c r="G1238" s="1">
        <v>44418</v>
      </c>
      <c r="H1238" s="1">
        <v>4.4098229999999994</v>
      </c>
      <c r="I1238" s="1">
        <v>-4.0449494999999995</v>
      </c>
      <c r="J1238" s="1">
        <v>0.36487350000000007</v>
      </c>
      <c r="N1238" s="1">
        <v>83.886009160205106</v>
      </c>
      <c r="O1238" s="1">
        <v>60.510171587743727</v>
      </c>
      <c r="P1238" s="1">
        <v>6303.3609427799993</v>
      </c>
    </row>
    <row r="1239" spans="7:16" x14ac:dyDescent="0.2">
      <c r="G1239" s="1">
        <v>44419</v>
      </c>
      <c r="H1239" s="1">
        <v>9.2590528999999968</v>
      </c>
      <c r="I1239" s="1">
        <v>-3.9314923999999998</v>
      </c>
      <c r="J1239" s="1">
        <v>5.3275604999999988</v>
      </c>
      <c r="N1239" s="1">
        <v>84.48360840127792</v>
      </c>
      <c r="O1239" s="1">
        <v>61.166169637883023</v>
      </c>
      <c r="P1239" s="1">
        <v>6309.7838005800004</v>
      </c>
    </row>
    <row r="1240" spans="7:16" x14ac:dyDescent="0.2">
      <c r="G1240" s="1">
        <v>44420</v>
      </c>
      <c r="H1240" s="1">
        <v>7.0013109</v>
      </c>
      <c r="I1240" s="1">
        <v>-2.6996566000000004</v>
      </c>
      <c r="J1240" s="1">
        <v>4.3016543000000009</v>
      </c>
      <c r="N1240" s="1">
        <v>84.723499854444739</v>
      </c>
      <c r="O1240" s="1">
        <v>61.098076601671309</v>
      </c>
      <c r="P1240" s="1">
        <v>6339.7944510800007</v>
      </c>
    </row>
    <row r="1241" spans="7:16" x14ac:dyDescent="0.2">
      <c r="G1241" s="1">
        <v>44421</v>
      </c>
      <c r="H1241" s="1">
        <v>5.0014581999999992</v>
      </c>
      <c r="I1241" s="1">
        <v>-2.7234277000000002</v>
      </c>
      <c r="J1241" s="1">
        <v>2.2780305000000012</v>
      </c>
      <c r="N1241" s="1">
        <v>85.132038039398395</v>
      </c>
      <c r="O1241" s="1">
        <v>61.457400278551553</v>
      </c>
      <c r="P1241" s="1">
        <v>6346.4522384799993</v>
      </c>
    </row>
    <row r="1242" spans="7:16" x14ac:dyDescent="0.2">
      <c r="G1242" s="1">
        <v>44424</v>
      </c>
      <c r="H1242" s="1">
        <v>10.686017800000004</v>
      </c>
      <c r="I1242" s="1">
        <v>-2.9022077999999998</v>
      </c>
      <c r="J1242" s="1">
        <v>7.7838100000000008</v>
      </c>
      <c r="N1242" s="1">
        <v>85.001209027274783</v>
      </c>
      <c r="O1242" s="1">
        <v>61.051062952646241</v>
      </c>
      <c r="P1242" s="1">
        <v>6363.0092705799998</v>
      </c>
    </row>
    <row r="1243" spans="7:16" x14ac:dyDescent="0.2">
      <c r="G1243" s="1">
        <v>44425</v>
      </c>
      <c r="H1243" s="1">
        <v>5.8731429000000004</v>
      </c>
      <c r="I1243" s="1">
        <v>-3.5749167000000006</v>
      </c>
      <c r="J1243" s="1">
        <v>2.2982262000000002</v>
      </c>
      <c r="N1243" s="1">
        <v>83.612106110116045</v>
      </c>
      <c r="O1243" s="1">
        <v>59.852074373259057</v>
      </c>
      <c r="P1243" s="1">
        <v>6360.2586973299976</v>
      </c>
    </row>
    <row r="1244" spans="7:16" x14ac:dyDescent="0.2">
      <c r="G1244" s="1">
        <v>44426</v>
      </c>
      <c r="H1244" s="1">
        <v>7.0180513000000007</v>
      </c>
      <c r="I1244" s="1">
        <v>-5.7605303000000001</v>
      </c>
      <c r="J1244" s="1">
        <v>1.2575209999999997</v>
      </c>
      <c r="N1244" s="1">
        <v>82.235229456176256</v>
      </c>
      <c r="O1244" s="1">
        <v>59.16611420612815</v>
      </c>
      <c r="P1244" s="1">
        <v>6317.8134428800004</v>
      </c>
    </row>
    <row r="1245" spans="7:16" x14ac:dyDescent="0.2">
      <c r="G1245" s="1">
        <v>44427</v>
      </c>
      <c r="H1245" s="1">
        <v>4.9380211000000003</v>
      </c>
      <c r="I1245" s="1">
        <v>-2.4789251999999999</v>
      </c>
      <c r="J1245" s="1">
        <v>2.4590958999999994</v>
      </c>
      <c r="N1245" s="1">
        <v>81.865324573887989</v>
      </c>
      <c r="O1245" s="1">
        <v>58.151630362116983</v>
      </c>
      <c r="P1245" s="1">
        <v>6281.8511787800007</v>
      </c>
    </row>
    <row r="1246" spans="7:16" x14ac:dyDescent="0.2">
      <c r="G1246" s="1">
        <v>44428</v>
      </c>
      <c r="H1246" s="1">
        <v>5.7896214000000015</v>
      </c>
      <c r="I1246" s="1">
        <v>-7.5410487000000002</v>
      </c>
      <c r="J1246" s="1">
        <v>-1.7514272999999987</v>
      </c>
      <c r="N1246" s="1">
        <v>83.041967676670467</v>
      </c>
      <c r="O1246" s="1">
        <v>58.710955431754861</v>
      </c>
      <c r="P1246" s="1">
        <v>6260.0479931299988</v>
      </c>
    </row>
    <row r="1247" spans="7:16" x14ac:dyDescent="0.2">
      <c r="G1247" s="1">
        <v>44431</v>
      </c>
      <c r="H1247" s="1">
        <v>5.2743301999999996</v>
      </c>
      <c r="I1247" s="1">
        <v>-2.4858246000000004</v>
      </c>
      <c r="J1247" s="1">
        <v>2.7885055999999997</v>
      </c>
      <c r="N1247" s="1">
        <v>84.973135278032316</v>
      </c>
      <c r="O1247" s="1">
        <v>60.237427576601668</v>
      </c>
      <c r="P1247" s="1">
        <v>6285.4128012799983</v>
      </c>
    </row>
    <row r="1248" spans="7:16" x14ac:dyDescent="0.2">
      <c r="G1248" s="1">
        <v>44432</v>
      </c>
      <c r="H1248" s="1">
        <v>7.1784153999999987</v>
      </c>
      <c r="I1248" s="1">
        <v>-2.9210497000000002</v>
      </c>
      <c r="J1248" s="1">
        <v>4.2573656999999994</v>
      </c>
      <c r="N1248" s="1">
        <v>85.667284038780849</v>
      </c>
      <c r="O1248" s="1">
        <v>60.965373816155996</v>
      </c>
      <c r="P1248" s="1">
        <v>6348.6392287800018</v>
      </c>
    </row>
    <row r="1249" spans="7:16" x14ac:dyDescent="0.2">
      <c r="G1249" s="1">
        <v>44433</v>
      </c>
      <c r="H1249" s="1">
        <v>8.066797799999998</v>
      </c>
      <c r="I1249" s="1">
        <v>-4.5185782999999997</v>
      </c>
      <c r="J1249" s="1">
        <v>3.5482194999999974</v>
      </c>
      <c r="N1249" s="1">
        <v>85.984472467570569</v>
      </c>
      <c r="O1249" s="1">
        <v>61.176666016713114</v>
      </c>
      <c r="P1249" s="1">
        <v>6378.5396138800015</v>
      </c>
    </row>
    <row r="1250" spans="7:16" x14ac:dyDescent="0.2">
      <c r="G1250" s="1">
        <v>44434</v>
      </c>
      <c r="H1250" s="1">
        <v>5.5227719999999998</v>
      </c>
      <c r="I1250" s="1">
        <v>-3.9221119</v>
      </c>
      <c r="J1250" s="1">
        <v>1.6006600999999998</v>
      </c>
      <c r="N1250" s="1">
        <v>84.949241151298978</v>
      </c>
      <c r="O1250" s="1">
        <v>60.319682172701945</v>
      </c>
      <c r="P1250" s="1">
        <v>6389.589863680003</v>
      </c>
    </row>
    <row r="1251" spans="7:16" x14ac:dyDescent="0.2">
      <c r="G1251" s="1">
        <v>44435</v>
      </c>
      <c r="H1251" s="1">
        <v>5.773636999999999</v>
      </c>
      <c r="I1251" s="1">
        <v>-3.7596708000000012</v>
      </c>
      <c r="J1251" s="1">
        <v>2.0139662</v>
      </c>
      <c r="N1251" s="1">
        <v>86.735619721644554</v>
      </c>
      <c r="O1251" s="1">
        <v>61.848406128133675</v>
      </c>
      <c r="P1251" s="1">
        <v>6358.9374072799974</v>
      </c>
    </row>
    <row r="1252" spans="7:16" x14ac:dyDescent="0.2">
      <c r="G1252" s="1">
        <v>44438</v>
      </c>
      <c r="H1252" s="1">
        <v>7.0389284999999999</v>
      </c>
      <c r="I1252" s="1">
        <v>-2.4288411000000001</v>
      </c>
      <c r="J1252" s="1">
        <v>4.6100874000000012</v>
      </c>
      <c r="N1252" s="1">
        <v>87.538435601910919</v>
      </c>
      <c r="O1252" s="1">
        <v>62.070153203342613</v>
      </c>
      <c r="P1252" s="1">
        <v>6418.4572344799981</v>
      </c>
    </row>
    <row r="1253" spans="7:16" x14ac:dyDescent="0.2">
      <c r="G1253" s="1">
        <v>44439</v>
      </c>
      <c r="H1253" s="1">
        <v>10.550236400000001</v>
      </c>
      <c r="I1253" s="1">
        <v>-3.3405212000000004</v>
      </c>
      <c r="J1253" s="1">
        <v>7.2097151999999998</v>
      </c>
      <c r="N1253" s="1">
        <v>87.507852371446177</v>
      </c>
      <c r="O1253" s="1">
        <v>62.231310027855152</v>
      </c>
      <c r="P1253" s="1">
        <v>6455.0854651000018</v>
      </c>
    </row>
    <row r="1254" spans="7:16" x14ac:dyDescent="0.2">
      <c r="G1254" s="1">
        <v>44440</v>
      </c>
      <c r="H1254" s="1">
        <v>8.047065700000001</v>
      </c>
      <c r="I1254" s="1">
        <v>-6.6132616000000013</v>
      </c>
      <c r="J1254" s="1">
        <v>1.4338041000000001</v>
      </c>
      <c r="N1254" s="1">
        <v>88.131462188564257</v>
      </c>
      <c r="O1254" s="1">
        <v>62.935797493036198</v>
      </c>
      <c r="P1254" s="1">
        <v>6448.2003653800011</v>
      </c>
    </row>
    <row r="1255" spans="7:16" x14ac:dyDescent="0.2">
      <c r="G1255" s="1">
        <v>44441</v>
      </c>
      <c r="H1255" s="1">
        <v>6.1630652000000001</v>
      </c>
      <c r="I1255" s="1">
        <v>-2.4875561000000004</v>
      </c>
      <c r="J1255" s="1">
        <v>3.6755090999999998</v>
      </c>
      <c r="N1255" s="1">
        <v>88.594040896722404</v>
      </c>
      <c r="O1255" s="1">
        <v>63.442246796657379</v>
      </c>
      <c r="P1255" s="1">
        <v>6470.2985947800007</v>
      </c>
    </row>
    <row r="1256" spans="7:16" x14ac:dyDescent="0.2">
      <c r="G1256" s="1">
        <v>44442</v>
      </c>
      <c r="H1256" s="1">
        <v>4.0838204000000005</v>
      </c>
      <c r="I1256" s="1">
        <v>-5.1220178999999995</v>
      </c>
      <c r="J1256" s="1">
        <v>-1.0381974999999997</v>
      </c>
      <c r="N1256" s="1">
        <v>88.922799653499624</v>
      </c>
      <c r="O1256" s="1">
        <v>63.704455710306398</v>
      </c>
      <c r="P1256" s="1">
        <v>6492.0105513800008</v>
      </c>
    </row>
    <row r="1257" spans="7:16" x14ac:dyDescent="0.2">
      <c r="G1257" s="1">
        <v>44445</v>
      </c>
      <c r="H1257" s="1">
        <v>1.0635358000000001</v>
      </c>
      <c r="I1257" s="1">
        <v>-0.59895969999999998</v>
      </c>
      <c r="J1257" s="1">
        <v>0.46457609999999994</v>
      </c>
      <c r="N1257" s="1">
        <v>88.815164304564462</v>
      </c>
      <c r="O1257" s="1">
        <v>63.763719080779957</v>
      </c>
      <c r="P1257" s="1">
        <v>6504.1306183799998</v>
      </c>
    </row>
    <row r="1258" spans="7:16" x14ac:dyDescent="0.2">
      <c r="G1258" s="1">
        <v>44446</v>
      </c>
      <c r="H1258" s="1">
        <v>9.2771701999999987</v>
      </c>
      <c r="I1258" s="1">
        <v>-4.7715426000000001</v>
      </c>
      <c r="J1258" s="1">
        <v>4.5056275999999995</v>
      </c>
      <c r="N1258" s="1">
        <v>88.511485036074134</v>
      </c>
      <c r="O1258" s="1">
        <v>63.294105013927577</v>
      </c>
      <c r="P1258" s="1">
        <v>6500.645416530002</v>
      </c>
    </row>
    <row r="1259" spans="7:16" x14ac:dyDescent="0.2">
      <c r="G1259" s="1">
        <v>44447</v>
      </c>
      <c r="H1259" s="1">
        <v>5.0253341000000002</v>
      </c>
      <c r="I1259" s="1">
        <v>-8.6166002000000024</v>
      </c>
      <c r="J1259" s="1">
        <v>-3.5912661000000008</v>
      </c>
      <c r="N1259" s="1">
        <v>88.011423978129187</v>
      </c>
      <c r="O1259" s="1">
        <v>62.718411977715839</v>
      </c>
      <c r="P1259" s="1">
        <v>6495.6374544799992</v>
      </c>
    </row>
    <row r="1260" spans="7:16" x14ac:dyDescent="0.2">
      <c r="G1260" s="1">
        <v>44448</v>
      </c>
      <c r="H1260" s="1">
        <v>4.7561272999999993</v>
      </c>
      <c r="I1260" s="1">
        <v>-3.0360119000000005</v>
      </c>
      <c r="J1260" s="1">
        <v>1.7201153999999999</v>
      </c>
      <c r="N1260" s="1">
        <v>87.513837230085755</v>
      </c>
      <c r="O1260" s="1">
        <v>62.45485459610029</v>
      </c>
      <c r="P1260" s="1">
        <v>6477.5610721800012</v>
      </c>
    </row>
    <row r="1261" spans="7:16" x14ac:dyDescent="0.2">
      <c r="G1261" s="1">
        <v>44449</v>
      </c>
      <c r="H1261" s="1">
        <v>6.1356226999999999</v>
      </c>
      <c r="I1261" s="1">
        <v>-3.4173711999999998</v>
      </c>
      <c r="J1261" s="1">
        <v>2.7182514999999992</v>
      </c>
      <c r="N1261" s="1">
        <v>86.496491550456113</v>
      </c>
      <c r="O1261" s="1">
        <v>61.919219220055695</v>
      </c>
      <c r="P1261" s="1">
        <v>6466.6571572800003</v>
      </c>
    </row>
    <row r="1262" spans="7:16" x14ac:dyDescent="0.2">
      <c r="G1262" s="1">
        <v>44452</v>
      </c>
      <c r="H1262" s="1">
        <v>9.6188856000000005</v>
      </c>
      <c r="I1262" s="1">
        <v>-2.6481237999999996</v>
      </c>
      <c r="J1262" s="1">
        <v>6.9707618</v>
      </c>
      <c r="N1262" s="1">
        <v>86.860732519317821</v>
      </c>
      <c r="O1262" s="1">
        <v>62.27206908077995</v>
      </c>
      <c r="P1262" s="1">
        <v>6442.7104751299967</v>
      </c>
    </row>
    <row r="1263" spans="7:16" x14ac:dyDescent="0.2">
      <c r="G1263" s="1">
        <v>44453</v>
      </c>
      <c r="H1263" s="1">
        <v>18.588844299999995</v>
      </c>
      <c r="I1263" s="1">
        <v>-5.1946655000000002</v>
      </c>
      <c r="J1263" s="1">
        <v>13.394178799999992</v>
      </c>
      <c r="N1263" s="1">
        <v>86.251514643265452</v>
      </c>
      <c r="O1263" s="1">
        <v>61.749207799442893</v>
      </c>
      <c r="P1263" s="1">
        <v>6466.2518367799985</v>
      </c>
    </row>
    <row r="1264" spans="7:16" x14ac:dyDescent="0.2">
      <c r="G1264" s="1">
        <v>44454</v>
      </c>
      <c r="H1264" s="1">
        <v>23.446808400000002</v>
      </c>
      <c r="I1264" s="1">
        <v>-3.7182003000000003</v>
      </c>
      <c r="J1264" s="1">
        <v>19.728608100000002</v>
      </c>
      <c r="N1264" s="1">
        <v>87.345880926445219</v>
      </c>
      <c r="O1264" s="1">
        <v>62.15206350974929</v>
      </c>
      <c r="P1264" s="1">
        <v>6460.58254958</v>
      </c>
    </row>
    <row r="1265" spans="7:16" x14ac:dyDescent="0.2">
      <c r="G1265" s="1">
        <v>44455</v>
      </c>
      <c r="H1265" s="1">
        <v>12.219859400000002</v>
      </c>
      <c r="I1265" s="1">
        <v>-8.6331340000000001</v>
      </c>
      <c r="J1265" s="1">
        <v>3.5867254000000011</v>
      </c>
      <c r="N1265" s="1">
        <v>86.955672813586872</v>
      </c>
      <c r="O1265" s="1">
        <v>61.59739247910862</v>
      </c>
      <c r="P1265" s="1">
        <v>6505.5251580799995</v>
      </c>
    </row>
    <row r="1266" spans="7:16" x14ac:dyDescent="0.2">
      <c r="G1266" s="1">
        <v>44456</v>
      </c>
      <c r="H1266" s="1">
        <v>5.1896855000000013</v>
      </c>
      <c r="I1266" s="1">
        <v>-21.4517679</v>
      </c>
      <c r="J1266" s="1">
        <v>-16.262082400000001</v>
      </c>
      <c r="N1266" s="1">
        <v>85.445945699125971</v>
      </c>
      <c r="O1266" s="1">
        <v>60.613098050139293</v>
      </c>
      <c r="P1266" s="1">
        <v>6488.4114040300001</v>
      </c>
    </row>
    <row r="1267" spans="7:16" x14ac:dyDescent="0.2">
      <c r="G1267" s="1">
        <v>44459</v>
      </c>
      <c r="H1267" s="1">
        <v>5.3055296999999992</v>
      </c>
      <c r="I1267" s="1">
        <v>-17.366824099999999</v>
      </c>
      <c r="J1267" s="1">
        <v>-12.0612944</v>
      </c>
      <c r="N1267" s="1">
        <v>82.395412245098555</v>
      </c>
      <c r="O1267" s="1">
        <v>58.320811420612827</v>
      </c>
      <c r="P1267" s="1">
        <v>6431.7955221800003</v>
      </c>
    </row>
    <row r="1268" spans="7:16" x14ac:dyDescent="0.2">
      <c r="G1268" s="1">
        <v>44460</v>
      </c>
      <c r="H1268" s="1">
        <v>9.6477406999999999</v>
      </c>
      <c r="I1268" s="1">
        <v>-7.7358008000000007</v>
      </c>
      <c r="J1268" s="1">
        <v>1.9119399000000001</v>
      </c>
      <c r="N1268" s="1">
        <v>82.561930222492563</v>
      </c>
      <c r="O1268" s="1">
        <v>58.762007520891373</v>
      </c>
      <c r="P1268" s="1">
        <v>6326.6133082383349</v>
      </c>
    </row>
    <row r="1269" spans="7:16" x14ac:dyDescent="0.2">
      <c r="G1269" s="1">
        <v>44461</v>
      </c>
      <c r="H1269" s="1">
        <v>8.2284369999999996</v>
      </c>
      <c r="I1269" s="1">
        <v>-5.4631217000000003</v>
      </c>
      <c r="J1269" s="1">
        <v>2.7653152999999988</v>
      </c>
      <c r="N1269" s="1">
        <v>83.953009788982385</v>
      </c>
      <c r="O1269" s="1">
        <v>59.831196796657387</v>
      </c>
      <c r="P1269" s="1">
        <v>6336.110394096665</v>
      </c>
    </row>
    <row r="1270" spans="7:16" x14ac:dyDescent="0.2">
      <c r="G1270" s="1">
        <v>44462</v>
      </c>
      <c r="H1270" s="1">
        <v>6.7226244999999984</v>
      </c>
      <c r="I1270" s="1">
        <v>-5.1036321999999998</v>
      </c>
      <c r="J1270" s="1">
        <v>1.6189922999999973</v>
      </c>
      <c r="N1270" s="1">
        <v>85.766140273293814</v>
      </c>
      <c r="O1270" s="1">
        <v>61.053105849582131</v>
      </c>
      <c r="P1270" s="1">
        <v>6378.6660829549983</v>
      </c>
    </row>
    <row r="1271" spans="7:16" x14ac:dyDescent="0.2">
      <c r="G1271" s="1">
        <v>44463</v>
      </c>
      <c r="H1271" s="1">
        <v>6.8252798999999991</v>
      </c>
      <c r="I1271" s="1">
        <v>-3.990617400000001</v>
      </c>
      <c r="J1271" s="1">
        <v>2.834662499999999</v>
      </c>
      <c r="N1271" s="1">
        <v>85.622823143855371</v>
      </c>
      <c r="O1271" s="1">
        <v>60.579283565459619</v>
      </c>
      <c r="P1271" s="1">
        <v>6432.1307701300002</v>
      </c>
    </row>
    <row r="1272" spans="7:16" x14ac:dyDescent="0.2">
      <c r="G1272" s="1">
        <v>44466</v>
      </c>
      <c r="H1272" s="1">
        <v>6.6175528000000003</v>
      </c>
      <c r="I1272" s="1">
        <v>-9.8136907000000004</v>
      </c>
      <c r="J1272" s="1">
        <v>-3.1961378999999988</v>
      </c>
      <c r="N1272" s="1">
        <v>85.25418293794776</v>
      </c>
      <c r="O1272" s="1">
        <v>60.731821169916437</v>
      </c>
      <c r="P1272" s="1">
        <v>6419.2881899799986</v>
      </c>
    </row>
    <row r="1273" spans="7:16" x14ac:dyDescent="0.2">
      <c r="G1273" s="1">
        <v>44467</v>
      </c>
      <c r="H1273" s="1">
        <v>4.7325385999999989</v>
      </c>
      <c r="I1273" s="1">
        <v>-7.4402367999999992</v>
      </c>
      <c r="J1273" s="1">
        <v>-2.7076981999999998</v>
      </c>
      <c r="N1273" s="1">
        <v>81.662266826034653</v>
      </c>
      <c r="O1273" s="1">
        <v>58.312993036211672</v>
      </c>
      <c r="P1273" s="1">
        <v>6415.5536966799991</v>
      </c>
    </row>
    <row r="1274" spans="7:16" x14ac:dyDescent="0.2">
      <c r="G1274" s="1">
        <v>44468</v>
      </c>
      <c r="H1274" s="1">
        <v>6.4224773000000015</v>
      </c>
      <c r="I1274" s="1">
        <v>-5.5746554000000001</v>
      </c>
      <c r="J1274" s="1">
        <v>0.84782189999999991</v>
      </c>
      <c r="N1274" s="1">
        <v>81.408494027632187</v>
      </c>
      <c r="O1274" s="1">
        <v>58.037567130919221</v>
      </c>
      <c r="P1274" s="1">
        <v>6312.4300684800019</v>
      </c>
    </row>
    <row r="1275" spans="7:16" x14ac:dyDescent="0.2">
      <c r="G1275" s="1">
        <v>44469</v>
      </c>
      <c r="H1275" s="1">
        <v>6.7065991000000018</v>
      </c>
      <c r="I1275" s="1">
        <v>-7.8050978000000004</v>
      </c>
      <c r="J1275" s="1">
        <v>-1.0984986999999999</v>
      </c>
      <c r="N1275" s="1">
        <v>80.09479604478328</v>
      </c>
      <c r="O1275" s="1">
        <v>57.277812256267396</v>
      </c>
      <c r="P1275" s="1">
        <v>6302.2158958799992</v>
      </c>
    </row>
    <row r="1276" spans="7:16" x14ac:dyDescent="0.2">
      <c r="G1276" s="1">
        <v>44470</v>
      </c>
      <c r="H1276" s="1">
        <v>6.9137345999999997</v>
      </c>
      <c r="I1276" s="1">
        <v>-5.8041046999999999</v>
      </c>
      <c r="J1276" s="1">
        <v>1.1096298999999989</v>
      </c>
      <c r="N1276" s="1">
        <v>81.359990845830851</v>
      </c>
      <c r="O1276" s="1">
        <v>57.911856128133699</v>
      </c>
      <c r="P1276" s="1">
        <v>6263.637918280001</v>
      </c>
    </row>
    <row r="1277" spans="7:16" x14ac:dyDescent="0.2">
      <c r="G1277" s="1">
        <v>44473</v>
      </c>
      <c r="H1277" s="1">
        <v>5.4880191000000016</v>
      </c>
      <c r="I1277" s="1">
        <v>-4.5848183000000002</v>
      </c>
      <c r="J1277" s="1">
        <v>0.90320079999999936</v>
      </c>
      <c r="N1277" s="1">
        <v>79.195714813748296</v>
      </c>
      <c r="O1277" s="1">
        <v>56.802737883008341</v>
      </c>
      <c r="P1277" s="1">
        <v>6297.5302845966644</v>
      </c>
    </row>
    <row r="1278" spans="7:16" x14ac:dyDescent="0.2">
      <c r="G1278" s="1">
        <v>44474</v>
      </c>
      <c r="H1278" s="1">
        <v>7.5835868000000008</v>
      </c>
      <c r="I1278" s="1">
        <v>-5.0928034999999996</v>
      </c>
      <c r="J1278" s="1">
        <v>2.4907833000000004</v>
      </c>
      <c r="N1278" s="1">
        <v>80.473480400327432</v>
      </c>
      <c r="O1278" s="1">
        <v>57.538877994428987</v>
      </c>
      <c r="P1278" s="1">
        <v>6244.3779473633322</v>
      </c>
    </row>
    <row r="1279" spans="7:16" x14ac:dyDescent="0.2">
      <c r="G1279" s="1">
        <v>44475</v>
      </c>
      <c r="H1279" s="1">
        <v>5.4400683000000001</v>
      </c>
      <c r="I1279" s="1">
        <v>-6.4094269999999991</v>
      </c>
      <c r="J1279" s="1">
        <v>-0.96935870000000035</v>
      </c>
      <c r="N1279" s="1">
        <v>80.682900111229671</v>
      </c>
      <c r="O1279" s="1">
        <v>57.103975208913639</v>
      </c>
      <c r="P1279" s="1">
        <v>6273.4494816800006</v>
      </c>
    </row>
    <row r="1280" spans="7:16" x14ac:dyDescent="0.2">
      <c r="G1280" s="1">
        <v>44476</v>
      </c>
      <c r="H1280" s="1">
        <v>7.8782936999999995</v>
      </c>
      <c r="I1280" s="1">
        <v>-6.6724094999999988</v>
      </c>
      <c r="J1280" s="1">
        <v>1.2058842000000003</v>
      </c>
      <c r="N1280" s="1">
        <v>82.386249097930943</v>
      </c>
      <c r="O1280" s="1">
        <v>58.625913927576576</v>
      </c>
      <c r="P1280" s="1">
        <v>6270.0029434466678</v>
      </c>
    </row>
    <row r="1281" spans="7:16" x14ac:dyDescent="0.2">
      <c r="G1281" s="1">
        <v>44477</v>
      </c>
      <c r="H1281" s="1">
        <v>5.6033606999999996</v>
      </c>
      <c r="I1281" s="1">
        <v>-4.1817842999999995</v>
      </c>
      <c r="J1281" s="1">
        <v>1.4215764</v>
      </c>
      <c r="N1281" s="1">
        <v>82.047351160719316</v>
      </c>
      <c r="O1281" s="1">
        <v>58.448772701949864</v>
      </c>
      <c r="P1281" s="1">
        <v>6320.5052574133324</v>
      </c>
    </row>
    <row r="1282" spans="7:16" x14ac:dyDescent="0.2">
      <c r="G1282" s="1">
        <v>44480</v>
      </c>
      <c r="H1282" s="1">
        <v>3.2584027999999989</v>
      </c>
      <c r="I1282" s="1">
        <v>-2.1903568</v>
      </c>
      <c r="J1282" s="1">
        <v>1.0680459999999998</v>
      </c>
      <c r="N1282" s="1">
        <v>81.197224451680796</v>
      </c>
      <c r="O1282" s="1">
        <v>58.127680222841228</v>
      </c>
      <c r="P1282" s="1">
        <v>6316.0450441799976</v>
      </c>
    </row>
    <row r="1283" spans="7:16" x14ac:dyDescent="0.2">
      <c r="G1283" s="1">
        <v>44481</v>
      </c>
      <c r="H1283" s="1">
        <v>5.3240878999999994</v>
      </c>
      <c r="I1283" s="1">
        <v>-3.9583548</v>
      </c>
      <c r="J1283" s="1">
        <v>1.3657330999999988</v>
      </c>
      <c r="N1283" s="1">
        <v>80.873024347585257</v>
      </c>
      <c r="O1283" s="1">
        <v>57.917569637883012</v>
      </c>
      <c r="P1283" s="1">
        <v>6294.8376379300007</v>
      </c>
    </row>
    <row r="1284" spans="7:16" x14ac:dyDescent="0.2">
      <c r="G1284" s="1">
        <v>44482</v>
      </c>
      <c r="H1284" s="1">
        <v>6.4200187</v>
      </c>
      <c r="I1284" s="1">
        <v>-4.0600326999999998</v>
      </c>
      <c r="J1284" s="1">
        <v>2.3599859999999993</v>
      </c>
      <c r="N1284" s="1">
        <v>81.821294966956259</v>
      </c>
      <c r="O1284" s="1">
        <v>58.815780222841255</v>
      </c>
      <c r="P1284" s="1">
        <v>6287.8861986800011</v>
      </c>
    </row>
    <row r="1285" spans="7:16" x14ac:dyDescent="0.2">
      <c r="G1285" s="1">
        <v>44483</v>
      </c>
      <c r="H1285" s="1">
        <v>4.8103427999999999</v>
      </c>
      <c r="I1285" s="1">
        <v>-2.5410847000000003</v>
      </c>
      <c r="J1285" s="1">
        <v>2.2692581000000001</v>
      </c>
      <c r="N1285" s="1">
        <v>84.482251434688692</v>
      </c>
      <c r="O1285" s="1">
        <v>60.620908913649025</v>
      </c>
      <c r="P1285" s="1">
        <v>6320.2792081399994</v>
      </c>
    </row>
    <row r="1286" spans="7:16" x14ac:dyDescent="0.2">
      <c r="G1286" s="1">
        <v>44484</v>
      </c>
      <c r="H1286" s="1">
        <v>7.7082500000000005</v>
      </c>
      <c r="I1286" s="1">
        <v>-4.0623969000000004</v>
      </c>
      <c r="J1286" s="1">
        <v>3.6458531000000001</v>
      </c>
      <c r="N1286" s="1">
        <v>85.576975528292124</v>
      </c>
      <c r="O1286" s="1">
        <v>61.364356267409455</v>
      </c>
      <c r="P1286" s="1">
        <v>6398.3150109850003</v>
      </c>
    </row>
    <row r="1287" spans="7:16" x14ac:dyDescent="0.2">
      <c r="G1287" s="1">
        <v>44487</v>
      </c>
      <c r="H1287" s="1">
        <v>5.6443334000000007</v>
      </c>
      <c r="I1287" s="1">
        <v>-5.0577589999999999</v>
      </c>
      <c r="J1287" s="1">
        <v>0.58657440000000038</v>
      </c>
      <c r="N1287" s="1">
        <v>86.078460733247141</v>
      </c>
      <c r="O1287" s="1">
        <v>61.338736490250689</v>
      </c>
      <c r="P1287" s="1">
        <v>6433.1938961300029</v>
      </c>
    </row>
    <row r="1288" spans="7:16" x14ac:dyDescent="0.2">
      <c r="G1288" s="1">
        <v>44488</v>
      </c>
      <c r="H1288" s="1">
        <v>9.0971129000000008</v>
      </c>
      <c r="I1288" s="1">
        <v>-2.4491105000000002</v>
      </c>
      <c r="J1288" s="1">
        <v>6.6480024000000002</v>
      </c>
      <c r="N1288" s="1">
        <v>87.352542235792484</v>
      </c>
      <c r="O1288" s="1">
        <v>62.229135376044567</v>
      </c>
      <c r="P1288" s="1">
        <v>6439.6792801799993</v>
      </c>
    </row>
    <row r="1289" spans="7:16" x14ac:dyDescent="0.2">
      <c r="G1289" s="1">
        <v>44489</v>
      </c>
      <c r="H1289" s="1">
        <v>6.068465999999999</v>
      </c>
      <c r="I1289" s="1">
        <v>-3.6248876000000001</v>
      </c>
      <c r="J1289" s="1">
        <v>2.4435783999999989</v>
      </c>
      <c r="N1289" s="1">
        <v>88.00772087141435</v>
      </c>
      <c r="O1289" s="1">
        <v>62.879574094707536</v>
      </c>
      <c r="P1289" s="1">
        <v>6482.2206055799988</v>
      </c>
    </row>
    <row r="1290" spans="7:16" x14ac:dyDescent="0.2">
      <c r="G1290" s="1">
        <v>44490</v>
      </c>
      <c r="H1290" s="1">
        <v>9.5252859999999995</v>
      </c>
      <c r="I1290" s="1">
        <v>-5.7334849999999999</v>
      </c>
      <c r="J1290" s="1">
        <v>3.7918009999999991</v>
      </c>
      <c r="N1290" s="1">
        <v>88.181253692506019</v>
      </c>
      <c r="O1290" s="1">
        <v>62.584014206128117</v>
      </c>
      <c r="P1290" s="1">
        <v>6508.5675765300002</v>
      </c>
    </row>
    <row r="1291" spans="7:16" x14ac:dyDescent="0.2">
      <c r="G1291" s="1">
        <v>44491</v>
      </c>
      <c r="H1291" s="1">
        <v>3.4554162000000006</v>
      </c>
      <c r="I1291" s="1">
        <v>-5.0602849000000001</v>
      </c>
      <c r="J1291" s="1">
        <v>-1.6048686999999995</v>
      </c>
      <c r="N1291" s="1">
        <v>88.067278949272747</v>
      </c>
      <c r="O1291" s="1">
        <v>62.843730362116972</v>
      </c>
      <c r="P1291" s="1">
        <v>6506.2341534800016</v>
      </c>
    </row>
    <row r="1292" spans="7:16" x14ac:dyDescent="0.2">
      <c r="G1292" s="1">
        <v>44494</v>
      </c>
      <c r="H1292" s="1">
        <v>6.3436303000000009</v>
      </c>
      <c r="I1292" s="1">
        <v>-2.6617793999999999</v>
      </c>
      <c r="J1292" s="1">
        <v>3.6818509000000001</v>
      </c>
      <c r="N1292" s="1">
        <v>88.923948548197899</v>
      </c>
      <c r="O1292" s="1">
        <v>63.287306406685254</v>
      </c>
      <c r="P1292" s="1">
        <v>6509.6278528800003</v>
      </c>
    </row>
    <row r="1293" spans="7:16" x14ac:dyDescent="0.2">
      <c r="G1293" s="1">
        <v>44495</v>
      </c>
      <c r="H1293" s="1">
        <v>16.464622000000002</v>
      </c>
      <c r="I1293" s="1">
        <v>-3.4085216000000003</v>
      </c>
      <c r="J1293" s="1">
        <v>13.0561004</v>
      </c>
      <c r="N1293" s="1">
        <v>89.125536719815301</v>
      </c>
      <c r="O1293" s="1">
        <v>63.34009387186628</v>
      </c>
      <c r="P1293" s="1">
        <v>6534.0772589800017</v>
      </c>
    </row>
    <row r="1294" spans="7:16" x14ac:dyDescent="0.2">
      <c r="G1294" s="1">
        <v>44496</v>
      </c>
      <c r="H1294" s="1">
        <v>7.4208089000000008</v>
      </c>
      <c r="I1294" s="1">
        <v>-5.5679785999999991</v>
      </c>
      <c r="J1294" s="1">
        <v>1.8528302999999995</v>
      </c>
      <c r="N1294" s="1">
        <v>88.239189583863848</v>
      </c>
      <c r="O1294" s="1">
        <v>62.477744011142036</v>
      </c>
      <c r="P1294" s="1">
        <v>6550.2958627799999</v>
      </c>
    </row>
    <row r="1295" spans="7:16" x14ac:dyDescent="0.2">
      <c r="G1295" s="1">
        <v>44497</v>
      </c>
      <c r="H1295" s="1">
        <v>8.4605945999999985</v>
      </c>
      <c r="I1295" s="1">
        <v>-2.3282035000000003</v>
      </c>
      <c r="J1295" s="1">
        <v>6.1323910999999995</v>
      </c>
      <c r="N1295" s="1">
        <v>89.825230503444985</v>
      </c>
      <c r="O1295" s="1">
        <v>63.405314484679693</v>
      </c>
      <c r="P1295" s="1">
        <v>6520.8370272800012</v>
      </c>
    </row>
    <row r="1296" spans="7:16" x14ac:dyDescent="0.2">
      <c r="G1296" s="1">
        <v>44498</v>
      </c>
      <c r="H1296" s="1">
        <v>6.5705189000000006</v>
      </c>
      <c r="I1296" s="1">
        <v>-3.4184737999999997</v>
      </c>
      <c r="J1296" s="1">
        <v>3.1520451000000009</v>
      </c>
      <c r="N1296" s="1">
        <v>89.881784939541291</v>
      </c>
      <c r="O1296" s="1">
        <v>62.858194428969341</v>
      </c>
      <c r="P1296" s="1">
        <v>6569.0730043800031</v>
      </c>
    </row>
    <row r="1297" spans="7:16" x14ac:dyDescent="0.2">
      <c r="G1297" s="1">
        <v>44501</v>
      </c>
      <c r="H1297" s="1">
        <v>7.1689207999999986</v>
      </c>
      <c r="I1297" s="1">
        <v>-4.2318000999999992</v>
      </c>
      <c r="J1297" s="1">
        <v>2.9371206999999986</v>
      </c>
      <c r="N1297" s="1">
        <v>91.01460367994504</v>
      </c>
      <c r="O1297" s="1">
        <v>63.955693036211699</v>
      </c>
      <c r="P1297" s="1">
        <v>6561.3397351799977</v>
      </c>
    </row>
    <row r="1298" spans="7:16" x14ac:dyDescent="0.2">
      <c r="G1298" s="1">
        <v>44502</v>
      </c>
      <c r="H1298" s="1">
        <v>7.1129049999999987</v>
      </c>
      <c r="I1298" s="1">
        <v>-5.0347892000000014</v>
      </c>
      <c r="J1298" s="1">
        <v>2.0781157999999995</v>
      </c>
      <c r="N1298" s="1">
        <v>91.402414719265494</v>
      </c>
      <c r="O1298" s="1">
        <v>64.008916852367662</v>
      </c>
      <c r="P1298" s="1">
        <v>6606.2215952799997</v>
      </c>
    </row>
    <row r="1299" spans="7:16" x14ac:dyDescent="0.2">
      <c r="G1299" s="1">
        <v>44503</v>
      </c>
      <c r="H1299" s="1">
        <v>6.9441596000000017</v>
      </c>
      <c r="I1299" s="1">
        <v>-3.5700698000000006</v>
      </c>
      <c r="J1299" s="1">
        <v>3.3740898000000001</v>
      </c>
      <c r="N1299" s="1">
        <v>92.62655042286319</v>
      </c>
      <c r="O1299" s="1">
        <v>64.629798050139271</v>
      </c>
      <c r="P1299" s="1">
        <v>6615.2312628800009</v>
      </c>
    </row>
    <row r="1300" spans="7:16" x14ac:dyDescent="0.2">
      <c r="G1300" s="1">
        <v>44504</v>
      </c>
      <c r="H1300" s="1">
        <v>6.9181252999999989</v>
      </c>
      <c r="I1300" s="1">
        <v>-5.6801797000000009</v>
      </c>
      <c r="J1300" s="1">
        <v>1.2379455999999998</v>
      </c>
      <c r="N1300" s="1">
        <v>93.461090192103839</v>
      </c>
      <c r="O1300" s="1">
        <v>64.988727855153201</v>
      </c>
      <c r="P1300" s="1">
        <v>6652.0094932299999</v>
      </c>
    </row>
    <row r="1301" spans="7:16" x14ac:dyDescent="0.2">
      <c r="G1301" s="1">
        <v>44505</v>
      </c>
      <c r="H1301" s="1">
        <v>9.0472089999999987</v>
      </c>
      <c r="I1301" s="1">
        <v>-1.604163</v>
      </c>
      <c r="J1301" s="1">
        <v>7.4430459999999998</v>
      </c>
      <c r="N1301" s="1">
        <v>94.121406364293165</v>
      </c>
      <c r="O1301" s="1">
        <v>65.631208635097479</v>
      </c>
      <c r="P1301" s="1">
        <v>6672.4689451800014</v>
      </c>
    </row>
    <row r="1302" spans="7:16" x14ac:dyDescent="0.2">
      <c r="G1302" s="1">
        <v>44508</v>
      </c>
      <c r="H1302" s="1">
        <v>5.6940260999999994</v>
      </c>
      <c r="I1302" s="1">
        <v>-4.4207638000000005</v>
      </c>
      <c r="J1302" s="1">
        <v>1.2732622999999994</v>
      </c>
      <c r="N1302" s="1">
        <v>94.382054517013799</v>
      </c>
      <c r="O1302" s="1">
        <v>65.907293871866287</v>
      </c>
      <c r="P1302" s="1">
        <v>6702.9884725799993</v>
      </c>
    </row>
    <row r="1303" spans="7:16" x14ac:dyDescent="0.2">
      <c r="G1303" s="1">
        <v>44509</v>
      </c>
      <c r="H1303" s="1">
        <v>7.7796834999999991</v>
      </c>
      <c r="I1303" s="1">
        <v>-2.6934920999999998</v>
      </c>
      <c r="J1303" s="1">
        <v>5.0861913999999997</v>
      </c>
      <c r="N1303" s="1">
        <v>93.810546531987185</v>
      </c>
      <c r="O1303" s="1">
        <v>65.680025905292496</v>
      </c>
      <c r="P1303" s="1">
        <v>6712.9496943799995</v>
      </c>
    </row>
    <row r="1304" spans="7:16" x14ac:dyDescent="0.2">
      <c r="G1304" s="1">
        <v>44510</v>
      </c>
      <c r="H1304" s="1">
        <v>5.2859716000000008</v>
      </c>
      <c r="I1304" s="1">
        <v>-4.0686656999999995</v>
      </c>
      <c r="J1304" s="1">
        <v>1.2173059000000002</v>
      </c>
      <c r="N1304" s="1">
        <v>91.989318732041625</v>
      </c>
      <c r="O1304" s="1">
        <v>64.512754596100308</v>
      </c>
      <c r="P1304" s="1">
        <v>6704.7174855799967</v>
      </c>
    </row>
    <row r="1305" spans="7:16" x14ac:dyDescent="0.2">
      <c r="G1305" s="1">
        <v>44511</v>
      </c>
      <c r="H1305" s="1">
        <v>4.0867309000000001</v>
      </c>
      <c r="I1305" s="1">
        <v>-6.4769733999999994</v>
      </c>
      <c r="J1305" s="1">
        <v>-2.3902425000000003</v>
      </c>
      <c r="N1305" s="1">
        <v>92.365971001775051</v>
      </c>
      <c r="O1305" s="1">
        <v>64.880129247910901</v>
      </c>
      <c r="P1305" s="1">
        <v>6651.7288029800002</v>
      </c>
    </row>
    <row r="1306" spans="7:16" x14ac:dyDescent="0.2">
      <c r="G1306" s="1">
        <v>44512</v>
      </c>
      <c r="H1306" s="1">
        <v>5.7241974000000004</v>
      </c>
      <c r="I1306" s="1">
        <v>-3.3087100999999999</v>
      </c>
      <c r="J1306" s="1">
        <v>2.4154873000000006</v>
      </c>
      <c r="N1306" s="1">
        <v>93.758693526839593</v>
      </c>
      <c r="O1306" s="1">
        <v>65.634860167130924</v>
      </c>
      <c r="P1306" s="1">
        <v>6664.0783903800002</v>
      </c>
    </row>
    <row r="1307" spans="7:16" x14ac:dyDescent="0.2">
      <c r="G1307" s="1">
        <v>44515</v>
      </c>
      <c r="H1307" s="1">
        <v>5.0216292000000005</v>
      </c>
      <c r="I1307" s="1">
        <v>-4.6472492999999995</v>
      </c>
      <c r="J1307" s="1">
        <v>0.37437989999999988</v>
      </c>
      <c r="N1307" s="1">
        <v>93.716464302890898</v>
      </c>
      <c r="O1307" s="1">
        <v>65.577833286908103</v>
      </c>
      <c r="P1307" s="1">
        <v>6703.3687844799988</v>
      </c>
    </row>
    <row r="1308" spans="7:16" x14ac:dyDescent="0.2">
      <c r="G1308" s="1">
        <v>44516</v>
      </c>
      <c r="H1308" s="1">
        <v>5.4749928999999993</v>
      </c>
      <c r="I1308" s="1">
        <v>-4.170434300000001</v>
      </c>
      <c r="J1308" s="1">
        <v>1.3045586</v>
      </c>
      <c r="N1308" s="1">
        <v>94.349554782953945</v>
      </c>
      <c r="O1308" s="1">
        <v>65.654059052924794</v>
      </c>
      <c r="P1308" s="1">
        <v>6702.1819826299998</v>
      </c>
    </row>
    <row r="1309" spans="7:16" x14ac:dyDescent="0.2">
      <c r="G1309" s="1">
        <v>44517</v>
      </c>
      <c r="H1309" s="1">
        <v>7.6979539000000008</v>
      </c>
      <c r="I1309" s="1">
        <v>-7.3357273999999997</v>
      </c>
      <c r="J1309" s="1">
        <v>0.36222649999999978</v>
      </c>
      <c r="N1309" s="1">
        <v>93.795592787080921</v>
      </c>
      <c r="O1309" s="1">
        <v>65.203636211699163</v>
      </c>
      <c r="P1309" s="1">
        <v>6711.7814615800007</v>
      </c>
    </row>
    <row r="1310" spans="7:16" x14ac:dyDescent="0.2">
      <c r="G1310" s="1">
        <v>44518</v>
      </c>
      <c r="H1310" s="1">
        <v>7.6602734999999997</v>
      </c>
      <c r="I1310" s="1">
        <v>-4.6667903000000006</v>
      </c>
      <c r="J1310" s="1">
        <v>2.9934831999999996</v>
      </c>
      <c r="N1310" s="1">
        <v>94.129824872702414</v>
      </c>
      <c r="O1310" s="1">
        <v>65.038936490250677</v>
      </c>
      <c r="P1310" s="1">
        <v>6695.6270950799972</v>
      </c>
    </row>
    <row r="1311" spans="7:16" x14ac:dyDescent="0.2">
      <c r="G1311" s="1">
        <v>44519</v>
      </c>
      <c r="H1311" s="1">
        <v>6.3402707999999999</v>
      </c>
      <c r="I1311" s="1">
        <v>-8.013384499999999</v>
      </c>
      <c r="J1311" s="1">
        <v>-1.6731137000000005</v>
      </c>
      <c r="N1311" s="1">
        <v>93.910919746374972</v>
      </c>
      <c r="O1311" s="1">
        <v>64.528778551532042</v>
      </c>
      <c r="P1311" s="1">
        <v>6698.2780524799982</v>
      </c>
    </row>
    <row r="1312" spans="7:16" x14ac:dyDescent="0.2">
      <c r="G1312" s="1">
        <v>44522</v>
      </c>
      <c r="H1312" s="1">
        <v>9.072306600000001</v>
      </c>
      <c r="I1312" s="1">
        <v>-4.4508352000000002</v>
      </c>
      <c r="J1312" s="1">
        <v>4.6214714000000008</v>
      </c>
      <c r="N1312" s="1">
        <v>92.865339628277454</v>
      </c>
      <c r="O1312" s="1">
        <v>63.879686908078014</v>
      </c>
      <c r="P1312" s="1">
        <v>6681.7197991799985</v>
      </c>
    </row>
    <row r="1313" spans="7:16" x14ac:dyDescent="0.2">
      <c r="G1313" s="1">
        <v>44523</v>
      </c>
      <c r="H1313" s="1">
        <v>4.9320157</v>
      </c>
      <c r="I1313" s="1">
        <v>-7.2415936000000007</v>
      </c>
      <c r="J1313" s="1">
        <v>-2.3095778999999994</v>
      </c>
      <c r="N1313" s="1">
        <v>92.542657957037719</v>
      </c>
      <c r="O1313" s="1">
        <v>63.531843314763229</v>
      </c>
      <c r="P1313" s="1">
        <v>6657.2533069800029</v>
      </c>
    </row>
    <row r="1314" spans="7:16" x14ac:dyDescent="0.2">
      <c r="G1314" s="1">
        <v>44524</v>
      </c>
      <c r="H1314" s="1">
        <v>5.1874608999999996</v>
      </c>
      <c r="I1314" s="1">
        <v>-6.5026102000000003</v>
      </c>
      <c r="J1314" s="1">
        <v>-1.3151493000000003</v>
      </c>
      <c r="N1314" s="1">
        <v>92.851473082724894</v>
      </c>
      <c r="O1314" s="1">
        <v>63.496471866295288</v>
      </c>
      <c r="P1314" s="1">
        <v>6644.7775848300034</v>
      </c>
    </row>
    <row r="1315" spans="7:16" x14ac:dyDescent="0.2">
      <c r="G1315" s="1">
        <v>44525</v>
      </c>
      <c r="H1315" s="1">
        <v>0.42152660000000003</v>
      </c>
      <c r="I1315" s="1">
        <v>-1.3164757999999999</v>
      </c>
      <c r="J1315" s="1">
        <v>-0.89494919999999989</v>
      </c>
      <c r="N1315" s="1">
        <v>91.097238715883833</v>
      </c>
      <c r="O1315" s="1">
        <v>62.544713231197754</v>
      </c>
      <c r="P1315" s="1">
        <v>6645.9001419800006</v>
      </c>
    </row>
    <row r="1316" spans="7:16" x14ac:dyDescent="0.2">
      <c r="G1316" s="1">
        <v>44526</v>
      </c>
      <c r="H1316" s="1">
        <v>10.9775811</v>
      </c>
      <c r="I1316" s="1">
        <v>-5.7174952000000001</v>
      </c>
      <c r="J1316" s="1">
        <v>5.2600859000000009</v>
      </c>
      <c r="N1316" s="1">
        <v>88.959468487602521</v>
      </c>
      <c r="O1316" s="1">
        <v>60.352956267409468</v>
      </c>
      <c r="P1316" s="1">
        <v>6587.1394112800053</v>
      </c>
    </row>
    <row r="1317" spans="7:16" x14ac:dyDescent="0.2">
      <c r="G1317" s="1">
        <v>44529</v>
      </c>
      <c r="H1317" s="1">
        <v>10.922421099999996</v>
      </c>
      <c r="I1317" s="1">
        <v>-5.1588317000000012</v>
      </c>
      <c r="J1317" s="1">
        <v>5.7635893999999963</v>
      </c>
      <c r="N1317" s="1">
        <v>90.731998853377618</v>
      </c>
      <c r="O1317" s="1">
        <v>61.045820334261833</v>
      </c>
      <c r="P1317" s="1">
        <v>6533.5897515799998</v>
      </c>
    </row>
    <row r="1318" spans="7:16" x14ac:dyDescent="0.2">
      <c r="G1318" s="1">
        <v>44530</v>
      </c>
      <c r="H1318" s="1">
        <v>11.031177100000001</v>
      </c>
      <c r="I1318" s="1">
        <v>-13.513003000000001</v>
      </c>
      <c r="J1318" s="1">
        <v>-2.4818258999999996</v>
      </c>
      <c r="N1318" s="1">
        <v>87.852325309190419</v>
      </c>
      <c r="O1318" s="1">
        <v>59.110753760445682</v>
      </c>
      <c r="P1318" s="1">
        <v>6569.4207901799982</v>
      </c>
    </row>
    <row r="1319" spans="7:16" x14ac:dyDescent="0.2">
      <c r="G1319" s="1">
        <v>44531</v>
      </c>
      <c r="H1319" s="1">
        <v>8.2272617999999991</v>
      </c>
      <c r="I1319" s="1">
        <v>-9.6204213999999997</v>
      </c>
      <c r="J1319" s="1">
        <v>-1.3931596000000017</v>
      </c>
      <c r="N1319" s="1">
        <v>85.923619214286745</v>
      </c>
      <c r="O1319" s="1">
        <v>58.53405264623958</v>
      </c>
      <c r="P1319" s="1">
        <v>6481.9933227800011</v>
      </c>
    </row>
    <row r="1320" spans="7:16" x14ac:dyDescent="0.2">
      <c r="G1320" s="1">
        <v>44532</v>
      </c>
      <c r="H1320" s="1">
        <v>12.8367138</v>
      </c>
      <c r="I1320" s="1">
        <v>-5.2801757999999994</v>
      </c>
      <c r="J1320" s="1">
        <v>7.5565379999999998</v>
      </c>
      <c r="N1320" s="1">
        <v>88.042973608168182</v>
      </c>
      <c r="O1320" s="1">
        <v>59.76147409470753</v>
      </c>
      <c r="P1320" s="1">
        <v>6434.669575480003</v>
      </c>
    </row>
    <row r="1321" spans="7:16" x14ac:dyDescent="0.2">
      <c r="G1321" s="1">
        <v>44533</v>
      </c>
      <c r="H1321" s="1">
        <v>5.5762074000000004</v>
      </c>
      <c r="I1321" s="1">
        <v>-8.3653826999999996</v>
      </c>
      <c r="J1321" s="1">
        <v>-2.7891752999999992</v>
      </c>
      <c r="N1321" s="1">
        <v>86.426436687340711</v>
      </c>
      <c r="O1321" s="1">
        <v>58.999808635097494</v>
      </c>
      <c r="P1321" s="1">
        <v>6505.9143338799977</v>
      </c>
    </row>
    <row r="1322" spans="7:16" x14ac:dyDescent="0.2">
      <c r="G1322" s="1">
        <v>44536</v>
      </c>
      <c r="H1322" s="1">
        <v>14.1959558</v>
      </c>
      <c r="I1322" s="1">
        <v>-2.6957875000000002</v>
      </c>
      <c r="J1322" s="1">
        <v>11.500168299999995</v>
      </c>
      <c r="N1322" s="1">
        <v>88.212335533417217</v>
      </c>
      <c r="O1322" s="1">
        <v>60.180577994428951</v>
      </c>
      <c r="P1322" s="1">
        <v>6470.7349892800039</v>
      </c>
    </row>
    <row r="1323" spans="7:16" x14ac:dyDescent="0.2">
      <c r="G1323" s="1">
        <v>44537</v>
      </c>
      <c r="H1323" s="1">
        <v>10.872055999999999</v>
      </c>
      <c r="I1323" s="1">
        <v>-6.4059915000000007</v>
      </c>
      <c r="J1323" s="1">
        <v>4.466064499999999</v>
      </c>
      <c r="N1323" s="1">
        <v>92.208876185716079</v>
      </c>
      <c r="O1323" s="1">
        <v>62.734956824512523</v>
      </c>
      <c r="P1323" s="1">
        <v>6531.0134647799996</v>
      </c>
    </row>
    <row r="1324" spans="7:16" x14ac:dyDescent="0.2">
      <c r="G1324" s="1">
        <v>44538</v>
      </c>
      <c r="H1324" s="1">
        <v>6.028829</v>
      </c>
      <c r="I1324" s="1">
        <v>-10.969996200000001</v>
      </c>
      <c r="J1324" s="1">
        <v>-4.941167199999998</v>
      </c>
      <c r="N1324" s="1">
        <v>92.865427270593869</v>
      </c>
      <c r="O1324" s="1">
        <v>63.310215877437294</v>
      </c>
      <c r="P1324" s="1">
        <v>6645.1654011800019</v>
      </c>
    </row>
    <row r="1325" spans="7:16" x14ac:dyDescent="0.2">
      <c r="G1325" s="1">
        <v>44539</v>
      </c>
      <c r="H1325" s="1">
        <v>15.598580599999996</v>
      </c>
      <c r="I1325" s="1">
        <v>-8.6059685000000012</v>
      </c>
      <c r="J1325" s="1">
        <v>6.9926120999999988</v>
      </c>
      <c r="N1325" s="1">
        <v>91.251546604302789</v>
      </c>
      <c r="O1325" s="1">
        <v>62.268001392757661</v>
      </c>
      <c r="P1325" s="1">
        <v>6657.8580673800025</v>
      </c>
    </row>
    <row r="1326" spans="7:16" x14ac:dyDescent="0.2">
      <c r="G1326" s="1">
        <v>44540</v>
      </c>
      <c r="H1326" s="1">
        <v>13.687369800000001</v>
      </c>
      <c r="I1326" s="1">
        <v>-10.8200474</v>
      </c>
      <c r="J1326" s="1">
        <v>2.8673223999999995</v>
      </c>
      <c r="N1326" s="1">
        <v>92.433140982276086</v>
      </c>
      <c r="O1326" s="1">
        <v>62.661745682451247</v>
      </c>
      <c r="P1326" s="1">
        <v>6619.2854070800013</v>
      </c>
    </row>
    <row r="1327" spans="7:16" x14ac:dyDescent="0.2">
      <c r="G1327" s="1">
        <v>44543</v>
      </c>
      <c r="H1327" s="1">
        <v>16.643003700000005</v>
      </c>
      <c r="I1327" s="1">
        <v>-6.2985234999999991</v>
      </c>
      <c r="J1327" s="1">
        <v>10.344480200000005</v>
      </c>
      <c r="N1327" s="1">
        <v>90.844595430787592</v>
      </c>
      <c r="O1327" s="1">
        <v>61.694298607242345</v>
      </c>
      <c r="P1327" s="1">
        <v>6646.7787221800008</v>
      </c>
    </row>
    <row r="1328" spans="7:16" x14ac:dyDescent="0.2">
      <c r="G1328" s="1">
        <v>44544</v>
      </c>
      <c r="H1328" s="1">
        <v>14.835166000000005</v>
      </c>
      <c r="I1328" s="1">
        <v>-10.810624700000002</v>
      </c>
      <c r="J1328" s="1">
        <v>4.0245412999999983</v>
      </c>
      <c r="N1328" s="1">
        <v>89.406123676530058</v>
      </c>
      <c r="O1328" s="1">
        <v>60.684739554317567</v>
      </c>
      <c r="P1328" s="1">
        <v>6604.4389264799984</v>
      </c>
    </row>
    <row r="1329" spans="7:16" x14ac:dyDescent="0.2">
      <c r="G1329" s="1">
        <v>44545</v>
      </c>
      <c r="H1329" s="1">
        <v>36.523521199999998</v>
      </c>
      <c r="I1329" s="1">
        <v>-9.3692620999999985</v>
      </c>
      <c r="J1329" s="1">
        <v>27.154259100000008</v>
      </c>
      <c r="N1329" s="1">
        <v>92.084394239643601</v>
      </c>
      <c r="O1329" s="1">
        <v>61.783963509749313</v>
      </c>
      <c r="P1329" s="1">
        <v>6566.3106221799972</v>
      </c>
    </row>
    <row r="1330" spans="7:16" x14ac:dyDescent="0.2">
      <c r="G1330" s="1">
        <v>44546</v>
      </c>
      <c r="H1330" s="1">
        <v>15.304440400000002</v>
      </c>
      <c r="I1330" s="1">
        <v>-8.7506313999999996</v>
      </c>
      <c r="J1330" s="1">
        <v>6.553809000000002</v>
      </c>
      <c r="N1330" s="1">
        <v>90.695799551613263</v>
      </c>
      <c r="O1330" s="1">
        <v>61.974155431754866</v>
      </c>
      <c r="P1330" s="1">
        <v>6655.900466080001</v>
      </c>
    </row>
    <row r="1331" spans="7:16" x14ac:dyDescent="0.2">
      <c r="G1331" s="1">
        <v>44547</v>
      </c>
      <c r="H1331" s="1">
        <v>9.5395617999999995</v>
      </c>
      <c r="I1331" s="1">
        <v>-25.218952599999998</v>
      </c>
      <c r="J1331" s="1">
        <v>-15.6793908</v>
      </c>
      <c r="N1331" s="1">
        <v>89.144639217277287</v>
      </c>
      <c r="O1331" s="1">
        <v>60.862485793871876</v>
      </c>
      <c r="P1331" s="1">
        <v>6645.5145368800022</v>
      </c>
    </row>
    <row r="1332" spans="7:16" x14ac:dyDescent="0.2">
      <c r="G1332" s="1">
        <v>44550</v>
      </c>
      <c r="H1332" s="1">
        <v>11.796929500000001</v>
      </c>
      <c r="I1332" s="1">
        <v>-6.6675049999999985</v>
      </c>
      <c r="J1332" s="1">
        <v>5.1294244999999989</v>
      </c>
      <c r="N1332" s="1">
        <v>86.961514823715703</v>
      </c>
      <c r="O1332" s="1">
        <v>59.171523398328695</v>
      </c>
      <c r="P1332" s="1">
        <v>6579.4933020799999</v>
      </c>
    </row>
    <row r="1333" spans="7:16" x14ac:dyDescent="0.2">
      <c r="G1333" s="1">
        <v>44551</v>
      </c>
      <c r="H1333" s="1">
        <v>10.128420199999997</v>
      </c>
      <c r="I1333" s="1">
        <v>-9.3944676999999999</v>
      </c>
      <c r="J1333" s="1">
        <v>0.73395249999999923</v>
      </c>
      <c r="N1333" s="1">
        <v>90.200155300718819</v>
      </c>
      <c r="O1333" s="1">
        <v>61.209300835654616</v>
      </c>
      <c r="P1333" s="1">
        <v>6509.1426849799991</v>
      </c>
    </row>
    <row r="1334" spans="7:16" x14ac:dyDescent="0.2">
      <c r="G1334" s="1">
        <v>44552</v>
      </c>
      <c r="H1334" s="1">
        <v>6.0626369000000011</v>
      </c>
      <c r="I1334" s="1">
        <v>-8.3968951000000018</v>
      </c>
      <c r="J1334" s="1">
        <v>-2.3342582000000003</v>
      </c>
      <c r="N1334" s="1">
        <v>92.00029258374289</v>
      </c>
      <c r="O1334" s="1">
        <v>62.494171587743736</v>
      </c>
      <c r="P1334" s="1">
        <v>6600.1074417799991</v>
      </c>
    </row>
    <row r="1335" spans="7:16" x14ac:dyDescent="0.2">
      <c r="G1335" s="1">
        <v>44553</v>
      </c>
      <c r="H1335" s="1">
        <v>8.5059792999999981</v>
      </c>
      <c r="I1335" s="1">
        <v>-5.2150633000000006</v>
      </c>
      <c r="J1335" s="1">
        <v>3.2909159999999997</v>
      </c>
      <c r="N1335" s="1">
        <v>93.233362107948182</v>
      </c>
      <c r="O1335" s="1">
        <v>63.416045125348163</v>
      </c>
      <c r="P1335" s="1">
        <v>6648.8399308799999</v>
      </c>
    </row>
    <row r="1336" spans="7:16" x14ac:dyDescent="0.2">
      <c r="G1336" s="1">
        <v>44554</v>
      </c>
      <c r="H1336" s="1">
        <v>0.62450650000000008</v>
      </c>
      <c r="I1336" s="1">
        <v>-0.37953199999999998</v>
      </c>
      <c r="J1336" s="1">
        <v>0.24497450000000009</v>
      </c>
      <c r="N1336" s="1">
        <v>94.336092951585172</v>
      </c>
      <c r="O1336" s="1">
        <v>63.919850974930377</v>
      </c>
      <c r="P1336" s="1">
        <v>6684.3520616800042</v>
      </c>
    </row>
    <row r="1337" spans="7:16" x14ac:dyDescent="0.2">
      <c r="G1337" s="1">
        <v>44557</v>
      </c>
      <c r="H1337" s="1">
        <v>10.584669099999999</v>
      </c>
      <c r="I1337" s="1">
        <v>-2.6626794000000005</v>
      </c>
      <c r="J1337" s="1">
        <v>7.9219897000000019</v>
      </c>
      <c r="N1337" s="1">
        <v>95.478232899333918</v>
      </c>
      <c r="O1337" s="1">
        <v>64.49159517177344</v>
      </c>
      <c r="P1337" s="1">
        <v>6726.9526049100004</v>
      </c>
    </row>
    <row r="1338" spans="7:16" x14ac:dyDescent="0.2">
      <c r="G1338" s="1">
        <v>44558</v>
      </c>
      <c r="H1338" s="1">
        <v>8.2752233000000022</v>
      </c>
      <c r="I1338" s="1">
        <v>-3.2728565999999999</v>
      </c>
      <c r="J1338" s="1">
        <v>5.0023667000000014</v>
      </c>
      <c r="N1338" s="1">
        <v>95.335649478284935</v>
      </c>
      <c r="O1338" s="1">
        <v>64.594957753017653</v>
      </c>
      <c r="P1338" s="1">
        <v>6757.7167486549988</v>
      </c>
    </row>
    <row r="1339" spans="7:16" x14ac:dyDescent="0.2">
      <c r="G1339" s="1">
        <v>44559</v>
      </c>
      <c r="H1339" s="1">
        <v>8.304826499999999</v>
      </c>
      <c r="I1339" s="1">
        <v>-3.2632141000000008</v>
      </c>
      <c r="J1339" s="1">
        <v>5.0416124</v>
      </c>
      <c r="N1339" s="1">
        <v>95.410448055472528</v>
      </c>
      <c r="O1339" s="1">
        <v>64.609902785515303</v>
      </c>
      <c r="P1339" s="1">
        <v>6767.8524699499994</v>
      </c>
    </row>
    <row r="1340" spans="7:16" x14ac:dyDescent="0.2">
      <c r="G1340" s="1">
        <v>44560</v>
      </c>
      <c r="H1340" s="1">
        <v>9.1014815000000002</v>
      </c>
      <c r="I1340" s="1">
        <v>-2.5928576999999997</v>
      </c>
      <c r="J1340" s="1">
        <v>6.5086238000000005</v>
      </c>
      <c r="N1340" s="1">
        <v>95.121385274901741</v>
      </c>
      <c r="O1340" s="1">
        <v>64.653006406685222</v>
      </c>
      <c r="P1340" s="1">
        <v>6755.8792553800004</v>
      </c>
    </row>
    <row r="1341" spans="7:16" x14ac:dyDescent="0.2">
      <c r="G1341" s="1">
        <v>44561</v>
      </c>
      <c r="H1341" s="1">
        <v>12.632341300000004</v>
      </c>
      <c r="I1341" s="1">
        <v>-2.4926289999999995</v>
      </c>
      <c r="J1341" s="1">
        <v>10.139712300000006</v>
      </c>
      <c r="N1341" s="1">
        <v>94.679281203432652</v>
      </c>
      <c r="O1341" s="1">
        <v>64.685731058495833</v>
      </c>
      <c r="P1341" s="1">
        <v>6757.0079464799974</v>
      </c>
    </row>
    <row r="1342" spans="7:16" x14ac:dyDescent="0.2">
      <c r="G1342" s="1">
        <v>44564</v>
      </c>
      <c r="H1342" s="1">
        <v>7.5931917999999996</v>
      </c>
      <c r="I1342" s="1">
        <v>-8.3145010999999993</v>
      </c>
      <c r="J1342" s="1">
        <v>-0.72130929999999993</v>
      </c>
      <c r="N1342" s="1">
        <v>81.047880728064229</v>
      </c>
      <c r="O1342" s="1">
        <v>64.966033426183827</v>
      </c>
      <c r="P1342" s="1">
        <v>6787.6862880433318</v>
      </c>
    </row>
    <row r="1343" spans="7:16" x14ac:dyDescent="0.2">
      <c r="G1343" s="1">
        <v>44565</v>
      </c>
      <c r="H1343" s="1">
        <v>6.2281272999999997</v>
      </c>
      <c r="I1343" s="1">
        <v>-9.6894769000000025</v>
      </c>
      <c r="J1343" s="1">
        <v>-3.4613496000000015</v>
      </c>
      <c r="N1343" s="1">
        <v>95.242315852794761</v>
      </c>
      <c r="O1343" s="1">
        <v>65.201869359331482</v>
      </c>
      <c r="P1343" s="1">
        <v>8166.5273717266709</v>
      </c>
    </row>
    <row r="1344" spans="7:16" x14ac:dyDescent="0.2">
      <c r="G1344" s="1">
        <v>44566</v>
      </c>
      <c r="H1344" s="1">
        <v>9.716434099999999</v>
      </c>
      <c r="I1344" s="1">
        <v>-4.4587080000000006</v>
      </c>
      <c r="J1344" s="1">
        <v>5.2577260999999984</v>
      </c>
      <c r="N1344" s="1">
        <v>91.717864465317447</v>
      </c>
      <c r="O1344" s="1">
        <v>63.450653203342632</v>
      </c>
      <c r="P1344" s="1">
        <v>6781.1711468800004</v>
      </c>
    </row>
    <row r="1345" spans="7:16" x14ac:dyDescent="0.2">
      <c r="G1345" s="1">
        <v>44567</v>
      </c>
      <c r="H1345" s="1">
        <v>8.8159370999999975</v>
      </c>
      <c r="I1345" s="1">
        <v>-8.4723721999999988</v>
      </c>
      <c r="J1345" s="1">
        <v>0.34356490000000045</v>
      </c>
      <c r="N1345" s="1">
        <v>91.13296930602219</v>
      </c>
      <c r="O1345" s="1">
        <v>62.689966852367697</v>
      </c>
      <c r="P1345" s="1">
        <v>6695.97795898</v>
      </c>
    </row>
    <row r="1346" spans="7:16" x14ac:dyDescent="0.2">
      <c r="G1346" s="1">
        <v>44568</v>
      </c>
      <c r="H1346" s="1">
        <v>6.9975195999999986</v>
      </c>
      <c r="I1346" s="1">
        <v>-6.9817686000000005</v>
      </c>
      <c r="J1346" s="1">
        <v>1.5751000000000501E-2</v>
      </c>
      <c r="N1346" s="1">
        <v>90.373378863291734</v>
      </c>
      <c r="O1346" s="1">
        <v>62.581962116991633</v>
      </c>
      <c r="P1346" s="1">
        <v>6675.4179880799993</v>
      </c>
    </row>
    <row r="1347" spans="7:16" x14ac:dyDescent="0.2">
      <c r="G1347" s="1">
        <v>44571</v>
      </c>
      <c r="H1347" s="1">
        <v>5.5181274</v>
      </c>
      <c r="I1347" s="1">
        <v>-5.9330452999999999</v>
      </c>
      <c r="J1347" s="1">
        <v>-0.4149178999999999</v>
      </c>
      <c r="N1347" s="1">
        <v>89.905187046190363</v>
      </c>
      <c r="O1347" s="1">
        <v>61.990429805013932</v>
      </c>
      <c r="P1347" s="1">
        <v>6662.5876594800011</v>
      </c>
    </row>
    <row r="1348" spans="7:16" x14ac:dyDescent="0.2">
      <c r="G1348" s="1">
        <v>44572</v>
      </c>
      <c r="H1348" s="1">
        <v>8.379506199999998</v>
      </c>
      <c r="I1348" s="1">
        <v>-3.4900469000000007</v>
      </c>
      <c r="J1348" s="1">
        <v>4.8894592999999995</v>
      </c>
      <c r="N1348" s="1">
        <v>91.769283179409626</v>
      </c>
      <c r="O1348" s="1">
        <v>63.383361838440116</v>
      </c>
      <c r="P1348" s="1">
        <v>6644.453762580004</v>
      </c>
    </row>
    <row r="1349" spans="7:16" x14ac:dyDescent="0.2">
      <c r="G1349" s="1">
        <v>44573</v>
      </c>
      <c r="H1349" s="1">
        <v>7.615830400000001</v>
      </c>
      <c r="I1349" s="1">
        <v>-5.7670494999999997</v>
      </c>
      <c r="J1349" s="1">
        <v>1.8487809000000002</v>
      </c>
      <c r="N1349" s="1">
        <v>92.605467212221242</v>
      </c>
      <c r="O1349" s="1">
        <v>64.427577994428972</v>
      </c>
      <c r="P1349" s="1">
        <v>6705.8242091799984</v>
      </c>
    </row>
    <row r="1350" spans="7:16" x14ac:dyDescent="0.2">
      <c r="G1350" s="1">
        <v>44574</v>
      </c>
      <c r="H1350" s="1">
        <v>5.1204833000000001</v>
      </c>
      <c r="I1350" s="1">
        <v>-6.7994079000000003</v>
      </c>
      <c r="J1350" s="1">
        <v>-1.6789246000000002</v>
      </c>
      <c r="N1350" s="1">
        <v>90.138643192416041</v>
      </c>
      <c r="O1350" s="1">
        <v>63.268647353760421</v>
      </c>
      <c r="P1350" s="1">
        <v>6742.0898596799971</v>
      </c>
    </row>
    <row r="1351" spans="7:16" x14ac:dyDescent="0.2">
      <c r="G1351" s="1">
        <v>44575</v>
      </c>
      <c r="H1351" s="1">
        <v>5.8336762999999996</v>
      </c>
      <c r="I1351" s="1">
        <v>-5.5493638999999986</v>
      </c>
      <c r="J1351" s="1">
        <v>0.28431239999999947</v>
      </c>
      <c r="N1351" s="1">
        <v>89.891436444230777</v>
      </c>
      <c r="O1351" s="1">
        <v>62.67993370473539</v>
      </c>
      <c r="P1351" s="1">
        <v>6681.6297785800016</v>
      </c>
    </row>
    <row r="1352" spans="7:16" x14ac:dyDescent="0.2">
      <c r="G1352" s="1">
        <v>44578</v>
      </c>
      <c r="H1352" s="1">
        <v>0.87749919999999992</v>
      </c>
      <c r="I1352" s="1">
        <v>-0.42238739999999997</v>
      </c>
      <c r="J1352" s="1">
        <v>0.45511180000000007</v>
      </c>
      <c r="N1352" s="1">
        <v>88.376339572249165</v>
      </c>
      <c r="O1352" s="1">
        <v>62.057302228412276</v>
      </c>
      <c r="P1352" s="1">
        <v>6664.1962952800013</v>
      </c>
    </row>
    <row r="1353" spans="7:16" x14ac:dyDescent="0.2">
      <c r="G1353" s="1">
        <v>44579</v>
      </c>
      <c r="H1353" s="1">
        <v>4.6447707000000005</v>
      </c>
      <c r="I1353" s="1">
        <v>-12.051142899999997</v>
      </c>
      <c r="J1353" s="1">
        <v>-7.4063721999999981</v>
      </c>
      <c r="N1353" s="1">
        <v>86.580592537220539</v>
      </c>
      <c r="O1353" s="1">
        <v>60.617739275766027</v>
      </c>
      <c r="P1353" s="1">
        <v>6614.6843863799995</v>
      </c>
    </row>
    <row r="1354" spans="7:16" x14ac:dyDescent="0.2">
      <c r="G1354" s="1">
        <v>44580</v>
      </c>
      <c r="H1354" s="1">
        <v>6.9170689000000003</v>
      </c>
      <c r="I1354" s="1">
        <v>-5.7216523999999982</v>
      </c>
      <c r="J1354" s="1">
        <v>1.1954164999999994</v>
      </c>
      <c r="N1354" s="1">
        <v>84.925075053922441</v>
      </c>
      <c r="O1354" s="1">
        <v>59.958286629526512</v>
      </c>
      <c r="P1354" s="1">
        <v>6565.1272371800014</v>
      </c>
    </row>
    <row r="1355" spans="7:16" x14ac:dyDescent="0.2">
      <c r="G1355" s="1">
        <v>44581</v>
      </c>
      <c r="H1355" s="1">
        <v>5.5988860999999996</v>
      </c>
      <c r="I1355" s="1">
        <v>-6.0312693999999993</v>
      </c>
      <c r="J1355" s="1">
        <v>-0.43238330000000003</v>
      </c>
      <c r="N1355" s="1">
        <v>83.376944890593592</v>
      </c>
      <c r="O1355" s="1">
        <v>59.310428133704725</v>
      </c>
      <c r="P1355" s="1">
        <v>6520.5088535152954</v>
      </c>
    </row>
    <row r="1356" spans="7:16" x14ac:dyDescent="0.2">
      <c r="G1356" s="1">
        <v>44582</v>
      </c>
      <c r="H1356" s="1">
        <v>9.5738778999999994</v>
      </c>
      <c r="I1356" s="1">
        <v>-6.4266423000000001</v>
      </c>
      <c r="J1356" s="1">
        <v>3.1472356000000001</v>
      </c>
      <c r="N1356" s="1">
        <v>80.191161452081559</v>
      </c>
      <c r="O1356" s="1">
        <v>57.296573816155977</v>
      </c>
      <c r="P1356" s="1">
        <v>6482.6325857505872</v>
      </c>
    </row>
    <row r="1357" spans="7:16" x14ac:dyDescent="0.2">
      <c r="G1357" s="1">
        <v>44585</v>
      </c>
      <c r="H1357" s="1">
        <v>7.1056667000000013</v>
      </c>
      <c r="I1357" s="1">
        <v>-8.6604752999999999</v>
      </c>
      <c r="J1357" s="1">
        <v>-1.5548086000000008</v>
      </c>
      <c r="N1357" s="1">
        <v>80.339208091248281</v>
      </c>
      <c r="O1357" s="1">
        <v>56.516422284122577</v>
      </c>
      <c r="P1357" s="1">
        <v>6398.5861703858818</v>
      </c>
    </row>
    <row r="1358" spans="7:16" x14ac:dyDescent="0.2">
      <c r="G1358" s="1">
        <v>44586</v>
      </c>
      <c r="H1358" s="1">
        <v>10.483453999999996</v>
      </c>
      <c r="I1358" s="1">
        <v>-5.8903312000000003</v>
      </c>
      <c r="J1358" s="1">
        <v>4.5931227999999997</v>
      </c>
      <c r="N1358" s="1">
        <v>78.273326104733584</v>
      </c>
      <c r="O1358" s="1">
        <v>55.585135933147654</v>
      </c>
      <c r="P1358" s="1">
        <v>6397.3521131211774</v>
      </c>
    </row>
    <row r="1359" spans="7:16" x14ac:dyDescent="0.2">
      <c r="G1359" s="1">
        <v>44587</v>
      </c>
      <c r="H1359" s="1">
        <v>7.6173220999999982</v>
      </c>
      <c r="I1359" s="1">
        <v>-8.5481178</v>
      </c>
      <c r="J1359" s="1">
        <v>-0.93079570000000056</v>
      </c>
      <c r="N1359" s="1">
        <v>77.693413517466922</v>
      </c>
      <c r="O1359" s="1">
        <v>55.310036490250688</v>
      </c>
      <c r="P1359" s="1">
        <v>6347.887873556474</v>
      </c>
    </row>
    <row r="1360" spans="7:16" x14ac:dyDescent="0.2">
      <c r="G1360" s="1">
        <v>44588</v>
      </c>
      <c r="H1360" s="1">
        <v>11.829233</v>
      </c>
      <c r="I1360" s="1">
        <v>-14.3965464</v>
      </c>
      <c r="J1360" s="1">
        <v>-2.5673134000000011</v>
      </c>
      <c r="N1360" s="1">
        <v>76.105941446468918</v>
      </c>
      <c r="O1360" s="1">
        <v>53.811199303621173</v>
      </c>
      <c r="P1360" s="1">
        <v>6321.9655945417662</v>
      </c>
    </row>
    <row r="1361" spans="7:16" x14ac:dyDescent="0.2">
      <c r="G1361" s="1">
        <v>44589</v>
      </c>
      <c r="H1361" s="1">
        <v>7.1603541999999987</v>
      </c>
      <c r="I1361" s="1">
        <v>-9.0285462999999968</v>
      </c>
      <c r="J1361" s="1">
        <v>-1.8681921000000004</v>
      </c>
      <c r="N1361" s="1">
        <v>79.547567356490632</v>
      </c>
      <c r="O1361" s="1">
        <v>55.077837047353761</v>
      </c>
      <c r="P1361" s="1">
        <v>6263.3147306145611</v>
      </c>
    </row>
    <row r="1362" spans="7:16" x14ac:dyDescent="0.2">
      <c r="G1362" s="1">
        <v>44592</v>
      </c>
      <c r="H1362" s="1">
        <v>7.0561021000000004</v>
      </c>
      <c r="I1362" s="1">
        <v>-14.506471500000002</v>
      </c>
      <c r="J1362" s="1">
        <v>-7.4503694000000005</v>
      </c>
      <c r="N1362" s="1">
        <v>83.090858085987989</v>
      </c>
      <c r="O1362" s="1">
        <v>57.516103621169933</v>
      </c>
      <c r="P1362" s="1">
        <v>6349.7061715373529</v>
      </c>
    </row>
    <row r="1363" spans="7:16" x14ac:dyDescent="0.2">
      <c r="G1363" s="1">
        <v>44593</v>
      </c>
      <c r="H1363" s="1">
        <v>8.0157264000000001</v>
      </c>
      <c r="I1363" s="1">
        <v>-7.9844758000000002</v>
      </c>
      <c r="J1363" s="1">
        <v>3.1250600000000336E-2</v>
      </c>
      <c r="N1363" s="1">
        <v>84.352867735015437</v>
      </c>
      <c r="O1363" s="1">
        <v>58.595263370473532</v>
      </c>
      <c r="P1363" s="1">
        <v>6443.7357640601494</v>
      </c>
    </row>
    <row r="1364" spans="7:16" x14ac:dyDescent="0.2">
      <c r="G1364" s="1">
        <v>44594</v>
      </c>
      <c r="H1364" s="1">
        <v>17.698461900000005</v>
      </c>
      <c r="I1364" s="1">
        <v>-4.3073248000000008</v>
      </c>
      <c r="J1364" s="1">
        <v>13.391137100000007</v>
      </c>
      <c r="N1364" s="1">
        <v>85.767063744762808</v>
      </c>
      <c r="O1364" s="1">
        <v>59.480035654596101</v>
      </c>
      <c r="P1364" s="1">
        <v>6482.9226225329421</v>
      </c>
    </row>
    <row r="1365" spans="7:16" x14ac:dyDescent="0.2">
      <c r="G1365" s="1">
        <v>44595</v>
      </c>
      <c r="H1365" s="1">
        <v>17.159882600000007</v>
      </c>
      <c r="I1365" s="1">
        <v>-5.9586154999999987</v>
      </c>
      <c r="J1365" s="1">
        <v>11.201267100000001</v>
      </c>
      <c r="N1365" s="1">
        <v>82.020356117380757</v>
      </c>
      <c r="O1365" s="1">
        <v>57.541139972144848</v>
      </c>
      <c r="P1365" s="1">
        <v>6539.285730605734</v>
      </c>
    </row>
    <row r="1366" spans="7:16" x14ac:dyDescent="0.2">
      <c r="G1366" s="1">
        <v>44596</v>
      </c>
      <c r="H1366" s="1">
        <v>5.0686553999999999</v>
      </c>
      <c r="I1366" s="1">
        <v>-10.4503509</v>
      </c>
      <c r="J1366" s="1">
        <v>-5.3816955000000002</v>
      </c>
      <c r="N1366" s="1">
        <v>82.682686982591164</v>
      </c>
      <c r="O1366" s="1">
        <v>57.562359331476301</v>
      </c>
      <c r="P1366" s="1">
        <v>6448.287432378529</v>
      </c>
    </row>
    <row r="1367" spans="7:16" x14ac:dyDescent="0.2">
      <c r="G1367" s="1">
        <v>44599</v>
      </c>
      <c r="H1367" s="1">
        <v>9.0867003999999998</v>
      </c>
      <c r="I1367" s="1">
        <v>-5.6124589999999994</v>
      </c>
      <c r="J1367" s="1">
        <v>3.4742414000000004</v>
      </c>
      <c r="N1367" s="1">
        <v>82.358252824857971</v>
      </c>
      <c r="O1367" s="1">
        <v>57.619971169916433</v>
      </c>
      <c r="P1367" s="1">
        <v>6455.101278901323</v>
      </c>
    </row>
    <row r="1368" spans="7:16" x14ac:dyDescent="0.2">
      <c r="G1368" s="1">
        <v>44600</v>
      </c>
      <c r="H1368" s="1">
        <v>13.197448400000001</v>
      </c>
      <c r="I1368" s="1">
        <v>-6.3936159000000004</v>
      </c>
      <c r="J1368" s="1">
        <v>6.8038325000000013</v>
      </c>
      <c r="N1368" s="1">
        <v>83.807078185115017</v>
      </c>
      <c r="O1368" s="1">
        <v>58.415793871866299</v>
      </c>
      <c r="P1368" s="1">
        <v>6454.522681074116</v>
      </c>
    </row>
    <row r="1369" spans="7:16" x14ac:dyDescent="0.2">
      <c r="G1369" s="1">
        <v>44601</v>
      </c>
      <c r="H1369" s="1">
        <v>16.558001399999995</v>
      </c>
      <c r="I1369" s="1">
        <v>-7.6248667000000028</v>
      </c>
      <c r="J1369" s="1">
        <v>8.9331347000000001</v>
      </c>
      <c r="N1369" s="1">
        <v>86.666156730055775</v>
      </c>
      <c r="O1369" s="1">
        <v>60.423342339832857</v>
      </c>
      <c r="P1369" s="1">
        <v>6498.7061360094131</v>
      </c>
    </row>
    <row r="1370" spans="7:16" x14ac:dyDescent="0.2">
      <c r="G1370" s="1">
        <v>44602</v>
      </c>
      <c r="H1370" s="1">
        <v>4.6140393999999993</v>
      </c>
      <c r="I1370" s="1">
        <v>-8.5611872000000009</v>
      </c>
      <c r="J1370" s="1">
        <v>-3.9471477999999998</v>
      </c>
      <c r="N1370" s="1">
        <v>83.830650442516372</v>
      </c>
      <c r="O1370" s="1">
        <v>58.899001671309186</v>
      </c>
      <c r="P1370" s="1">
        <v>6590.1914519447037</v>
      </c>
    </row>
    <row r="1371" spans="7:16" x14ac:dyDescent="0.2">
      <c r="G1371" s="1">
        <v>44603</v>
      </c>
      <c r="H1371" s="1">
        <v>7.2862041999999994</v>
      </c>
      <c r="I1371" s="1">
        <v>-6.355333400000001</v>
      </c>
      <c r="J1371" s="1">
        <v>0.93087080000000011</v>
      </c>
      <c r="N1371" s="1">
        <v>80.74315910398029</v>
      </c>
      <c r="O1371" s="1">
        <v>57.295051532033433</v>
      </c>
      <c r="P1371" s="1">
        <v>6506.1490979800019</v>
      </c>
    </row>
    <row r="1372" spans="7:16" x14ac:dyDescent="0.2">
      <c r="G1372" s="1">
        <v>44606</v>
      </c>
      <c r="H1372" s="1">
        <v>6.412930799999998</v>
      </c>
      <c r="I1372" s="1">
        <v>-8.0168611999999975</v>
      </c>
      <c r="J1372" s="1">
        <v>-1.6039304000000014</v>
      </c>
      <c r="N1372" s="1">
        <v>79.844309773944445</v>
      </c>
      <c r="O1372" s="1">
        <v>56.142246796657368</v>
      </c>
      <c r="P1372" s="1">
        <v>6430.1267563652946</v>
      </c>
    </row>
    <row r="1373" spans="7:16" x14ac:dyDescent="0.2">
      <c r="G1373" s="1">
        <v>44607</v>
      </c>
      <c r="H1373" s="1">
        <v>3.9156712000000002</v>
      </c>
      <c r="I1373" s="1">
        <v>-5.1024777999999991</v>
      </c>
      <c r="J1373" s="1">
        <v>-1.1868065999999984</v>
      </c>
      <c r="N1373" s="1">
        <v>82.612075228485566</v>
      </c>
      <c r="O1373" s="1">
        <v>57.93243593314763</v>
      </c>
      <c r="P1373" s="1">
        <v>6394.3136823505893</v>
      </c>
    </row>
    <row r="1374" spans="7:16" x14ac:dyDescent="0.2">
      <c r="G1374" s="1">
        <v>44608</v>
      </c>
      <c r="H1374" s="1">
        <v>5.8545463</v>
      </c>
      <c r="I1374" s="1">
        <v>-2.4902895000000003</v>
      </c>
      <c r="J1374" s="1">
        <v>3.3642567999999997</v>
      </c>
      <c r="N1374" s="1">
        <v>83.028882205523416</v>
      </c>
      <c r="O1374" s="1">
        <v>58.49040974930363</v>
      </c>
      <c r="P1374" s="1">
        <v>6467.4007766858822</v>
      </c>
    </row>
    <row r="1375" spans="7:16" x14ac:dyDescent="0.2">
      <c r="G1375" s="1">
        <v>44609</v>
      </c>
      <c r="H1375" s="1">
        <v>8.5670178000000003</v>
      </c>
      <c r="I1375" s="1">
        <v>-2.6307970000000003</v>
      </c>
      <c r="J1375" s="1">
        <v>5.9362208000000001</v>
      </c>
      <c r="N1375" s="1">
        <v>79.677900061045719</v>
      </c>
      <c r="O1375" s="1">
        <v>56.765576601671306</v>
      </c>
      <c r="P1375" s="1">
        <v>6493.3770386211745</v>
      </c>
    </row>
    <row r="1376" spans="7:16" x14ac:dyDescent="0.2">
      <c r="G1376" s="1">
        <v>44610</v>
      </c>
      <c r="H1376" s="1">
        <v>3.7060900000000006</v>
      </c>
      <c r="I1376" s="1">
        <v>-11.387463</v>
      </c>
      <c r="J1376" s="1">
        <v>-7.681372999999998</v>
      </c>
      <c r="N1376" s="1">
        <v>78.324600369812828</v>
      </c>
      <c r="O1376" s="1">
        <v>55.862471866295245</v>
      </c>
      <c r="P1376" s="1">
        <v>6411.1623647564702</v>
      </c>
    </row>
    <row r="1377" spans="7:16" x14ac:dyDescent="0.2">
      <c r="G1377" s="1">
        <v>44613</v>
      </c>
      <c r="H1377" s="1">
        <v>0.70138699999999998</v>
      </c>
      <c r="I1377" s="1">
        <v>-0.51258400000000004</v>
      </c>
      <c r="J1377" s="1">
        <v>0.18880299999999997</v>
      </c>
      <c r="N1377" s="1">
        <v>77.371830154788285</v>
      </c>
      <c r="O1377" s="1">
        <v>54.917729805013934</v>
      </c>
      <c r="P1377" s="1">
        <v>6402.3531274817642</v>
      </c>
    </row>
    <row r="1378" spans="7:16" x14ac:dyDescent="0.2">
      <c r="G1378" s="1">
        <v>44614</v>
      </c>
      <c r="H1378" s="1">
        <v>12.5385267</v>
      </c>
      <c r="I1378" s="1">
        <v>-2.9310691999999996</v>
      </c>
      <c r="J1378" s="1">
        <v>9.6074574999999989</v>
      </c>
      <c r="N1378" s="1">
        <v>76.522189671027803</v>
      </c>
      <c r="O1378" s="1">
        <v>54.328241225626748</v>
      </c>
      <c r="P1378" s="1">
        <v>6333.773474977058</v>
      </c>
    </row>
    <row r="1379" spans="7:16" x14ac:dyDescent="0.2">
      <c r="G1379" s="1">
        <v>44615</v>
      </c>
      <c r="H1379" s="1">
        <v>7.3454879000000011</v>
      </c>
      <c r="I1379" s="1">
        <v>-7.6136297999999991</v>
      </c>
      <c r="J1379" s="1">
        <v>-0.26814190000000032</v>
      </c>
      <c r="N1379" s="1">
        <v>73.782020593530277</v>
      </c>
      <c r="O1379" s="1">
        <v>52.850847771587745</v>
      </c>
      <c r="P1379" s="1">
        <v>6313.8256490623526</v>
      </c>
    </row>
    <row r="1380" spans="7:16" x14ac:dyDescent="0.2">
      <c r="G1380" s="1">
        <v>44616</v>
      </c>
      <c r="H1380" s="1">
        <v>9.0536919999999999</v>
      </c>
      <c r="I1380" s="1">
        <v>-10.611484500000003</v>
      </c>
      <c r="J1380" s="1">
        <v>-1.5577925000000001</v>
      </c>
      <c r="N1380" s="1">
        <v>75.394292687554412</v>
      </c>
      <c r="O1380" s="1">
        <v>52.221352367688034</v>
      </c>
      <c r="P1380" s="1">
        <v>6237.7100224976475</v>
      </c>
    </row>
    <row r="1381" spans="7:16" x14ac:dyDescent="0.2">
      <c r="G1381" s="1">
        <v>44617</v>
      </c>
      <c r="H1381" s="1">
        <v>16.6484953</v>
      </c>
      <c r="I1381" s="1">
        <v>-7.0287847000000001</v>
      </c>
      <c r="J1381" s="1">
        <v>9.6197106000000012</v>
      </c>
      <c r="N1381" s="1">
        <v>78.969237021768237</v>
      </c>
      <c r="O1381" s="1">
        <v>55.245386629526465</v>
      </c>
      <c r="P1381" s="1">
        <v>6259.4332313729428</v>
      </c>
    </row>
    <row r="1382" spans="7:16" x14ac:dyDescent="0.2">
      <c r="G1382" s="1">
        <v>44620</v>
      </c>
      <c r="H1382" s="1">
        <v>7.3907310999999991</v>
      </c>
      <c r="I1382" s="1">
        <v>-5.6548513000000007</v>
      </c>
      <c r="J1382" s="1">
        <v>1.7358798000000002</v>
      </c>
      <c r="N1382" s="1">
        <v>78.764640273903709</v>
      </c>
      <c r="O1382" s="1">
        <v>54.909988857938714</v>
      </c>
      <c r="P1382" s="1">
        <v>6417.0346588482316</v>
      </c>
    </row>
    <row r="1383" spans="7:16" x14ac:dyDescent="0.2">
      <c r="G1383" s="1">
        <v>44621</v>
      </c>
      <c r="H1383" s="1">
        <v>7.2034925000000012</v>
      </c>
      <c r="I1383" s="1">
        <v>-8.8313909000000006</v>
      </c>
      <c r="J1383" s="1">
        <v>-1.6278984000000001</v>
      </c>
      <c r="N1383" s="1">
        <v>76.476188523277585</v>
      </c>
      <c r="O1383" s="1">
        <v>53.358063231197796</v>
      </c>
      <c r="P1383" s="1">
        <v>6379.8543942035303</v>
      </c>
    </row>
    <row r="1384" spans="7:16" x14ac:dyDescent="0.2">
      <c r="G1384" s="1">
        <v>44622</v>
      </c>
      <c r="H1384" s="1">
        <v>6.9659242000000008</v>
      </c>
      <c r="I1384" s="1">
        <v>-3.707265</v>
      </c>
      <c r="J1384" s="1">
        <v>3.2586592000000003</v>
      </c>
      <c r="N1384" s="1">
        <v>78.922114825945627</v>
      </c>
      <c r="O1384" s="1">
        <v>54.75376323119778</v>
      </c>
      <c r="P1384" s="1">
        <v>6313.830313488822</v>
      </c>
    </row>
    <row r="1385" spans="7:16" x14ac:dyDescent="0.2">
      <c r="G1385" s="1">
        <v>44623</v>
      </c>
      <c r="H1385" s="1">
        <v>5.5913166000000007</v>
      </c>
      <c r="I1385" s="1">
        <v>-5.0594281999999993</v>
      </c>
      <c r="J1385" s="1">
        <v>0.53188840000000059</v>
      </c>
      <c r="N1385" s="1">
        <v>77.783834471753394</v>
      </c>
      <c r="O1385" s="1">
        <v>53.82550027855153</v>
      </c>
      <c r="P1385" s="1">
        <v>6376.7733217741188</v>
      </c>
    </row>
    <row r="1386" spans="7:16" x14ac:dyDescent="0.2">
      <c r="G1386" s="1">
        <v>44624</v>
      </c>
      <c r="H1386" s="1">
        <v>6.1244135000000002</v>
      </c>
      <c r="I1386" s="1">
        <v>-4.6441182000000003</v>
      </c>
      <c r="J1386" s="1">
        <v>1.4802952999999996</v>
      </c>
      <c r="N1386" s="1">
        <v>75.958381609548539</v>
      </c>
      <c r="O1386" s="1">
        <v>52.117265181058499</v>
      </c>
      <c r="P1386" s="1">
        <v>6346.6372979094122</v>
      </c>
    </row>
    <row r="1387" spans="7:16" x14ac:dyDescent="0.2">
      <c r="G1387" s="1">
        <v>44627</v>
      </c>
      <c r="H1387" s="1">
        <v>13.917989199999999</v>
      </c>
      <c r="I1387" s="1">
        <v>-3.0330317</v>
      </c>
      <c r="J1387" s="1">
        <v>10.884957499999999</v>
      </c>
      <c r="N1387" s="1">
        <v>71.260801243868002</v>
      </c>
      <c r="O1387" s="1">
        <v>48.869243454039008</v>
      </c>
      <c r="P1387" s="1">
        <v>6288.0728114447056</v>
      </c>
    </row>
    <row r="1388" spans="7:16" x14ac:dyDescent="0.2">
      <c r="G1388" s="1">
        <v>44628</v>
      </c>
      <c r="H1388" s="1">
        <v>8.8386449000000002</v>
      </c>
      <c r="I1388" s="1">
        <v>-7.6266659000000008</v>
      </c>
      <c r="J1388" s="1">
        <v>1.2119789999999993</v>
      </c>
      <c r="N1388" s="1">
        <v>70.412086219208888</v>
      </c>
      <c r="O1388" s="1">
        <v>48.457599721448481</v>
      </c>
      <c r="P1388" s="1">
        <v>6152.3683649799996</v>
      </c>
    </row>
    <row r="1389" spans="7:16" x14ac:dyDescent="0.2">
      <c r="G1389" s="1">
        <v>44629</v>
      </c>
      <c r="H1389" s="1">
        <v>8.8137917999999988</v>
      </c>
      <c r="I1389" s="1">
        <v>-11.0336766</v>
      </c>
      <c r="J1389" s="1">
        <v>-2.2198847999999991</v>
      </c>
      <c r="N1389" s="1">
        <v>74.364460959217155</v>
      </c>
      <c r="O1389" s="1">
        <v>51.254915877437327</v>
      </c>
      <c r="P1389" s="1">
        <v>6127.9783187799985</v>
      </c>
    </row>
    <row r="1390" spans="7:16" x14ac:dyDescent="0.2">
      <c r="G1390" s="1">
        <v>44630</v>
      </c>
      <c r="H1390" s="1">
        <v>8.8289333999999986</v>
      </c>
      <c r="I1390" s="1">
        <v>-7.651486199999999</v>
      </c>
      <c r="J1390" s="1">
        <v>1.1774471999999985</v>
      </c>
      <c r="N1390" s="1">
        <v>73.980090643406314</v>
      </c>
      <c r="O1390" s="1">
        <v>50.624386908077987</v>
      </c>
      <c r="P1390" s="1">
        <v>6240.4314231300023</v>
      </c>
    </row>
    <row r="1391" spans="7:16" x14ac:dyDescent="0.2">
      <c r="G1391" s="1">
        <v>44631</v>
      </c>
      <c r="H1391" s="1">
        <v>9.1661459000000001</v>
      </c>
      <c r="I1391" s="1">
        <v>-8.446913600000002</v>
      </c>
      <c r="J1391" s="1">
        <v>0.71923230000000071</v>
      </c>
      <c r="N1391" s="1">
        <v>71.424047521005178</v>
      </c>
      <c r="O1391" s="1">
        <v>49.365715320334274</v>
      </c>
      <c r="P1391" s="1">
        <v>6317.1947991800007</v>
      </c>
    </row>
    <row r="1392" spans="7:16" x14ac:dyDescent="0.2">
      <c r="G1392" s="1">
        <v>44634</v>
      </c>
      <c r="H1392" s="1">
        <v>7.0261152999999981</v>
      </c>
      <c r="I1392" s="1">
        <v>-6.7861944000000003</v>
      </c>
      <c r="J1392" s="1">
        <v>0.23992090000000055</v>
      </c>
      <c r="N1392" s="1">
        <v>69.902062282189988</v>
      </c>
      <c r="O1392" s="1">
        <v>48.243450696378851</v>
      </c>
      <c r="P1392" s="1">
        <v>6158.6866267800006</v>
      </c>
    </row>
    <row r="1393" spans="7:16" x14ac:dyDescent="0.2">
      <c r="G1393" s="1">
        <v>44635</v>
      </c>
      <c r="H1393" s="1">
        <v>11.684391399999999</v>
      </c>
      <c r="I1393" s="1">
        <v>-3.8058502000000001</v>
      </c>
      <c r="J1393" s="1">
        <v>7.8785411999999999</v>
      </c>
      <c r="N1393" s="1">
        <v>72.716873045137845</v>
      </c>
      <c r="O1393" s="1">
        <v>49.118510863509748</v>
      </c>
      <c r="P1393" s="1">
        <v>6112.2439125800011</v>
      </c>
    </row>
    <row r="1394" spans="7:16" x14ac:dyDescent="0.2">
      <c r="G1394" s="1">
        <v>44636</v>
      </c>
      <c r="H1394" s="1">
        <v>27.062945899999992</v>
      </c>
      <c r="I1394" s="1">
        <v>-3.4930793000000002</v>
      </c>
      <c r="J1394" s="1">
        <v>23.569866599999997</v>
      </c>
      <c r="N1394" s="1">
        <v>76.977233803050765</v>
      </c>
      <c r="O1394" s="1">
        <v>52.558147910863518</v>
      </c>
      <c r="P1394" s="1">
        <v>6186.7062769800023</v>
      </c>
    </row>
    <row r="1395" spans="7:16" x14ac:dyDescent="0.2">
      <c r="G1395" s="1">
        <v>44637</v>
      </c>
      <c r="H1395" s="1">
        <v>19.381292800000001</v>
      </c>
      <c r="I1395" s="1">
        <v>-7.010400999999999</v>
      </c>
      <c r="J1395" s="1">
        <v>12.370891800000001</v>
      </c>
      <c r="N1395" s="1">
        <v>79.213205312967816</v>
      </c>
      <c r="O1395" s="1">
        <v>54.489593593314751</v>
      </c>
      <c r="P1395" s="1">
        <v>6346.8719320799974</v>
      </c>
    </row>
    <row r="1396" spans="7:16" x14ac:dyDescent="0.2">
      <c r="G1396" s="1">
        <v>44638</v>
      </c>
      <c r="H1396" s="1">
        <v>10.668168399999997</v>
      </c>
      <c r="I1396" s="1">
        <v>-16.693834500000005</v>
      </c>
      <c r="J1396" s="1">
        <v>-6.0256660999999996</v>
      </c>
      <c r="N1396" s="1">
        <v>81.024530603341788</v>
      </c>
      <c r="O1396" s="1">
        <v>55.576757103064061</v>
      </c>
      <c r="P1396" s="1">
        <v>6434.0367596800006</v>
      </c>
    </row>
    <row r="1397" spans="7:16" x14ac:dyDescent="0.2">
      <c r="G1397" s="1">
        <v>44641</v>
      </c>
      <c r="H1397" s="1">
        <v>7.2546935000000019</v>
      </c>
      <c r="I1397" s="1">
        <v>-15.943166100000001</v>
      </c>
      <c r="J1397" s="1">
        <v>-8.6884725999999954</v>
      </c>
      <c r="N1397" s="1">
        <v>80.709092034525128</v>
      </c>
      <c r="O1397" s="1">
        <v>55.243350835654596</v>
      </c>
      <c r="P1397" s="1">
        <v>6476.0080194800012</v>
      </c>
    </row>
    <row r="1398" spans="7:16" x14ac:dyDescent="0.2">
      <c r="G1398" s="1">
        <v>44642</v>
      </c>
      <c r="H1398" s="1">
        <v>10.295915200000001</v>
      </c>
      <c r="I1398" s="1">
        <v>-7.6872754999999984</v>
      </c>
      <c r="J1398" s="1">
        <v>2.6086397000000008</v>
      </c>
      <c r="N1398" s="1">
        <v>82.640346937690936</v>
      </c>
      <c r="O1398" s="1">
        <v>56.314889693593322</v>
      </c>
      <c r="P1398" s="1">
        <v>6449.1813100800018</v>
      </c>
    </row>
    <row r="1399" spans="7:16" x14ac:dyDescent="0.2">
      <c r="G1399" s="1">
        <v>44643</v>
      </c>
      <c r="H1399" s="1">
        <v>8.6566141000000023</v>
      </c>
      <c r="I1399" s="1">
        <v>-8.3940686000000024</v>
      </c>
      <c r="J1399" s="1">
        <v>0.26254550000000043</v>
      </c>
      <c r="N1399" s="1">
        <v>80.864724863247488</v>
      </c>
      <c r="O1399" s="1">
        <v>55.389786072423405</v>
      </c>
      <c r="P1399" s="1">
        <v>6500.6190180800004</v>
      </c>
    </row>
    <row r="1400" spans="7:16" x14ac:dyDescent="0.2">
      <c r="G1400" s="1">
        <v>44644</v>
      </c>
      <c r="H1400" s="1">
        <v>4.7865493999999993</v>
      </c>
      <c r="I1400" s="1">
        <v>-5.7358811999999997</v>
      </c>
      <c r="J1400" s="1">
        <v>-0.94933180000000028</v>
      </c>
      <c r="N1400" s="1">
        <v>82.985036314016483</v>
      </c>
      <c r="O1400" s="1">
        <v>56.360964902506964</v>
      </c>
      <c r="P1400" s="1">
        <v>6456.3520437800007</v>
      </c>
    </row>
    <row r="1401" spans="7:16" x14ac:dyDescent="0.2">
      <c r="G1401" s="1">
        <v>44645</v>
      </c>
      <c r="H1401" s="1">
        <v>8.8367559000000018</v>
      </c>
      <c r="I1401" s="1">
        <v>-6.7953335000000008</v>
      </c>
      <c r="J1401" s="1">
        <v>2.0414224000000001</v>
      </c>
      <c r="N1401" s="1">
        <v>83.503563089358906</v>
      </c>
      <c r="O1401" s="1">
        <v>56.610474094707513</v>
      </c>
      <c r="P1401" s="1">
        <v>6502.8216291800009</v>
      </c>
    </row>
    <row r="1402" spans="7:16" x14ac:dyDescent="0.2">
      <c r="G1402" s="1">
        <v>44648</v>
      </c>
      <c r="H1402" s="1">
        <v>8.7933578999999984</v>
      </c>
      <c r="I1402" s="1">
        <v>-5.5728998000000001</v>
      </c>
      <c r="J1402" s="1">
        <v>3.2204581000000005</v>
      </c>
      <c r="N1402" s="1">
        <v>84.382319181026006</v>
      </c>
      <c r="O1402" s="1">
        <v>56.716689136490245</v>
      </c>
      <c r="P1402" s="1">
        <v>6517.6193868799992</v>
      </c>
    </row>
    <row r="1403" spans="7:16" x14ac:dyDescent="0.2">
      <c r="G1403" s="1">
        <v>44649</v>
      </c>
      <c r="H1403" s="1">
        <v>11.2841013</v>
      </c>
      <c r="I1403" s="1">
        <v>-6.0497026000000007</v>
      </c>
      <c r="J1403" s="1">
        <v>5.2343986999999998</v>
      </c>
      <c r="N1403" s="1">
        <v>87.15955084530404</v>
      </c>
      <c r="O1403" s="1">
        <v>58.812708635097493</v>
      </c>
      <c r="P1403" s="1">
        <v>6531.3705392799966</v>
      </c>
    </row>
    <row r="1404" spans="7:16" x14ac:dyDescent="0.2">
      <c r="G1404" s="1">
        <v>44650</v>
      </c>
      <c r="H1404" s="1">
        <v>11.055149700000001</v>
      </c>
      <c r="I1404" s="1">
        <v>-4.8625339999999992</v>
      </c>
      <c r="J1404" s="1">
        <v>6.1926157000000028</v>
      </c>
      <c r="N1404" s="1">
        <v>86.085849125799811</v>
      </c>
      <c r="O1404" s="1">
        <v>58.489395821727001</v>
      </c>
      <c r="P1404" s="1">
        <v>6623.0040936799987</v>
      </c>
    </row>
    <row r="1405" spans="7:16" x14ac:dyDescent="0.2">
      <c r="G1405" s="1">
        <v>44651</v>
      </c>
      <c r="H1405" s="1">
        <v>12.458793700000001</v>
      </c>
      <c r="I1405" s="1">
        <v>-5.1023287999999996</v>
      </c>
      <c r="J1405" s="1">
        <v>7.3564649000000006</v>
      </c>
      <c r="N1405" s="1">
        <v>83.789651011502443</v>
      </c>
      <c r="O1405" s="1">
        <v>56.976884958217269</v>
      </c>
      <c r="P1405" s="1">
        <v>6605.7689131800007</v>
      </c>
    </row>
    <row r="1406" spans="7:16" x14ac:dyDescent="0.2">
      <c r="G1406" s="1">
        <v>44652</v>
      </c>
      <c r="H1406" s="1">
        <v>6.1330477000000014</v>
      </c>
      <c r="I1406" s="1">
        <v>-13.210009999999999</v>
      </c>
      <c r="J1406" s="1">
        <v>-7.0769623000000026</v>
      </c>
      <c r="N1406" s="1">
        <v>84.137152881411225</v>
      </c>
      <c r="O1406" s="1">
        <v>57.403357938718678</v>
      </c>
      <c r="P1406" s="1">
        <v>6541.5130851800022</v>
      </c>
    </row>
    <row r="1407" spans="7:16" x14ac:dyDescent="0.2">
      <c r="G1407" s="1">
        <v>44655</v>
      </c>
      <c r="H1407" s="1">
        <v>6.4565201000000005</v>
      </c>
      <c r="I1407" s="1">
        <v>-8.2952652000000011</v>
      </c>
      <c r="J1407" s="1">
        <v>-1.8387450999999992</v>
      </c>
      <c r="N1407" s="1">
        <v>85.635761997580545</v>
      </c>
      <c r="O1407" s="1">
        <v>58.196309935004606</v>
      </c>
      <c r="P1407" s="1">
        <v>6548.694921979999</v>
      </c>
    </row>
    <row r="1408" spans="7:16" x14ac:dyDescent="0.2">
      <c r="G1408" s="1">
        <v>44656</v>
      </c>
      <c r="H1408" s="1">
        <v>5.9300351000000022</v>
      </c>
      <c r="I1408" s="1">
        <v>-7.4112162999999986</v>
      </c>
      <c r="J1408" s="1">
        <v>-1.4811811999999998</v>
      </c>
      <c r="N1408" s="1">
        <v>83.208301995255823</v>
      </c>
      <c r="O1408" s="1">
        <v>56.511856360259998</v>
      </c>
      <c r="P1408" s="1">
        <v>6583.7756093799999</v>
      </c>
    </row>
    <row r="1409" spans="7:16" x14ac:dyDescent="0.2">
      <c r="G1409" s="1">
        <v>44657</v>
      </c>
      <c r="H1409" s="1">
        <v>6.0843172999999995</v>
      </c>
      <c r="I1409" s="1">
        <v>-6.3209554999999993</v>
      </c>
      <c r="J1409" s="1">
        <v>-0.23663819999999913</v>
      </c>
      <c r="N1409" s="1">
        <v>81.140124597720245</v>
      </c>
      <c r="O1409" s="1">
        <v>55.105200557103061</v>
      </c>
      <c r="P1409" s="1">
        <v>6504.8394248300028</v>
      </c>
    </row>
    <row r="1410" spans="7:16" x14ac:dyDescent="0.2">
      <c r="G1410" s="1">
        <v>44658</v>
      </c>
      <c r="H1410" s="1">
        <v>6.2493337999999996</v>
      </c>
      <c r="I1410" s="1">
        <v>-9.1076771999999995</v>
      </c>
      <c r="J1410" s="1">
        <v>-2.8583433999999985</v>
      </c>
      <c r="N1410" s="1">
        <v>81.456094054985044</v>
      </c>
      <c r="O1410" s="1">
        <v>54.948371030640672</v>
      </c>
      <c r="P1410" s="1">
        <v>6444.6812780799992</v>
      </c>
    </row>
    <row r="1411" spans="7:16" x14ac:dyDescent="0.2">
      <c r="G1411" s="1">
        <v>44659</v>
      </c>
      <c r="H1411" s="1">
        <v>8.0659464000000014</v>
      </c>
      <c r="I1411" s="1">
        <v>-5.0000041</v>
      </c>
      <c r="J1411" s="1">
        <v>3.0659423000000006</v>
      </c>
      <c r="N1411" s="1">
        <v>81.069857355624052</v>
      </c>
      <c r="O1411" s="1">
        <v>55.07068579387186</v>
      </c>
      <c r="P1411" s="1">
        <v>6442.5155030800006</v>
      </c>
    </row>
    <row r="1412" spans="7:16" x14ac:dyDescent="0.2">
      <c r="G1412" s="1">
        <v>44662</v>
      </c>
      <c r="H1412" s="1">
        <v>4.8410856000000004</v>
      </c>
      <c r="I1412" s="1">
        <v>-10.357865800000001</v>
      </c>
      <c r="J1412" s="1">
        <v>-5.5167802000000004</v>
      </c>
      <c r="N1412" s="1">
        <v>78.350699926020809</v>
      </c>
      <c r="O1412" s="1">
        <v>53.3992398328691</v>
      </c>
      <c r="P1412" s="1">
        <v>6439.2152571799988</v>
      </c>
    </row>
    <row r="1413" spans="7:16" x14ac:dyDescent="0.2">
      <c r="G1413" s="1">
        <v>44663</v>
      </c>
      <c r="H1413" s="1">
        <v>6.5335132000000007</v>
      </c>
      <c r="I1413" s="1">
        <v>-6.5759692999999988</v>
      </c>
      <c r="J1413" s="1">
        <v>-4.2456099999998609E-2</v>
      </c>
      <c r="N1413" s="1">
        <v>77.780329628115851</v>
      </c>
      <c r="O1413" s="1">
        <v>53.250605013927576</v>
      </c>
      <c r="P1413" s="1">
        <v>6356.0821772799991</v>
      </c>
    </row>
    <row r="1414" spans="7:16" x14ac:dyDescent="0.2">
      <c r="G1414" s="1">
        <v>44664</v>
      </c>
      <c r="H1414" s="1">
        <v>7.7305493999999992</v>
      </c>
      <c r="I1414" s="1">
        <v>-11.813670100000003</v>
      </c>
      <c r="J1414" s="1">
        <v>-4.0831207000000012</v>
      </c>
      <c r="N1414" s="1">
        <v>79.786676483424955</v>
      </c>
      <c r="O1414" s="1">
        <v>54.558774651810587</v>
      </c>
      <c r="P1414" s="1">
        <v>6341.731426880001</v>
      </c>
    </row>
    <row r="1415" spans="7:16" x14ac:dyDescent="0.2">
      <c r="G1415" s="1">
        <v>44665</v>
      </c>
      <c r="H1415" s="1">
        <v>7.6890562999999981</v>
      </c>
      <c r="I1415" s="1">
        <v>-4.5103016999999994</v>
      </c>
      <c r="J1415" s="1">
        <v>3.1787545999999995</v>
      </c>
      <c r="N1415" s="1">
        <v>77.918591847597824</v>
      </c>
      <c r="O1415" s="1">
        <v>53.679552181987006</v>
      </c>
      <c r="P1415" s="1">
        <v>6400.1180852800007</v>
      </c>
    </row>
    <row r="1416" spans="7:16" x14ac:dyDescent="0.2">
      <c r="G1416" s="1">
        <v>44666</v>
      </c>
      <c r="H1416" s="1">
        <v>0.66582669999999999</v>
      </c>
      <c r="I1416" s="1">
        <v>-0.20341829999999997</v>
      </c>
      <c r="J1416" s="1">
        <v>0.46240840000000005</v>
      </c>
      <c r="N1416" s="1">
        <v>77.752028673496113</v>
      </c>
      <c r="O1416" s="1">
        <v>53.487757428040858</v>
      </c>
      <c r="P1416" s="1">
        <v>6355.2299999133329</v>
      </c>
    </row>
    <row r="1417" spans="7:16" x14ac:dyDescent="0.2">
      <c r="G1417" s="1">
        <v>44669</v>
      </c>
      <c r="H1417" s="1">
        <v>4.5596210999999993</v>
      </c>
      <c r="I1417" s="1">
        <v>-16.859448400000002</v>
      </c>
      <c r="J1417" s="1">
        <v>-12.299827299999999</v>
      </c>
      <c r="N1417" s="1">
        <v>77.522764372324104</v>
      </c>
      <c r="O1417" s="1">
        <v>53.229727855153207</v>
      </c>
      <c r="P1417" s="1">
        <v>6345.1482613300004</v>
      </c>
    </row>
    <row r="1418" spans="7:16" x14ac:dyDescent="0.2">
      <c r="G1418" s="1">
        <v>44670</v>
      </c>
      <c r="H1418" s="1">
        <v>5.5402438999999983</v>
      </c>
      <c r="I1418" s="1">
        <v>-3.9380725000000001</v>
      </c>
      <c r="J1418" s="1">
        <v>1.6021713999999998</v>
      </c>
      <c r="N1418" s="1">
        <v>79.745400708839938</v>
      </c>
      <c r="O1418" s="1">
        <v>54.063742061281317</v>
      </c>
      <c r="P1418" s="1">
        <v>6330.7663945466666</v>
      </c>
    </row>
    <row r="1419" spans="7:16" x14ac:dyDescent="0.2">
      <c r="G1419" s="1">
        <v>44671</v>
      </c>
      <c r="H1419" s="1">
        <v>5.6098714999999988</v>
      </c>
      <c r="I1419" s="1">
        <v>-12.1618019</v>
      </c>
      <c r="J1419" s="1">
        <v>-6.5519304000000016</v>
      </c>
      <c r="N1419" s="1">
        <v>79.833907690873332</v>
      </c>
      <c r="O1419" s="1">
        <v>54.616186908078028</v>
      </c>
      <c r="P1419" s="1">
        <v>6376.1496819799995</v>
      </c>
    </row>
    <row r="1420" spans="7:16" x14ac:dyDescent="0.2">
      <c r="G1420" s="1">
        <v>44672</v>
      </c>
      <c r="H1420" s="1">
        <v>6.4047780999999988</v>
      </c>
      <c r="I1420" s="1">
        <v>-3.9264597999999995</v>
      </c>
      <c r="J1420" s="1">
        <v>2.4783183000000002</v>
      </c>
      <c r="N1420" s="1">
        <v>77.345521655004063</v>
      </c>
      <c r="O1420" s="1">
        <v>52.988162116991653</v>
      </c>
      <c r="P1420" s="1">
        <v>6388.8256623799989</v>
      </c>
    </row>
    <row r="1421" spans="7:16" x14ac:dyDescent="0.2">
      <c r="G1421" s="1">
        <v>44673</v>
      </c>
      <c r="H1421" s="1">
        <v>6.350761900000002</v>
      </c>
      <c r="I1421" s="1">
        <v>-4.0945467999999998</v>
      </c>
      <c r="J1421" s="1">
        <v>2.2562151000000004</v>
      </c>
      <c r="N1421" s="1">
        <v>73.045109820169202</v>
      </c>
      <c r="O1421" s="1">
        <v>50.04042729805014</v>
      </c>
      <c r="P1421" s="1">
        <v>6316.6633752799989</v>
      </c>
    </row>
    <row r="1422" spans="7:16" x14ac:dyDescent="0.2">
      <c r="G1422" s="1">
        <v>44676</v>
      </c>
      <c r="H1422" s="1">
        <v>6.6037661999999999</v>
      </c>
      <c r="I1422" s="1">
        <v>-6.1506865999999993</v>
      </c>
      <c r="J1422" s="1">
        <v>0.45307959999999947</v>
      </c>
      <c r="N1422" s="1">
        <v>73.404996260138262</v>
      </c>
      <c r="O1422" s="1">
        <v>49.280002228412258</v>
      </c>
      <c r="P1422" s="1">
        <v>6190.7353584799994</v>
      </c>
    </row>
    <row r="1423" spans="7:16" x14ac:dyDescent="0.2">
      <c r="G1423" s="1">
        <v>44677</v>
      </c>
      <c r="H1423" s="1">
        <v>7.0418888000000015</v>
      </c>
      <c r="I1423" s="1">
        <v>-6.7498274</v>
      </c>
      <c r="J1423" s="1">
        <v>0.2920614000000003</v>
      </c>
      <c r="N1423" s="1">
        <v>69.224142733598754</v>
      </c>
      <c r="O1423" s="1">
        <v>46.86246740947076</v>
      </c>
      <c r="P1423" s="1">
        <v>6189.019895880002</v>
      </c>
    </row>
    <row r="1424" spans="7:16" x14ac:dyDescent="0.2">
      <c r="G1424" s="1">
        <v>44678</v>
      </c>
      <c r="H1424" s="1">
        <v>8.2186233000000009</v>
      </c>
      <c r="I1424" s="1">
        <v>-9.2912337000000011</v>
      </c>
      <c r="J1424" s="1">
        <v>-1.0726103999999967</v>
      </c>
      <c r="N1424" s="1">
        <v>69.406694262943759</v>
      </c>
      <c r="O1424" s="1">
        <v>46.893017827298046</v>
      </c>
      <c r="P1424" s="1">
        <v>6073.9599024800009</v>
      </c>
    </row>
    <row r="1425" spans="7:16" x14ac:dyDescent="0.2">
      <c r="G1425" s="1">
        <v>44679</v>
      </c>
      <c r="H1425" s="1">
        <v>8.6053850999999977</v>
      </c>
      <c r="I1425" s="1">
        <v>-6.6691633999999995</v>
      </c>
      <c r="J1425" s="1">
        <v>1.9362217000000002</v>
      </c>
      <c r="N1425" s="1">
        <v>72.850332918029281</v>
      </c>
      <c r="O1425" s="1">
        <v>48.694041782729805</v>
      </c>
      <c r="P1425" s="1">
        <v>6073.7399072800008</v>
      </c>
    </row>
    <row r="1426" spans="7:16" x14ac:dyDescent="0.2">
      <c r="G1426" s="1">
        <v>44680</v>
      </c>
      <c r="H1426" s="1">
        <v>10.1612784</v>
      </c>
      <c r="I1426" s="1">
        <v>-9.3943764999999999</v>
      </c>
      <c r="J1426" s="1">
        <v>0.76690189999999991</v>
      </c>
      <c r="N1426" s="1">
        <v>68.056757572132085</v>
      </c>
      <c r="O1426" s="1">
        <v>46.493776880222839</v>
      </c>
      <c r="P1426" s="1">
        <v>6166.6404092800003</v>
      </c>
    </row>
    <row r="1427" spans="7:16" x14ac:dyDescent="0.2">
      <c r="G1427" s="1">
        <v>44683</v>
      </c>
      <c r="H1427" s="1">
        <v>4.4032781999999999</v>
      </c>
      <c r="I1427" s="1">
        <v>-10.818996699999998</v>
      </c>
      <c r="J1427" s="1">
        <v>-6.4157184999999988</v>
      </c>
      <c r="N1427" s="1">
        <v>68.793271199071071</v>
      </c>
      <c r="O1427" s="1">
        <v>46.317122632311985</v>
      </c>
      <c r="P1427" s="1">
        <v>6039.0177111800012</v>
      </c>
    </row>
    <row r="1428" spans="7:16" x14ac:dyDescent="0.2">
      <c r="G1428" s="1">
        <v>44684</v>
      </c>
      <c r="H1428" s="1">
        <v>6.2224592000000003</v>
      </c>
      <c r="I1428" s="1">
        <v>-3.5233080999999995</v>
      </c>
      <c r="J1428" s="1">
        <v>2.6991511000000004</v>
      </c>
      <c r="N1428" s="1">
        <v>69.401090017807888</v>
      </c>
      <c r="O1428" s="1">
        <v>46.967761072423393</v>
      </c>
      <c r="P1428" s="1">
        <v>6055.7754757049979</v>
      </c>
    </row>
    <row r="1429" spans="7:16" x14ac:dyDescent="0.2">
      <c r="G1429" s="1">
        <v>44685</v>
      </c>
      <c r="H1429" s="1">
        <v>5.0825801999999998</v>
      </c>
      <c r="I1429" s="1">
        <v>-4.0927828000000002</v>
      </c>
      <c r="J1429" s="1">
        <v>0.98979739999999983</v>
      </c>
      <c r="N1429" s="1">
        <v>73.43833763550586</v>
      </c>
      <c r="O1429" s="1">
        <v>49.074900626740948</v>
      </c>
      <c r="P1429" s="1">
        <v>6070.3887093799976</v>
      </c>
    </row>
    <row r="1430" spans="7:16" x14ac:dyDescent="0.2">
      <c r="G1430" s="1">
        <v>44686</v>
      </c>
      <c r="H1430" s="1">
        <v>5.0769405000000001</v>
      </c>
      <c r="I1430" s="1">
        <v>-5.2134115000000003</v>
      </c>
      <c r="J1430" s="1">
        <v>-0.13647100000000062</v>
      </c>
      <c r="N1430" s="1">
        <v>68.009498786050443</v>
      </c>
      <c r="O1430" s="1">
        <v>45.837462743732594</v>
      </c>
      <c r="P1430" s="1">
        <v>6186.2174487049979</v>
      </c>
    </row>
    <row r="1431" spans="7:16" x14ac:dyDescent="0.2">
      <c r="G1431" s="1">
        <v>44687</v>
      </c>
      <c r="H1431" s="1">
        <v>5.9242152999999993</v>
      </c>
      <c r="I1431" s="1">
        <v>-7.6177111000000028</v>
      </c>
      <c r="J1431" s="1">
        <v>-1.6934958000000007</v>
      </c>
      <c r="N1431" s="1">
        <v>66.802676238954803</v>
      </c>
      <c r="O1431" s="1">
        <v>44.764156824512526</v>
      </c>
      <c r="P1431" s="1">
        <v>6028.3182480799987</v>
      </c>
    </row>
    <row r="1432" spans="7:16" x14ac:dyDescent="0.2">
      <c r="G1432" s="1">
        <v>44690</v>
      </c>
      <c r="H1432" s="1">
        <v>13.236880999999997</v>
      </c>
      <c r="I1432" s="1">
        <v>-5.7602969000000002</v>
      </c>
      <c r="J1432" s="1">
        <v>7.4765841000000028</v>
      </c>
      <c r="N1432" s="1">
        <v>61.789957135945045</v>
      </c>
      <c r="O1432" s="1">
        <v>41.089846657381642</v>
      </c>
      <c r="P1432" s="1">
        <v>5988.2073049799992</v>
      </c>
    </row>
    <row r="1433" spans="7:16" x14ac:dyDescent="0.2">
      <c r="G1433" s="1">
        <v>44691</v>
      </c>
      <c r="H1433" s="1">
        <v>7.6850518999999986</v>
      </c>
      <c r="I1433" s="1">
        <v>-7.8628973000000002</v>
      </c>
      <c r="J1433" s="1">
        <v>-0.17784539999999963</v>
      </c>
      <c r="N1433" s="1">
        <v>61.952836585213738</v>
      </c>
      <c r="O1433" s="1">
        <v>40.983631197771594</v>
      </c>
      <c r="P1433" s="1">
        <v>5839.17039338</v>
      </c>
    </row>
    <row r="1434" spans="7:16" x14ac:dyDescent="0.2">
      <c r="G1434" s="1">
        <v>44692</v>
      </c>
      <c r="H1434" s="1">
        <v>6.8477784000000002</v>
      </c>
      <c r="I1434" s="1">
        <v>-9.5309329999999992</v>
      </c>
      <c r="J1434" s="1">
        <v>-2.6831545999999991</v>
      </c>
      <c r="N1434" s="1">
        <v>59.868512523293148</v>
      </c>
      <c r="O1434" s="1">
        <v>40.342983008356541</v>
      </c>
      <c r="P1434" s="1">
        <v>5841.1868329799991</v>
      </c>
    </row>
    <row r="1435" spans="7:16" x14ac:dyDescent="0.2">
      <c r="G1435" s="1">
        <v>44693</v>
      </c>
      <c r="H1435" s="1">
        <v>8.3191535000000023</v>
      </c>
      <c r="I1435" s="1">
        <v>-7.2630708000000013</v>
      </c>
      <c r="J1435" s="1">
        <v>1.0560826999999979</v>
      </c>
      <c r="N1435" s="1">
        <v>59.581109515047253</v>
      </c>
      <c r="O1435" s="1">
        <v>39.762854038997197</v>
      </c>
      <c r="P1435" s="1">
        <v>5790.0307549799963</v>
      </c>
    </row>
    <row r="1436" spans="7:16" x14ac:dyDescent="0.2">
      <c r="G1436" s="1">
        <v>44694</v>
      </c>
      <c r="H1436" s="1">
        <v>7.1402590000000004</v>
      </c>
      <c r="I1436" s="1">
        <v>-5.6338940999999991</v>
      </c>
      <c r="J1436" s="1">
        <v>1.5063649000000003</v>
      </c>
      <c r="N1436" s="1">
        <v>63.207553617887598</v>
      </c>
      <c r="O1436" s="1">
        <v>42.482142339832869</v>
      </c>
      <c r="P1436" s="1">
        <v>5783.2706754799992</v>
      </c>
    </row>
    <row r="1437" spans="7:16" x14ac:dyDescent="0.2">
      <c r="G1437" s="1">
        <v>44697</v>
      </c>
      <c r="H1437" s="1">
        <v>7.0167459999999995</v>
      </c>
      <c r="I1437" s="1">
        <v>-3.6703536999999997</v>
      </c>
      <c r="J1437" s="1">
        <v>3.3463923000000002</v>
      </c>
      <c r="N1437" s="1">
        <v>62.696701352214532</v>
      </c>
      <c r="O1437" s="1">
        <v>42.366562952646234</v>
      </c>
      <c r="P1437" s="1">
        <v>5894.3514474800004</v>
      </c>
    </row>
    <row r="1438" spans="7:16" x14ac:dyDescent="0.2">
      <c r="G1438" s="1">
        <v>44698</v>
      </c>
      <c r="H1438" s="1">
        <v>10.0577174</v>
      </c>
      <c r="I1438" s="1">
        <v>-4.3803915000000018</v>
      </c>
      <c r="J1438" s="1">
        <v>5.6773258999999987</v>
      </c>
      <c r="N1438" s="1">
        <v>65.73085871810504</v>
      </c>
      <c r="O1438" s="1">
        <v>44.550225069637854</v>
      </c>
      <c r="P1438" s="1">
        <v>5890.0006076800009</v>
      </c>
    </row>
    <row r="1439" spans="7:16" x14ac:dyDescent="0.2">
      <c r="G1439" s="1">
        <v>44699</v>
      </c>
      <c r="H1439" s="1">
        <v>11.2671034</v>
      </c>
      <c r="I1439" s="1">
        <v>-7.7105204000000001</v>
      </c>
      <c r="J1439" s="1">
        <v>3.5565830000000003</v>
      </c>
      <c r="N1439" s="1">
        <v>60.497602373312255</v>
      </c>
      <c r="O1439" s="1">
        <v>41.432514206128111</v>
      </c>
      <c r="P1439" s="1">
        <v>5983.7637876799981</v>
      </c>
    </row>
    <row r="1440" spans="7:16" x14ac:dyDescent="0.2">
      <c r="G1440" s="1">
        <v>44700</v>
      </c>
      <c r="H1440" s="1">
        <v>10.4022036</v>
      </c>
      <c r="I1440" s="1">
        <v>-3.5292065000000004</v>
      </c>
      <c r="J1440" s="1">
        <v>6.872997100000001</v>
      </c>
      <c r="N1440" s="1">
        <v>60.036266479286553</v>
      </c>
      <c r="O1440" s="1">
        <v>41.482951532033418</v>
      </c>
      <c r="P1440" s="1">
        <v>5843.0098157799976</v>
      </c>
    </row>
    <row r="1441" spans="7:16" x14ac:dyDescent="0.2">
      <c r="G1441" s="1">
        <v>44701</v>
      </c>
      <c r="H1441" s="1">
        <v>6.8659567999999984</v>
      </c>
      <c r="I1441" s="1">
        <v>-4.6657850999999999</v>
      </c>
      <c r="J1441" s="1">
        <v>2.2001716999999998</v>
      </c>
      <c r="N1441" s="1">
        <v>60.192563787546185</v>
      </c>
      <c r="O1441" s="1">
        <v>41.827197493036223</v>
      </c>
      <c r="P1441" s="1">
        <v>5843.0479039799993</v>
      </c>
    </row>
    <row r="1442" spans="7:16" x14ac:dyDescent="0.2">
      <c r="G1442" s="1">
        <v>44704</v>
      </c>
      <c r="H1442" s="1">
        <v>7.5795500999999978</v>
      </c>
      <c r="I1442" s="1">
        <v>-3.0061982</v>
      </c>
      <c r="J1442" s="1">
        <v>4.5733518999999987</v>
      </c>
      <c r="N1442" s="1">
        <v>62.63951526835033</v>
      </c>
      <c r="O1442" s="1">
        <v>43.540582590529247</v>
      </c>
      <c r="P1442" s="1">
        <v>5855.8621833799971</v>
      </c>
    </row>
    <row r="1443" spans="7:16" x14ac:dyDescent="0.2">
      <c r="G1443" s="1">
        <v>44705</v>
      </c>
      <c r="H1443" s="1">
        <v>10.7719009</v>
      </c>
      <c r="I1443" s="1">
        <v>-2.4281756999999997</v>
      </c>
      <c r="J1443" s="1">
        <v>8.3437251999999997</v>
      </c>
      <c r="N1443" s="1">
        <v>61.44625279341993</v>
      </c>
      <c r="O1443" s="1">
        <v>42.786260167130941</v>
      </c>
      <c r="P1443" s="1">
        <v>5934.8428197800004</v>
      </c>
    </row>
    <row r="1444" spans="7:16" x14ac:dyDescent="0.2">
      <c r="G1444" s="1">
        <v>44706</v>
      </c>
      <c r="H1444" s="1">
        <v>10.6341713</v>
      </c>
      <c r="I1444" s="1">
        <v>-3.3752358000000005</v>
      </c>
      <c r="J1444" s="1">
        <v>7.2589355000000007</v>
      </c>
      <c r="N1444" s="1">
        <v>62.747427796438615</v>
      </c>
      <c r="O1444" s="1">
        <v>43.674251253481884</v>
      </c>
      <c r="P1444" s="1">
        <v>5913.640910879998</v>
      </c>
    </row>
    <row r="1445" spans="7:16" x14ac:dyDescent="0.2">
      <c r="G1445" s="1">
        <v>44707</v>
      </c>
      <c r="H1445" s="1">
        <v>7.4809247999999995</v>
      </c>
      <c r="I1445" s="1">
        <v>-5.8007726000000002</v>
      </c>
      <c r="J1445" s="1">
        <v>1.6801521999999998</v>
      </c>
      <c r="N1445" s="1">
        <v>65.481741860491198</v>
      </c>
      <c r="O1445" s="1">
        <v>45.45683788300834</v>
      </c>
      <c r="P1445" s="1">
        <v>5958.9131959800025</v>
      </c>
    </row>
    <row r="1446" spans="7:16" x14ac:dyDescent="0.2">
      <c r="G1446" s="1">
        <v>44708</v>
      </c>
      <c r="H1446" s="1">
        <v>7.3594909999999993</v>
      </c>
      <c r="I1446" s="1">
        <v>-3.9015752999999997</v>
      </c>
      <c r="J1446" s="1">
        <v>3.4579156999999996</v>
      </c>
      <c r="N1446" s="1">
        <v>68.954823950666508</v>
      </c>
      <c r="O1446" s="1">
        <v>47.713489693593303</v>
      </c>
      <c r="P1446" s="1">
        <v>6046.4958099700007</v>
      </c>
    </row>
    <row r="1447" spans="7:16" x14ac:dyDescent="0.2">
      <c r="G1447" s="1">
        <v>44711</v>
      </c>
      <c r="H1447" s="1">
        <v>0.84928409999999999</v>
      </c>
      <c r="I1447" s="1">
        <v>-1.0317746999999999</v>
      </c>
      <c r="J1447" s="1">
        <v>-0.18249059999999995</v>
      </c>
      <c r="N1447" s="1">
        <v>68.767347585422357</v>
      </c>
      <c r="O1447" s="1">
        <v>48.00565501392758</v>
      </c>
      <c r="P1447" s="1">
        <v>6143.9129712799995</v>
      </c>
    </row>
    <row r="1448" spans="7:16" x14ac:dyDescent="0.2">
      <c r="G1448" s="1">
        <v>44712</v>
      </c>
      <c r="H1448" s="1">
        <v>8.5538089999999976</v>
      </c>
      <c r="I1448" s="1">
        <v>-4.6034220999999995</v>
      </c>
      <c r="J1448" s="1">
        <v>3.9503869000000007</v>
      </c>
      <c r="N1448" s="1">
        <v>68.078055347723705</v>
      </c>
      <c r="O1448" s="1">
        <v>47.285505013927576</v>
      </c>
      <c r="P1448" s="1">
        <v>6140.8818345799991</v>
      </c>
    </row>
    <row r="1449" spans="7:16" x14ac:dyDescent="0.2">
      <c r="G1449" s="1">
        <v>44713</v>
      </c>
      <c r="H1449" s="1">
        <v>7.1966391000000014</v>
      </c>
      <c r="I1449" s="1">
        <v>-10.498006899999996</v>
      </c>
      <c r="J1449" s="1">
        <v>-3.3013677999999991</v>
      </c>
      <c r="N1449" s="1">
        <v>66.939248356564619</v>
      </c>
      <c r="O1449" s="1">
        <v>46.356698328690797</v>
      </c>
      <c r="P1449" s="1">
        <v>6122.8127782800002</v>
      </c>
    </row>
    <row r="1450" spans="7:16" x14ac:dyDescent="0.2">
      <c r="G1450" s="1">
        <v>44714</v>
      </c>
      <c r="H1450" s="1">
        <v>5.9194108000000014</v>
      </c>
      <c r="I1450" s="1">
        <v>-7.5679868000000017</v>
      </c>
      <c r="J1450" s="1">
        <v>-1.6485760000000009</v>
      </c>
      <c r="N1450" s="1">
        <v>69.851742817320073</v>
      </c>
      <c r="O1450" s="1">
        <v>48.207215877437321</v>
      </c>
      <c r="P1450" s="1">
        <v>6080.046425829999</v>
      </c>
    </row>
    <row r="1451" spans="7:16" x14ac:dyDescent="0.2">
      <c r="G1451" s="1">
        <v>44715</v>
      </c>
      <c r="H1451" s="1">
        <v>5.9776697999999993</v>
      </c>
      <c r="I1451" s="1">
        <v>-4.2296788999999997</v>
      </c>
      <c r="J1451" s="1">
        <v>1.7479909000000002</v>
      </c>
      <c r="N1451" s="1">
        <v>67.615198050815323</v>
      </c>
      <c r="O1451" s="1">
        <v>47.080516991643464</v>
      </c>
      <c r="P1451" s="1">
        <v>6178.6419487399971</v>
      </c>
    </row>
    <row r="1452" spans="7:16" x14ac:dyDescent="0.2">
      <c r="G1452" s="1">
        <v>44718</v>
      </c>
      <c r="H1452" s="1">
        <v>8.5685336000000003</v>
      </c>
      <c r="I1452" s="1">
        <v>-5.1766357000000003</v>
      </c>
      <c r="J1452" s="1">
        <v>3.3918978999999996</v>
      </c>
      <c r="N1452" s="1">
        <v>68.041819196691264</v>
      </c>
      <c r="O1452" s="1">
        <v>47.376283008356545</v>
      </c>
      <c r="P1452" s="1">
        <v>6117.8036235700019</v>
      </c>
    </row>
    <row r="1453" spans="7:16" x14ac:dyDescent="0.2">
      <c r="G1453" s="1">
        <v>44719</v>
      </c>
      <c r="H1453" s="1">
        <v>7.0057814000000009</v>
      </c>
      <c r="I1453" s="1">
        <v>-4.8919401999999996</v>
      </c>
      <c r="J1453" s="1">
        <v>2.1138412000000004</v>
      </c>
      <c r="N1453" s="1">
        <v>69.388444689476131</v>
      </c>
      <c r="O1453" s="1">
        <v>48.113837047353748</v>
      </c>
      <c r="P1453" s="1">
        <v>6119.5470756399991</v>
      </c>
    </row>
    <row r="1454" spans="7:16" x14ac:dyDescent="0.2">
      <c r="G1454" s="1">
        <v>44720</v>
      </c>
      <c r="H1454" s="1">
        <v>9.0470999000000027</v>
      </c>
      <c r="I1454" s="1">
        <v>-6.6929540999999997</v>
      </c>
      <c r="J1454" s="1">
        <v>2.3541457999999995</v>
      </c>
      <c r="N1454" s="1">
        <v>67.907113422054223</v>
      </c>
      <c r="O1454" s="1">
        <v>47.168385236768827</v>
      </c>
      <c r="P1454" s="1">
        <v>6154.9736274799998</v>
      </c>
    </row>
    <row r="1455" spans="7:16" x14ac:dyDescent="0.2">
      <c r="G1455" s="1">
        <v>44721</v>
      </c>
      <c r="H1455" s="1">
        <v>5.7620673999999985</v>
      </c>
      <c r="I1455" s="1">
        <v>-7.4972848000000001</v>
      </c>
      <c r="J1455" s="1">
        <v>-1.7352173999999996</v>
      </c>
      <c r="N1455" s="1">
        <v>64.455706847773797</v>
      </c>
      <c r="O1455" s="1">
        <v>44.738226462395552</v>
      </c>
      <c r="P1455" s="1">
        <v>6109.9229495799973</v>
      </c>
    </row>
    <row r="1456" spans="7:16" x14ac:dyDescent="0.2">
      <c r="G1456" s="1">
        <v>44722</v>
      </c>
      <c r="H1456" s="1">
        <v>4.7191055000000004</v>
      </c>
      <c r="I1456" s="1">
        <v>-11.275996899999999</v>
      </c>
      <c r="J1456" s="1">
        <v>-6.5568913999999996</v>
      </c>
      <c r="N1456" s="1">
        <v>60.18338838551005</v>
      </c>
      <c r="O1456" s="1">
        <v>41.604048746518096</v>
      </c>
      <c r="P1456" s="1">
        <v>5993.0740297800021</v>
      </c>
    </row>
    <row r="1457" spans="7:16" x14ac:dyDescent="0.2">
      <c r="G1457" s="1">
        <v>44725</v>
      </c>
      <c r="H1457" s="1">
        <v>9.2465553000000007</v>
      </c>
      <c r="I1457" s="1">
        <v>-9.5811066999999976</v>
      </c>
      <c r="J1457" s="1">
        <v>-0.33455140000000105</v>
      </c>
      <c r="N1457" s="1">
        <v>54.315489678009939</v>
      </c>
      <c r="O1457" s="1">
        <v>37.009795543175471</v>
      </c>
      <c r="P1457" s="1">
        <v>5857.8262453799971</v>
      </c>
    </row>
    <row r="1458" spans="7:16" x14ac:dyDescent="0.2">
      <c r="G1458" s="1">
        <v>44726</v>
      </c>
      <c r="H1458" s="1">
        <v>14.992305399999999</v>
      </c>
      <c r="I1458" s="1">
        <v>-6.7347769</v>
      </c>
      <c r="J1458" s="1">
        <v>8.2575284999999994</v>
      </c>
      <c r="N1458" s="1">
        <v>53.723494546698795</v>
      </c>
      <c r="O1458" s="1">
        <v>36.272054874651829</v>
      </c>
      <c r="P1458" s="1">
        <v>5660.8649167299991</v>
      </c>
    </row>
    <row r="1459" spans="7:16" x14ac:dyDescent="0.2">
      <c r="G1459" s="1">
        <v>44727</v>
      </c>
      <c r="H1459" s="1">
        <v>24.547062400000002</v>
      </c>
      <c r="I1459" s="1">
        <v>-4.9373559000000009</v>
      </c>
      <c r="J1459" s="1">
        <v>19.609706500000001</v>
      </c>
      <c r="N1459" s="1">
        <v>55.730355584265894</v>
      </c>
      <c r="O1459" s="1">
        <v>37.63908077994428</v>
      </c>
      <c r="P1459" s="1">
        <v>5641.7171053800012</v>
      </c>
    </row>
    <row r="1460" spans="7:16" x14ac:dyDescent="0.2">
      <c r="G1460" s="1">
        <v>44728</v>
      </c>
      <c r="H1460" s="1">
        <v>9.8895536000000011</v>
      </c>
      <c r="I1460" s="1">
        <v>-9.9238367000000007</v>
      </c>
      <c r="J1460" s="1">
        <v>-3.4283100000000774E-2</v>
      </c>
      <c r="N1460" s="1">
        <v>51.583239118815406</v>
      </c>
      <c r="O1460" s="1">
        <v>34.988346518105864</v>
      </c>
      <c r="P1460" s="1">
        <v>5723.9333099800015</v>
      </c>
    </row>
    <row r="1461" spans="7:16" x14ac:dyDescent="0.2">
      <c r="G1461" s="1">
        <v>44729</v>
      </c>
      <c r="H1461" s="1">
        <v>8.8721020000000017</v>
      </c>
      <c r="I1461" s="1">
        <v>-12.810794400000001</v>
      </c>
      <c r="J1461" s="1">
        <v>-3.9386924000000008</v>
      </c>
      <c r="N1461" s="1">
        <v>51.597296699403302</v>
      </c>
      <c r="O1461" s="1">
        <v>34.737414206128136</v>
      </c>
      <c r="P1461" s="1">
        <v>5601.4151682799975</v>
      </c>
    </row>
    <row r="1462" spans="7:16" x14ac:dyDescent="0.2">
      <c r="G1462" s="1">
        <v>44732</v>
      </c>
      <c r="H1462" s="1">
        <v>0.55904810000000005</v>
      </c>
      <c r="I1462" s="1">
        <v>-1.6215126</v>
      </c>
      <c r="J1462" s="1">
        <v>-1.0624644999999999</v>
      </c>
      <c r="N1462" s="1">
        <v>53.047576682925936</v>
      </c>
      <c r="O1462" s="1">
        <v>35.711095961002769</v>
      </c>
      <c r="P1462" s="1">
        <v>5585.783869079999</v>
      </c>
    </row>
    <row r="1463" spans="7:16" x14ac:dyDescent="0.2">
      <c r="G1463" s="1">
        <v>44733</v>
      </c>
      <c r="H1463" s="1">
        <v>6.736747900000001</v>
      </c>
      <c r="I1463" s="1">
        <v>-13.724974500000002</v>
      </c>
      <c r="J1463" s="1">
        <v>-6.9882265999999973</v>
      </c>
      <c r="N1463" s="1">
        <v>54.518593749296656</v>
      </c>
      <c r="O1463" s="1">
        <v>36.7598069637883</v>
      </c>
      <c r="P1463" s="1">
        <v>5627.4775814800014</v>
      </c>
    </row>
    <row r="1464" spans="7:16" x14ac:dyDescent="0.2">
      <c r="G1464" s="1">
        <v>44734</v>
      </c>
      <c r="H1464" s="1">
        <v>7.4913052999999996</v>
      </c>
      <c r="I1464" s="1">
        <v>-9.1720737000000021</v>
      </c>
      <c r="J1464" s="1">
        <v>-1.6807683999999985</v>
      </c>
      <c r="N1464" s="1">
        <v>54.224912142004861</v>
      </c>
      <c r="O1464" s="1">
        <v>36.292211977715873</v>
      </c>
      <c r="P1464" s="1">
        <v>5657.0609632799997</v>
      </c>
    </row>
    <row r="1465" spans="7:16" x14ac:dyDescent="0.2">
      <c r="G1465" s="1">
        <v>44735</v>
      </c>
      <c r="H1465" s="1">
        <v>6.0143834999999992</v>
      </c>
      <c r="I1465" s="1">
        <v>-10.512979299999998</v>
      </c>
      <c r="J1465" s="1">
        <v>-4.4985958000000004</v>
      </c>
      <c r="N1465" s="1">
        <v>55.443677378030181</v>
      </c>
      <c r="O1465" s="1">
        <v>36.731408356545955</v>
      </c>
      <c r="P1465" s="1">
        <v>5643.0623257799989</v>
      </c>
    </row>
    <row r="1466" spans="7:16" x14ac:dyDescent="0.2">
      <c r="G1466" s="1">
        <v>44736</v>
      </c>
      <c r="H1466" s="1">
        <v>8.7325113000000023</v>
      </c>
      <c r="I1466" s="1">
        <v>-4.7590219999999999</v>
      </c>
      <c r="J1466" s="1">
        <v>3.9734893000000007</v>
      </c>
      <c r="N1466" s="1">
        <v>59.629214739134035</v>
      </c>
      <c r="O1466" s="1">
        <v>39.654306128133719</v>
      </c>
      <c r="P1466" s="1">
        <v>5669.0911958800025</v>
      </c>
    </row>
    <row r="1467" spans="7:16" x14ac:dyDescent="0.2">
      <c r="G1467" s="1">
        <v>44739</v>
      </c>
      <c r="H1467" s="1">
        <v>5.798198600000001</v>
      </c>
      <c r="I1467" s="1">
        <v>-6.0937781999999991</v>
      </c>
      <c r="J1467" s="1">
        <v>-0.29557959999999994</v>
      </c>
      <c r="N1467" s="1">
        <v>59.4151079541179</v>
      </c>
      <c r="O1467" s="1">
        <v>39.875364066852356</v>
      </c>
      <c r="P1467" s="1">
        <v>5797.5558138799979</v>
      </c>
    </row>
    <row r="1468" spans="7:16" x14ac:dyDescent="0.2">
      <c r="G1468" s="1">
        <v>44740</v>
      </c>
      <c r="H1468" s="1">
        <v>5.6634881999999998</v>
      </c>
      <c r="I1468" s="1">
        <v>-6.6660164000000002</v>
      </c>
      <c r="J1468" s="1">
        <v>-1.0025282</v>
      </c>
      <c r="N1468" s="1">
        <v>56.905657154481723</v>
      </c>
      <c r="O1468" s="1">
        <v>38.668070752089129</v>
      </c>
      <c r="P1468" s="1">
        <v>5797.2936875799987</v>
      </c>
    </row>
    <row r="1469" spans="7:16" x14ac:dyDescent="0.2">
      <c r="G1469" s="1">
        <v>44741</v>
      </c>
      <c r="H1469" s="1">
        <v>6.0753895999999994</v>
      </c>
      <c r="I1469" s="1">
        <v>-4.2806338000000013</v>
      </c>
      <c r="J1469" s="1">
        <v>1.7947557999999992</v>
      </c>
      <c r="N1469" s="1">
        <v>56.480896475240307</v>
      </c>
      <c r="O1469" s="1">
        <v>37.893392200557138</v>
      </c>
      <c r="P1469" s="1">
        <v>5730.2315656799992</v>
      </c>
    </row>
    <row r="1470" spans="7:16" x14ac:dyDescent="0.2">
      <c r="G1470" s="1">
        <v>44742</v>
      </c>
      <c r="H1470" s="1">
        <v>6.7225717000000005</v>
      </c>
      <c r="I1470" s="1">
        <v>-4.8778983999999994</v>
      </c>
      <c r="J1470" s="1">
        <v>1.8446733</v>
      </c>
      <c r="N1470" s="1">
        <v>55.335969961421171</v>
      </c>
      <c r="O1470" s="1">
        <v>37.12245766016715</v>
      </c>
      <c r="P1470" s="1">
        <v>5712.6267523799997</v>
      </c>
    </row>
    <row r="1471" spans="7:16" x14ac:dyDescent="0.2">
      <c r="G1471" s="1">
        <v>44743</v>
      </c>
      <c r="H1471" s="1">
        <v>6.4950393000000011</v>
      </c>
      <c r="I1471" s="1">
        <v>-6.3021357000000009</v>
      </c>
      <c r="J1471" s="1">
        <v>0.19290359999999993</v>
      </c>
      <c r="N1471" s="1">
        <v>56.448971254510511</v>
      </c>
      <c r="O1471" s="1">
        <v>37.711401671309197</v>
      </c>
      <c r="P1471" s="1">
        <v>5682.2801860800018</v>
      </c>
    </row>
    <row r="1472" spans="7:16" x14ac:dyDescent="0.2">
      <c r="G1472" s="1">
        <v>44746</v>
      </c>
      <c r="H1472" s="1">
        <v>0.76555100000000009</v>
      </c>
      <c r="I1472" s="1">
        <v>-1.2370600999999999</v>
      </c>
      <c r="J1472" s="1">
        <v>-0.4715090999999999</v>
      </c>
      <c r="N1472" s="1">
        <v>56.60231500703464</v>
      </c>
      <c r="O1472" s="1">
        <v>37.623717827298066</v>
      </c>
      <c r="P1472" s="1">
        <v>5712.8198461299999</v>
      </c>
    </row>
    <row r="1473" spans="7:16" x14ac:dyDescent="0.2">
      <c r="G1473" s="1">
        <v>44747</v>
      </c>
      <c r="H1473" s="1">
        <v>6.9563062000000002</v>
      </c>
      <c r="I1473" s="1">
        <v>-9.9340616000000033</v>
      </c>
      <c r="J1473" s="1">
        <v>-2.9777554000000013</v>
      </c>
      <c r="N1473" s="1">
        <v>56.4468804385155</v>
      </c>
      <c r="O1473" s="1">
        <v>36.75888272980503</v>
      </c>
      <c r="P1473" s="1">
        <v>5711.4164753799996</v>
      </c>
    </row>
    <row r="1474" spans="7:16" x14ac:dyDescent="0.2">
      <c r="G1474" s="1">
        <v>44748</v>
      </c>
      <c r="H1474" s="1">
        <v>8.0230574999999984</v>
      </c>
      <c r="I1474" s="1">
        <v>-6.0019834000000003</v>
      </c>
      <c r="J1474" s="1">
        <v>2.0210740999999994</v>
      </c>
      <c r="N1474" s="1">
        <v>56.62835996857013</v>
      </c>
      <c r="O1474" s="1">
        <v>36.655464345403892</v>
      </c>
      <c r="P1474" s="1">
        <v>5697.4131528800017</v>
      </c>
    </row>
    <row r="1475" spans="7:16" x14ac:dyDescent="0.2">
      <c r="G1475" s="1">
        <v>44749</v>
      </c>
      <c r="H1475" s="1">
        <v>5.6360902000000008</v>
      </c>
      <c r="I1475" s="1">
        <v>-5.3678319999999982</v>
      </c>
      <c r="J1475" s="1">
        <v>0.26825820000000011</v>
      </c>
      <c r="N1475" s="1">
        <v>58.977471791293134</v>
      </c>
      <c r="O1475" s="1">
        <v>38.429593314763238</v>
      </c>
      <c r="P1475" s="1">
        <v>5693.7353614800004</v>
      </c>
    </row>
    <row r="1476" spans="7:16" x14ac:dyDescent="0.2">
      <c r="G1476" s="1">
        <v>44750</v>
      </c>
      <c r="H1476" s="1">
        <v>4.5465438000000002</v>
      </c>
      <c r="I1476" s="1">
        <v>-4.9370097000000008</v>
      </c>
      <c r="J1476" s="1">
        <v>-0.39046589999999964</v>
      </c>
      <c r="N1476" s="1">
        <v>58.940488673434871</v>
      </c>
      <c r="O1476" s="1">
        <v>38.489614484679656</v>
      </c>
      <c r="P1476" s="1">
        <v>5759.3923020799984</v>
      </c>
    </row>
    <row r="1477" spans="7:16" x14ac:dyDescent="0.2">
      <c r="G1477" s="1">
        <v>44753</v>
      </c>
      <c r="H1477" s="1">
        <v>4.4047998999999995</v>
      </c>
      <c r="I1477" s="1">
        <v>-4.8347190999999992</v>
      </c>
      <c r="J1477" s="1">
        <v>-0.42991920000000056</v>
      </c>
      <c r="N1477" s="1">
        <v>57.095497396713164</v>
      </c>
      <c r="O1477" s="1">
        <v>37.008779944289692</v>
      </c>
      <c r="P1477" s="1">
        <v>5756.3745194800031</v>
      </c>
    </row>
    <row r="1478" spans="7:16" x14ac:dyDescent="0.2">
      <c r="G1478" s="1">
        <v>44754</v>
      </c>
      <c r="H1478" s="1">
        <v>9.2412064999999988</v>
      </c>
      <c r="I1478" s="1">
        <v>-3.5752425000000003</v>
      </c>
      <c r="J1478" s="1">
        <v>5.6659640000000007</v>
      </c>
      <c r="N1478" s="1">
        <v>56.05778781294444</v>
      </c>
      <c r="O1478" s="1">
        <v>36.440761838440125</v>
      </c>
      <c r="P1478" s="1">
        <v>5700.9588651799995</v>
      </c>
    </row>
    <row r="1479" spans="7:16" x14ac:dyDescent="0.2">
      <c r="G1479" s="1">
        <v>44755</v>
      </c>
      <c r="H1479" s="1">
        <v>7.4565542999999987</v>
      </c>
      <c r="I1479" s="1">
        <v>-8.368685300000001</v>
      </c>
      <c r="J1479" s="1">
        <v>-0.91213100000000069</v>
      </c>
      <c r="N1479" s="1">
        <v>55.472317067642315</v>
      </c>
      <c r="O1479" s="1">
        <v>36.101841504178282</v>
      </c>
      <c r="P1479" s="1">
        <v>5676.1712481800005</v>
      </c>
    </row>
    <row r="1480" spans="7:16" x14ac:dyDescent="0.2">
      <c r="G1480" s="1">
        <v>44756</v>
      </c>
      <c r="H1480" s="1">
        <v>5.8612305000000005</v>
      </c>
      <c r="I1480" s="1">
        <v>-5.1589000000000009</v>
      </c>
      <c r="J1480" s="1">
        <v>0.70233049999999986</v>
      </c>
      <c r="N1480" s="1">
        <v>54.670384122675969</v>
      </c>
      <c r="O1480" s="1">
        <v>34.789747632311986</v>
      </c>
      <c r="P1480" s="1">
        <v>5660.4747553800016</v>
      </c>
    </row>
    <row r="1481" spans="7:16" x14ac:dyDescent="0.2">
      <c r="G1481" s="1">
        <v>44757</v>
      </c>
      <c r="H1481" s="1">
        <v>5.5914718999999993</v>
      </c>
      <c r="I1481" s="1">
        <v>-5.6067967000000003</v>
      </c>
      <c r="J1481" s="1">
        <v>-1.5324800000000083E-2</v>
      </c>
      <c r="N1481" s="1">
        <v>57.202789591288436</v>
      </c>
      <c r="O1481" s="1">
        <v>36.613354038997223</v>
      </c>
      <c r="P1481" s="1">
        <v>5621.6491967800011</v>
      </c>
    </row>
    <row r="1482" spans="7:16" x14ac:dyDescent="0.2">
      <c r="G1482" s="1">
        <v>44760</v>
      </c>
      <c r="H1482" s="1">
        <v>3.0577306000000002</v>
      </c>
      <c r="I1482" s="1">
        <v>-6.4983609999999992</v>
      </c>
      <c r="J1482" s="1">
        <v>-3.4406304000000003</v>
      </c>
      <c r="N1482" s="1">
        <v>56.517054430447587</v>
      </c>
      <c r="O1482" s="1">
        <v>36.847074233983285</v>
      </c>
      <c r="P1482" s="1">
        <v>5699.1265654799972</v>
      </c>
    </row>
    <row r="1483" spans="7:16" x14ac:dyDescent="0.2">
      <c r="G1483" s="1">
        <v>44761</v>
      </c>
      <c r="H1483" s="1">
        <v>5.8132909000000001</v>
      </c>
      <c r="I1483" s="1">
        <v>-3.4091065999999999</v>
      </c>
      <c r="J1483" s="1">
        <v>2.4041842999999998</v>
      </c>
      <c r="N1483" s="1">
        <v>60.116019404305213</v>
      </c>
      <c r="O1483" s="1">
        <v>39.192733983286907</v>
      </c>
      <c r="P1483" s="1">
        <v>5684.8469408800001</v>
      </c>
    </row>
    <row r="1484" spans="7:16" x14ac:dyDescent="0.2">
      <c r="G1484" s="1">
        <v>44762</v>
      </c>
      <c r="H1484" s="1">
        <v>5.6992588999999994</v>
      </c>
      <c r="I1484" s="1">
        <v>-5.3488870999999998</v>
      </c>
      <c r="J1484" s="1">
        <v>0.35037180000000079</v>
      </c>
      <c r="N1484" s="1">
        <v>61.200503406824282</v>
      </c>
      <c r="O1484" s="1">
        <v>39.67784791086352</v>
      </c>
      <c r="P1484" s="1">
        <v>5794.9114293800021</v>
      </c>
    </row>
    <row r="1485" spans="7:16" x14ac:dyDescent="0.2">
      <c r="G1485" s="1">
        <v>44763</v>
      </c>
      <c r="H1485" s="1">
        <v>6.6199857000000017</v>
      </c>
      <c r="I1485" s="1">
        <v>-5.3168152000000006</v>
      </c>
      <c r="J1485" s="1">
        <v>1.3031704999999993</v>
      </c>
      <c r="N1485" s="1">
        <v>62.662522765975943</v>
      </c>
      <c r="O1485" s="1">
        <v>40.437332033426173</v>
      </c>
      <c r="P1485" s="1">
        <v>5824.0176754800004</v>
      </c>
    </row>
    <row r="1486" spans="7:16" x14ac:dyDescent="0.2">
      <c r="G1486" s="1">
        <v>44764</v>
      </c>
      <c r="H1486" s="1">
        <v>6.5732560999999992</v>
      </c>
      <c r="I1486" s="1">
        <v>-4.5207579999999981</v>
      </c>
      <c r="J1486" s="1">
        <v>2.0524980999999998</v>
      </c>
      <c r="N1486" s="1">
        <v>61.611049473622728</v>
      </c>
      <c r="O1486" s="1">
        <v>40.218373537604464</v>
      </c>
      <c r="P1486" s="1">
        <v>5869.9728110800033</v>
      </c>
    </row>
    <row r="1487" spans="7:16" x14ac:dyDescent="0.2">
      <c r="G1487" s="1">
        <v>44767</v>
      </c>
      <c r="H1487" s="1">
        <v>7.0207993999999996</v>
      </c>
      <c r="I1487" s="1">
        <v>-4.576228099999998</v>
      </c>
      <c r="J1487" s="1">
        <v>2.4445712999999998</v>
      </c>
      <c r="N1487" s="1">
        <v>61.670118943334209</v>
      </c>
      <c r="O1487" s="1">
        <v>40.463988857938723</v>
      </c>
      <c r="P1487" s="1">
        <v>5852.5794035800009</v>
      </c>
    </row>
    <row r="1488" spans="7:16" x14ac:dyDescent="0.2">
      <c r="G1488" s="1">
        <v>44768</v>
      </c>
      <c r="H1488" s="1">
        <v>6.3198098999999992</v>
      </c>
      <c r="I1488" s="1">
        <v>-4.0453982999999996</v>
      </c>
      <c r="J1488" s="1">
        <v>2.2744115999999996</v>
      </c>
      <c r="N1488" s="1">
        <v>60.0664587200502</v>
      </c>
      <c r="O1488" s="1">
        <v>39.500289693593309</v>
      </c>
      <c r="P1488" s="1">
        <v>5860.1020179800034</v>
      </c>
    </row>
    <row r="1489" spans="7:16" x14ac:dyDescent="0.2">
      <c r="G1489" s="1">
        <v>44769</v>
      </c>
      <c r="H1489" s="1">
        <v>7.5362473000000003</v>
      </c>
      <c r="I1489" s="1">
        <v>-7.4504298999999996</v>
      </c>
      <c r="J1489" s="1">
        <v>8.5817399999999863E-2</v>
      </c>
      <c r="N1489" s="1">
        <v>63.520905944341763</v>
      </c>
      <c r="O1489" s="1">
        <v>41.391177158774376</v>
      </c>
      <c r="P1489" s="1">
        <v>5817.1381991799981</v>
      </c>
    </row>
    <row r="1490" spans="7:16" x14ac:dyDescent="0.2">
      <c r="G1490" s="1">
        <v>44770</v>
      </c>
      <c r="H1490" s="1">
        <v>6.1352851000000017</v>
      </c>
      <c r="I1490" s="1">
        <v>-3.9370112999999991</v>
      </c>
      <c r="J1490" s="1">
        <v>2.1982737999999995</v>
      </c>
      <c r="N1490" s="1">
        <v>65.598063042128032</v>
      </c>
      <c r="O1490" s="1">
        <v>43.091252367688007</v>
      </c>
      <c r="P1490" s="1">
        <v>5915.4513139800001</v>
      </c>
    </row>
    <row r="1491" spans="7:16" x14ac:dyDescent="0.2">
      <c r="G1491" s="1">
        <v>44771</v>
      </c>
      <c r="H1491" s="1">
        <v>7.118437499999998</v>
      </c>
      <c r="I1491" s="1">
        <v>-5.6052901999999998</v>
      </c>
      <c r="J1491" s="1">
        <v>1.5131473</v>
      </c>
      <c r="N1491" s="1">
        <v>67.593289118111386</v>
      </c>
      <c r="O1491" s="1">
        <v>44.33871142061281</v>
      </c>
      <c r="P1491" s="1">
        <v>5988.3040453799995</v>
      </c>
    </row>
    <row r="1492" spans="7:16" x14ac:dyDescent="0.2">
      <c r="G1492" s="1">
        <v>44774</v>
      </c>
      <c r="H1492" s="1">
        <v>5.2862861000000008</v>
      </c>
      <c r="I1492" s="1">
        <v>-6.7085496999999989</v>
      </c>
      <c r="J1492" s="1">
        <v>-1.4222635999999993</v>
      </c>
      <c r="N1492" s="1">
        <v>67.521337091981735</v>
      </c>
      <c r="O1492" s="1">
        <v>44.415221309192177</v>
      </c>
      <c r="P1492" s="1">
        <v>6045.3588241799998</v>
      </c>
    </row>
    <row r="1493" spans="7:16" x14ac:dyDescent="0.2">
      <c r="G1493" s="1">
        <v>44775</v>
      </c>
      <c r="H1493" s="1">
        <v>5.7062629000000005</v>
      </c>
      <c r="I1493" s="1">
        <v>-6.3715401999999992</v>
      </c>
      <c r="J1493" s="1">
        <v>-0.66527729999999941</v>
      </c>
      <c r="N1493" s="1">
        <v>66.344417178464965</v>
      </c>
      <c r="O1493" s="1">
        <v>43.348416155988858</v>
      </c>
      <c r="P1493" s="1">
        <v>6053.3793473499982</v>
      </c>
    </row>
    <row r="1494" spans="7:16" x14ac:dyDescent="0.2">
      <c r="G1494" s="1">
        <v>44776</v>
      </c>
      <c r="H1494" s="1">
        <v>6.0018526999999988</v>
      </c>
      <c r="I1494" s="1">
        <v>-5.0278510000000001</v>
      </c>
      <c r="J1494" s="1">
        <v>0.97400169999999997</v>
      </c>
      <c r="N1494" s="1">
        <v>68.458069597337015</v>
      </c>
      <c r="O1494" s="1">
        <v>44.20424679665738</v>
      </c>
      <c r="P1494" s="1">
        <v>5998.0838431799993</v>
      </c>
    </row>
    <row r="1495" spans="7:16" x14ac:dyDescent="0.2">
      <c r="G1495" s="1">
        <v>44777</v>
      </c>
      <c r="H1495" s="1">
        <v>7.0434763000000009</v>
      </c>
      <c r="I1495" s="1">
        <v>-3.1414148999999996</v>
      </c>
      <c r="J1495" s="1">
        <v>3.9020614000000005</v>
      </c>
      <c r="N1495" s="1">
        <v>68.634086035278855</v>
      </c>
      <c r="O1495" s="1">
        <v>44.534963231197786</v>
      </c>
      <c r="P1495" s="1">
        <v>6050.85880748</v>
      </c>
    </row>
    <row r="1496" spans="7:16" x14ac:dyDescent="0.2">
      <c r="G1496" s="1">
        <v>44778</v>
      </c>
      <c r="H1496" s="1">
        <v>8.6456294999999983</v>
      </c>
      <c r="I1496" s="1">
        <v>-3.2992427000000006</v>
      </c>
      <c r="J1496" s="1">
        <v>5.3463868000000003</v>
      </c>
      <c r="N1496" s="1">
        <v>68.27297387861752</v>
      </c>
      <c r="O1496" s="1">
        <v>44.237197771587731</v>
      </c>
      <c r="P1496" s="1">
        <v>6064.4212371800013</v>
      </c>
    </row>
    <row r="1497" spans="7:16" x14ac:dyDescent="0.2">
      <c r="G1497" s="1">
        <v>44781</v>
      </c>
      <c r="H1497" s="1">
        <v>6.2083439000000009</v>
      </c>
      <c r="I1497" s="1">
        <v>-3.6400865999999996</v>
      </c>
      <c r="J1497" s="1">
        <v>2.5682573000000004</v>
      </c>
      <c r="N1497" s="1">
        <v>68.470088137573242</v>
      </c>
      <c r="O1497" s="1">
        <v>44.808787743732594</v>
      </c>
      <c r="P1497" s="1">
        <v>6052.4615951800006</v>
      </c>
    </row>
    <row r="1498" spans="7:16" x14ac:dyDescent="0.2">
      <c r="G1498" s="1">
        <v>44782</v>
      </c>
      <c r="H1498" s="1">
        <v>5.3355889999999997</v>
      </c>
      <c r="I1498" s="1">
        <v>-4.0539598000000003</v>
      </c>
      <c r="J1498" s="1">
        <v>1.2816292000000002</v>
      </c>
      <c r="N1498" s="1">
        <v>67.513323267754473</v>
      </c>
      <c r="O1498" s="1">
        <v>44.15402785515321</v>
      </c>
      <c r="P1498" s="1">
        <v>6071.9594106799996</v>
      </c>
    </row>
    <row r="1499" spans="7:16" x14ac:dyDescent="0.2">
      <c r="G1499" s="1">
        <v>44783</v>
      </c>
      <c r="H1499" s="1">
        <v>9.7683587000000021</v>
      </c>
      <c r="I1499" s="1">
        <v>-2.3842253999999992</v>
      </c>
      <c r="J1499" s="1">
        <v>7.3841333000000011</v>
      </c>
      <c r="N1499" s="1">
        <v>70.916758728380088</v>
      </c>
      <c r="O1499" s="1">
        <v>46.475988300835645</v>
      </c>
      <c r="P1499" s="1">
        <v>6043.8277836299994</v>
      </c>
    </row>
    <row r="1500" spans="7:16" x14ac:dyDescent="0.2">
      <c r="G1500" s="1">
        <v>44784</v>
      </c>
      <c r="H1500" s="1">
        <v>7.8814457999999989</v>
      </c>
      <c r="I1500" s="1">
        <v>-2.8402576000000002</v>
      </c>
      <c r="J1500" s="1">
        <v>5.0411882000000006</v>
      </c>
      <c r="N1500" s="1">
        <v>70.957825132287184</v>
      </c>
      <c r="O1500" s="1">
        <v>46.774003481894177</v>
      </c>
      <c r="P1500" s="1">
        <v>6153.8799795800014</v>
      </c>
    </row>
    <row r="1501" spans="7:16" x14ac:dyDescent="0.2">
      <c r="G1501" s="1">
        <v>44785</v>
      </c>
      <c r="H1501" s="1">
        <v>5.7869991000000001</v>
      </c>
      <c r="I1501" s="1">
        <v>-3.4057254000000006</v>
      </c>
      <c r="J1501" s="1">
        <v>2.3812737000000017</v>
      </c>
      <c r="N1501" s="1">
        <v>73.434361514832418</v>
      </c>
      <c r="O1501" s="1">
        <v>48.125386072423396</v>
      </c>
      <c r="P1501" s="1">
        <v>6164.2194714799998</v>
      </c>
    </row>
    <row r="1502" spans="7:16" x14ac:dyDescent="0.2">
      <c r="G1502" s="1">
        <v>44788</v>
      </c>
      <c r="H1502" s="1">
        <v>5.4887672999999992</v>
      </c>
      <c r="I1502" s="1">
        <v>-4.3857724000000013</v>
      </c>
      <c r="J1502" s="1">
        <v>1.1029949000000001</v>
      </c>
      <c r="N1502" s="1">
        <v>74.018538240033806</v>
      </c>
      <c r="O1502" s="1">
        <v>48.17155013927578</v>
      </c>
      <c r="P1502" s="1">
        <v>6237.19708498</v>
      </c>
    </row>
    <row r="1503" spans="7:16" x14ac:dyDescent="0.2">
      <c r="G1503" s="1">
        <v>44789</v>
      </c>
      <c r="H1503" s="1">
        <v>5.0359388999999997</v>
      </c>
      <c r="I1503" s="1">
        <v>-4.8750147000000004</v>
      </c>
      <c r="J1503" s="1">
        <v>0.16092420000000071</v>
      </c>
      <c r="N1503" s="1">
        <v>74.187835441955784</v>
      </c>
      <c r="O1503" s="1">
        <v>48.227230083565473</v>
      </c>
      <c r="P1503" s="1">
        <v>6252.074346129998</v>
      </c>
    </row>
    <row r="1504" spans="7:16" x14ac:dyDescent="0.2">
      <c r="G1504" s="1">
        <v>44790</v>
      </c>
      <c r="H1504" s="1">
        <v>4.8437808000000002</v>
      </c>
      <c r="I1504" s="1">
        <v>-4.2462612000000011</v>
      </c>
      <c r="J1504" s="1">
        <v>0.59751959999999926</v>
      </c>
      <c r="N1504" s="1">
        <v>72.865287331440456</v>
      </c>
      <c r="O1504" s="1">
        <v>47.193739832869092</v>
      </c>
      <c r="P1504" s="1">
        <v>6254.0573298799991</v>
      </c>
    </row>
    <row r="1505" spans="7:16" x14ac:dyDescent="0.2">
      <c r="G1505" s="1">
        <v>44791</v>
      </c>
      <c r="H1505" s="1">
        <v>8.7383156999999994</v>
      </c>
      <c r="I1505" s="1">
        <v>-3.3369108000000005</v>
      </c>
      <c r="J1505" s="1">
        <v>5.4014049000000011</v>
      </c>
      <c r="N1505" s="1">
        <v>73.218081096213297</v>
      </c>
      <c r="O1505" s="1">
        <v>47.217288022284151</v>
      </c>
      <c r="P1505" s="1">
        <v>6212.4600801799997</v>
      </c>
    </row>
    <row r="1506" spans="7:16" x14ac:dyDescent="0.2">
      <c r="G1506" s="1">
        <v>44792</v>
      </c>
      <c r="H1506" s="1">
        <v>4.2231445000000001</v>
      </c>
      <c r="I1506" s="1">
        <v>-5.7822898</v>
      </c>
      <c r="J1506" s="1">
        <v>-1.5591453000000008</v>
      </c>
      <c r="N1506" s="1">
        <v>70.944066622595273</v>
      </c>
      <c r="O1506" s="1">
        <v>45.538811142061313</v>
      </c>
      <c r="P1506" s="1">
        <v>6222.7606930799993</v>
      </c>
    </row>
    <row r="1507" spans="7:16" x14ac:dyDescent="0.2">
      <c r="G1507" s="1">
        <v>44795</v>
      </c>
      <c r="H1507" s="1">
        <v>3.3511972999999999</v>
      </c>
      <c r="I1507" s="1">
        <v>-5.3653446000000002</v>
      </c>
      <c r="J1507" s="1">
        <v>-2.0141472999999999</v>
      </c>
      <c r="N1507" s="1">
        <v>67.714661064729398</v>
      </c>
      <c r="O1507" s="1">
        <v>43.418104178272991</v>
      </c>
      <c r="P1507" s="1">
        <v>6150.0048000800016</v>
      </c>
    </row>
    <row r="1508" spans="7:16" x14ac:dyDescent="0.2">
      <c r="G1508" s="1">
        <v>44796</v>
      </c>
      <c r="H1508" s="1">
        <v>4.7152497000000011</v>
      </c>
      <c r="I1508" s="1">
        <v>-4.6013254000000003</v>
      </c>
      <c r="J1508" s="1">
        <v>0.11392430000000076</v>
      </c>
      <c r="N1508" s="1">
        <v>67.450922108668948</v>
      </c>
      <c r="O1508" s="1">
        <v>43.449305292479117</v>
      </c>
      <c r="P1508" s="1">
        <v>6051.2339089800016</v>
      </c>
    </row>
    <row r="1509" spans="7:16" x14ac:dyDescent="0.2">
      <c r="G1509" s="1">
        <v>44797</v>
      </c>
      <c r="H1509" s="1">
        <v>3.8193763999999994</v>
      </c>
      <c r="I1509" s="1">
        <v>-5.3047145999999996</v>
      </c>
      <c r="J1509" s="1">
        <v>-1.4853382000000006</v>
      </c>
      <c r="N1509" s="1">
        <v>67.819810622114005</v>
      </c>
      <c r="O1509" s="1">
        <v>43.593899164345416</v>
      </c>
      <c r="P1509" s="1">
        <v>6047.1686376799989</v>
      </c>
    </row>
    <row r="1510" spans="7:16" x14ac:dyDescent="0.2">
      <c r="G1510" s="1">
        <v>44798</v>
      </c>
      <c r="H1510" s="1">
        <v>6.9371573</v>
      </c>
      <c r="I1510" s="1">
        <v>-3.3702328000000001</v>
      </c>
      <c r="J1510" s="1">
        <v>3.5669244999999994</v>
      </c>
      <c r="N1510" s="1">
        <v>70.017331413407021</v>
      </c>
      <c r="O1510" s="1">
        <v>45.110960724233969</v>
      </c>
      <c r="P1510" s="1">
        <v>6054.3891450799974</v>
      </c>
    </row>
    <row r="1511" spans="7:16" x14ac:dyDescent="0.2">
      <c r="G1511" s="1">
        <v>44799</v>
      </c>
      <c r="H1511" s="1">
        <v>2.31629</v>
      </c>
      <c r="I1511" s="1">
        <v>-5.2362321000000014</v>
      </c>
      <c r="J1511" s="1">
        <v>-2.9199420999999997</v>
      </c>
      <c r="N1511" s="1">
        <v>65.097293420773411</v>
      </c>
      <c r="O1511" s="1">
        <v>42.26456490250694</v>
      </c>
      <c r="P1511" s="1">
        <v>6128.8319722799988</v>
      </c>
    </row>
    <row r="1512" spans="7:16" x14ac:dyDescent="0.2">
      <c r="G1512" s="1">
        <v>44802</v>
      </c>
      <c r="H1512" s="1">
        <v>2.7367735999999998</v>
      </c>
      <c r="I1512" s="1">
        <v>-6.8412142000000005</v>
      </c>
      <c r="J1512" s="1">
        <v>-4.1044405999999993</v>
      </c>
      <c r="N1512" s="1">
        <v>63.871813505315963</v>
      </c>
      <c r="O1512" s="1">
        <v>41.311673259052938</v>
      </c>
      <c r="P1512" s="1">
        <v>5986.5550817299973</v>
      </c>
    </row>
    <row r="1513" spans="7:16" x14ac:dyDescent="0.2">
      <c r="G1513" s="1">
        <v>44803</v>
      </c>
      <c r="H1513" s="1">
        <v>5.3487228999999994</v>
      </c>
      <c r="I1513" s="1">
        <v>-7.1861955999999987</v>
      </c>
      <c r="J1513" s="1">
        <v>-1.8374727000000004</v>
      </c>
      <c r="N1513" s="1">
        <v>62.267990166602594</v>
      </c>
      <c r="O1513" s="1">
        <v>40.15565041782731</v>
      </c>
      <c r="P1513" s="1">
        <v>5952.4606865100013</v>
      </c>
    </row>
    <row r="1514" spans="7:16" x14ac:dyDescent="0.2">
      <c r="G1514" s="1">
        <v>44804</v>
      </c>
      <c r="H1514" s="1">
        <v>6.3872527999999997</v>
      </c>
      <c r="I1514" s="1">
        <v>-4.5646573999999998</v>
      </c>
      <c r="J1514" s="1">
        <v>1.8225953999999993</v>
      </c>
      <c r="N1514" s="1">
        <v>61.284401345886209</v>
      </c>
      <c r="O1514" s="1">
        <v>39.446470473537623</v>
      </c>
      <c r="P1514" s="1">
        <v>5888.8680635799992</v>
      </c>
    </row>
    <row r="1515" spans="7:16" x14ac:dyDescent="0.2">
      <c r="G1515" s="1">
        <v>44805</v>
      </c>
      <c r="H1515" s="1">
        <v>3.6043643999999997</v>
      </c>
      <c r="I1515" s="1">
        <v>-5.8720372000000012</v>
      </c>
      <c r="J1515" s="1">
        <v>-2.2676728000000006</v>
      </c>
      <c r="N1515" s="1">
        <v>60.741270783439624</v>
      </c>
      <c r="O1515" s="1">
        <v>38.329611142061289</v>
      </c>
      <c r="P1515" s="1">
        <v>5874.9920224699999</v>
      </c>
    </row>
    <row r="1516" spans="7:16" x14ac:dyDescent="0.2">
      <c r="G1516" s="1">
        <v>44806</v>
      </c>
      <c r="H1516" s="1">
        <v>3.3824517000000003</v>
      </c>
      <c r="I1516" s="1">
        <v>-6.6963455000000014</v>
      </c>
      <c r="J1516" s="1">
        <v>-3.3138938000000016</v>
      </c>
      <c r="N1516" s="1">
        <v>59.585737307328024</v>
      </c>
      <c r="O1516" s="1">
        <v>38.121761002785512</v>
      </c>
      <c r="P1516" s="1">
        <v>5824.0523474799984</v>
      </c>
    </row>
    <row r="1517" spans="7:16" x14ac:dyDescent="0.2">
      <c r="G1517" s="1">
        <v>44809</v>
      </c>
      <c r="H1517" s="1">
        <v>0.51081869999999996</v>
      </c>
      <c r="I1517" s="1">
        <v>-0.83887630000000002</v>
      </c>
      <c r="J1517" s="1">
        <v>-0.3280576</v>
      </c>
      <c r="N1517" s="1">
        <v>59.087395117333138</v>
      </c>
      <c r="O1517" s="1">
        <v>37.621630222841233</v>
      </c>
      <c r="P1517" s="1">
        <v>5793.0959377799991</v>
      </c>
    </row>
    <row r="1518" spans="7:16" x14ac:dyDescent="0.2">
      <c r="G1518" s="1">
        <v>44810</v>
      </c>
      <c r="H1518" s="1">
        <v>3.6540899000000007</v>
      </c>
      <c r="I1518" s="1">
        <v>-6.6828499999999993</v>
      </c>
      <c r="J1518" s="1">
        <v>-3.0287601</v>
      </c>
      <c r="N1518" s="1">
        <v>58.625877865594688</v>
      </c>
      <c r="O1518" s="1">
        <v>37.184680501392783</v>
      </c>
      <c r="P1518" s="1">
        <v>5771.3827637300001</v>
      </c>
    </row>
    <row r="1519" spans="7:16" x14ac:dyDescent="0.2">
      <c r="G1519" s="1">
        <v>44811</v>
      </c>
      <c r="H1519" s="1">
        <v>9.4203814000000001</v>
      </c>
      <c r="I1519" s="1">
        <v>-4.1862350000000008</v>
      </c>
      <c r="J1519" s="1">
        <v>5.2341464000000011</v>
      </c>
      <c r="N1519" s="1">
        <v>61.010761290619982</v>
      </c>
      <c r="O1519" s="1">
        <v>38.546496935933177</v>
      </c>
      <c r="P1519" s="1">
        <v>5751.0177087800002</v>
      </c>
    </row>
    <row r="1520" spans="7:16" x14ac:dyDescent="0.2">
      <c r="G1520" s="1">
        <v>44812</v>
      </c>
      <c r="H1520" s="1">
        <v>4.6365560999999991</v>
      </c>
      <c r="I1520" s="1">
        <v>-5.0536995000000005</v>
      </c>
      <c r="J1520" s="1">
        <v>-0.4171434</v>
      </c>
      <c r="N1520" s="1">
        <v>62.052789772836761</v>
      </c>
      <c r="O1520" s="1">
        <v>39.23786573816156</v>
      </c>
      <c r="P1520" s="1">
        <v>5822.824700680002</v>
      </c>
    </row>
    <row r="1521" spans="7:16" x14ac:dyDescent="0.2">
      <c r="G1521" s="1">
        <v>44813</v>
      </c>
      <c r="H1521" s="1">
        <v>6.5289061999999989</v>
      </c>
      <c r="I1521" s="1">
        <v>-3.2134537999999999</v>
      </c>
      <c r="J1521" s="1">
        <v>3.3154523999999999</v>
      </c>
      <c r="N1521" s="1">
        <v>64.636183141251394</v>
      </c>
      <c r="O1521" s="1">
        <v>41.357175626740954</v>
      </c>
      <c r="P1521" s="1">
        <v>5854.29685118</v>
      </c>
    </row>
    <row r="1522" spans="7:16" x14ac:dyDescent="0.2">
      <c r="G1522" s="1">
        <v>44816</v>
      </c>
      <c r="H1522" s="1">
        <v>6.4493462000000008</v>
      </c>
      <c r="I1522" s="1">
        <v>-2.4985340999999996</v>
      </c>
      <c r="J1522" s="1">
        <v>3.9508121000000003</v>
      </c>
      <c r="N1522" s="1">
        <v>66.39859440028907</v>
      </c>
      <c r="O1522" s="1">
        <v>42.787225069637884</v>
      </c>
      <c r="P1522" s="1">
        <v>5939.6763224300003</v>
      </c>
    </row>
    <row r="1523" spans="7:16" x14ac:dyDescent="0.2">
      <c r="G1523" s="1">
        <v>44817</v>
      </c>
      <c r="H1523" s="1">
        <v>9.6998916999999985</v>
      </c>
      <c r="I1523" s="1">
        <v>-10.900809199999999</v>
      </c>
      <c r="J1523" s="1">
        <v>-1.2009175000000003</v>
      </c>
      <c r="N1523" s="1">
        <v>60.00557106157558</v>
      </c>
      <c r="O1523" s="1">
        <v>38.757952924791091</v>
      </c>
      <c r="P1523" s="1">
        <v>6001.4145307800027</v>
      </c>
    </row>
    <row r="1524" spans="7:16" x14ac:dyDescent="0.2">
      <c r="G1524" s="1">
        <v>44818</v>
      </c>
      <c r="H1524" s="1">
        <v>13.532981299999999</v>
      </c>
      <c r="I1524" s="1">
        <v>-6.4668148000000016</v>
      </c>
      <c r="J1524" s="1">
        <v>7.0661664999999978</v>
      </c>
      <c r="N1524" s="1">
        <v>60.358069178242395</v>
      </c>
      <c r="O1524" s="1">
        <v>38.68283370473538</v>
      </c>
      <c r="P1524" s="1">
        <v>5812.347038580001</v>
      </c>
    </row>
    <row r="1525" spans="7:16" x14ac:dyDescent="0.2">
      <c r="G1525" s="1">
        <v>44819</v>
      </c>
      <c r="H1525" s="1">
        <v>14.461241000000001</v>
      </c>
      <c r="I1525" s="1">
        <v>-6.9209633000000004</v>
      </c>
      <c r="J1525" s="1">
        <v>7.5402776999999999</v>
      </c>
      <c r="N1525" s="1">
        <v>58.715514861557935</v>
      </c>
      <c r="O1525" s="1">
        <v>37.482057381615604</v>
      </c>
      <c r="P1525" s="1">
        <v>5825.9227353799979</v>
      </c>
    </row>
    <row r="1526" spans="7:16" x14ac:dyDescent="0.2">
      <c r="G1526" s="1">
        <v>44820</v>
      </c>
      <c r="H1526" s="1">
        <v>4.1848825000000005</v>
      </c>
      <c r="I1526" s="1">
        <v>-11.1754459</v>
      </c>
      <c r="J1526" s="1">
        <v>-6.9905633999999983</v>
      </c>
      <c r="N1526" s="1">
        <v>57.430417182804163</v>
      </c>
      <c r="O1526" s="1">
        <v>36.373023816156</v>
      </c>
      <c r="P1526" s="1">
        <v>5780.9090826800048</v>
      </c>
    </row>
    <row r="1527" spans="7:16" x14ac:dyDescent="0.2">
      <c r="G1527" s="1">
        <v>44823</v>
      </c>
      <c r="H1527" s="1">
        <v>10.591978000000001</v>
      </c>
      <c r="I1527" s="1">
        <v>-8.3969714000000018</v>
      </c>
      <c r="J1527" s="1">
        <v>2.1950065999999997</v>
      </c>
      <c r="N1527" s="1">
        <v>58.44428094083743</v>
      </c>
      <c r="O1527" s="1">
        <v>36.852196935933137</v>
      </c>
      <c r="P1527" s="1">
        <v>5732.0199240300008</v>
      </c>
    </row>
    <row r="1528" spans="7:16" x14ac:dyDescent="0.2">
      <c r="G1528" s="1">
        <v>44824</v>
      </c>
      <c r="H1528" s="1">
        <v>4.2455004000000001</v>
      </c>
      <c r="I1528" s="1">
        <v>-8.9782753</v>
      </c>
      <c r="J1528" s="1">
        <v>-4.7327749000000008</v>
      </c>
      <c r="N1528" s="1">
        <v>56.810601804202982</v>
      </c>
      <c r="O1528" s="1">
        <v>35.649397771587736</v>
      </c>
      <c r="P1528" s="1">
        <v>5763.9809039499996</v>
      </c>
    </row>
    <row r="1529" spans="7:16" x14ac:dyDescent="0.2">
      <c r="G1529" s="1">
        <v>44825</v>
      </c>
      <c r="H1529" s="1">
        <v>6.3351504000000007</v>
      </c>
      <c r="I1529" s="1">
        <v>-11.2140985</v>
      </c>
      <c r="J1529" s="1">
        <v>-4.8789480999999997</v>
      </c>
      <c r="N1529" s="1">
        <v>54.582421690668824</v>
      </c>
      <c r="O1529" s="1">
        <v>34.292329526462396</v>
      </c>
      <c r="P1529" s="1">
        <v>5696.8458495799969</v>
      </c>
    </row>
    <row r="1530" spans="7:16" x14ac:dyDescent="0.2">
      <c r="G1530" s="1">
        <v>44826</v>
      </c>
      <c r="H1530" s="1">
        <v>3.2089716000000004</v>
      </c>
      <c r="I1530" s="1">
        <v>-5.8923593000000007</v>
      </c>
      <c r="J1530" s="1">
        <v>-2.6833876999999999</v>
      </c>
      <c r="N1530" s="1">
        <v>53.075435342261841</v>
      </c>
      <c r="O1530" s="1">
        <v>32.944278272980483</v>
      </c>
      <c r="P1530" s="1">
        <v>5623.2652043800017</v>
      </c>
    </row>
    <row r="1531" spans="7:16" x14ac:dyDescent="0.2">
      <c r="G1531" s="1">
        <v>44827</v>
      </c>
      <c r="H1531" s="1">
        <v>5.6177515000000007</v>
      </c>
      <c r="I1531" s="1">
        <v>-8.2135932</v>
      </c>
      <c r="J1531" s="1">
        <v>-2.5958417000000007</v>
      </c>
      <c r="N1531" s="1">
        <v>50.323204693507343</v>
      </c>
      <c r="O1531" s="1">
        <v>30.280896796657384</v>
      </c>
      <c r="P1531" s="1">
        <v>5572.3276068800005</v>
      </c>
    </row>
    <row r="1532" spans="7:16" x14ac:dyDescent="0.2">
      <c r="G1532" s="1">
        <v>44830</v>
      </c>
      <c r="H1532" s="1">
        <v>10.923577900000002</v>
      </c>
      <c r="I1532" s="1">
        <v>-6.7947950000000006</v>
      </c>
      <c r="J1532" s="1">
        <v>4.1287829</v>
      </c>
      <c r="N1532" s="1">
        <v>48.667128120899775</v>
      </c>
      <c r="O1532" s="1">
        <v>28.5560278551532</v>
      </c>
      <c r="P1532" s="1">
        <v>5469.6923958300022</v>
      </c>
    </row>
    <row r="1533" spans="7:16" x14ac:dyDescent="0.2">
      <c r="G1533" s="1">
        <v>44831</v>
      </c>
      <c r="H1533" s="1">
        <v>7.8125046000000005</v>
      </c>
      <c r="I1533" s="1">
        <v>-8.577324599999999</v>
      </c>
      <c r="J1533" s="1">
        <v>-0.76482000000000006</v>
      </c>
      <c r="N1533" s="1">
        <v>48.38582241450122</v>
      </c>
      <c r="O1533" s="1">
        <v>28.21249526462395</v>
      </c>
      <c r="P1533" s="1">
        <v>5399.2864211799997</v>
      </c>
    </row>
    <row r="1534" spans="7:16" x14ac:dyDescent="0.2">
      <c r="G1534" s="1">
        <v>44832</v>
      </c>
      <c r="H1534" s="1">
        <v>15.526214299999999</v>
      </c>
      <c r="I1534" s="1">
        <v>-5.8542770000000006</v>
      </c>
      <c r="J1534" s="1">
        <v>9.6719372999999997</v>
      </c>
      <c r="N1534" s="1">
        <v>51.153158173427165</v>
      </c>
      <c r="O1534" s="1">
        <v>30.320566295264626</v>
      </c>
      <c r="P1534" s="1">
        <v>5385.3635533799979</v>
      </c>
    </row>
    <row r="1535" spans="7:16" x14ac:dyDescent="0.2">
      <c r="G1535" s="1">
        <v>44833</v>
      </c>
      <c r="H1535" s="1">
        <v>7.3144113000000015</v>
      </c>
      <c r="I1535" s="1">
        <v>-7.4443987999999992</v>
      </c>
      <c r="J1535" s="1">
        <v>-0.12998750000000114</v>
      </c>
      <c r="N1535" s="1">
        <v>48.501232391539723</v>
      </c>
      <c r="O1535" s="1">
        <v>28.724707242339832</v>
      </c>
      <c r="P1535" s="1">
        <v>5485.1463110800023</v>
      </c>
    </row>
    <row r="1536" spans="7:16" x14ac:dyDescent="0.2">
      <c r="G1536" s="1">
        <v>44834</v>
      </c>
      <c r="H1536" s="1">
        <v>9.5408018000000006</v>
      </c>
      <c r="I1536" s="1">
        <v>-7.3680257999999972</v>
      </c>
      <c r="J1536" s="1">
        <v>2.1727760000000007</v>
      </c>
      <c r="N1536" s="1">
        <v>46.854184426206039</v>
      </c>
      <c r="O1536" s="1">
        <v>28.105051253481886</v>
      </c>
      <c r="P1536" s="1">
        <v>5410.6349420799979</v>
      </c>
    </row>
    <row r="1537" spans="7:16" x14ac:dyDescent="0.2">
      <c r="G1537" s="1">
        <v>44837</v>
      </c>
      <c r="H1537" s="1">
        <v>6.4444716</v>
      </c>
      <c r="I1537" s="1">
        <v>-7.2511220000000005</v>
      </c>
      <c r="J1537" s="1">
        <v>-0.80665040000000088</v>
      </c>
      <c r="N1537" s="1">
        <v>50.115331352128194</v>
      </c>
      <c r="O1537" s="1">
        <v>30.358439461467039</v>
      </c>
      <c r="P1537" s="1">
        <v>5364.6080290800001</v>
      </c>
    </row>
    <row r="1538" spans="7:16" x14ac:dyDescent="0.2">
      <c r="G1538" s="1">
        <v>44838</v>
      </c>
      <c r="H1538" s="1">
        <v>7.0692699000000019</v>
      </c>
      <c r="I1538" s="1">
        <v>-5.1121288999999992</v>
      </c>
      <c r="J1538" s="1">
        <v>1.9571409999999998</v>
      </c>
      <c r="N1538" s="1">
        <v>54.633881543101012</v>
      </c>
      <c r="O1538" s="1">
        <v>34.038906499535742</v>
      </c>
      <c r="P1538" s="1">
        <v>5468.6596064800005</v>
      </c>
    </row>
    <row r="1539" spans="7:16" x14ac:dyDescent="0.2">
      <c r="G1539" s="1">
        <v>44839</v>
      </c>
      <c r="H1539" s="1">
        <v>5.8813279000000005</v>
      </c>
      <c r="I1539" s="1">
        <v>-4.2932261999999994</v>
      </c>
      <c r="J1539" s="1">
        <v>1.5881016999999999</v>
      </c>
      <c r="N1539" s="1">
        <v>54.13829262627165</v>
      </c>
      <c r="O1539" s="1">
        <v>33.258341504178276</v>
      </c>
      <c r="P1539" s="1">
        <v>5621.5015493800029</v>
      </c>
    </row>
    <row r="1540" spans="7:16" x14ac:dyDescent="0.2">
      <c r="G1540" s="1">
        <v>44840</v>
      </c>
      <c r="H1540" s="1">
        <v>5.8331677000000006</v>
      </c>
      <c r="I1540" s="1">
        <v>-3.8124393999999988</v>
      </c>
      <c r="J1540" s="1">
        <v>2.0207282999999991</v>
      </c>
      <c r="N1540" s="1">
        <v>52.877900532452593</v>
      </c>
      <c r="O1540" s="1">
        <v>32.345396564531107</v>
      </c>
      <c r="P1540" s="1">
        <v>5599.8227684800022</v>
      </c>
    </row>
    <row r="1541" spans="7:16" x14ac:dyDescent="0.2">
      <c r="G1541" s="1">
        <v>44841</v>
      </c>
      <c r="H1541" s="1">
        <v>4.1175643000000015</v>
      </c>
      <c r="I1541" s="1">
        <v>-6.2784966000000013</v>
      </c>
      <c r="J1541" s="1">
        <v>-2.1609323000000007</v>
      </c>
      <c r="N1541" s="1">
        <v>49.0947353402101</v>
      </c>
      <c r="O1541" s="1">
        <v>29.947803714020424</v>
      </c>
      <c r="P1541" s="1">
        <v>5560.8681323800001</v>
      </c>
    </row>
    <row r="1542" spans="7:16" x14ac:dyDescent="0.2">
      <c r="G1542" s="1">
        <v>44844</v>
      </c>
      <c r="H1542" s="1">
        <v>7.9530250000000011</v>
      </c>
      <c r="I1542" s="1">
        <v>-1.1676808000000001</v>
      </c>
      <c r="J1542" s="1">
        <v>6.7853442000000008</v>
      </c>
      <c r="N1542" s="1">
        <v>47.886953987738934</v>
      </c>
      <c r="O1542" s="1">
        <v>28.84362520891365</v>
      </c>
      <c r="P1542" s="1">
        <v>5446.2140665799989</v>
      </c>
    </row>
    <row r="1543" spans="7:16" x14ac:dyDescent="0.2">
      <c r="G1543" s="1">
        <v>44845</v>
      </c>
      <c r="H1543" s="1">
        <v>7.190977000000002</v>
      </c>
      <c r="I1543" s="1">
        <v>-5.3993989000000004</v>
      </c>
      <c r="J1543" s="1">
        <v>1.7915781000000006</v>
      </c>
      <c r="N1543" s="1">
        <v>47.001844655444948</v>
      </c>
      <c r="O1543" s="1">
        <v>28.333562395543169</v>
      </c>
      <c r="P1543" s="1">
        <v>5410.0185651799993</v>
      </c>
    </row>
    <row r="1544" spans="7:16" x14ac:dyDescent="0.2">
      <c r="G1544" s="1">
        <v>44846</v>
      </c>
      <c r="H1544" s="1">
        <v>7.0022550000000008</v>
      </c>
      <c r="I1544" s="1">
        <v>-6.2646420000000012</v>
      </c>
      <c r="J1544" s="1">
        <v>0.7376130000000003</v>
      </c>
      <c r="N1544" s="1">
        <v>46.5006824187845</v>
      </c>
      <c r="O1544" s="1">
        <v>27.846716434540387</v>
      </c>
      <c r="P1544" s="1">
        <v>5383.9910066800003</v>
      </c>
    </row>
    <row r="1545" spans="7:16" x14ac:dyDescent="0.2">
      <c r="G1545" s="1">
        <v>44847</v>
      </c>
      <c r="H1545" s="1">
        <v>9.5408396000000018</v>
      </c>
      <c r="I1545" s="1">
        <v>-3.7318462999999999</v>
      </c>
      <c r="J1545" s="1">
        <v>5.8089933</v>
      </c>
      <c r="N1545" s="1">
        <v>49.439156477108099</v>
      </c>
      <c r="O1545" s="1">
        <v>29.562253760445675</v>
      </c>
      <c r="P1545" s="1">
        <v>5367.2666599799986</v>
      </c>
    </row>
    <row r="1546" spans="7:16" x14ac:dyDescent="0.2">
      <c r="G1546" s="1">
        <v>44848</v>
      </c>
      <c r="H1546" s="1">
        <v>5.4864129000000021</v>
      </c>
      <c r="I1546" s="1">
        <v>-5.5427910000000002</v>
      </c>
      <c r="J1546" s="1">
        <v>-5.6378100000000153E-2</v>
      </c>
      <c r="N1546" s="1">
        <v>46.61208027650823</v>
      </c>
      <c r="O1546" s="1">
        <v>27.896168523676884</v>
      </c>
      <c r="P1546" s="1">
        <v>5455.5316075799992</v>
      </c>
    </row>
    <row r="1547" spans="7:16" x14ac:dyDescent="0.2">
      <c r="G1547" s="1">
        <v>44851</v>
      </c>
      <c r="H1547" s="1">
        <v>7.2699689999999997</v>
      </c>
      <c r="I1547" s="1">
        <v>-3.1983554000000005</v>
      </c>
      <c r="J1547" s="1">
        <v>4.0716136000000001</v>
      </c>
      <c r="N1547" s="1">
        <v>49.887947111687247</v>
      </c>
      <c r="O1547" s="1">
        <v>30.262744011142065</v>
      </c>
      <c r="P1547" s="1">
        <v>5373.3198784799988</v>
      </c>
    </row>
    <row r="1548" spans="7:16" x14ac:dyDescent="0.2">
      <c r="G1548" s="1">
        <v>44852</v>
      </c>
      <c r="H1548" s="1">
        <v>5.7678355999999997</v>
      </c>
      <c r="I1548" s="1">
        <v>-3.6791158000000013</v>
      </c>
      <c r="J1548" s="1">
        <v>2.0887198000000002</v>
      </c>
      <c r="N1548" s="1">
        <v>51.382852606188813</v>
      </c>
      <c r="O1548" s="1">
        <v>31.222246518105841</v>
      </c>
      <c r="P1548" s="1">
        <v>5476.4957656800016</v>
      </c>
    </row>
    <row r="1549" spans="7:16" x14ac:dyDescent="0.2">
      <c r="G1549" s="1">
        <v>44853</v>
      </c>
      <c r="H1549" s="1">
        <v>5.4513774000000002</v>
      </c>
      <c r="I1549" s="1">
        <v>-3.9067976</v>
      </c>
      <c r="J1549" s="1">
        <v>1.5445797999999997</v>
      </c>
      <c r="N1549" s="1">
        <v>50.154649110062479</v>
      </c>
      <c r="O1549" s="1">
        <v>29.974533147632318</v>
      </c>
      <c r="P1549" s="1">
        <v>5525.4812487799973</v>
      </c>
    </row>
    <row r="1550" spans="7:16" x14ac:dyDescent="0.2">
      <c r="G1550" s="1">
        <v>44854</v>
      </c>
      <c r="H1550" s="1">
        <v>11.055426000000001</v>
      </c>
      <c r="I1550" s="1">
        <v>-8.7563481999999997</v>
      </c>
      <c r="J1550" s="1">
        <v>2.2990778000000005</v>
      </c>
      <c r="N1550" s="1">
        <v>49.226490514843491</v>
      </c>
      <c r="O1550" s="1">
        <v>29.545792757660163</v>
      </c>
      <c r="P1550" s="1">
        <v>5479.1110817799999</v>
      </c>
    </row>
    <row r="1551" spans="7:16" x14ac:dyDescent="0.2">
      <c r="G1551" s="1">
        <v>44855</v>
      </c>
      <c r="H1551" s="1">
        <v>9.8737713000000014</v>
      </c>
      <c r="I1551" s="1">
        <v>-4.4062414000000008</v>
      </c>
      <c r="J1551" s="1">
        <v>5.4675298999999997</v>
      </c>
      <c r="N1551" s="1">
        <v>52.149925996631225</v>
      </c>
      <c r="O1551" s="1">
        <v>31.164465181058507</v>
      </c>
      <c r="P1551" s="1">
        <v>5450.3234443799984</v>
      </c>
    </row>
    <row r="1552" spans="7:16" x14ac:dyDescent="0.2">
      <c r="G1552" s="1">
        <v>44858</v>
      </c>
      <c r="H1552" s="1">
        <v>10.956803400000002</v>
      </c>
      <c r="I1552" s="1">
        <v>-2.3427172999999999</v>
      </c>
      <c r="J1552" s="1">
        <v>8.6140860999999997</v>
      </c>
      <c r="N1552" s="1">
        <v>53.42253104706819</v>
      </c>
      <c r="O1552" s="1">
        <v>31.514466016713079</v>
      </c>
      <c r="P1552" s="1">
        <v>5542.305095079998</v>
      </c>
    </row>
    <row r="1553" spans="7:16" x14ac:dyDescent="0.2">
      <c r="G1553" s="1">
        <v>44859</v>
      </c>
      <c r="H1553" s="1">
        <v>9.1181860000000015</v>
      </c>
      <c r="I1553" s="1">
        <v>-5.1630957000000004</v>
      </c>
      <c r="J1553" s="1">
        <v>3.9550903000000011</v>
      </c>
      <c r="N1553" s="1">
        <v>55.958810072843484</v>
      </c>
      <c r="O1553" s="1">
        <v>33.525564902506972</v>
      </c>
      <c r="P1553" s="1">
        <v>5575.498214279999</v>
      </c>
    </row>
    <row r="1554" spans="7:16" x14ac:dyDescent="0.2">
      <c r="G1554" s="1">
        <v>44860</v>
      </c>
      <c r="H1554" s="1">
        <v>15.521667599999999</v>
      </c>
      <c r="I1554" s="1">
        <v>-2.2963646999999998</v>
      </c>
      <c r="J1554" s="1">
        <v>13.225302899999999</v>
      </c>
      <c r="N1554" s="1">
        <v>55.596628433354638</v>
      </c>
      <c r="O1554" s="1">
        <v>34.244971309192202</v>
      </c>
      <c r="P1554" s="1">
        <v>5665.5018889800003</v>
      </c>
    </row>
    <row r="1555" spans="7:16" x14ac:dyDescent="0.2">
      <c r="G1555" s="1">
        <v>44861</v>
      </c>
      <c r="H1555" s="1">
        <v>12.668875099999999</v>
      </c>
      <c r="I1555" s="1">
        <v>-4.8934404999999996</v>
      </c>
      <c r="J1555" s="1">
        <v>7.7754345999999979</v>
      </c>
      <c r="N1555" s="1">
        <v>54.891234873941855</v>
      </c>
      <c r="O1555" s="1">
        <v>33.85033593314764</v>
      </c>
      <c r="P1555" s="1">
        <v>5688.775072729999</v>
      </c>
    </row>
    <row r="1556" spans="7:16" x14ac:dyDescent="0.2">
      <c r="G1556" s="1">
        <v>44862</v>
      </c>
      <c r="H1556" s="1">
        <v>6.3753595000000001</v>
      </c>
      <c r="I1556" s="1">
        <v>-8.7472326999999979</v>
      </c>
      <c r="J1556" s="1">
        <v>-2.3718731999999982</v>
      </c>
      <c r="N1556" s="1">
        <v>57.649580332898303</v>
      </c>
      <c r="O1556" s="1">
        <v>34.936105292479112</v>
      </c>
      <c r="P1556" s="1">
        <v>5679.3058346799999</v>
      </c>
    </row>
    <row r="1557" spans="7:16" x14ac:dyDescent="0.2">
      <c r="G1557" s="1">
        <v>44865</v>
      </c>
      <c r="H1557" s="1">
        <v>9.6906629999999989</v>
      </c>
      <c r="I1557" s="1">
        <v>-7.4278047999999997</v>
      </c>
      <c r="J1557" s="1">
        <v>2.2628582000000006</v>
      </c>
      <c r="N1557" s="1">
        <v>56.815994939661856</v>
      </c>
      <c r="O1557" s="1">
        <v>34.388269080779949</v>
      </c>
      <c r="P1557" s="1">
        <v>5742.2480381799978</v>
      </c>
    </row>
    <row r="1558" spans="7:16" x14ac:dyDescent="0.2">
      <c r="G1558" s="1">
        <v>44866</v>
      </c>
      <c r="H1558" s="1">
        <v>6.8042550999999998</v>
      </c>
      <c r="I1558" s="1">
        <v>-8.6355036000000034</v>
      </c>
      <c r="J1558" s="1">
        <v>-1.8312485000000009</v>
      </c>
      <c r="N1558" s="1">
        <v>56.722374319388557</v>
      </c>
      <c r="O1558" s="1">
        <v>34.983501949860717</v>
      </c>
      <c r="P1558" s="1">
        <v>5720.3205285800041</v>
      </c>
    </row>
    <row r="1559" spans="7:16" x14ac:dyDescent="0.2">
      <c r="G1559" s="1">
        <v>44867</v>
      </c>
      <c r="H1559" s="1">
        <v>6.3254096000000004</v>
      </c>
      <c r="I1559" s="1">
        <v>-9.1261158000000027</v>
      </c>
      <c r="J1559" s="1">
        <v>-2.8007061999999991</v>
      </c>
      <c r="N1559" s="1">
        <v>53.366604053822265</v>
      </c>
      <c r="O1559" s="1">
        <v>33.13383885793872</v>
      </c>
      <c r="P1559" s="1">
        <v>5727.5039945800008</v>
      </c>
    </row>
    <row r="1560" spans="7:16" x14ac:dyDescent="0.2">
      <c r="G1560" s="1">
        <v>44868</v>
      </c>
      <c r="H1560" s="1">
        <v>5.1023745999999992</v>
      </c>
      <c r="I1560" s="1">
        <v>-7.9279437999999987</v>
      </c>
      <c r="J1560" s="1">
        <v>-2.8255692000000003</v>
      </c>
      <c r="N1560" s="1">
        <v>51.891986467521868</v>
      </c>
      <c r="O1560" s="1">
        <v>32.01527075208913</v>
      </c>
      <c r="P1560" s="1">
        <v>5630.7790495300005</v>
      </c>
    </row>
    <row r="1561" spans="7:16" x14ac:dyDescent="0.2">
      <c r="G1561" s="1">
        <v>44869</v>
      </c>
      <c r="H1561" s="1">
        <v>4.5914059999999992</v>
      </c>
      <c r="I1561" s="1">
        <v>-6.4075110000000004</v>
      </c>
      <c r="J1561" s="1">
        <v>-1.8161050000000001</v>
      </c>
      <c r="N1561" s="1">
        <v>54.078157421163588</v>
      </c>
      <c r="O1561" s="1">
        <v>34.367801114206138</v>
      </c>
      <c r="P1561" s="1">
        <v>5585.0772075300001</v>
      </c>
    </row>
    <row r="1562" spans="7:16" x14ac:dyDescent="0.2">
      <c r="G1562" s="1">
        <v>44872</v>
      </c>
      <c r="H1562" s="1">
        <v>7.1189150000000003</v>
      </c>
      <c r="I1562" s="1">
        <v>-3.4018449999999993</v>
      </c>
      <c r="J1562" s="1">
        <v>3.7170700000000005</v>
      </c>
      <c r="N1562" s="1">
        <v>55.370567680413934</v>
      </c>
      <c r="O1562" s="1">
        <v>35.246285793871877</v>
      </c>
      <c r="P1562" s="1">
        <v>5664.8602305800005</v>
      </c>
    </row>
    <row r="1563" spans="7:16" x14ac:dyDescent="0.2">
      <c r="G1563" s="1">
        <v>44873</v>
      </c>
      <c r="H1563" s="1">
        <v>7.1261029000000002</v>
      </c>
      <c r="I1563" s="1">
        <v>-4.5566387999999991</v>
      </c>
      <c r="J1563" s="1">
        <v>2.5694641000000003</v>
      </c>
      <c r="N1563" s="1">
        <v>56.507633864370966</v>
      </c>
      <c r="O1563" s="1">
        <v>36.321765181058495</v>
      </c>
      <c r="P1563" s="1">
        <v>5706.3605978800024</v>
      </c>
    </row>
    <row r="1564" spans="7:16" x14ac:dyDescent="0.2">
      <c r="G1564" s="1">
        <v>44874</v>
      </c>
      <c r="H1564" s="1">
        <v>4.8654606999999999</v>
      </c>
      <c r="I1564" s="1">
        <v>-5.7897342000000007</v>
      </c>
      <c r="J1564" s="1">
        <v>-0.92427349999999897</v>
      </c>
      <c r="N1564" s="1">
        <v>53.640686461099442</v>
      </c>
      <c r="O1564" s="1">
        <v>34.386585236768788</v>
      </c>
      <c r="P1564" s="1">
        <v>5750.9968490799984</v>
      </c>
    </row>
    <row r="1565" spans="7:16" x14ac:dyDescent="0.2">
      <c r="G1565" s="1">
        <v>44875</v>
      </c>
      <c r="H1565" s="1">
        <v>18.58182489999999</v>
      </c>
      <c r="I1565" s="1">
        <v>-4.3267552999999994</v>
      </c>
      <c r="J1565" s="1">
        <v>14.255069599999993</v>
      </c>
      <c r="N1565" s="1">
        <v>61.403549237790202</v>
      </c>
      <c r="O1565" s="1">
        <v>39.639327855153205</v>
      </c>
      <c r="P1565" s="1">
        <v>5661.5639318800013</v>
      </c>
    </row>
    <row r="1566" spans="7:16" x14ac:dyDescent="0.2">
      <c r="G1566" s="1">
        <v>44876</v>
      </c>
      <c r="H1566" s="1">
        <v>9.5223298999999972</v>
      </c>
      <c r="I1566" s="1">
        <v>-2.7619445999999996</v>
      </c>
      <c r="J1566" s="1">
        <v>6.7603852999999976</v>
      </c>
      <c r="N1566" s="1">
        <v>63.355635032853044</v>
      </c>
      <c r="O1566" s="1">
        <v>41.634281615598908</v>
      </c>
      <c r="P1566" s="1">
        <v>5921.6134293799996</v>
      </c>
    </row>
    <row r="1567" spans="7:16" x14ac:dyDescent="0.2">
      <c r="G1567" s="1">
        <v>44879</v>
      </c>
      <c r="H1567" s="1">
        <v>11.798662100000001</v>
      </c>
      <c r="I1567" s="1">
        <v>-4.1439985000000013</v>
      </c>
      <c r="J1567" s="1">
        <v>7.6546636000000019</v>
      </c>
      <c r="N1567" s="1">
        <v>62.107941560200949</v>
      </c>
      <c r="O1567" s="1">
        <v>40.797167409470767</v>
      </c>
      <c r="P1567" s="1">
        <v>6001.7655730799979</v>
      </c>
    </row>
    <row r="1568" spans="7:16" x14ac:dyDescent="0.2">
      <c r="G1568" s="1">
        <v>44880</v>
      </c>
      <c r="H1568" s="1">
        <v>7.2980775000000007</v>
      </c>
      <c r="I1568" s="1">
        <v>-7.1956860000000002</v>
      </c>
      <c r="J1568" s="1">
        <v>0.10239150000000072</v>
      </c>
      <c r="N1568" s="1">
        <v>63.620389505672726</v>
      </c>
      <c r="O1568" s="1">
        <v>42.072259610027864</v>
      </c>
      <c r="P1568" s="1">
        <v>5965.4358535800002</v>
      </c>
    </row>
    <row r="1569" spans="7:16" x14ac:dyDescent="0.2">
      <c r="G1569" s="1">
        <v>44881</v>
      </c>
      <c r="H1569" s="1">
        <v>9.0093654999999995</v>
      </c>
      <c r="I1569" s="1">
        <v>-9.0144452000000026</v>
      </c>
      <c r="J1569" s="1">
        <v>-5.0796999999999405E-3</v>
      </c>
      <c r="N1569" s="1">
        <v>62.241638851685686</v>
      </c>
      <c r="O1569" s="1">
        <v>41.07589415041781</v>
      </c>
      <c r="P1569" s="1">
        <v>6019.6239816799989</v>
      </c>
    </row>
    <row r="1570" spans="7:16" x14ac:dyDescent="0.2">
      <c r="G1570" s="1">
        <v>44882</v>
      </c>
      <c r="H1570" s="1">
        <v>6.2578853000000016</v>
      </c>
      <c r="I1570" s="1">
        <v>-4.0911100999999999</v>
      </c>
      <c r="J1570" s="1">
        <v>2.1667752</v>
      </c>
      <c r="N1570" s="1">
        <v>61.610731127338703</v>
      </c>
      <c r="O1570" s="1">
        <v>40.373018105849582</v>
      </c>
      <c r="P1570" s="1">
        <v>5980.8830034800003</v>
      </c>
    </row>
    <row r="1571" spans="7:16" x14ac:dyDescent="0.2">
      <c r="G1571" s="1">
        <v>44883</v>
      </c>
      <c r="H1571" s="1">
        <v>8.7913540000000001</v>
      </c>
      <c r="I1571" s="1">
        <v>-3.4210934000000006</v>
      </c>
      <c r="J1571" s="1">
        <v>5.3702605999999999</v>
      </c>
      <c r="N1571" s="1">
        <v>62.236883404490982</v>
      </c>
      <c r="O1571" s="1">
        <v>40.803394707520901</v>
      </c>
      <c r="P1571" s="1">
        <v>5959.0903515800001</v>
      </c>
    </row>
    <row r="1572" spans="7:16" x14ac:dyDescent="0.2">
      <c r="G1572" s="1">
        <v>44886</v>
      </c>
      <c r="H1572" s="1">
        <v>6.7667875999999998</v>
      </c>
      <c r="I1572" s="1">
        <v>-4.3766027999999988</v>
      </c>
      <c r="J1572" s="1">
        <v>2.3901848000000001</v>
      </c>
      <c r="N1572" s="1">
        <v>61.492795294551051</v>
      </c>
      <c r="O1572" s="1">
        <v>40.12396183844011</v>
      </c>
      <c r="P1572" s="1">
        <v>5978.5955250800025</v>
      </c>
    </row>
    <row r="1573" spans="7:16" x14ac:dyDescent="0.2">
      <c r="G1573" s="1">
        <v>44887</v>
      </c>
      <c r="H1573" s="1">
        <v>6.2916583999999984</v>
      </c>
      <c r="I1573" s="1">
        <v>-6.7131751000000008</v>
      </c>
      <c r="J1573" s="1">
        <v>-0.42151670000000002</v>
      </c>
      <c r="N1573" s="1">
        <v>63.5270704937586</v>
      </c>
      <c r="O1573" s="1">
        <v>41.607065459610034</v>
      </c>
      <c r="P1573" s="1">
        <v>5957.1368776299996</v>
      </c>
    </row>
    <row r="1574" spans="7:16" x14ac:dyDescent="0.2">
      <c r="G1574" s="1">
        <v>44888</v>
      </c>
      <c r="H1574" s="1">
        <v>6.1644248000000008</v>
      </c>
      <c r="I1574" s="1">
        <v>-10.066901600000001</v>
      </c>
      <c r="J1574" s="1">
        <v>-3.9024767999999992</v>
      </c>
      <c r="N1574" s="1">
        <v>64.540285573444706</v>
      </c>
      <c r="O1574" s="1">
        <v>42.404535933147635</v>
      </c>
      <c r="P1574" s="1">
        <v>6024.1036051799974</v>
      </c>
    </row>
    <row r="1575" spans="7:16" x14ac:dyDescent="0.2">
      <c r="G1575" s="1">
        <v>44889</v>
      </c>
      <c r="H1575" s="1">
        <v>1.8316536000000001</v>
      </c>
      <c r="I1575" s="1">
        <v>-0.70885509999999996</v>
      </c>
      <c r="J1575" s="1">
        <v>1.1227984999999998</v>
      </c>
      <c r="N1575" s="1">
        <v>64.73328794458223</v>
      </c>
      <c r="O1575" s="1">
        <v>42.867808774373245</v>
      </c>
      <c r="P1575" s="1">
        <v>6058.6720800299991</v>
      </c>
    </row>
    <row r="1576" spans="7:16" x14ac:dyDescent="0.2">
      <c r="G1576" s="1">
        <v>44890</v>
      </c>
      <c r="H1576" s="1">
        <v>5.6025902999999975</v>
      </c>
      <c r="I1576" s="1">
        <v>-1.5706418999999998</v>
      </c>
      <c r="J1576" s="1">
        <v>4.0319483999999992</v>
      </c>
      <c r="N1576" s="1">
        <v>64.704210628950207</v>
      </c>
      <c r="O1576" s="1">
        <v>42.811383844011132</v>
      </c>
      <c r="P1576" s="1">
        <v>6072.3407985800022</v>
      </c>
    </row>
    <row r="1577" spans="7:16" x14ac:dyDescent="0.2">
      <c r="G1577" s="1">
        <v>44893</v>
      </c>
      <c r="H1577" s="1">
        <v>3.4790141000000001</v>
      </c>
      <c r="I1577" s="1">
        <v>-8.7887362999999983</v>
      </c>
      <c r="J1577" s="1">
        <v>-5.3097222000000004</v>
      </c>
      <c r="N1577" s="1">
        <v>62.352758525854391</v>
      </c>
      <c r="O1577" s="1">
        <v>41.123278272980507</v>
      </c>
      <c r="P1577" s="1">
        <v>6072.4515122799976</v>
      </c>
    </row>
    <row r="1578" spans="7:16" x14ac:dyDescent="0.2">
      <c r="G1578" s="1">
        <v>44894</v>
      </c>
      <c r="H1578" s="1">
        <v>4.4931326</v>
      </c>
      <c r="I1578" s="1">
        <v>-8.2999539999999996</v>
      </c>
      <c r="J1578" s="1">
        <v>-3.8068214</v>
      </c>
      <c r="N1578" s="1">
        <v>62.214798955092952</v>
      </c>
      <c r="O1578" s="1">
        <v>41.425074651810604</v>
      </c>
      <c r="P1578" s="1">
        <v>5994.7166642799984</v>
      </c>
    </row>
    <row r="1579" spans="7:16" x14ac:dyDescent="0.2">
      <c r="G1579" s="1">
        <v>44895</v>
      </c>
      <c r="H1579" s="1">
        <v>5.3635106000000006</v>
      </c>
      <c r="I1579" s="1">
        <v>-15.250639899999999</v>
      </c>
      <c r="J1579" s="1">
        <v>-9.8871292999999962</v>
      </c>
      <c r="N1579" s="1">
        <v>66.269037007689676</v>
      </c>
      <c r="O1579" s="1">
        <v>43.761546796657377</v>
      </c>
      <c r="P1579" s="1">
        <v>5995.3142617799995</v>
      </c>
    </row>
    <row r="1580" spans="7:16" x14ac:dyDescent="0.2">
      <c r="G1580" s="1">
        <v>44896</v>
      </c>
      <c r="H1580" s="1">
        <v>10.7087827</v>
      </c>
      <c r="I1580" s="1">
        <v>-6.6001096000000015</v>
      </c>
      <c r="J1580" s="1">
        <v>4.1086731000000007</v>
      </c>
      <c r="N1580" s="1">
        <v>66.950720732196785</v>
      </c>
      <c r="O1580" s="1">
        <v>44.942018384401109</v>
      </c>
      <c r="P1580" s="1">
        <v>6105.6205150800015</v>
      </c>
    </row>
    <row r="1581" spans="7:16" x14ac:dyDescent="0.2">
      <c r="G1581" s="1">
        <v>44897</v>
      </c>
      <c r="H1581" s="1">
        <v>7.1778823999999997</v>
      </c>
      <c r="I1581" s="1">
        <v>-5.9203804</v>
      </c>
      <c r="J1581" s="1">
        <v>1.2575019999999997</v>
      </c>
      <c r="N1581" s="1">
        <v>66.726813582272811</v>
      </c>
      <c r="O1581" s="1">
        <v>44.786064066852354</v>
      </c>
      <c r="P1581" s="1">
        <v>6144.9144855800005</v>
      </c>
    </row>
    <row r="1582" spans="7:16" x14ac:dyDescent="0.2">
      <c r="G1582" s="1">
        <v>44900</v>
      </c>
      <c r="H1582" s="1">
        <v>3.5703975999999997</v>
      </c>
      <c r="I1582" s="1">
        <v>-5.7571049000000016</v>
      </c>
      <c r="J1582" s="1">
        <v>-2.1867073000000001</v>
      </c>
      <c r="N1582" s="1">
        <v>63.88356253172752</v>
      </c>
      <c r="O1582" s="1">
        <v>42.919660724233978</v>
      </c>
      <c r="P1582" s="1">
        <v>6134.7077760800003</v>
      </c>
    </row>
    <row r="1583" spans="7:16" x14ac:dyDescent="0.2">
      <c r="G1583" s="1">
        <v>44901</v>
      </c>
      <c r="H1583" s="1">
        <v>3.5462812000000001</v>
      </c>
      <c r="I1583" s="1">
        <v>-7.9133856000000007</v>
      </c>
      <c r="J1583" s="1">
        <v>-4.3671044000000006</v>
      </c>
      <c r="N1583" s="1">
        <v>61.954740411444504</v>
      </c>
      <c r="O1583" s="1">
        <v>41.749198328690788</v>
      </c>
      <c r="P1583" s="1">
        <v>6045.1628911799999</v>
      </c>
    </row>
    <row r="1584" spans="7:16" x14ac:dyDescent="0.2">
      <c r="G1584" s="1">
        <v>44902</v>
      </c>
      <c r="H1584" s="1">
        <v>5.2992898000000004</v>
      </c>
      <c r="I1584" s="1">
        <v>-4.6012877000000003</v>
      </c>
      <c r="J1584" s="1">
        <v>0.69800209999999929</v>
      </c>
      <c r="N1584" s="1">
        <v>61.799706013634008</v>
      </c>
      <c r="O1584" s="1">
        <v>41.699918662952683</v>
      </c>
      <c r="P1584" s="1">
        <v>5987.5365509800004</v>
      </c>
    </row>
    <row r="1585" spans="7:16" x14ac:dyDescent="0.2">
      <c r="G1585" s="1">
        <v>44903</v>
      </c>
      <c r="H1585" s="1">
        <v>7.4696654000000002</v>
      </c>
      <c r="I1585" s="1">
        <v>-3.4063598999999996</v>
      </c>
      <c r="J1585" s="1">
        <v>4.0633055000000002</v>
      </c>
      <c r="N1585" s="1">
        <v>62.936183958988209</v>
      </c>
      <c r="O1585" s="1">
        <v>42.357750139275765</v>
      </c>
      <c r="P1585" s="1">
        <v>5985.2208841799993</v>
      </c>
    </row>
    <row r="1586" spans="7:16" x14ac:dyDescent="0.2">
      <c r="G1586" s="1">
        <v>44904</v>
      </c>
      <c r="H1586" s="1">
        <v>7.9376198999999996</v>
      </c>
      <c r="I1586" s="1">
        <v>-3.0874812000000005</v>
      </c>
      <c r="J1586" s="1">
        <v>4.8501387000000005</v>
      </c>
      <c r="N1586" s="1">
        <v>62.067251336006535</v>
      </c>
      <c r="O1586" s="1">
        <v>41.987281615598882</v>
      </c>
      <c r="P1586" s="1">
        <v>6018.975308979997</v>
      </c>
    </row>
    <row r="1587" spans="7:16" x14ac:dyDescent="0.2">
      <c r="G1587" s="1">
        <v>44907</v>
      </c>
      <c r="H1587" s="1">
        <v>8.4736709000000001</v>
      </c>
      <c r="I1587" s="1">
        <v>-3.7197602999999999</v>
      </c>
      <c r="J1587" s="1">
        <v>4.7539106000000002</v>
      </c>
      <c r="N1587" s="1">
        <v>63.65762083637852</v>
      </c>
      <c r="O1587" s="1">
        <v>42.563548746518109</v>
      </c>
      <c r="P1587" s="1">
        <v>5997.2814425799997</v>
      </c>
    </row>
    <row r="1588" spans="7:16" x14ac:dyDescent="0.2">
      <c r="G1588" s="1">
        <v>44908</v>
      </c>
      <c r="H1588" s="1">
        <v>18.515956999999997</v>
      </c>
      <c r="I1588" s="1">
        <v>-2.4618460999999998</v>
      </c>
      <c r="J1588" s="1">
        <v>16.054110899999998</v>
      </c>
      <c r="N1588" s="1">
        <v>65.208346434779941</v>
      </c>
      <c r="O1588" s="1">
        <v>44.075422562674085</v>
      </c>
      <c r="P1588" s="1">
        <v>6043.0666714799981</v>
      </c>
    </row>
    <row r="1589" spans="7:16" x14ac:dyDescent="0.2">
      <c r="G1589" s="1">
        <v>44909</v>
      </c>
      <c r="H1589" s="1">
        <v>19.000468800000004</v>
      </c>
      <c r="I1589" s="1">
        <v>-10.159109399999998</v>
      </c>
      <c r="J1589" s="1">
        <v>8.8413594000000018</v>
      </c>
      <c r="N1589" s="1">
        <v>64.491499956155934</v>
      </c>
      <c r="O1589" s="1">
        <v>43.804138997214466</v>
      </c>
      <c r="P1589" s="1">
        <v>6107.0255648799994</v>
      </c>
    </row>
    <row r="1590" spans="7:16" x14ac:dyDescent="0.2">
      <c r="G1590" s="1">
        <v>44910</v>
      </c>
      <c r="H1590" s="1">
        <v>7.2781105999999998</v>
      </c>
      <c r="I1590" s="1">
        <v>-14.7463546</v>
      </c>
      <c r="J1590" s="1">
        <v>-7.4682439999999977</v>
      </c>
      <c r="N1590" s="1">
        <v>60.504792922813941</v>
      </c>
      <c r="O1590" s="1">
        <v>40.810582172701949</v>
      </c>
      <c r="P1590" s="1">
        <v>6100.4871064799991</v>
      </c>
    </row>
    <row r="1591" spans="7:16" x14ac:dyDescent="0.2">
      <c r="G1591" s="1">
        <v>44911</v>
      </c>
      <c r="H1591" s="1">
        <v>7.2269510000000015</v>
      </c>
      <c r="I1591" s="1">
        <v>-14.897582599999998</v>
      </c>
      <c r="J1591" s="1">
        <v>-7.6706315999999974</v>
      </c>
      <c r="N1591" s="1">
        <v>59.001191991650479</v>
      </c>
      <c r="O1591" s="1">
        <v>39.86010334261838</v>
      </c>
      <c r="P1591" s="1">
        <v>5964.8457905799987</v>
      </c>
    </row>
    <row r="1592" spans="7:16" x14ac:dyDescent="0.2">
      <c r="G1592" s="1">
        <v>44914</v>
      </c>
      <c r="H1592" s="1">
        <v>5.6783143000000003</v>
      </c>
      <c r="I1592" s="1">
        <v>-8.6330654999999989</v>
      </c>
      <c r="J1592" s="1">
        <v>-2.9547512000000005</v>
      </c>
      <c r="N1592" s="1">
        <v>57.750241757424583</v>
      </c>
      <c r="O1592" s="1">
        <v>39.125064623955446</v>
      </c>
      <c r="P1592" s="1">
        <v>5913.6242472800013</v>
      </c>
    </row>
    <row r="1593" spans="7:16" x14ac:dyDescent="0.2">
      <c r="G1593" s="1">
        <v>44915</v>
      </c>
      <c r="H1593" s="1">
        <v>6.4372280999999987</v>
      </c>
      <c r="I1593" s="1">
        <v>-10.056404299999997</v>
      </c>
      <c r="J1593" s="1">
        <v>-3.6191761999999996</v>
      </c>
      <c r="N1593" s="1">
        <v>58.112739504984532</v>
      </c>
      <c r="O1593" s="1">
        <v>39.22616852367689</v>
      </c>
      <c r="P1593" s="1">
        <v>5859.3040325799993</v>
      </c>
    </row>
    <row r="1594" spans="7:16" x14ac:dyDescent="0.2">
      <c r="G1594" s="1">
        <v>44916</v>
      </c>
      <c r="H1594" s="1">
        <v>9.3715793999999999</v>
      </c>
      <c r="I1594" s="1">
        <v>-6.9811641999999994</v>
      </c>
      <c r="J1594" s="1">
        <v>2.3904152000000001</v>
      </c>
      <c r="N1594" s="1">
        <v>60.07764546482489</v>
      </c>
      <c r="O1594" s="1">
        <v>40.590336211699167</v>
      </c>
      <c r="P1594" s="1">
        <v>5868.51627138</v>
      </c>
    </row>
    <row r="1595" spans="7:16" x14ac:dyDescent="0.2">
      <c r="G1595" s="1">
        <v>44917</v>
      </c>
      <c r="H1595" s="1">
        <v>5.1838094000000003</v>
      </c>
      <c r="I1595" s="1">
        <v>-4.9485386999999994</v>
      </c>
      <c r="J1595" s="1">
        <v>0.23527070000000039</v>
      </c>
      <c r="N1595" s="1">
        <v>58.105567732062397</v>
      </c>
      <c r="O1595" s="1">
        <v>39.341768245125344</v>
      </c>
      <c r="P1595" s="1">
        <v>5929.6348217800005</v>
      </c>
    </row>
    <row r="1596" spans="7:16" x14ac:dyDescent="0.2">
      <c r="G1596" s="1">
        <v>44918</v>
      </c>
      <c r="H1596" s="1">
        <v>5.8675229</v>
      </c>
      <c r="I1596" s="1">
        <v>-2.8580896</v>
      </c>
      <c r="J1596" s="1">
        <v>3.0094333</v>
      </c>
      <c r="N1596" s="1">
        <v>58.748722929786936</v>
      </c>
      <c r="O1596" s="1">
        <v>39.829674373259053</v>
      </c>
      <c r="P1596" s="1">
        <v>5868.7843645800003</v>
      </c>
    </row>
    <row r="1597" spans="7:16" x14ac:dyDescent="0.2">
      <c r="G1597" s="1">
        <v>44921</v>
      </c>
      <c r="H1597" s="1">
        <v>0.38852999999999999</v>
      </c>
      <c r="I1597" s="1">
        <v>-0.18965970000000001</v>
      </c>
      <c r="J1597" s="1">
        <v>0.19887029999999997</v>
      </c>
      <c r="N1597" s="1">
        <v>58.599419034195222</v>
      </c>
      <c r="O1597" s="1">
        <v>39.857502414113277</v>
      </c>
      <c r="P1597" s="1">
        <v>5884.9964874800025</v>
      </c>
    </row>
    <row r="1598" spans="7:16" x14ac:dyDescent="0.2">
      <c r="G1598" s="1">
        <v>44922</v>
      </c>
      <c r="H1598" s="1">
        <v>4.4109071000000011</v>
      </c>
      <c r="I1598" s="1">
        <v>-4.6395881999999995</v>
      </c>
      <c r="J1598" s="1">
        <v>-0.22868109999999953</v>
      </c>
      <c r="N1598" s="1">
        <v>58.455879816615486</v>
      </c>
      <c r="O1598" s="1">
        <v>39.867744939647174</v>
      </c>
      <c r="P1598" s="1">
        <v>5886.8215686883304</v>
      </c>
    </row>
    <row r="1599" spans="7:16" x14ac:dyDescent="0.2">
      <c r="G1599" s="1">
        <v>44923</v>
      </c>
      <c r="H1599" s="1">
        <v>5.1321099999999999</v>
      </c>
      <c r="I1599" s="1">
        <v>-6.377784300000001</v>
      </c>
      <c r="J1599" s="1">
        <v>-1.2456743000000006</v>
      </c>
      <c r="N1599" s="1">
        <v>56.659819967823886</v>
      </c>
      <c r="O1599" s="1">
        <v>38.604592757660157</v>
      </c>
      <c r="P1599" s="1">
        <v>5887.1123420366675</v>
      </c>
    </row>
    <row r="1600" spans="7:16" x14ac:dyDescent="0.2">
      <c r="G1600" s="1">
        <v>44924</v>
      </c>
      <c r="H1600" s="1">
        <v>3.7390065999999997</v>
      </c>
      <c r="I1600" s="1">
        <v>-7.5491464000000015</v>
      </c>
      <c r="J1600" s="1">
        <v>-3.8101398000000013</v>
      </c>
      <c r="N1600" s="1">
        <v>59.091438259419661</v>
      </c>
      <c r="O1600" s="1">
        <v>40.243666573816171</v>
      </c>
      <c r="P1600" s="1">
        <v>5819.7624046800001</v>
      </c>
    </row>
    <row r="1601" spans="7:16" x14ac:dyDescent="0.2">
      <c r="G1601" s="1">
        <v>44925</v>
      </c>
      <c r="H1601" s="1">
        <v>4.7738262999999996</v>
      </c>
      <c r="I1601" s="1">
        <v>-5.7597092000000005</v>
      </c>
      <c r="J1601" s="1">
        <v>-0.98588289999999912</v>
      </c>
      <c r="N1601" s="1">
        <v>58.675757427010659</v>
      </c>
      <c r="O1601" s="1">
        <v>39.875667688022268</v>
      </c>
      <c r="P1601" s="1">
        <v>5893.3635407799975</v>
      </c>
    </row>
    <row r="1602" spans="7:16" x14ac:dyDescent="0.2">
      <c r="G1602" s="1">
        <v>44928</v>
      </c>
      <c r="H1602" s="1">
        <v>1.9545999999999999E-3</v>
      </c>
      <c r="I1602" s="1">
        <v>-8.6136000000000004E-2</v>
      </c>
      <c r="J1602" s="1">
        <v>-8.4181400000000003E-2</v>
      </c>
      <c r="N1602" s="1">
        <v>58.441594879402807</v>
      </c>
      <c r="O1602" s="1">
        <v>39.845846100278536</v>
      </c>
      <c r="P1602" s="1">
        <v>5878.8078387299993</v>
      </c>
    </row>
    <row r="1603" spans="7:16" x14ac:dyDescent="0.2">
      <c r="G1603" s="1">
        <v>44929</v>
      </c>
      <c r="H1603" s="1">
        <v>4.7911251000000004</v>
      </c>
      <c r="I1603" s="1">
        <v>-3.4883063000000001</v>
      </c>
      <c r="J1603" s="1">
        <v>1.3028188000000001</v>
      </c>
      <c r="N1603" s="1">
        <v>58.157664151066399</v>
      </c>
      <c r="O1603" s="1">
        <v>39.632767966573816</v>
      </c>
      <c r="P1603" s="1">
        <v>5875.2987826800008</v>
      </c>
    </row>
    <row r="1604" spans="7:16" x14ac:dyDescent="0.2">
      <c r="G1604" s="1">
        <v>44930</v>
      </c>
      <c r="H1604" s="1">
        <v>6.1308651999999979</v>
      </c>
      <c r="I1604" s="1">
        <v>-5.5716117000000001</v>
      </c>
      <c r="J1604" s="1">
        <v>0.5592535000000004</v>
      </c>
      <c r="N1604" s="1">
        <v>59.563795796955915</v>
      </c>
      <c r="O1604" s="1">
        <v>41.219211420612808</v>
      </c>
      <c r="P1604" s="1">
        <v>5868.284132480002</v>
      </c>
    </row>
    <row r="1605" spans="7:16" x14ac:dyDescent="0.2">
      <c r="G1605" s="1">
        <v>44931</v>
      </c>
      <c r="H1605" s="1">
        <v>4.4084966999999988</v>
      </c>
      <c r="I1605" s="1">
        <v>-4.6448274000000005</v>
      </c>
      <c r="J1605" s="1">
        <v>-0.23633070000000012</v>
      </c>
      <c r="N1605" s="1">
        <v>57.91249903270748</v>
      </c>
      <c r="O1605" s="1">
        <v>40.141197493036238</v>
      </c>
      <c r="P1605" s="1">
        <v>5921.651052780001</v>
      </c>
    </row>
    <row r="1606" spans="7:16" x14ac:dyDescent="0.2">
      <c r="G1606" s="1">
        <v>44932</v>
      </c>
      <c r="H1606" s="1">
        <v>7.872051299999999</v>
      </c>
      <c r="I1606" s="1">
        <v>-4.0747865000000001</v>
      </c>
      <c r="J1606" s="1">
        <v>3.7972647999999998</v>
      </c>
      <c r="N1606" s="1">
        <v>61.315463274227781</v>
      </c>
      <c r="O1606" s="1">
        <v>42.824589136490239</v>
      </c>
      <c r="P1606" s="1">
        <v>5872.4007451800007</v>
      </c>
    </row>
    <row r="1607" spans="7:16" x14ac:dyDescent="0.2">
      <c r="G1607" s="1">
        <v>44935</v>
      </c>
      <c r="H1607" s="1">
        <v>5.7377632999999992</v>
      </c>
      <c r="I1607" s="1">
        <v>-4.1342092000000008</v>
      </c>
      <c r="J1607" s="1">
        <v>1.6035540999999993</v>
      </c>
      <c r="N1607" s="1">
        <v>61.577359445711615</v>
      </c>
      <c r="O1607" s="1">
        <v>43.520080501392755</v>
      </c>
      <c r="P1607" s="1">
        <v>5990.4751713800006</v>
      </c>
    </row>
    <row r="1608" spans="7:16" x14ac:dyDescent="0.2">
      <c r="G1608" s="1">
        <v>44936</v>
      </c>
      <c r="H1608" s="1">
        <v>5.0146185999999995</v>
      </c>
      <c r="I1608" s="1">
        <v>-5.1356303999999993</v>
      </c>
      <c r="J1608" s="1">
        <v>-0.12101179999999982</v>
      </c>
      <c r="N1608" s="1">
        <v>62.394172591003617</v>
      </c>
      <c r="O1608" s="1">
        <v>43.826079665738149</v>
      </c>
      <c r="P1608" s="1">
        <v>6005.9632557299983</v>
      </c>
    </row>
    <row r="1609" spans="7:16" x14ac:dyDescent="0.2">
      <c r="G1609" s="1">
        <v>44937</v>
      </c>
      <c r="H1609" s="1">
        <v>8.0522620000000007</v>
      </c>
      <c r="I1609" s="1">
        <v>-7.3953702000000012</v>
      </c>
      <c r="J1609" s="1">
        <v>0.65689180000000036</v>
      </c>
      <c r="N1609" s="1">
        <v>64.145366911087066</v>
      </c>
      <c r="O1609" s="1">
        <v>45.1006495821727</v>
      </c>
      <c r="P1609" s="1">
        <v>6028.9738081800006</v>
      </c>
    </row>
    <row r="1610" spans="7:16" x14ac:dyDescent="0.2">
      <c r="G1610" s="1">
        <v>44938</v>
      </c>
      <c r="H1610" s="1">
        <v>6.310830000000001</v>
      </c>
      <c r="I1610" s="1">
        <v>-4.8206361999999991</v>
      </c>
      <c r="J1610" s="1">
        <v>1.4901938000000015</v>
      </c>
      <c r="N1610" s="1">
        <v>65.274543119994036</v>
      </c>
      <c r="O1610" s="1">
        <v>46.404955988857985</v>
      </c>
      <c r="P1610" s="1">
        <v>6087.4070900800007</v>
      </c>
    </row>
    <row r="1611" spans="7:16" x14ac:dyDescent="0.2">
      <c r="G1611" s="1">
        <v>44939</v>
      </c>
      <c r="H1611" s="1">
        <v>6.5277943999999994</v>
      </c>
      <c r="I1611" s="1">
        <v>-4.3281039999999997</v>
      </c>
      <c r="J1611" s="1">
        <v>2.1996903999999993</v>
      </c>
      <c r="N1611" s="1">
        <v>65.915242545679959</v>
      </c>
      <c r="O1611" s="1">
        <v>46.846673537604474</v>
      </c>
      <c r="P1611" s="1">
        <v>6139.2554983799992</v>
      </c>
    </row>
    <row r="1612" spans="7:16" x14ac:dyDescent="0.2">
      <c r="G1612" s="1">
        <v>44942</v>
      </c>
      <c r="H1612" s="1">
        <v>1.7778703</v>
      </c>
      <c r="I1612" s="1">
        <v>-0.6065739</v>
      </c>
      <c r="J1612" s="1">
        <v>1.1712964000000001</v>
      </c>
      <c r="N1612" s="1">
        <v>65.716775883465104</v>
      </c>
      <c r="O1612" s="1">
        <v>46.754104038997198</v>
      </c>
      <c r="P1612" s="1">
        <v>6158.7715532799975</v>
      </c>
    </row>
    <row r="1613" spans="7:16" x14ac:dyDescent="0.2">
      <c r="G1613" s="1">
        <v>44943</v>
      </c>
      <c r="H1613" s="1">
        <v>4.6681643999999993</v>
      </c>
      <c r="I1613" s="1">
        <v>-6.5797039999999996</v>
      </c>
      <c r="J1613" s="1">
        <v>-1.9115396</v>
      </c>
      <c r="N1613" s="1">
        <v>65.689894321233623</v>
      </c>
      <c r="O1613" s="1">
        <v>46.759371030640693</v>
      </c>
      <c r="P1613" s="1">
        <v>6149.1963100800003</v>
      </c>
    </row>
    <row r="1614" spans="7:16" x14ac:dyDescent="0.2">
      <c r="G1614" s="1">
        <v>44944</v>
      </c>
      <c r="H1614" s="1">
        <v>5.8074003000000021</v>
      </c>
      <c r="I1614" s="1">
        <v>-7.2219135000000003</v>
      </c>
      <c r="J1614" s="1">
        <v>-1.4145131999999996</v>
      </c>
      <c r="N1614" s="1">
        <v>63.817815512411329</v>
      </c>
      <c r="O1614" s="1">
        <v>45.808441968430863</v>
      </c>
      <c r="P1614" s="1">
        <v>6150.8114229800003</v>
      </c>
    </row>
    <row r="1615" spans="7:16" x14ac:dyDescent="0.2">
      <c r="G1615" s="1">
        <v>44945</v>
      </c>
      <c r="H1615" s="1">
        <v>8.4542117000000019</v>
      </c>
      <c r="I1615" s="1">
        <v>-4.7833240999999997</v>
      </c>
      <c r="J1615" s="1">
        <v>3.6708876000000008</v>
      </c>
      <c r="N1615" s="1">
        <v>62.762391469101935</v>
      </c>
      <c r="O1615" s="1">
        <v>45.120112906220982</v>
      </c>
      <c r="P1615" s="1">
        <v>6102.559657757779</v>
      </c>
    </row>
    <row r="1616" spans="7:16" x14ac:dyDescent="0.2">
      <c r="G1616" s="1">
        <v>44946</v>
      </c>
      <c r="H1616" s="1">
        <v>6.4361974999999996</v>
      </c>
      <c r="I1616" s="1">
        <v>-11.0973814</v>
      </c>
      <c r="J1616" s="1">
        <v>-4.6611839000000002</v>
      </c>
      <c r="N1616" s="1">
        <v>65.115711531087598</v>
      </c>
      <c r="O1616" s="1">
        <v>46.584648189415034</v>
      </c>
      <c r="P1616" s="1">
        <v>6075.151772435559</v>
      </c>
    </row>
    <row r="1617" spans="7:16" x14ac:dyDescent="0.2">
      <c r="G1617" s="1">
        <v>44949</v>
      </c>
      <c r="H1617" s="1">
        <v>6.1360438000000004</v>
      </c>
      <c r="I1617" s="1">
        <v>-4.8837852000000002</v>
      </c>
      <c r="J1617" s="1">
        <v>1.2522585999999998</v>
      </c>
      <c r="N1617" s="1">
        <v>66.845590461690662</v>
      </c>
      <c r="O1617" s="1">
        <v>47.70556137418756</v>
      </c>
      <c r="P1617" s="1">
        <v>6138.4533996133359</v>
      </c>
    </row>
    <row r="1618" spans="7:16" x14ac:dyDescent="0.2">
      <c r="G1618" s="1">
        <v>44950</v>
      </c>
      <c r="H1618" s="1">
        <v>4.3324044000000006</v>
      </c>
      <c r="I1618" s="1">
        <v>-2.5494648</v>
      </c>
      <c r="J1618" s="1">
        <v>1.7829395999999997</v>
      </c>
      <c r="N1618" s="1">
        <v>66.883238806457371</v>
      </c>
      <c r="O1618" s="1">
        <v>47.86262358402972</v>
      </c>
      <c r="P1618" s="1">
        <v>6187.535284399446</v>
      </c>
    </row>
    <row r="1619" spans="7:16" x14ac:dyDescent="0.2">
      <c r="G1619" s="1">
        <v>44951</v>
      </c>
      <c r="H1619" s="1">
        <v>3.8448788999999999</v>
      </c>
      <c r="I1619" s="1">
        <v>-3.0685985999999996</v>
      </c>
      <c r="J1619" s="1">
        <v>0.77628030000000003</v>
      </c>
      <c r="N1619" s="1">
        <v>67.020573620967397</v>
      </c>
      <c r="O1619" s="1">
        <v>48.021521169916454</v>
      </c>
      <c r="P1619" s="1">
        <v>6197.0002588855568</v>
      </c>
    </row>
    <row r="1620" spans="7:16" x14ac:dyDescent="0.2">
      <c r="G1620" s="1">
        <v>44952</v>
      </c>
      <c r="H1620" s="1">
        <v>4.8986063999999994</v>
      </c>
      <c r="I1620" s="1">
        <v>-4.5301939999999998</v>
      </c>
      <c r="J1620" s="1">
        <v>0.36841239999999958</v>
      </c>
      <c r="N1620" s="1">
        <v>68.378158130345497</v>
      </c>
      <c r="O1620" s="1">
        <v>48.790381987000927</v>
      </c>
      <c r="P1620" s="1">
        <v>6206.3090746716643</v>
      </c>
    </row>
    <row r="1621" spans="7:16" x14ac:dyDescent="0.2">
      <c r="G1621" s="1">
        <v>44953</v>
      </c>
      <c r="H1621" s="1">
        <v>7.1548254</v>
      </c>
      <c r="I1621" s="1">
        <v>-5.4321568000000013</v>
      </c>
      <c r="J1621" s="1">
        <v>1.7226685999999996</v>
      </c>
      <c r="N1621" s="1">
        <v>68.802115154951352</v>
      </c>
      <c r="O1621" s="1">
        <v>48.969912720519979</v>
      </c>
      <c r="P1621" s="1">
        <v>6242.6431657744442</v>
      </c>
    </row>
    <row r="1622" spans="7:16" x14ac:dyDescent="0.2">
      <c r="G1622" s="1">
        <v>44956</v>
      </c>
      <c r="H1622" s="1">
        <v>5.9482578000000004</v>
      </c>
      <c r="I1622" s="1">
        <v>-6.5161007</v>
      </c>
      <c r="J1622" s="1">
        <v>-0.56784290000000026</v>
      </c>
      <c r="N1622" s="1">
        <v>66.910964635498516</v>
      </c>
      <c r="O1622" s="1">
        <v>47.710540947075224</v>
      </c>
      <c r="P1622" s="1">
        <v>6254.0028705522209</v>
      </c>
    </row>
    <row r="1623" spans="7:16" x14ac:dyDescent="0.2">
      <c r="G1623" s="1">
        <v>44957</v>
      </c>
      <c r="H1623" s="1">
        <v>3.9517040999999993</v>
      </c>
      <c r="I1623" s="1">
        <v>-7.6111637999999999</v>
      </c>
      <c r="J1623" s="1">
        <v>-3.6594596999999998</v>
      </c>
      <c r="N1623" s="1">
        <v>68.893928146518761</v>
      </c>
      <c r="O1623" s="1">
        <v>48.815569916434555</v>
      </c>
      <c r="P1623" s="1">
        <v>6193.3747150800009</v>
      </c>
    </row>
    <row r="1624" spans="7:16" x14ac:dyDescent="0.2">
      <c r="G1624" s="1">
        <v>44958</v>
      </c>
      <c r="H1624" s="1">
        <v>8.7242867999999998</v>
      </c>
      <c r="I1624" s="1">
        <v>-6.9234846000000001</v>
      </c>
      <c r="J1624" s="1">
        <v>1.800802200000001</v>
      </c>
      <c r="N1624" s="1">
        <v>70.743636166831351</v>
      </c>
      <c r="O1624" s="1">
        <v>49.902945682451261</v>
      </c>
      <c r="P1624" s="1">
        <v>6249.7197300800017</v>
      </c>
    </row>
    <row r="1625" spans="7:16" x14ac:dyDescent="0.2">
      <c r="G1625" s="1">
        <v>44959</v>
      </c>
      <c r="H1625" s="1">
        <v>6.7495333999999998</v>
      </c>
      <c r="I1625" s="1">
        <v>-7.7845078999999995</v>
      </c>
      <c r="J1625" s="1">
        <v>-1.0349745000000006</v>
      </c>
      <c r="N1625" s="1">
        <v>72.829881506395608</v>
      </c>
      <c r="O1625" s="1">
        <v>51.082225905292482</v>
      </c>
      <c r="P1625" s="1">
        <v>6306.6258139800011</v>
      </c>
    </row>
    <row r="1626" spans="7:16" x14ac:dyDescent="0.2">
      <c r="G1626" s="1">
        <v>44960</v>
      </c>
      <c r="H1626" s="1">
        <v>5.6494361000000008</v>
      </c>
      <c r="I1626" s="1">
        <v>-9.9172896000000001</v>
      </c>
      <c r="J1626" s="1">
        <v>-4.2678535000000011</v>
      </c>
      <c r="N1626" s="1">
        <v>70.943337983054363</v>
      </c>
      <c r="O1626" s="1">
        <v>49.543845125348192</v>
      </c>
      <c r="P1626" s="1">
        <v>6359.1755727799991</v>
      </c>
    </row>
    <row r="1627" spans="7:16" x14ac:dyDescent="0.2">
      <c r="G1627" s="1">
        <v>44963</v>
      </c>
      <c r="H1627" s="1">
        <v>4.2382386999999992</v>
      </c>
      <c r="I1627" s="1">
        <v>-7.8256726999999984</v>
      </c>
      <c r="J1627" s="1">
        <v>-3.5874340000000005</v>
      </c>
      <c r="N1627" s="1">
        <v>69.620404544804202</v>
      </c>
      <c r="O1627" s="1">
        <v>48.197972144846773</v>
      </c>
      <c r="P1627" s="1">
        <v>6286.7129082799993</v>
      </c>
    </row>
    <row r="1628" spans="7:16" x14ac:dyDescent="0.2">
      <c r="G1628" s="1">
        <v>44964</v>
      </c>
      <c r="H1628" s="1">
        <v>6.0167372000000006</v>
      </c>
      <c r="I1628" s="1">
        <v>-6.1143795000000001</v>
      </c>
      <c r="J1628" s="1">
        <v>-9.7642300000001028E-2</v>
      </c>
      <c r="N1628" s="1">
        <v>71.504323646434344</v>
      </c>
      <c r="O1628" s="1">
        <v>49.267022284122554</v>
      </c>
      <c r="P1628" s="1">
        <v>6234.4501057799989</v>
      </c>
    </row>
    <row r="1629" spans="7:16" x14ac:dyDescent="0.2">
      <c r="G1629" s="1">
        <v>44965</v>
      </c>
      <c r="H1629" s="1">
        <v>4.0154419999999993</v>
      </c>
      <c r="I1629" s="1">
        <v>-5.2045684999999997</v>
      </c>
      <c r="J1629" s="1">
        <v>-1.1891265000000002</v>
      </c>
      <c r="N1629" s="1">
        <v>69.956642582364822</v>
      </c>
      <c r="O1629" s="1">
        <v>48.429751810584975</v>
      </c>
      <c r="P1629" s="1">
        <v>6289.5122517799982</v>
      </c>
    </row>
    <row r="1630" spans="7:16" x14ac:dyDescent="0.2">
      <c r="G1630" s="1">
        <v>44966</v>
      </c>
      <c r="H1630" s="1">
        <v>4.384022100000001</v>
      </c>
      <c r="I1630" s="1">
        <v>-3.824751</v>
      </c>
      <c r="J1630" s="1">
        <v>0.55927109999999969</v>
      </c>
      <c r="N1630" s="1">
        <v>68.848674170621749</v>
      </c>
      <c r="O1630" s="1">
        <v>47.913393314763233</v>
      </c>
      <c r="P1630" s="1">
        <v>6243.9288780800007</v>
      </c>
    </row>
    <row r="1631" spans="7:16" x14ac:dyDescent="0.2">
      <c r="G1631" s="1">
        <v>44967</v>
      </c>
      <c r="H1631" s="1">
        <v>2.9736805999999998</v>
      </c>
      <c r="I1631" s="1">
        <v>-8.7940252000000001</v>
      </c>
      <c r="J1631" s="1">
        <v>-5.8203445999999994</v>
      </c>
      <c r="N1631" s="1">
        <v>68.837519517154476</v>
      </c>
      <c r="O1631" s="1">
        <v>47.594669080779923</v>
      </c>
      <c r="P1631" s="1">
        <v>6211.4133902800004</v>
      </c>
    </row>
    <row r="1632" spans="7:16" x14ac:dyDescent="0.2">
      <c r="G1632" s="1">
        <v>44970</v>
      </c>
      <c r="H1632" s="1">
        <v>5.9085241999999987</v>
      </c>
      <c r="I1632" s="1">
        <v>-4.0988071999999995</v>
      </c>
      <c r="J1632" s="1">
        <v>1.8097170000000005</v>
      </c>
      <c r="N1632" s="1">
        <v>70.559975038322577</v>
      </c>
      <c r="O1632" s="1">
        <v>48.673894150417837</v>
      </c>
      <c r="P1632" s="1">
        <v>6204.7507204800004</v>
      </c>
    </row>
    <row r="1633" spans="7:16" x14ac:dyDescent="0.2">
      <c r="G1633" s="1">
        <v>44971</v>
      </c>
      <c r="H1633" s="1">
        <v>3.5941018000000007</v>
      </c>
      <c r="I1633" s="1">
        <v>-8.2219749999999987</v>
      </c>
      <c r="J1633" s="1">
        <v>-4.6278732000000016</v>
      </c>
      <c r="N1633" s="1">
        <v>70.57354647251428</v>
      </c>
      <c r="O1633" s="1">
        <v>48.637313649025074</v>
      </c>
      <c r="P1633" s="1">
        <v>6250.2343456800008</v>
      </c>
    </row>
    <row r="1634" spans="7:16" x14ac:dyDescent="0.2">
      <c r="G1634" s="1">
        <v>44972</v>
      </c>
      <c r="H1634" s="1">
        <v>4.2015099999999999</v>
      </c>
      <c r="I1634" s="1">
        <v>-6.0759635999999988</v>
      </c>
      <c r="J1634" s="1">
        <v>-1.8744535999999996</v>
      </c>
      <c r="N1634" s="1">
        <v>70.93388974012106</v>
      </c>
      <c r="O1634" s="1">
        <v>48.448186629526461</v>
      </c>
      <c r="P1634" s="1">
        <v>6243.1556499799981</v>
      </c>
    </row>
    <row r="1635" spans="7:16" x14ac:dyDescent="0.2">
      <c r="G1635" s="1">
        <v>44973</v>
      </c>
      <c r="H1635" s="1">
        <v>4.5392686999999992</v>
      </c>
      <c r="I1635" s="1">
        <v>-5.7566264</v>
      </c>
      <c r="J1635" s="1">
        <v>-1.2173577000000004</v>
      </c>
      <c r="N1635" s="1">
        <v>69.263288328774564</v>
      </c>
      <c r="O1635" s="1">
        <v>47.74647465181058</v>
      </c>
      <c r="P1635" s="1">
        <v>6241.126040879999</v>
      </c>
    </row>
    <row r="1636" spans="7:16" x14ac:dyDescent="0.2">
      <c r="G1636" s="1">
        <v>44974</v>
      </c>
      <c r="H1636" s="1">
        <v>4.3790704000000007</v>
      </c>
      <c r="I1636" s="1">
        <v>-5.8673720999999999</v>
      </c>
      <c r="J1636" s="1">
        <v>-1.4883017000000001</v>
      </c>
      <c r="N1636" s="1">
        <v>68.686985838263055</v>
      </c>
      <c r="O1636" s="1">
        <v>47.219832590529258</v>
      </c>
      <c r="P1636" s="1">
        <v>6195.7197049800006</v>
      </c>
    </row>
    <row r="1637" spans="7:16" x14ac:dyDescent="0.2">
      <c r="G1637" s="1">
        <v>44977</v>
      </c>
      <c r="H1637" s="1">
        <v>0.2827963</v>
      </c>
      <c r="I1637" s="1">
        <v>-1.7018998999999999</v>
      </c>
      <c r="J1637" s="1">
        <v>-1.4191036000000004</v>
      </c>
      <c r="N1637" s="1">
        <v>67.274778010507873</v>
      </c>
      <c r="O1637" s="1">
        <v>46.575937325905294</v>
      </c>
      <c r="P1637" s="1">
        <v>6177.594482980001</v>
      </c>
    </row>
    <row r="1638" spans="7:16" x14ac:dyDescent="0.2">
      <c r="G1638" s="1">
        <v>44978</v>
      </c>
      <c r="H1638" s="1">
        <v>3.7829161999999998</v>
      </c>
      <c r="I1638" s="1">
        <v>-7.9582755999999995</v>
      </c>
      <c r="J1638" s="1">
        <v>-4.1753593999999996</v>
      </c>
      <c r="N1638" s="1">
        <v>65.712630910619666</v>
      </c>
      <c r="O1638" s="1">
        <v>45.393106685236774</v>
      </c>
      <c r="P1638" s="1">
        <v>6125.486304930002</v>
      </c>
    </row>
    <row r="1639" spans="7:16" x14ac:dyDescent="0.2">
      <c r="G1639" s="1">
        <v>44979</v>
      </c>
      <c r="H1639" s="1">
        <v>5.8163336000000001</v>
      </c>
      <c r="I1639" s="1">
        <v>-6.3905935000000005</v>
      </c>
      <c r="J1639" s="1">
        <v>-0.57425990000000193</v>
      </c>
      <c r="N1639" s="1">
        <v>65.385107235142314</v>
      </c>
      <c r="O1639" s="1">
        <v>45.003941504178272</v>
      </c>
      <c r="P1639" s="1">
        <v>6079.519537780001</v>
      </c>
    </row>
    <row r="1640" spans="7:16" x14ac:dyDescent="0.2">
      <c r="G1640" s="1">
        <v>44980</v>
      </c>
      <c r="H1640" s="1">
        <v>4.9697495999999992</v>
      </c>
      <c r="I1640" s="1">
        <v>-6.8850365999999994</v>
      </c>
      <c r="J1640" s="1">
        <v>-1.9152870000000004</v>
      </c>
      <c r="N1640" s="1">
        <v>66.110432007512159</v>
      </c>
      <c r="O1640" s="1">
        <v>45.383802089136502</v>
      </c>
      <c r="P1640" s="1">
        <v>6065.9324730800008</v>
      </c>
    </row>
    <row r="1641" spans="7:16" x14ac:dyDescent="0.2">
      <c r="G1641" s="1">
        <v>44981</v>
      </c>
      <c r="H1641" s="1">
        <v>3.6528627000000005</v>
      </c>
      <c r="I1641" s="1">
        <v>-6.6807914000000022</v>
      </c>
      <c r="J1641" s="1">
        <v>-3.0279286999999986</v>
      </c>
      <c r="N1641" s="1">
        <v>64.355218192330057</v>
      </c>
      <c r="O1641" s="1">
        <v>43.972096935933131</v>
      </c>
      <c r="P1641" s="1">
        <v>6085.9177975299999</v>
      </c>
    </row>
    <row r="1642" spans="7:16" x14ac:dyDescent="0.2">
      <c r="G1642" s="1">
        <v>44984</v>
      </c>
      <c r="H1642" s="1">
        <v>2.9268463000000002</v>
      </c>
      <c r="I1642" s="1">
        <v>-3.5581916000000007</v>
      </c>
      <c r="J1642" s="1">
        <v>-0.63134529999999978</v>
      </c>
      <c r="N1642" s="1">
        <v>65.035136431729967</v>
      </c>
      <c r="O1642" s="1">
        <v>44.633505571030653</v>
      </c>
      <c r="P1642" s="1">
        <v>6025.0657759799988</v>
      </c>
    </row>
    <row r="1643" spans="7:16" x14ac:dyDescent="0.2">
      <c r="G1643" s="1">
        <v>44985</v>
      </c>
      <c r="H1643" s="1">
        <v>3.5710250999999995</v>
      </c>
      <c r="I1643" s="1">
        <v>-3.9193335999999999</v>
      </c>
      <c r="J1643" s="1">
        <v>-0.34830849999999997</v>
      </c>
      <c r="N1643" s="1">
        <v>64.547671931823757</v>
      </c>
      <c r="O1643" s="1">
        <v>44.306275487465172</v>
      </c>
      <c r="P1643" s="1">
        <v>6047.4666165466651</v>
      </c>
    </row>
    <row r="1644" spans="7:16" x14ac:dyDescent="0.2">
      <c r="G1644" s="1">
        <v>44986</v>
      </c>
      <c r="H1644" s="1">
        <v>4.2701249000000008</v>
      </c>
      <c r="I1644" s="1">
        <v>-9.7485156000000046</v>
      </c>
      <c r="J1644" s="1">
        <v>-5.4783906999999994</v>
      </c>
      <c r="N1644" s="1">
        <v>64.344329959458193</v>
      </c>
      <c r="O1644" s="1">
        <v>44.496384401114213</v>
      </c>
      <c r="P1644" s="1">
        <v>6031.7115612133339</v>
      </c>
    </row>
    <row r="1645" spans="7:16" x14ac:dyDescent="0.2">
      <c r="G1645" s="1">
        <v>44987</v>
      </c>
      <c r="H1645" s="1">
        <v>6.1424225000000003</v>
      </c>
      <c r="I1645" s="1">
        <v>-6.9860710000000017</v>
      </c>
      <c r="J1645" s="1">
        <v>-0.8436484999999998</v>
      </c>
      <c r="N1645" s="1">
        <v>65.101267677589036</v>
      </c>
      <c r="O1645" s="1">
        <v>44.778102228412266</v>
      </c>
      <c r="P1645" s="1">
        <v>6024.6575994800005</v>
      </c>
    </row>
    <row r="1646" spans="7:16" x14ac:dyDescent="0.2">
      <c r="G1646" s="1">
        <v>44988</v>
      </c>
      <c r="H1646" s="1">
        <v>10.109040999999998</v>
      </c>
      <c r="I1646" s="1">
        <v>-3.3998438999999996</v>
      </c>
      <c r="J1646" s="1">
        <v>6.7091970999999955</v>
      </c>
      <c r="N1646" s="1">
        <v>67.618107852244592</v>
      </c>
      <c r="O1646" s="1">
        <v>46.648589972144876</v>
      </c>
      <c r="P1646" s="1">
        <v>6041.5353110800006</v>
      </c>
    </row>
    <row r="1647" spans="7:16" x14ac:dyDescent="0.2">
      <c r="G1647" s="1">
        <v>44991</v>
      </c>
      <c r="H1647" s="1">
        <v>5.9421430000000006</v>
      </c>
      <c r="I1647" s="1">
        <v>-3.1625100000000002</v>
      </c>
      <c r="J1647" s="1">
        <v>2.7796330000000009</v>
      </c>
      <c r="N1647" s="1">
        <v>67.559461493473265</v>
      </c>
      <c r="O1647" s="1">
        <v>46.582689415041756</v>
      </c>
      <c r="P1647" s="1">
        <v>6128.3446247799993</v>
      </c>
    </row>
    <row r="1648" spans="7:16" x14ac:dyDescent="0.2">
      <c r="G1648" s="1">
        <v>44992</v>
      </c>
      <c r="H1648" s="1">
        <v>2.9530433000000005</v>
      </c>
      <c r="I1648" s="1">
        <v>-5.1679501999999982</v>
      </c>
      <c r="J1648" s="1">
        <v>-2.2149069000000003</v>
      </c>
      <c r="N1648" s="1">
        <v>65.184288429424299</v>
      </c>
      <c r="O1648" s="1">
        <v>44.617600278551535</v>
      </c>
      <c r="P1648" s="1">
        <v>6129.0454917800016</v>
      </c>
    </row>
    <row r="1649" spans="7:16" x14ac:dyDescent="0.2">
      <c r="G1649" s="1">
        <v>44993</v>
      </c>
      <c r="H1649" s="1">
        <v>4.4572836999999996</v>
      </c>
      <c r="I1649" s="1">
        <v>-6.0881100999999997</v>
      </c>
      <c r="J1649" s="1">
        <v>-1.6308263999999992</v>
      </c>
      <c r="N1649" s="1">
        <v>65.432850779245214</v>
      </c>
      <c r="O1649" s="1">
        <v>44.670751253481896</v>
      </c>
      <c r="P1649" s="1">
        <v>6049.0471828800009</v>
      </c>
    </row>
    <row r="1650" spans="7:16" x14ac:dyDescent="0.2">
      <c r="G1650" s="1">
        <v>44994</v>
      </c>
      <c r="H1650" s="1">
        <v>4.8052257999999997</v>
      </c>
      <c r="I1650" s="1">
        <v>-3.7174945999999998</v>
      </c>
      <c r="J1650" s="1">
        <v>1.0877312000000006</v>
      </c>
      <c r="N1650" s="1">
        <v>63.080562154494558</v>
      </c>
      <c r="O1650" s="1">
        <v>43.228325348189443</v>
      </c>
      <c r="P1650" s="1">
        <v>6053.4315189800009</v>
      </c>
    </row>
    <row r="1651" spans="7:16" x14ac:dyDescent="0.2">
      <c r="G1651" s="1">
        <v>44995</v>
      </c>
      <c r="H1651" s="1">
        <v>2.5985759000000006</v>
      </c>
      <c r="I1651" s="1">
        <v>-9.9989771000000029</v>
      </c>
      <c r="J1651" s="1">
        <v>-7.4004012000000001</v>
      </c>
      <c r="N1651" s="1">
        <v>60.905614624057058</v>
      </c>
      <c r="O1651" s="1">
        <v>41.788822562674099</v>
      </c>
      <c r="P1651" s="1">
        <v>5987.5497128799998</v>
      </c>
    </row>
    <row r="1652" spans="7:16" x14ac:dyDescent="0.2">
      <c r="G1652" s="1">
        <v>44998</v>
      </c>
      <c r="H1652" s="1">
        <v>7.4140569000000012</v>
      </c>
      <c r="I1652" s="1">
        <v>-6.5396977000000005</v>
      </c>
      <c r="J1652" s="1">
        <v>0.87435920000000011</v>
      </c>
      <c r="N1652" s="1">
        <v>60.54695520585841</v>
      </c>
      <c r="O1652" s="1">
        <v>41.34932033426184</v>
      </c>
      <c r="P1652" s="1">
        <v>5921.6959319799998</v>
      </c>
    </row>
    <row r="1653" spans="7:16" x14ac:dyDescent="0.2">
      <c r="G1653" s="1">
        <v>44999</v>
      </c>
      <c r="H1653" s="1">
        <v>9.5473677000000006</v>
      </c>
      <c r="I1653" s="1">
        <v>-7.4008025000000011</v>
      </c>
      <c r="J1653" s="1">
        <v>2.1465652000000004</v>
      </c>
      <c r="N1653" s="1">
        <v>62.423129574096627</v>
      </c>
      <c r="O1653" s="1">
        <v>42.319731754874645</v>
      </c>
      <c r="P1653" s="1">
        <v>5909.0811040799999</v>
      </c>
    </row>
    <row r="1654" spans="7:16" x14ac:dyDescent="0.2">
      <c r="G1654" s="1">
        <v>45000</v>
      </c>
      <c r="H1654" s="1">
        <v>18.230779499999997</v>
      </c>
      <c r="I1654" s="1">
        <v>-10.598613800000001</v>
      </c>
      <c r="J1654" s="1">
        <v>7.6321657000000025</v>
      </c>
      <c r="N1654" s="1">
        <v>61.230633481847214</v>
      </c>
      <c r="O1654" s="1">
        <v>40.578066573816152</v>
      </c>
      <c r="P1654" s="1">
        <v>5954.6246099800019</v>
      </c>
    </row>
    <row r="1655" spans="7:16" x14ac:dyDescent="0.2">
      <c r="G1655" s="1">
        <v>45001</v>
      </c>
      <c r="H1655" s="1">
        <v>22.667646999999995</v>
      </c>
      <c r="I1655" s="1">
        <v>-8.8994982999999976</v>
      </c>
      <c r="J1655" s="1">
        <v>13.768148700000003</v>
      </c>
      <c r="N1655" s="1">
        <v>63.518720856063261</v>
      </c>
      <c r="O1655" s="1">
        <v>41.964663788300825</v>
      </c>
      <c r="P1655" s="1">
        <v>5917.6403060799994</v>
      </c>
    </row>
    <row r="1656" spans="7:16" x14ac:dyDescent="0.2">
      <c r="G1656" s="1">
        <v>45002</v>
      </c>
      <c r="H1656" s="1">
        <v>20.657214500000006</v>
      </c>
      <c r="I1656" s="1">
        <v>-11.692051900000001</v>
      </c>
      <c r="J1656" s="1">
        <v>8.9651626000000029</v>
      </c>
      <c r="N1656" s="1">
        <v>62.274064735265206</v>
      </c>
      <c r="O1656" s="1">
        <v>41.127671309192209</v>
      </c>
      <c r="P1656" s="1">
        <v>5990.4601565800003</v>
      </c>
    </row>
    <row r="1657" spans="7:16" x14ac:dyDescent="0.2">
      <c r="G1657" s="1">
        <v>45005</v>
      </c>
      <c r="H1657" s="1">
        <v>12.431489900000001</v>
      </c>
      <c r="I1657" s="1">
        <v>-11.692141699999999</v>
      </c>
      <c r="J1657" s="1">
        <v>0.73934819999999901</v>
      </c>
      <c r="N1657" s="1">
        <v>63.570879706511526</v>
      </c>
      <c r="O1657" s="1">
        <v>42.076722562674099</v>
      </c>
      <c r="P1657" s="1">
        <v>5959.7127193799988</v>
      </c>
    </row>
    <row r="1658" spans="7:16" x14ac:dyDescent="0.2">
      <c r="G1658" s="1">
        <v>45006</v>
      </c>
      <c r="H1658" s="1">
        <v>8.6562138999999991</v>
      </c>
      <c r="I1658" s="1">
        <v>-9.7867853</v>
      </c>
      <c r="J1658" s="1">
        <v>-1.1305713999999996</v>
      </c>
      <c r="N1658" s="1">
        <v>65.395550351726442</v>
      </c>
      <c r="O1658" s="1">
        <v>43.383750417827294</v>
      </c>
      <c r="P1658" s="1">
        <v>5997.4758546800031</v>
      </c>
    </row>
    <row r="1659" spans="7:16" x14ac:dyDescent="0.2">
      <c r="G1659" s="1">
        <v>45007</v>
      </c>
      <c r="H1659" s="1">
        <v>3.6523053999999999</v>
      </c>
      <c r="I1659" s="1">
        <v>-10.7297584</v>
      </c>
      <c r="J1659" s="1">
        <v>-7.0774529999999984</v>
      </c>
      <c r="N1659" s="1">
        <v>63.416732195153131</v>
      </c>
      <c r="O1659" s="1">
        <v>42.360547353760452</v>
      </c>
      <c r="P1659" s="1">
        <v>6052.359180630001</v>
      </c>
    </row>
    <row r="1660" spans="7:16" x14ac:dyDescent="0.2">
      <c r="G1660" s="1">
        <v>45008</v>
      </c>
      <c r="H1660" s="1">
        <v>5.8931799999999992</v>
      </c>
      <c r="I1660" s="1">
        <v>-9.2045653999999981</v>
      </c>
      <c r="J1660" s="1">
        <v>-3.3113853999999989</v>
      </c>
      <c r="N1660" s="1">
        <v>63.950716719442092</v>
      </c>
      <c r="O1660" s="1">
        <v>42.839983286908073</v>
      </c>
      <c r="P1660" s="1">
        <v>5991.8658498800023</v>
      </c>
    </row>
    <row r="1661" spans="7:16" x14ac:dyDescent="0.2">
      <c r="G1661" s="1">
        <v>45009</v>
      </c>
      <c r="H1661" s="1">
        <v>5.3285542999999995</v>
      </c>
      <c r="I1661" s="1">
        <v>-7.3115555000000008</v>
      </c>
      <c r="J1661" s="1">
        <v>-1.9830012000000001</v>
      </c>
      <c r="N1661" s="1">
        <v>64.455816720890752</v>
      </c>
      <c r="O1661" s="1">
        <v>42.795253760445689</v>
      </c>
      <c r="P1661" s="1">
        <v>6000.2222756799993</v>
      </c>
    </row>
    <row r="1662" spans="7:16" x14ac:dyDescent="0.2">
      <c r="G1662" s="1">
        <v>45012</v>
      </c>
      <c r="H1662" s="1">
        <v>8.3358932999999986</v>
      </c>
      <c r="I1662" s="1">
        <v>-4.6582798999999993</v>
      </c>
      <c r="J1662" s="1">
        <v>3.6776134000000003</v>
      </c>
      <c r="N1662" s="1">
        <v>64.732768919678662</v>
      </c>
      <c r="O1662" s="1">
        <v>43.233429247910856</v>
      </c>
      <c r="P1662" s="1">
        <v>6011.0088572799996</v>
      </c>
    </row>
    <row r="1663" spans="7:16" x14ac:dyDescent="0.2">
      <c r="G1663" s="1">
        <v>45013</v>
      </c>
      <c r="H1663" s="1">
        <v>4.4406218999999991</v>
      </c>
      <c r="I1663" s="1">
        <v>-6.7963116000000001</v>
      </c>
      <c r="J1663" s="1">
        <v>-2.355689700000001</v>
      </c>
      <c r="N1663" s="1">
        <v>64.713869614142183</v>
      </c>
      <c r="O1663" s="1">
        <v>43.515112534818932</v>
      </c>
      <c r="P1663" s="1">
        <v>6022.2709861800004</v>
      </c>
    </row>
    <row r="1664" spans="7:16" x14ac:dyDescent="0.2">
      <c r="G1664" s="1">
        <v>45014</v>
      </c>
      <c r="H1664" s="1">
        <v>5.5219829000000011</v>
      </c>
      <c r="I1664" s="1">
        <v>-5.9773051000000006</v>
      </c>
      <c r="J1664" s="1">
        <v>-0.45532219999999762</v>
      </c>
      <c r="N1664" s="1">
        <v>66.660946028532592</v>
      </c>
      <c r="O1664" s="1">
        <v>44.798188022284123</v>
      </c>
      <c r="P1664" s="1">
        <v>6025.741273980002</v>
      </c>
    </row>
    <row r="1665" spans="7:16" x14ac:dyDescent="0.2">
      <c r="G1665" s="1">
        <v>45015</v>
      </c>
      <c r="H1665" s="1">
        <v>6.6537628999999994</v>
      </c>
      <c r="I1665" s="1">
        <v>-6.5335039000000004</v>
      </c>
      <c r="J1665" s="1">
        <v>0.1202590000000003</v>
      </c>
      <c r="N1665" s="1">
        <v>67.784607594887362</v>
      </c>
      <c r="O1665" s="1">
        <v>45.857869359331481</v>
      </c>
      <c r="P1665" s="1">
        <v>6082.2799617799992</v>
      </c>
    </row>
    <row r="1666" spans="7:16" x14ac:dyDescent="0.2">
      <c r="G1666" s="1">
        <v>45016</v>
      </c>
      <c r="H1666" s="1">
        <v>5.1393409000000005</v>
      </c>
      <c r="I1666" s="1">
        <v>-5.6123243</v>
      </c>
      <c r="J1666" s="1">
        <v>-0.47298340000000044</v>
      </c>
      <c r="N1666" s="1">
        <v>69.754405019449948</v>
      </c>
      <c r="O1666" s="1">
        <v>47.053033147632291</v>
      </c>
      <c r="P1666" s="1">
        <v>6119.9285683300004</v>
      </c>
    </row>
    <row r="1667" spans="7:16" x14ac:dyDescent="0.2">
      <c r="G1667" s="1">
        <v>45019</v>
      </c>
      <c r="H1667" s="1">
        <v>7.2007650000000023</v>
      </c>
      <c r="I1667" s="1">
        <v>-5.1867705999999991</v>
      </c>
      <c r="J1667" s="1">
        <v>2.0139943999999996</v>
      </c>
      <c r="N1667" s="1">
        <v>70.425347183765979</v>
      </c>
      <c r="O1667" s="1">
        <v>47.700954038997196</v>
      </c>
      <c r="P1667" s="1">
        <v>6177.7134952800016</v>
      </c>
    </row>
    <row r="1668" spans="7:16" x14ac:dyDescent="0.2">
      <c r="G1668" s="1">
        <v>45020</v>
      </c>
      <c r="H1668" s="1">
        <v>5.1619731</v>
      </c>
      <c r="I1668" s="1">
        <v>-5.156116700000001</v>
      </c>
      <c r="J1668" s="1">
        <v>5.8563999999993004E-3</v>
      </c>
      <c r="N1668" s="1">
        <v>69.778941868021803</v>
      </c>
      <c r="O1668" s="1">
        <v>47.399046518105862</v>
      </c>
      <c r="P1668" s="1">
        <v>6206.0942746550008</v>
      </c>
    </row>
    <row r="1669" spans="7:16" x14ac:dyDescent="0.2">
      <c r="G1669" s="1">
        <v>45021</v>
      </c>
      <c r="H1669" s="1">
        <v>5.3773844000000004</v>
      </c>
      <c r="I1669" s="1">
        <v>-2.7458789999999991</v>
      </c>
      <c r="J1669" s="1">
        <v>2.6315054</v>
      </c>
      <c r="N1669" s="1">
        <v>69.064724602164205</v>
      </c>
      <c r="O1669" s="1">
        <v>46.833854874651827</v>
      </c>
      <c r="P1669" s="1">
        <v>6189.8613339299991</v>
      </c>
    </row>
    <row r="1670" spans="7:16" x14ac:dyDescent="0.2">
      <c r="G1670" s="1">
        <v>45022</v>
      </c>
      <c r="H1670" s="1">
        <v>4.3968131000000001</v>
      </c>
      <c r="I1670" s="1">
        <v>-5.0905453999999999</v>
      </c>
      <c r="J1670" s="1">
        <v>-0.69373229999999997</v>
      </c>
      <c r="N1670" s="1">
        <v>69.413843968750712</v>
      </c>
      <c r="O1670" s="1">
        <v>47.058373909006491</v>
      </c>
      <c r="P1670" s="1">
        <v>6170.7610037550003</v>
      </c>
    </row>
    <row r="1671" spans="7:16" x14ac:dyDescent="0.2">
      <c r="G1671" s="1">
        <v>45023</v>
      </c>
      <c r="H1671" s="1">
        <v>0.16996279999999997</v>
      </c>
      <c r="I1671" s="1">
        <v>-0.56801800000000002</v>
      </c>
      <c r="J1671" s="1">
        <v>-0.39805520000000011</v>
      </c>
      <c r="N1671" s="1">
        <v>69.526401691447248</v>
      </c>
      <c r="O1671" s="1">
        <v>47.184879665738158</v>
      </c>
      <c r="P1671" s="1">
        <v>6176.9457914133354</v>
      </c>
    </row>
    <row r="1672" spans="7:16" x14ac:dyDescent="0.2">
      <c r="G1672" s="1">
        <v>45026</v>
      </c>
      <c r="H1672" s="1">
        <v>4.4149539000000004</v>
      </c>
      <c r="I1672" s="1">
        <v>-2.2619690000000001</v>
      </c>
      <c r="J1672" s="1">
        <v>2.1529848999999994</v>
      </c>
      <c r="N1672" s="1">
        <v>69.60796907896173</v>
      </c>
      <c r="O1672" s="1">
        <v>47.250287929433632</v>
      </c>
      <c r="P1672" s="1">
        <v>6183.8821671283331</v>
      </c>
    </row>
    <row r="1673" spans="7:16" x14ac:dyDescent="0.2">
      <c r="G1673" s="1">
        <v>45027</v>
      </c>
      <c r="H1673" s="1">
        <v>5.7807122999999994</v>
      </c>
      <c r="I1673" s="1">
        <v>-2.6709069999999997</v>
      </c>
      <c r="J1673" s="1">
        <v>3.109805300000001</v>
      </c>
      <c r="N1673" s="1">
        <v>69.84317051446925</v>
      </c>
      <c r="O1673" s="1">
        <v>47.698749582172709</v>
      </c>
      <c r="P1673" s="1">
        <v>6188.9763040433336</v>
      </c>
    </row>
    <row r="1674" spans="7:16" x14ac:dyDescent="0.2">
      <c r="G1674" s="1">
        <v>45028</v>
      </c>
      <c r="H1674" s="1">
        <v>5.9672298999999995</v>
      </c>
      <c r="I1674" s="1">
        <v>-3.3652267</v>
      </c>
      <c r="J1674" s="1">
        <v>2.6020031999999995</v>
      </c>
      <c r="N1674" s="1">
        <v>69.462266280385833</v>
      </c>
      <c r="O1674" s="1">
        <v>47.765920891364907</v>
      </c>
      <c r="P1674" s="1">
        <v>6199.2639783799987</v>
      </c>
    </row>
    <row r="1675" spans="7:16" x14ac:dyDescent="0.2">
      <c r="G1675" s="1">
        <v>45029</v>
      </c>
      <c r="H1675" s="1">
        <v>8.836828800000001</v>
      </c>
      <c r="I1675" s="1">
        <v>-5.2362358000000011</v>
      </c>
      <c r="J1675" s="1">
        <v>3.600592999999999</v>
      </c>
      <c r="N1675" s="1">
        <v>71.415254038601489</v>
      </c>
      <c r="O1675" s="1">
        <v>49.041580222841226</v>
      </c>
      <c r="P1675" s="1">
        <v>6196.3738491799977</v>
      </c>
    </row>
    <row r="1676" spans="7:16" x14ac:dyDescent="0.2">
      <c r="G1676" s="1">
        <v>45030</v>
      </c>
      <c r="H1676" s="1">
        <v>4.4769997999999998</v>
      </c>
      <c r="I1676" s="1">
        <v>-3.7553764999999992</v>
      </c>
      <c r="J1676" s="1">
        <v>0.72162330000000019</v>
      </c>
      <c r="N1676" s="1">
        <v>70.809987072659851</v>
      </c>
      <c r="O1676" s="1">
        <v>48.432303621169901</v>
      </c>
      <c r="P1676" s="1">
        <v>6259.0266407800027</v>
      </c>
    </row>
    <row r="1677" spans="7:16" x14ac:dyDescent="0.2">
      <c r="G1677" s="1">
        <v>45033</v>
      </c>
      <c r="H1677" s="1">
        <v>4.4350680999999996</v>
      </c>
      <c r="I1677" s="1">
        <v>-5.3840893999999997</v>
      </c>
      <c r="J1677" s="1">
        <v>-0.94902129999999962</v>
      </c>
      <c r="N1677" s="1">
        <v>71.228002956811807</v>
      </c>
      <c r="O1677" s="1">
        <v>48.643084122562676</v>
      </c>
      <c r="P1677" s="1">
        <v>6235.5355013800017</v>
      </c>
    </row>
    <row r="1678" spans="7:16" x14ac:dyDescent="0.2">
      <c r="G1678" s="1">
        <v>45034</v>
      </c>
      <c r="H1678" s="1">
        <v>4.6448517000000002</v>
      </c>
      <c r="I1678" s="1">
        <v>-4.1198842999999998</v>
      </c>
      <c r="J1678" s="1">
        <v>0.52496739999999975</v>
      </c>
      <c r="N1678" s="1">
        <v>71.45703316937049</v>
      </c>
      <c r="O1678" s="1">
        <v>48.978953481894173</v>
      </c>
      <c r="P1678" s="1">
        <v>6245.1125171800049</v>
      </c>
    </row>
    <row r="1679" spans="7:16" x14ac:dyDescent="0.2">
      <c r="G1679" s="1">
        <v>45035</v>
      </c>
      <c r="H1679" s="1">
        <v>3.5976055999999992</v>
      </c>
      <c r="I1679" s="1">
        <v>-5.3358975000000006</v>
      </c>
      <c r="J1679" s="1">
        <v>-1.7382919000000001</v>
      </c>
      <c r="N1679" s="1">
        <v>71.238132038698723</v>
      </c>
      <c r="O1679" s="1">
        <v>48.644601114206139</v>
      </c>
      <c r="P1679" s="1">
        <v>6256.1081305799999</v>
      </c>
    </row>
    <row r="1680" spans="7:16" x14ac:dyDescent="0.2">
      <c r="G1680" s="1">
        <v>45036</v>
      </c>
      <c r="H1680" s="1">
        <v>3.8088281000000008</v>
      </c>
      <c r="I1680" s="1">
        <v>-3.9698978999999994</v>
      </c>
      <c r="J1680" s="1">
        <v>-0.1610697999999999</v>
      </c>
      <c r="N1680" s="1">
        <v>70.571346687937634</v>
      </c>
      <c r="O1680" s="1">
        <v>48.310732869080795</v>
      </c>
      <c r="P1680" s="1">
        <v>6243.5635800799982</v>
      </c>
    </row>
    <row r="1681" spans="7:16" x14ac:dyDescent="0.2">
      <c r="G1681" s="1">
        <v>45037</v>
      </c>
      <c r="H1681" s="1">
        <v>3.5856505999999997</v>
      </c>
      <c r="I1681" s="1">
        <v>-3.9198003999999997</v>
      </c>
      <c r="J1681" s="1">
        <v>-0.33414979999999983</v>
      </c>
      <c r="N1681" s="1">
        <v>70.536467432132838</v>
      </c>
      <c r="O1681" s="1">
        <v>48.166735097493024</v>
      </c>
      <c r="P1681" s="1">
        <v>6228.3219036800019</v>
      </c>
    </row>
    <row r="1682" spans="7:16" x14ac:dyDescent="0.2">
      <c r="G1682" s="1">
        <v>45040</v>
      </c>
      <c r="H1682" s="1">
        <v>8.3202961999999996</v>
      </c>
      <c r="I1682" s="1">
        <v>-2.7535954999999999</v>
      </c>
      <c r="J1682" s="1">
        <v>5.5667007000000002</v>
      </c>
      <c r="N1682" s="1">
        <v>70.678082711538991</v>
      </c>
      <c r="O1682" s="1">
        <v>48.323267409470745</v>
      </c>
      <c r="P1682" s="1">
        <v>6224.3050439799999</v>
      </c>
    </row>
    <row r="1683" spans="7:16" x14ac:dyDescent="0.2">
      <c r="G1683" s="1">
        <v>45041</v>
      </c>
      <c r="H1683" s="1">
        <v>4.2175912999999996</v>
      </c>
      <c r="I1683" s="1">
        <v>-2.7590990999999998</v>
      </c>
      <c r="J1683" s="1">
        <v>1.4584921999999998</v>
      </c>
      <c r="N1683" s="1">
        <v>68.354147009314644</v>
      </c>
      <c r="O1683" s="1">
        <v>46.751208077994448</v>
      </c>
      <c r="P1683" s="1">
        <v>6236.1258748799992</v>
      </c>
    </row>
    <row r="1684" spans="7:16" x14ac:dyDescent="0.2">
      <c r="G1684" s="1">
        <v>45042</v>
      </c>
      <c r="H1684" s="1">
        <v>3.4917914999999997</v>
      </c>
      <c r="I1684" s="1">
        <v>-8.0592312999999987</v>
      </c>
      <c r="J1684" s="1">
        <v>-4.5674398000000007</v>
      </c>
      <c r="N1684" s="1">
        <v>67.771378134047779</v>
      </c>
      <c r="O1684" s="1">
        <v>46.254696935933161</v>
      </c>
      <c r="P1684" s="1">
        <v>6171.3086910300017</v>
      </c>
    </row>
    <row r="1685" spans="7:16" x14ac:dyDescent="0.2">
      <c r="G1685" s="1">
        <v>45043</v>
      </c>
      <c r="H1685" s="1">
        <v>3.5246645000000005</v>
      </c>
      <c r="I1685" s="1">
        <v>-6.7048269999999999</v>
      </c>
      <c r="J1685" s="1">
        <v>-3.1801625000000002</v>
      </c>
      <c r="N1685" s="1">
        <v>70.271263676492708</v>
      </c>
      <c r="O1685" s="1">
        <v>47.591322284122555</v>
      </c>
      <c r="P1685" s="1">
        <v>6142.3707091800015</v>
      </c>
    </row>
    <row r="1686" spans="7:16" x14ac:dyDescent="0.2">
      <c r="G1686" s="1">
        <v>45044</v>
      </c>
      <c r="H1686" s="1">
        <v>5.0388998000000012</v>
      </c>
      <c r="I1686" s="1">
        <v>-6.5476507000000002</v>
      </c>
      <c r="J1686" s="1">
        <v>-1.5087509000000001</v>
      </c>
      <c r="N1686" s="1">
        <v>71.537991722743826</v>
      </c>
      <c r="O1686" s="1">
        <v>48.584262116991653</v>
      </c>
      <c r="P1686" s="1">
        <v>6208.9973073800002</v>
      </c>
    </row>
    <row r="1687" spans="7:16" x14ac:dyDescent="0.2">
      <c r="G1687" s="1">
        <v>45047</v>
      </c>
      <c r="H1687" s="1">
        <v>5.9143029000000009</v>
      </c>
      <c r="I1687" s="1">
        <v>-3.3764124</v>
      </c>
      <c r="J1687" s="1">
        <v>2.5378905</v>
      </c>
      <c r="N1687" s="1">
        <v>71.394550125237274</v>
      </c>
      <c r="O1687" s="1">
        <v>48.239944080779956</v>
      </c>
      <c r="P1687" s="1">
        <v>6248.6569875799987</v>
      </c>
    </row>
    <row r="1688" spans="7:16" x14ac:dyDescent="0.2">
      <c r="G1688" s="1">
        <v>45048</v>
      </c>
      <c r="H1688" s="1">
        <v>4.0202976999999995</v>
      </c>
      <c r="I1688" s="1">
        <v>-6.2642273999999993</v>
      </c>
      <c r="J1688" s="1">
        <v>-2.2439296999999994</v>
      </c>
      <c r="N1688" s="1">
        <v>69.814262889063087</v>
      </c>
      <c r="O1688" s="1">
        <v>47.119900974930367</v>
      </c>
      <c r="P1688" s="1">
        <v>6247.5196527050011</v>
      </c>
    </row>
    <row r="1689" spans="7:16" x14ac:dyDescent="0.2">
      <c r="G1689" s="1">
        <v>45049</v>
      </c>
      <c r="H1689" s="1">
        <v>3.8580980999999999</v>
      </c>
      <c r="I1689" s="1">
        <v>-3.9862622999999995</v>
      </c>
      <c r="J1689" s="1">
        <v>-0.12816419999999998</v>
      </c>
      <c r="N1689" s="1">
        <v>69.194757353000213</v>
      </c>
      <c r="O1689" s="1">
        <v>46.995810933147631</v>
      </c>
      <c r="P1689" s="1">
        <v>6187.3494420300012</v>
      </c>
    </row>
    <row r="1690" spans="7:16" x14ac:dyDescent="0.2">
      <c r="G1690" s="1">
        <v>45050</v>
      </c>
      <c r="H1690" s="1">
        <v>4.9541045999999991</v>
      </c>
      <c r="I1690" s="1">
        <v>-7.0473432000000011</v>
      </c>
      <c r="J1690" s="1">
        <v>-2.0932385999999998</v>
      </c>
      <c r="N1690" s="1">
        <v>68.346334821136608</v>
      </c>
      <c r="O1690" s="1">
        <v>46.504778551532034</v>
      </c>
      <c r="P1690" s="1">
        <v>6174.4428606550009</v>
      </c>
    </row>
    <row r="1691" spans="7:16" x14ac:dyDescent="0.2">
      <c r="G1691" s="1">
        <v>45051</v>
      </c>
      <c r="H1691" s="1">
        <v>7.4913432000000002</v>
      </c>
      <c r="I1691" s="1">
        <v>-4.3454226999999985</v>
      </c>
      <c r="J1691" s="1">
        <v>3.1459204999999999</v>
      </c>
      <c r="N1691" s="1">
        <v>70.983832637245612</v>
      </c>
      <c r="O1691" s="1">
        <v>48.193002785515311</v>
      </c>
      <c r="P1691" s="1">
        <v>6147.5832050799972</v>
      </c>
    </row>
    <row r="1692" spans="7:16" x14ac:dyDescent="0.2">
      <c r="G1692" s="1">
        <v>45054</v>
      </c>
      <c r="H1692" s="1">
        <v>4.1073055999999992</v>
      </c>
      <c r="I1692" s="1">
        <v>-4.9470030000000005</v>
      </c>
      <c r="J1692" s="1">
        <v>-0.83969739999999959</v>
      </c>
      <c r="N1692" s="1">
        <v>71.068226892060622</v>
      </c>
      <c r="O1692" s="1">
        <v>48.220345961002785</v>
      </c>
      <c r="P1692" s="1">
        <v>6226.6012427800006</v>
      </c>
    </row>
    <row r="1693" spans="7:16" x14ac:dyDescent="0.2">
      <c r="G1693" s="1">
        <v>45055</v>
      </c>
      <c r="H1693" s="1">
        <v>5.9728328000000008</v>
      </c>
      <c r="I1693" s="1">
        <v>-5.9901816999999991</v>
      </c>
      <c r="J1693" s="1">
        <v>-1.734889999999896E-2</v>
      </c>
      <c r="N1693" s="1">
        <v>70.393093170065626</v>
      </c>
      <c r="O1693" s="1">
        <v>47.76941754874651</v>
      </c>
      <c r="P1693" s="1">
        <v>6240.6526050899993</v>
      </c>
    </row>
    <row r="1694" spans="7:16" x14ac:dyDescent="0.2">
      <c r="G1694" s="1">
        <v>45056</v>
      </c>
      <c r="H1694" s="1">
        <v>8.9066229000000003</v>
      </c>
      <c r="I1694" s="1">
        <v>-2.7481188999999997</v>
      </c>
      <c r="J1694" s="1">
        <v>6.1585040000000015</v>
      </c>
      <c r="N1694" s="1">
        <v>71.026646605195495</v>
      </c>
      <c r="O1694" s="1">
        <v>47.97456991643454</v>
      </c>
      <c r="P1694" s="1">
        <v>6206.9127875800013</v>
      </c>
    </row>
    <row r="1695" spans="7:16" x14ac:dyDescent="0.2">
      <c r="G1695" s="1">
        <v>45057</v>
      </c>
      <c r="H1695" s="1">
        <v>3.2903728000000001</v>
      </c>
      <c r="I1695" s="1">
        <v>-6.8196759000000027</v>
      </c>
      <c r="J1695" s="1">
        <v>-3.5293030999999999</v>
      </c>
      <c r="N1695" s="1">
        <v>70.592417855555098</v>
      </c>
      <c r="O1695" s="1">
        <v>47.416811977715874</v>
      </c>
      <c r="P1695" s="1">
        <v>6230.0050435799985</v>
      </c>
    </row>
    <row r="1696" spans="7:16" x14ac:dyDescent="0.2">
      <c r="G1696" s="1">
        <v>45058</v>
      </c>
      <c r="H1696" s="1">
        <v>4.1553469999999999</v>
      </c>
      <c r="I1696" s="1">
        <v>-5.5597130000000003</v>
      </c>
      <c r="J1696" s="1">
        <v>-1.404366</v>
      </c>
      <c r="N1696" s="1">
        <v>70.234478086707583</v>
      </c>
      <c r="O1696" s="1">
        <v>47.039000000000009</v>
      </c>
      <c r="P1696" s="1">
        <v>6210.8051707799996</v>
      </c>
    </row>
    <row r="1697" spans="7:16" x14ac:dyDescent="0.2">
      <c r="G1697" s="1">
        <v>45061</v>
      </c>
      <c r="H1697" s="1">
        <v>4.5354811999999995</v>
      </c>
      <c r="I1697" s="1">
        <v>-3.6366944999999995</v>
      </c>
      <c r="J1697" s="1">
        <v>0.89878670000000027</v>
      </c>
      <c r="N1697" s="1">
        <v>71.065176697543848</v>
      </c>
      <c r="O1697" s="1">
        <v>47.921807799442909</v>
      </c>
      <c r="P1697" s="1">
        <v>6195.0615325800009</v>
      </c>
    </row>
    <row r="1698" spans="7:16" x14ac:dyDescent="0.2">
      <c r="G1698" s="1">
        <v>45062</v>
      </c>
      <c r="H1698" s="1">
        <v>5.1310476000000005</v>
      </c>
      <c r="I1698" s="1">
        <v>-4.2398574999999994</v>
      </c>
      <c r="J1698" s="1">
        <v>0.89119009999999954</v>
      </c>
      <c r="N1698" s="1">
        <v>69.9124254127602</v>
      </c>
      <c r="O1698" s="1">
        <v>46.799335376044567</v>
      </c>
      <c r="P1698" s="1">
        <v>6224.5293081799982</v>
      </c>
    </row>
    <row r="1699" spans="7:16" x14ac:dyDescent="0.2">
      <c r="G1699" s="1">
        <v>45063</v>
      </c>
      <c r="H1699" s="1">
        <v>6.4330020999999986</v>
      </c>
      <c r="I1699" s="1">
        <v>-5.5828462999999999</v>
      </c>
      <c r="J1699" s="1">
        <v>0.85015579999999957</v>
      </c>
      <c r="N1699" s="1">
        <v>71.455635245404565</v>
      </c>
      <c r="O1699" s="1">
        <v>47.661044568245124</v>
      </c>
      <c r="P1699" s="1">
        <v>6182.2187233800032</v>
      </c>
    </row>
    <row r="1700" spans="7:16" x14ac:dyDescent="0.2">
      <c r="G1700" s="1">
        <v>45064</v>
      </c>
      <c r="H1700" s="1">
        <v>10.044994600000003</v>
      </c>
      <c r="I1700" s="1">
        <v>-6.2013094000000004</v>
      </c>
      <c r="J1700" s="1">
        <v>3.8436852000000008</v>
      </c>
      <c r="N1700" s="1">
        <v>72.814507238746302</v>
      </c>
      <c r="O1700" s="1">
        <v>48.003659749303608</v>
      </c>
      <c r="P1700" s="1">
        <v>6227.7743814799978</v>
      </c>
    </row>
    <row r="1701" spans="7:16" x14ac:dyDescent="0.2">
      <c r="G1701" s="1">
        <v>45065</v>
      </c>
      <c r="H1701" s="1">
        <v>8.7310230000000004</v>
      </c>
      <c r="I1701" s="1">
        <v>-4.9866257000000012</v>
      </c>
      <c r="J1701" s="1">
        <v>3.7443973000000015</v>
      </c>
      <c r="N1701" s="1">
        <v>72.786441033025369</v>
      </c>
      <c r="O1701" s="1">
        <v>48.22080863509747</v>
      </c>
      <c r="P1701" s="1">
        <v>6264.472671640001</v>
      </c>
    </row>
    <row r="1702" spans="7:16" x14ac:dyDescent="0.2">
      <c r="G1702" s="1">
        <v>45068</v>
      </c>
      <c r="H1702" s="1">
        <v>6.9976923000000006</v>
      </c>
      <c r="I1702" s="1">
        <v>-5.0898064999999999</v>
      </c>
      <c r="J1702" s="1">
        <v>1.9078858000000001</v>
      </c>
      <c r="N1702" s="1">
        <v>72.967836625715734</v>
      </c>
      <c r="O1702" s="1">
        <v>48.398640947075222</v>
      </c>
      <c r="P1702" s="1">
        <v>6260.8196582799992</v>
      </c>
    </row>
    <row r="1703" spans="7:16" x14ac:dyDescent="0.2">
      <c r="G1703" s="1">
        <v>45069</v>
      </c>
      <c r="H1703" s="1">
        <v>5.2192828000000002</v>
      </c>
      <c r="I1703" s="1">
        <v>-5.0024986</v>
      </c>
      <c r="J1703" s="1">
        <v>0.2167842000000002</v>
      </c>
      <c r="N1703" s="1">
        <v>71.270686086950874</v>
      </c>
      <c r="O1703" s="1">
        <v>47.264524233983273</v>
      </c>
      <c r="P1703" s="1">
        <v>6272.2800726800024</v>
      </c>
    </row>
    <row r="1704" spans="7:16" x14ac:dyDescent="0.2">
      <c r="G1704" s="1">
        <v>45070</v>
      </c>
      <c r="H1704" s="1">
        <v>4.6071837999999987</v>
      </c>
      <c r="I1704" s="1">
        <v>-4.4852482000000009</v>
      </c>
      <c r="J1704" s="1">
        <v>0.12193559999999842</v>
      </c>
      <c r="N1704" s="1">
        <v>69.817403109511901</v>
      </c>
      <c r="O1704" s="1">
        <v>45.897385793871862</v>
      </c>
      <c r="P1704" s="1">
        <v>6221.9821021800008</v>
      </c>
    </row>
    <row r="1705" spans="7:16" x14ac:dyDescent="0.2">
      <c r="G1705" s="1">
        <v>45071</v>
      </c>
      <c r="H1705" s="1">
        <v>6.8601860999999982</v>
      </c>
      <c r="I1705" s="1">
        <v>-5.0693333000000003</v>
      </c>
      <c r="J1705" s="1">
        <v>1.7908527999999997</v>
      </c>
      <c r="N1705" s="1">
        <v>70.896197590321336</v>
      </c>
      <c r="O1705" s="1">
        <v>45.734794707520891</v>
      </c>
      <c r="P1705" s="1">
        <v>6169.8375916799987</v>
      </c>
    </row>
    <row r="1706" spans="7:16" x14ac:dyDescent="0.2">
      <c r="G1706" s="1">
        <v>45072</v>
      </c>
      <c r="H1706" s="1">
        <v>3.6112784000000002</v>
      </c>
      <c r="I1706" s="1">
        <v>-3.2306686000000004</v>
      </c>
      <c r="J1706" s="1">
        <v>0.38060979999999978</v>
      </c>
      <c r="N1706" s="1">
        <v>73.068524716613467</v>
      </c>
      <c r="O1706" s="1">
        <v>47.027967409470762</v>
      </c>
      <c r="P1706" s="1">
        <v>6180.4513728799984</v>
      </c>
    </row>
    <row r="1707" spans="7:16" x14ac:dyDescent="0.2">
      <c r="G1707" s="1">
        <v>45075</v>
      </c>
      <c r="H1707" s="1">
        <v>0.25907219999999997</v>
      </c>
      <c r="I1707" s="1">
        <v>-1.088678</v>
      </c>
      <c r="J1707" s="1">
        <v>-0.82960580000000006</v>
      </c>
      <c r="N1707" s="1">
        <v>73.312836871775858</v>
      </c>
      <c r="O1707" s="1">
        <v>46.980984818941501</v>
      </c>
      <c r="P1707" s="1">
        <v>6238.5458992800013</v>
      </c>
    </row>
    <row r="1708" spans="7:16" x14ac:dyDescent="0.2">
      <c r="G1708" s="1">
        <v>45076</v>
      </c>
      <c r="H1708" s="1">
        <v>12.8517809</v>
      </c>
      <c r="I1708" s="1">
        <v>-3.9809452000000007</v>
      </c>
      <c r="J1708" s="1">
        <v>8.8708357000000007</v>
      </c>
      <c r="N1708" s="1">
        <v>73.382460079198779</v>
      </c>
      <c r="O1708" s="1">
        <v>46.853734540389979</v>
      </c>
      <c r="P1708" s="1">
        <v>6258.8523766199996</v>
      </c>
    </row>
    <row r="1709" spans="7:16" x14ac:dyDescent="0.2">
      <c r="G1709" s="1">
        <v>45077</v>
      </c>
      <c r="H1709" s="1">
        <v>10.381564600000001</v>
      </c>
      <c r="I1709" s="1">
        <v>-2.8740975000000004</v>
      </c>
      <c r="J1709" s="1">
        <v>7.5074671000000004</v>
      </c>
      <c r="N1709" s="1">
        <v>72.315128071848292</v>
      </c>
      <c r="O1709" s="1">
        <v>45.778777437325914</v>
      </c>
      <c r="P1709" s="1">
        <v>6247.6115482799978</v>
      </c>
    </row>
    <row r="1710" spans="7:16" x14ac:dyDescent="0.2">
      <c r="G1710" s="1">
        <v>45078</v>
      </c>
      <c r="H1710" s="1">
        <v>6.8070903999999981</v>
      </c>
      <c r="I1710" s="1">
        <v>-13.073495400000001</v>
      </c>
      <c r="J1710" s="1">
        <v>-6.2664049999999989</v>
      </c>
      <c r="N1710" s="1">
        <v>73.918797155567404</v>
      </c>
      <c r="O1710" s="1">
        <v>47.295240668523697</v>
      </c>
      <c r="P1710" s="1">
        <v>6217.7268072799998</v>
      </c>
    </row>
    <row r="1711" spans="7:16" x14ac:dyDescent="0.2">
      <c r="G1711" s="1">
        <v>45079</v>
      </c>
      <c r="H1711" s="1">
        <v>6.5827277000000004</v>
      </c>
      <c r="I1711" s="1">
        <v>-5.8715652</v>
      </c>
      <c r="J1711" s="1">
        <v>0.71116249999999992</v>
      </c>
      <c r="N1711" s="1">
        <v>76.231705987008553</v>
      </c>
      <c r="O1711" s="1">
        <v>49.249417548746514</v>
      </c>
      <c r="P1711" s="1">
        <v>6269.5779292800007</v>
      </c>
    </row>
    <row r="1712" spans="7:16" x14ac:dyDescent="0.2">
      <c r="G1712" s="1">
        <v>45082</v>
      </c>
      <c r="H1712" s="1">
        <v>5.7246898000000002</v>
      </c>
      <c r="I1712" s="1">
        <v>-6.5470249000000011</v>
      </c>
      <c r="J1712" s="1">
        <v>-0.82233510000000076</v>
      </c>
      <c r="N1712" s="1">
        <v>75.992776736739614</v>
      </c>
      <c r="O1712" s="1">
        <v>49.004812534818925</v>
      </c>
      <c r="P1712" s="1">
        <v>6346.2839311799989</v>
      </c>
    </row>
    <row r="1713" spans="7:16" x14ac:dyDescent="0.2">
      <c r="G1713" s="1">
        <v>45083</v>
      </c>
      <c r="H1713" s="1">
        <v>5.5359515999999998</v>
      </c>
      <c r="I1713" s="1">
        <v>-3.4877606999999999</v>
      </c>
      <c r="J1713" s="1">
        <v>2.0481908999999994</v>
      </c>
      <c r="N1713" s="1">
        <v>76.64883639153453</v>
      </c>
      <c r="O1713" s="1">
        <v>49.727400835654592</v>
      </c>
      <c r="P1713" s="1">
        <v>6340.2569789799991</v>
      </c>
    </row>
    <row r="1714" spans="7:16" x14ac:dyDescent="0.2">
      <c r="G1714" s="1">
        <v>45084</v>
      </c>
      <c r="H1714" s="1">
        <v>14.80879330000001</v>
      </c>
      <c r="I1714" s="1">
        <v>-4.4642833</v>
      </c>
      <c r="J1714" s="1">
        <v>10.344510000000009</v>
      </c>
      <c r="N1714" s="1">
        <v>75.891377591506867</v>
      </c>
      <c r="O1714" s="1">
        <v>49.507655710306409</v>
      </c>
      <c r="P1714" s="1">
        <v>6372.0014533799995</v>
      </c>
    </row>
    <row r="1715" spans="7:16" x14ac:dyDescent="0.2">
      <c r="G1715" s="1">
        <v>45085</v>
      </c>
      <c r="H1715" s="1">
        <v>6.6597732999999995</v>
      </c>
      <c r="I1715" s="1">
        <v>-2.6393339999999998</v>
      </c>
      <c r="J1715" s="1">
        <v>4.0204392999999996</v>
      </c>
      <c r="N1715" s="1">
        <v>76.890754690659804</v>
      </c>
      <c r="O1715" s="1">
        <v>50.178227576601678</v>
      </c>
      <c r="P1715" s="1">
        <v>6354.0154388799992</v>
      </c>
    </row>
    <row r="1716" spans="7:16" x14ac:dyDescent="0.2">
      <c r="G1716" s="1">
        <v>45086</v>
      </c>
      <c r="H1716" s="1">
        <v>6.5019777000000003</v>
      </c>
      <c r="I1716" s="1">
        <v>-3.0732006000000003</v>
      </c>
      <c r="J1716" s="1">
        <v>3.4287771000000005</v>
      </c>
      <c r="N1716" s="1">
        <v>77.181390513588298</v>
      </c>
      <c r="O1716" s="1">
        <v>50.225436490250694</v>
      </c>
      <c r="P1716" s="1">
        <v>6389.1952456799991</v>
      </c>
    </row>
    <row r="1717" spans="7:16" x14ac:dyDescent="0.2">
      <c r="G1717" s="1">
        <v>45089</v>
      </c>
      <c r="H1717" s="1">
        <v>6.6000808999999991</v>
      </c>
      <c r="I1717" s="1">
        <v>-5.569536499999999</v>
      </c>
      <c r="J1717" s="1">
        <v>1.0305443999999992</v>
      </c>
      <c r="N1717" s="1">
        <v>78.635798190391128</v>
      </c>
      <c r="O1717" s="1">
        <v>50.761922841225633</v>
      </c>
      <c r="P1717" s="1">
        <v>6396.8525876800004</v>
      </c>
    </row>
    <row r="1718" spans="7:16" x14ac:dyDescent="0.2">
      <c r="G1718" s="1">
        <v>45090</v>
      </c>
      <c r="H1718" s="1">
        <v>8.7399796000000016</v>
      </c>
      <c r="I1718" s="1">
        <v>-1.6426903999999998</v>
      </c>
      <c r="J1718" s="1">
        <v>7.0972892000000005</v>
      </c>
      <c r="N1718" s="1">
        <v>79.968821905156403</v>
      </c>
      <c r="O1718" s="1">
        <v>51.886458774373239</v>
      </c>
      <c r="P1718" s="1">
        <v>6433.5459002300004</v>
      </c>
    </row>
    <row r="1719" spans="7:16" x14ac:dyDescent="0.2">
      <c r="G1719" s="1">
        <v>45091</v>
      </c>
      <c r="H1719" s="1">
        <v>16.936883799999997</v>
      </c>
      <c r="I1719" s="1">
        <v>-8.4506652999999972</v>
      </c>
      <c r="J1719" s="1">
        <v>8.4862184999999979</v>
      </c>
      <c r="N1719" s="1">
        <v>80.436996704576913</v>
      </c>
      <c r="O1719" s="1">
        <v>52.220215320334255</v>
      </c>
      <c r="P1719" s="1">
        <v>6481.5301362799974</v>
      </c>
    </row>
    <row r="1720" spans="7:16" x14ac:dyDescent="0.2">
      <c r="G1720" s="1">
        <v>45092</v>
      </c>
      <c r="H1720" s="1">
        <v>12.229687899999998</v>
      </c>
      <c r="I1720" s="1">
        <v>-6.6194797999999979</v>
      </c>
      <c r="J1720" s="1">
        <v>5.6102080999999995</v>
      </c>
      <c r="N1720" s="1">
        <v>82.308338133508684</v>
      </c>
      <c r="O1720" s="1">
        <v>53.394595821727016</v>
      </c>
      <c r="P1720" s="1">
        <v>6503.4936244799992</v>
      </c>
    </row>
    <row r="1721" spans="7:16" x14ac:dyDescent="0.2">
      <c r="G1721" s="1">
        <v>45093</v>
      </c>
      <c r="H1721" s="1">
        <v>5.8086946999999984</v>
      </c>
      <c r="I1721" s="1">
        <v>-15.494191100000002</v>
      </c>
      <c r="J1721" s="1">
        <v>-9.6854964000000017</v>
      </c>
      <c r="N1721" s="1">
        <v>81.652491020981216</v>
      </c>
      <c r="O1721" s="1">
        <v>53.266826740947096</v>
      </c>
      <c r="P1721" s="1">
        <v>6564.7920815799998</v>
      </c>
    </row>
    <row r="1722" spans="7:16" x14ac:dyDescent="0.2">
      <c r="G1722" s="1">
        <v>45096</v>
      </c>
      <c r="H1722" s="1">
        <v>0.3933178</v>
      </c>
      <c r="I1722" s="1">
        <v>-1.351899</v>
      </c>
      <c r="J1722" s="1">
        <v>-0.95858120000000013</v>
      </c>
      <c r="N1722" s="1">
        <v>80.980464404305664</v>
      </c>
      <c r="O1722" s="1">
        <v>52.505993454039007</v>
      </c>
      <c r="P1722" s="1">
        <v>6542.1009608799995</v>
      </c>
    </row>
    <row r="1723" spans="7:16" x14ac:dyDescent="0.2">
      <c r="G1723" s="1">
        <v>45097</v>
      </c>
      <c r="H1723" s="1">
        <v>10.552294600000003</v>
      </c>
      <c r="I1723" s="1">
        <v>-9.5198334999999989</v>
      </c>
      <c r="J1723" s="1">
        <v>1.0324611000000024</v>
      </c>
      <c r="N1723" s="1">
        <v>80.430366701785019</v>
      </c>
      <c r="O1723" s="1">
        <v>51.915147075208885</v>
      </c>
      <c r="P1723" s="1">
        <v>6505.52110868</v>
      </c>
    </row>
    <row r="1724" spans="7:16" x14ac:dyDescent="0.2">
      <c r="G1724" s="1">
        <v>45098</v>
      </c>
      <c r="H1724" s="1">
        <v>13.553263700000002</v>
      </c>
      <c r="I1724" s="1">
        <v>-7.1395088000000007</v>
      </c>
      <c r="J1724" s="1">
        <v>6.4137548999999998</v>
      </c>
      <c r="N1724" s="1">
        <v>79.595331819157295</v>
      </c>
      <c r="O1724" s="1">
        <v>51.647093314763218</v>
      </c>
      <c r="P1724" s="1">
        <v>6487.2581351800018</v>
      </c>
    </row>
    <row r="1725" spans="7:16" x14ac:dyDescent="0.2">
      <c r="G1725" s="1">
        <v>45099</v>
      </c>
      <c r="H1725" s="1">
        <v>2.6210353000000004</v>
      </c>
      <c r="I1725" s="1">
        <v>-11.088064900000004</v>
      </c>
      <c r="J1725" s="1">
        <v>-8.4670296000000054</v>
      </c>
      <c r="N1725" s="1">
        <v>79.760261391851131</v>
      </c>
      <c r="O1725" s="1">
        <v>51.104988672237688</v>
      </c>
      <c r="P1725" s="1">
        <v>6474.9254870799969</v>
      </c>
    </row>
    <row r="1726" spans="7:16" x14ac:dyDescent="0.2">
      <c r="G1726" s="1">
        <v>45100</v>
      </c>
      <c r="H1726" s="1">
        <v>6.8979089999999994</v>
      </c>
      <c r="I1726" s="1">
        <v>-11.6486915</v>
      </c>
      <c r="J1726" s="1">
        <v>-4.7507824999999988</v>
      </c>
      <c r="N1726" s="1">
        <v>78.117536438311902</v>
      </c>
      <c r="O1726" s="1">
        <v>49.76206146703808</v>
      </c>
      <c r="P1726" s="1">
        <v>6454.5437389133313</v>
      </c>
    </row>
    <row r="1727" spans="7:16" x14ac:dyDescent="0.2">
      <c r="G1727" s="1">
        <v>45103</v>
      </c>
      <c r="H1727" s="1">
        <v>6.1481045999999999</v>
      </c>
      <c r="I1727" s="1">
        <v>-2.8325848999999996</v>
      </c>
      <c r="J1727" s="1">
        <v>3.3155196999999994</v>
      </c>
      <c r="N1727" s="1">
        <v>77.665262592613686</v>
      </c>
      <c r="O1727" s="1">
        <v>49.984608356545969</v>
      </c>
      <c r="P1727" s="1">
        <v>6399.9582513466657</v>
      </c>
    </row>
    <row r="1728" spans="7:16" x14ac:dyDescent="0.2">
      <c r="G1728" s="1">
        <v>45104</v>
      </c>
      <c r="H1728" s="1">
        <v>6.665497799999998</v>
      </c>
      <c r="I1728" s="1">
        <v>-3.6232615000000004</v>
      </c>
      <c r="J1728" s="1">
        <v>3.0422362999999999</v>
      </c>
      <c r="N1728" s="1">
        <v>79.519615339687675</v>
      </c>
      <c r="O1728" s="1">
        <v>50.999036211699185</v>
      </c>
      <c r="P1728" s="1">
        <v>6393.4701063800003</v>
      </c>
    </row>
    <row r="1729" spans="7:16" x14ac:dyDescent="0.2">
      <c r="G1729" s="1">
        <v>45105</v>
      </c>
      <c r="H1729" s="1">
        <v>6.5935201000000001</v>
      </c>
      <c r="I1729" s="1">
        <v>-3.1150067000000004</v>
      </c>
      <c r="J1729" s="1">
        <v>3.4785134000000002</v>
      </c>
      <c r="N1729" s="1">
        <v>79.800734566466545</v>
      </c>
      <c r="O1729" s="1">
        <v>51.161191643454046</v>
      </c>
      <c r="P1729" s="1">
        <v>6442.7530427800002</v>
      </c>
    </row>
    <row r="1730" spans="7:16" x14ac:dyDescent="0.2">
      <c r="G1730" s="1">
        <v>45106</v>
      </c>
      <c r="H1730" s="1">
        <v>10.620516300000002</v>
      </c>
      <c r="I1730" s="1">
        <v>-3.9000691999999995</v>
      </c>
      <c r="J1730" s="1">
        <v>6.7204471000000003</v>
      </c>
      <c r="N1730" s="1">
        <v>80.350276387717898</v>
      </c>
      <c r="O1730" s="1">
        <v>51.38267576601671</v>
      </c>
      <c r="P1730" s="1">
        <v>6457.1790402800007</v>
      </c>
    </row>
    <row r="1731" spans="7:16" x14ac:dyDescent="0.2">
      <c r="G1731" s="1">
        <v>45107</v>
      </c>
      <c r="H1731" s="1">
        <v>10.957973800000001</v>
      </c>
      <c r="I1731" s="1">
        <v>-3.2734428999999996</v>
      </c>
      <c r="J1731" s="1">
        <v>7.6845309000000004</v>
      </c>
      <c r="N1731" s="1">
        <v>82.347148724473897</v>
      </c>
      <c r="O1731" s="1">
        <v>52.645562395543188</v>
      </c>
      <c r="P1731" s="1">
        <v>6471.7248346800015</v>
      </c>
    </row>
    <row r="1732" spans="7:16" x14ac:dyDescent="0.2">
      <c r="G1732" s="1">
        <v>45110</v>
      </c>
      <c r="H1732" s="1">
        <v>6.5285298999999997</v>
      </c>
      <c r="I1732" s="1">
        <v>-4.4196494</v>
      </c>
      <c r="J1732" s="1">
        <v>2.1088804999999997</v>
      </c>
      <c r="N1732" s="1">
        <v>82.829279055077293</v>
      </c>
      <c r="O1732" s="1">
        <v>53.188391922005586</v>
      </c>
      <c r="P1732" s="1">
        <v>6533.5768619799974</v>
      </c>
    </row>
    <row r="1733" spans="7:16" x14ac:dyDescent="0.2">
      <c r="G1733" s="1">
        <v>45111</v>
      </c>
      <c r="H1733" s="1">
        <v>1.1238772999999997</v>
      </c>
      <c r="I1733" s="1">
        <v>-0.67746419999999996</v>
      </c>
      <c r="J1733" s="1">
        <v>0.44641310000000001</v>
      </c>
      <c r="N1733" s="1">
        <v>82.504631942264425</v>
      </c>
      <c r="O1733" s="1">
        <v>52.887934818941496</v>
      </c>
      <c r="P1733" s="1">
        <v>6553.315976830002</v>
      </c>
    </row>
    <row r="1734" spans="7:16" x14ac:dyDescent="0.2">
      <c r="G1734" s="1">
        <v>45112</v>
      </c>
      <c r="H1734" s="1">
        <v>6.2482606999999994</v>
      </c>
      <c r="I1734" s="1">
        <v>-8.5716867000000008</v>
      </c>
      <c r="J1734" s="1">
        <v>-2.323426</v>
      </c>
      <c r="N1734" s="1">
        <v>82.147318208979698</v>
      </c>
      <c r="O1734" s="1">
        <v>52.35462534818943</v>
      </c>
      <c r="P1734" s="1">
        <v>6539.2657289299977</v>
      </c>
    </row>
    <row r="1735" spans="7:16" x14ac:dyDescent="0.2">
      <c r="G1735" s="1">
        <v>45113</v>
      </c>
      <c r="H1735" s="1">
        <v>8.2065748000000003</v>
      </c>
      <c r="I1735" s="1">
        <v>-5.8475529999999987</v>
      </c>
      <c r="J1735" s="1">
        <v>2.3590218000000012</v>
      </c>
      <c r="N1735" s="1">
        <v>80.466433255654493</v>
      </c>
      <c r="O1735" s="1">
        <v>50.540077994428962</v>
      </c>
      <c r="P1735" s="1">
        <v>6521.5974677800014</v>
      </c>
    </row>
    <row r="1736" spans="7:16" x14ac:dyDescent="0.2">
      <c r="G1736" s="1">
        <v>45114</v>
      </c>
      <c r="H1736" s="1">
        <v>6.3426989000000011</v>
      </c>
      <c r="I1736" s="1">
        <v>-2.7413994999999995</v>
      </c>
      <c r="J1736" s="1">
        <v>3.6012993999999994</v>
      </c>
      <c r="N1736" s="1">
        <v>80.553268934475852</v>
      </c>
      <c r="O1736" s="1">
        <v>51.124879944289702</v>
      </c>
      <c r="P1736" s="1">
        <v>6455.1800787800012</v>
      </c>
    </row>
    <row r="1737" spans="7:16" x14ac:dyDescent="0.2">
      <c r="G1737" s="1">
        <v>45117</v>
      </c>
      <c r="H1737" s="1">
        <v>7.1624903999999985</v>
      </c>
      <c r="I1737" s="1">
        <v>-5.5691873999999988</v>
      </c>
      <c r="J1737" s="1">
        <v>1.5933030000000004</v>
      </c>
      <c r="N1737" s="1">
        <v>81.185977717501899</v>
      </c>
      <c r="O1737" s="1">
        <v>51.604015320334263</v>
      </c>
      <c r="P1737" s="1">
        <v>6465.9994335799984</v>
      </c>
    </row>
    <row r="1738" spans="7:16" x14ac:dyDescent="0.2">
      <c r="G1738" s="1">
        <v>45118</v>
      </c>
      <c r="H1738" s="1">
        <v>6.0440762000000001</v>
      </c>
      <c r="I1738" s="1">
        <v>-4.9844584000000003</v>
      </c>
      <c r="J1738" s="1">
        <v>1.0596177999999998</v>
      </c>
      <c r="N1738" s="1">
        <v>82.389210320403507</v>
      </c>
      <c r="O1738" s="1">
        <v>52.732611420612791</v>
      </c>
      <c r="P1738" s="1">
        <v>6489.422012680001</v>
      </c>
    </row>
    <row r="1739" spans="7:16" x14ac:dyDescent="0.2">
      <c r="G1739" s="1">
        <v>45119</v>
      </c>
      <c r="H1739" s="1">
        <v>11.261598999999995</v>
      </c>
      <c r="I1739" s="1">
        <v>-2.5218826999999999</v>
      </c>
      <c r="J1739" s="1">
        <v>8.739716299999996</v>
      </c>
      <c r="N1739" s="1">
        <v>84.109330492434495</v>
      </c>
      <c r="O1739" s="1">
        <v>54.403315320334251</v>
      </c>
      <c r="P1739" s="1">
        <v>6535.1115166800018</v>
      </c>
    </row>
    <row r="1740" spans="7:16" x14ac:dyDescent="0.2">
      <c r="G1740" s="1">
        <v>45120</v>
      </c>
      <c r="H1740" s="1">
        <v>6.3630992999999991</v>
      </c>
      <c r="I1740" s="1">
        <v>-5.4263570000000003</v>
      </c>
      <c r="J1740" s="1">
        <v>0.93674229999999981</v>
      </c>
      <c r="N1740" s="1">
        <v>85.824716323294851</v>
      </c>
      <c r="O1740" s="1">
        <v>55.818084679665752</v>
      </c>
      <c r="P1740" s="1">
        <v>6607.0335590800032</v>
      </c>
    </row>
    <row r="1741" spans="7:16" x14ac:dyDescent="0.2">
      <c r="G1741" s="1">
        <v>45121</v>
      </c>
      <c r="H1741" s="1">
        <v>6.4376175</v>
      </c>
      <c r="I1741" s="1">
        <v>-9.6792199000000014</v>
      </c>
      <c r="J1741" s="1">
        <v>-3.2416024000000001</v>
      </c>
      <c r="N1741" s="1">
        <v>85.423081561753278</v>
      </c>
      <c r="O1741" s="1">
        <v>55.344761281337043</v>
      </c>
      <c r="P1741" s="1">
        <v>6665.1794770799997</v>
      </c>
    </row>
    <row r="1742" spans="7:16" x14ac:dyDescent="0.2">
      <c r="G1742" s="1">
        <v>45124</v>
      </c>
      <c r="H1742" s="1">
        <v>9.2590123000000002</v>
      </c>
      <c r="I1742" s="1">
        <v>-7.5804748999999996</v>
      </c>
      <c r="J1742" s="1">
        <v>1.6785373999999988</v>
      </c>
      <c r="N1742" s="1">
        <v>86.230845499680242</v>
      </c>
      <c r="O1742" s="1">
        <v>55.479777715877439</v>
      </c>
      <c r="P1742" s="1">
        <v>6639.8107166799991</v>
      </c>
    </row>
    <row r="1743" spans="7:16" x14ac:dyDescent="0.2">
      <c r="G1743" s="1">
        <v>45125</v>
      </c>
      <c r="H1743" s="1">
        <v>7.9633960999999998</v>
      </c>
      <c r="I1743" s="1">
        <v>-2.9501932999999996</v>
      </c>
      <c r="J1743" s="1">
        <v>5.0132027999999993</v>
      </c>
      <c r="N1743" s="1">
        <v>87.499395709348249</v>
      </c>
      <c r="O1743" s="1">
        <v>56.203190529247905</v>
      </c>
      <c r="P1743" s="1">
        <v>6657.5728992800005</v>
      </c>
    </row>
    <row r="1744" spans="7:16" x14ac:dyDescent="0.2">
      <c r="G1744" s="1">
        <v>45126</v>
      </c>
      <c r="H1744" s="1">
        <v>4.4793868000000003</v>
      </c>
      <c r="I1744" s="1">
        <v>-8.2899620000000009</v>
      </c>
      <c r="J1744" s="1">
        <v>-3.8105751999999988</v>
      </c>
      <c r="N1744" s="1">
        <v>87.868875407156239</v>
      </c>
      <c r="O1744" s="1">
        <v>56.591133704735377</v>
      </c>
      <c r="P1744" s="1">
        <v>6698.16397108</v>
      </c>
    </row>
    <row r="1745" spans="7:16" x14ac:dyDescent="0.2">
      <c r="G1745" s="1">
        <v>45127</v>
      </c>
      <c r="H1745" s="1">
        <v>15.515602799999998</v>
      </c>
      <c r="I1745" s="1">
        <v>-11.701651700000001</v>
      </c>
      <c r="J1745" s="1">
        <v>3.8139511000000019</v>
      </c>
      <c r="N1745" s="1">
        <v>86.251082261140013</v>
      </c>
      <c r="O1745" s="1">
        <v>55.769905571030648</v>
      </c>
      <c r="P1745" s="1">
        <v>6712.4283616799976</v>
      </c>
    </row>
    <row r="1746" spans="7:16" x14ac:dyDescent="0.2">
      <c r="G1746" s="1">
        <v>45128</v>
      </c>
      <c r="H1746" s="1">
        <v>9.0805670999999979</v>
      </c>
      <c r="I1746" s="1">
        <v>-5.5539768999999994</v>
      </c>
      <c r="J1746" s="1">
        <v>3.5265901999999993</v>
      </c>
      <c r="N1746" s="1">
        <v>86.177247585209145</v>
      </c>
      <c r="O1746" s="1">
        <v>55.852246796657404</v>
      </c>
      <c r="P1746" s="1">
        <v>6674.2915431799993</v>
      </c>
    </row>
    <row r="1747" spans="7:16" x14ac:dyDescent="0.2">
      <c r="G1747" s="1">
        <v>45131</v>
      </c>
      <c r="H1747" s="1">
        <v>5.1192887999999996</v>
      </c>
      <c r="I1747" s="1">
        <v>-6.3271691999999984</v>
      </c>
      <c r="J1747" s="1">
        <v>-1.2078804000000001</v>
      </c>
      <c r="N1747" s="1">
        <v>86.739878027548428</v>
      </c>
      <c r="O1747" s="1">
        <v>56.226724233983312</v>
      </c>
      <c r="P1747" s="1">
        <v>6674.0517527800012</v>
      </c>
    </row>
    <row r="1748" spans="7:16" x14ac:dyDescent="0.2">
      <c r="G1748" s="1">
        <v>45132</v>
      </c>
      <c r="H1748" s="1">
        <v>6.2902185999999984</v>
      </c>
      <c r="I1748" s="1">
        <v>-2.7149858999999994</v>
      </c>
      <c r="J1748" s="1">
        <v>3.5752326999999995</v>
      </c>
      <c r="N1748" s="1">
        <v>87.352899998366766</v>
      </c>
      <c r="O1748" s="1">
        <v>56.612140111420644</v>
      </c>
      <c r="P1748" s="1">
        <v>6695.077739979999</v>
      </c>
    </row>
    <row r="1749" spans="7:16" x14ac:dyDescent="0.2">
      <c r="G1749" s="1">
        <v>45133</v>
      </c>
      <c r="H1749" s="1">
        <v>9.9897863000000005</v>
      </c>
      <c r="I1749" s="1">
        <v>-3.3284066999999999</v>
      </c>
      <c r="J1749" s="1">
        <v>6.6613796000000001</v>
      </c>
      <c r="N1749" s="1">
        <v>87.418392011602336</v>
      </c>
      <c r="O1749" s="1">
        <v>56.790519220055735</v>
      </c>
      <c r="P1749" s="1">
        <v>6715.2233765800001</v>
      </c>
    </row>
    <row r="1750" spans="7:16" x14ac:dyDescent="0.2">
      <c r="G1750" s="1">
        <v>45134</v>
      </c>
      <c r="H1750" s="1">
        <v>6.6678449999999998</v>
      </c>
      <c r="I1750" s="1">
        <v>-7.365323899999999</v>
      </c>
      <c r="J1750" s="1">
        <v>-0.69747889999999946</v>
      </c>
      <c r="N1750" s="1">
        <v>86.270546079381631</v>
      </c>
      <c r="O1750" s="1">
        <v>56.094456267409484</v>
      </c>
      <c r="P1750" s="1">
        <v>6730.6082897800025</v>
      </c>
    </row>
    <row r="1751" spans="7:16" x14ac:dyDescent="0.2">
      <c r="G1751" s="1">
        <v>45135</v>
      </c>
      <c r="H1751" s="1">
        <v>6.3735001999999996</v>
      </c>
      <c r="I1751" s="1">
        <v>-2.8806181999999998</v>
      </c>
      <c r="J1751" s="1">
        <v>3.4928819999999994</v>
      </c>
      <c r="N1751" s="1">
        <v>88.086296369372391</v>
      </c>
      <c r="O1751" s="1">
        <v>57.293150139275774</v>
      </c>
      <c r="P1751" s="1">
        <v>6689.4413080800014</v>
      </c>
    </row>
    <row r="1752" spans="7:16" x14ac:dyDescent="0.2">
      <c r="G1752" s="1">
        <v>45138</v>
      </c>
      <c r="H1752" s="1">
        <v>6.0287262999999998</v>
      </c>
      <c r="I1752" s="1">
        <v>-6.4006937000000006</v>
      </c>
      <c r="J1752" s="1">
        <v>-0.37196739999999945</v>
      </c>
      <c r="N1752" s="1">
        <v>88.443102971594712</v>
      </c>
      <c r="O1752" s="1">
        <v>57.67047688022285</v>
      </c>
      <c r="P1752" s="1">
        <v>6745.1233324799996</v>
      </c>
    </row>
    <row r="1753" spans="7:16" x14ac:dyDescent="0.2">
      <c r="G1753" s="1">
        <v>45139</v>
      </c>
      <c r="H1753" s="1">
        <v>5.9277611000000014</v>
      </c>
      <c r="I1753" s="1">
        <v>-8.8142921999999988</v>
      </c>
      <c r="J1753" s="1">
        <v>-2.8865311000000013</v>
      </c>
      <c r="N1753" s="1">
        <v>87.82339596403979</v>
      </c>
      <c r="O1753" s="1">
        <v>56.675323537604456</v>
      </c>
      <c r="P1753" s="1">
        <v>6761.8263658799979</v>
      </c>
    </row>
    <row r="1754" spans="7:16" x14ac:dyDescent="0.2">
      <c r="G1754" s="1">
        <v>45140</v>
      </c>
      <c r="H1754" s="1">
        <v>4.5402734000000011</v>
      </c>
      <c r="I1754" s="1">
        <v>-5.7063169999999994</v>
      </c>
      <c r="J1754" s="1">
        <v>-1.1660436000000001</v>
      </c>
      <c r="N1754" s="1">
        <v>85.058725951211912</v>
      </c>
      <c r="O1754" s="1">
        <v>54.678004178272957</v>
      </c>
      <c r="P1754" s="1">
        <v>6731.0800856000005</v>
      </c>
    </row>
    <row r="1755" spans="7:16" x14ac:dyDescent="0.2">
      <c r="G1755" s="1">
        <v>45141</v>
      </c>
      <c r="H1755" s="1">
        <v>5.2912314999999985</v>
      </c>
      <c r="I1755" s="1">
        <v>-7.8021148999999994</v>
      </c>
      <c r="J1755" s="1">
        <v>-2.5108834000000009</v>
      </c>
      <c r="N1755" s="1">
        <v>84.429666267470054</v>
      </c>
      <c r="O1755" s="1">
        <v>54.167685236768804</v>
      </c>
      <c r="P1755" s="1">
        <v>6636.8466222800025</v>
      </c>
    </row>
    <row r="1756" spans="7:16" x14ac:dyDescent="0.2">
      <c r="G1756" s="1">
        <v>45142</v>
      </c>
      <c r="H1756" s="1">
        <v>5.4592015999999992</v>
      </c>
      <c r="I1756" s="1">
        <v>-3.6896034999999996</v>
      </c>
      <c r="J1756" s="1">
        <v>1.7695981000000003</v>
      </c>
      <c r="N1756" s="1">
        <v>83.908562915676868</v>
      </c>
      <c r="O1756" s="1">
        <v>54.368954038997209</v>
      </c>
      <c r="P1756" s="1">
        <v>6611.3602802299974</v>
      </c>
    </row>
    <row r="1757" spans="7:16" x14ac:dyDescent="0.2">
      <c r="G1757" s="1">
        <v>45145</v>
      </c>
      <c r="H1757" s="1">
        <v>4.5719522999999977</v>
      </c>
      <c r="I1757" s="1">
        <v>-3.4220467999999995</v>
      </c>
      <c r="J1757" s="1">
        <v>1.1499054999999998</v>
      </c>
      <c r="N1757" s="1">
        <v>85.000846995832632</v>
      </c>
      <c r="O1757" s="1">
        <v>54.796713370473562</v>
      </c>
      <c r="P1757" s="1">
        <v>6609.8609175799957</v>
      </c>
    </row>
    <row r="1758" spans="7:16" x14ac:dyDescent="0.2">
      <c r="G1758" s="1">
        <v>45146</v>
      </c>
      <c r="H1758" s="1">
        <v>5.2564255000000015</v>
      </c>
      <c r="I1758" s="1">
        <v>-4.5360019000000005</v>
      </c>
      <c r="J1758" s="1">
        <v>0.72042360000000039</v>
      </c>
      <c r="N1758" s="1">
        <v>83.985589816803142</v>
      </c>
      <c r="O1758" s="1">
        <v>53.977998050139263</v>
      </c>
      <c r="P1758" s="1">
        <v>6641.4670006299993</v>
      </c>
    </row>
    <row r="1759" spans="7:16" x14ac:dyDescent="0.2">
      <c r="G1759" s="1">
        <v>45147</v>
      </c>
      <c r="H1759" s="1">
        <v>10.227665799999999</v>
      </c>
      <c r="I1759" s="1">
        <v>-4.3670581999999998</v>
      </c>
      <c r="J1759" s="1">
        <v>5.8606076000000007</v>
      </c>
      <c r="N1759" s="1">
        <v>83.000179354611006</v>
      </c>
      <c r="O1759" s="1">
        <v>53.733219498607269</v>
      </c>
      <c r="P1759" s="1">
        <v>6612.7287249799974</v>
      </c>
    </row>
    <row r="1760" spans="7:16" x14ac:dyDescent="0.2">
      <c r="G1760" s="1">
        <v>45148</v>
      </c>
      <c r="H1760" s="1">
        <v>6.2747522000000018</v>
      </c>
      <c r="I1760" s="1">
        <v>-4.9929638000000001</v>
      </c>
      <c r="J1760" s="1">
        <v>1.2817883999999995</v>
      </c>
      <c r="N1760" s="1">
        <v>83.123790273708849</v>
      </c>
      <c r="O1760" s="1">
        <v>53.972380222841231</v>
      </c>
      <c r="P1760" s="1">
        <v>6595.2308229799964</v>
      </c>
    </row>
    <row r="1761" spans="7:16" x14ac:dyDescent="0.2">
      <c r="G1761" s="1">
        <v>45149</v>
      </c>
      <c r="H1761" s="1">
        <v>3.2369964000000002</v>
      </c>
      <c r="I1761" s="1">
        <v>-7.9297334000000008</v>
      </c>
      <c r="J1761" s="1">
        <v>-4.6927369999999993</v>
      </c>
      <c r="N1761" s="1">
        <v>82.533826165472007</v>
      </c>
      <c r="O1761" s="1">
        <v>53.238826183844033</v>
      </c>
      <c r="P1761" s="1">
        <v>6598.0318560799997</v>
      </c>
    </row>
    <row r="1762" spans="7:16" x14ac:dyDescent="0.2">
      <c r="G1762" s="1">
        <v>45152</v>
      </c>
      <c r="H1762" s="1">
        <v>3.5528784999999998</v>
      </c>
      <c r="I1762" s="1">
        <v>-5.1064013000000008</v>
      </c>
      <c r="J1762" s="1">
        <v>-1.5535227999999996</v>
      </c>
      <c r="N1762" s="1">
        <v>83.255401188500187</v>
      </c>
      <c r="O1762" s="1">
        <v>53.139146239554314</v>
      </c>
      <c r="P1762" s="1">
        <v>6572.2081986299982</v>
      </c>
    </row>
    <row r="1763" spans="7:16" x14ac:dyDescent="0.2">
      <c r="G1763" s="1">
        <v>45153</v>
      </c>
      <c r="H1763" s="1">
        <v>5.776809000000001</v>
      </c>
      <c r="I1763" s="1">
        <v>-3.5663268999999995</v>
      </c>
      <c r="J1763" s="1">
        <v>2.2104821000000001</v>
      </c>
      <c r="N1763" s="1">
        <v>81.405160683786391</v>
      </c>
      <c r="O1763" s="1">
        <v>51.741391643454051</v>
      </c>
      <c r="P1763" s="1">
        <v>6576.1736180800017</v>
      </c>
    </row>
    <row r="1764" spans="7:16" x14ac:dyDescent="0.2">
      <c r="G1764" s="1">
        <v>45154</v>
      </c>
      <c r="H1764" s="1">
        <v>5.9055019999999985</v>
      </c>
      <c r="I1764" s="1">
        <v>-5.6775388999999992</v>
      </c>
      <c r="J1764" s="1">
        <v>0.22796309999999992</v>
      </c>
      <c r="N1764" s="1">
        <v>79.983229037061378</v>
      </c>
      <c r="O1764" s="1">
        <v>50.772952367688006</v>
      </c>
      <c r="P1764" s="1">
        <v>6518.3799094300002</v>
      </c>
    </row>
    <row r="1765" spans="7:16" x14ac:dyDescent="0.2">
      <c r="G1765" s="1">
        <v>45155</v>
      </c>
      <c r="H1765" s="1">
        <v>3.0292401999999998</v>
      </c>
      <c r="I1765" s="1">
        <v>-5.6441971999999998</v>
      </c>
      <c r="J1765" s="1">
        <v>-2.614957</v>
      </c>
      <c r="N1765" s="1">
        <v>78.626978911353874</v>
      </c>
      <c r="O1765" s="1">
        <v>49.940551810584957</v>
      </c>
      <c r="P1765" s="1">
        <v>6471.5312976799987</v>
      </c>
    </row>
    <row r="1766" spans="7:16" x14ac:dyDescent="0.2">
      <c r="G1766" s="1">
        <v>45156</v>
      </c>
      <c r="H1766" s="1">
        <v>3.4445148000000003</v>
      </c>
      <c r="I1766" s="1">
        <v>-8.2010941000000006</v>
      </c>
      <c r="J1766" s="1">
        <v>-4.7565793000000012</v>
      </c>
      <c r="N1766" s="1">
        <v>78.599348816170988</v>
      </c>
      <c r="O1766" s="1">
        <v>49.836738997214482</v>
      </c>
      <c r="P1766" s="1">
        <v>6430.2188361800008</v>
      </c>
    </row>
    <row r="1767" spans="7:16" x14ac:dyDescent="0.2">
      <c r="G1767" s="1">
        <v>45159</v>
      </c>
      <c r="H1767" s="1">
        <v>4.3621847999999988</v>
      </c>
      <c r="I1767" s="1">
        <v>-5.9198577999999999</v>
      </c>
      <c r="J1767" s="1">
        <v>-1.5576730000000003</v>
      </c>
      <c r="N1767" s="1">
        <v>79.569808024413234</v>
      </c>
      <c r="O1767" s="1">
        <v>50.052286072423378</v>
      </c>
      <c r="P1767" s="1">
        <v>6426.5316176799997</v>
      </c>
    </row>
    <row r="1768" spans="7:16" x14ac:dyDescent="0.2">
      <c r="G1768" s="1">
        <v>45160</v>
      </c>
      <c r="H1768" s="1">
        <v>5.5996673999999995</v>
      </c>
      <c r="I1768" s="1">
        <v>-2.9769638999999999</v>
      </c>
      <c r="J1768" s="1">
        <v>2.6227035000000001</v>
      </c>
      <c r="N1768" s="1">
        <v>79.347993451932027</v>
      </c>
      <c r="O1768" s="1">
        <v>50.041999442896937</v>
      </c>
      <c r="P1768" s="1">
        <v>6439.6019469800003</v>
      </c>
    </row>
    <row r="1769" spans="7:16" x14ac:dyDescent="0.2">
      <c r="G1769" s="1">
        <v>45161</v>
      </c>
      <c r="H1769" s="1">
        <v>5.9664820999999986</v>
      </c>
      <c r="I1769" s="1">
        <v>-3.9417423999999999</v>
      </c>
      <c r="J1769" s="1">
        <v>2.0247396999999996</v>
      </c>
      <c r="N1769" s="1">
        <v>81.377541217387289</v>
      </c>
      <c r="O1769" s="1">
        <v>51.365849025069629</v>
      </c>
      <c r="P1769" s="1">
        <v>6438.8458924800025</v>
      </c>
    </row>
    <row r="1770" spans="7:16" x14ac:dyDescent="0.2">
      <c r="G1770" s="1">
        <v>45162</v>
      </c>
      <c r="H1770" s="1">
        <v>4.5833401999999994</v>
      </c>
      <c r="I1770" s="1">
        <v>-4.9188209000000001</v>
      </c>
      <c r="J1770" s="1">
        <v>-0.33548070000000035</v>
      </c>
      <c r="N1770" s="1">
        <v>79.122024367419584</v>
      </c>
      <c r="O1770" s="1">
        <v>50.209385793871846</v>
      </c>
      <c r="P1770" s="1">
        <v>6506.8237627800008</v>
      </c>
    </row>
    <row r="1771" spans="7:16" x14ac:dyDescent="0.2">
      <c r="G1771" s="1">
        <v>45163</v>
      </c>
      <c r="H1771" s="1">
        <v>6.2547286000000009</v>
      </c>
      <c r="I1771" s="1">
        <v>-5.9012563999999994</v>
      </c>
      <c r="J1771" s="1">
        <v>0.35347219999999951</v>
      </c>
      <c r="N1771" s="1">
        <v>79.949825966757004</v>
      </c>
      <c r="O1771" s="1">
        <v>50.480891922005569</v>
      </c>
      <c r="P1771" s="1">
        <v>6445.5625737799992</v>
      </c>
    </row>
    <row r="1772" spans="7:16" x14ac:dyDescent="0.2">
      <c r="G1772" s="1">
        <v>45166</v>
      </c>
      <c r="H1772" s="1">
        <v>4.0880272</v>
      </c>
      <c r="I1772" s="1">
        <v>-4.9853364000000004</v>
      </c>
      <c r="J1772" s="1">
        <v>-0.89730919999999992</v>
      </c>
      <c r="N1772" s="1">
        <v>81.35177401781803</v>
      </c>
      <c r="O1772" s="1">
        <v>51.59427548746519</v>
      </c>
      <c r="P1772" s="1">
        <v>6464.0650734799983</v>
      </c>
    </row>
    <row r="1773" spans="7:16" x14ac:dyDescent="0.2">
      <c r="G1773" s="1">
        <v>45167</v>
      </c>
      <c r="H1773" s="1">
        <v>6.4602727000000009</v>
      </c>
      <c r="I1773" s="1">
        <v>-3.8053155000000003</v>
      </c>
      <c r="J1773" s="1">
        <v>2.6549571999999997</v>
      </c>
      <c r="N1773" s="1">
        <v>83.777188144751065</v>
      </c>
      <c r="O1773" s="1">
        <v>53.225415320334264</v>
      </c>
      <c r="P1773" s="1">
        <v>6529.4726973499983</v>
      </c>
    </row>
    <row r="1774" spans="7:16" x14ac:dyDescent="0.2">
      <c r="G1774" s="1">
        <v>45168</v>
      </c>
      <c r="H1774" s="1">
        <v>7.3223170000000009</v>
      </c>
      <c r="I1774" s="1">
        <v>-4.5903023000000003</v>
      </c>
      <c r="J1774" s="1">
        <v>2.7320147000000006</v>
      </c>
      <c r="N1774" s="1">
        <v>84.600673570791415</v>
      </c>
      <c r="O1774" s="1">
        <v>53.619002785515292</v>
      </c>
      <c r="P1774" s="1">
        <v>6586.9800419800004</v>
      </c>
    </row>
    <row r="1775" spans="7:16" x14ac:dyDescent="0.2">
      <c r="G1775" s="1">
        <v>45169</v>
      </c>
      <c r="H1775" s="1">
        <v>8.0789339000000009</v>
      </c>
      <c r="I1775" s="1">
        <v>-4.4007169999999984</v>
      </c>
      <c r="J1775" s="1">
        <v>3.6782169000000002</v>
      </c>
      <c r="N1775" s="1">
        <v>84.55224075197701</v>
      </c>
      <c r="O1775" s="1">
        <v>53.365703899721453</v>
      </c>
      <c r="P1775" s="1">
        <v>6607.061036279998</v>
      </c>
    </row>
    <row r="1776" spans="7:16" x14ac:dyDescent="0.2">
      <c r="G1776" s="1">
        <v>45170</v>
      </c>
      <c r="H1776" s="1">
        <v>7.3349563000000009</v>
      </c>
      <c r="I1776" s="1">
        <v>-9.3412158999999999</v>
      </c>
      <c r="J1776" s="1">
        <v>-2.0062596000000004</v>
      </c>
      <c r="N1776" s="1">
        <v>85.009588207044658</v>
      </c>
      <c r="O1776" s="1">
        <v>53.686839415041788</v>
      </c>
      <c r="P1776" s="1">
        <v>6605.8138882800022</v>
      </c>
    </row>
    <row r="1777" spans="7:16" x14ac:dyDescent="0.2">
      <c r="G1777" s="1">
        <v>45173</v>
      </c>
      <c r="H1777" s="1">
        <v>1.2749991000000001</v>
      </c>
      <c r="I1777" s="1">
        <v>-0.83299250000000002</v>
      </c>
      <c r="J1777" s="1">
        <v>0.44200660000000003</v>
      </c>
      <c r="N1777" s="1">
        <v>84.600289737225765</v>
      </c>
      <c r="O1777" s="1">
        <v>53.394222423398311</v>
      </c>
      <c r="P1777" s="1">
        <v>6617.7579825299999</v>
      </c>
    </row>
    <row r="1778" spans="7:16" x14ac:dyDescent="0.2">
      <c r="G1778" s="1">
        <v>45174</v>
      </c>
      <c r="H1778" s="1">
        <v>4.0903424000000008</v>
      </c>
      <c r="I1778" s="1">
        <v>-5.3861299999999996</v>
      </c>
      <c r="J1778" s="1">
        <v>-1.2957876000000004</v>
      </c>
      <c r="N1778" s="1">
        <v>84.038670927647019</v>
      </c>
      <c r="O1778" s="1">
        <v>52.695703342618401</v>
      </c>
      <c r="P1778" s="1">
        <v>6598.0333344299988</v>
      </c>
    </row>
    <row r="1779" spans="7:16" x14ac:dyDescent="0.2">
      <c r="G1779" s="1">
        <v>45175</v>
      </c>
      <c r="H1779" s="1">
        <v>5.9388064999999992</v>
      </c>
      <c r="I1779" s="1">
        <v>-6.6128881000000002</v>
      </c>
      <c r="J1779" s="1">
        <v>-0.67408160000000039</v>
      </c>
      <c r="N1779" s="1">
        <v>82.918677097067473</v>
      </c>
      <c r="O1779" s="1">
        <v>52.014681337047371</v>
      </c>
      <c r="P1779" s="1">
        <v>6572.9952814799999</v>
      </c>
    </row>
    <row r="1780" spans="7:16" x14ac:dyDescent="0.2">
      <c r="G1780" s="1">
        <v>45176</v>
      </c>
      <c r="H1780" s="1">
        <v>7.9587759</v>
      </c>
      <c r="I1780" s="1">
        <v>-3.002599</v>
      </c>
      <c r="J1780" s="1">
        <v>4.9561768999999991</v>
      </c>
      <c r="N1780" s="1">
        <v>82.206823835630814</v>
      </c>
      <c r="O1780" s="1">
        <v>51.549032869080754</v>
      </c>
      <c r="P1780" s="1">
        <v>6545.130012380002</v>
      </c>
    </row>
    <row r="1781" spans="7:16" x14ac:dyDescent="0.2">
      <c r="G1781" s="1">
        <v>45177</v>
      </c>
      <c r="H1781" s="1">
        <v>7.1926255999999995</v>
      </c>
      <c r="I1781" s="1">
        <v>-4.7879931999999998</v>
      </c>
      <c r="J1781" s="1">
        <v>2.4046324000000001</v>
      </c>
      <c r="N1781" s="1">
        <v>82.277212581235403</v>
      </c>
      <c r="O1781" s="1">
        <v>51.572835097493055</v>
      </c>
      <c r="P1781" s="1">
        <v>6531.4486642799984</v>
      </c>
    </row>
    <row r="1782" spans="7:16" x14ac:dyDescent="0.2">
      <c r="G1782" s="1">
        <v>45180</v>
      </c>
      <c r="H1782" s="1">
        <v>9.1231164000000007</v>
      </c>
      <c r="I1782" s="1">
        <v>-3.2615460999999999</v>
      </c>
      <c r="J1782" s="1">
        <v>5.8615702999999986</v>
      </c>
      <c r="N1782" s="1">
        <v>83.52908169885373</v>
      </c>
      <c r="O1782" s="1">
        <v>52.321719498607251</v>
      </c>
      <c r="P1782" s="1">
        <v>6531.7781266799993</v>
      </c>
    </row>
    <row r="1783" spans="7:16" x14ac:dyDescent="0.2">
      <c r="G1783" s="1">
        <v>45181</v>
      </c>
      <c r="H1783" s="1">
        <v>9.4819728000000012</v>
      </c>
      <c r="I1783" s="1">
        <v>-4.5084678999999994</v>
      </c>
      <c r="J1783" s="1">
        <v>4.9735049</v>
      </c>
      <c r="N1783" s="1">
        <v>82.638264111671489</v>
      </c>
      <c r="O1783" s="1">
        <v>52.013998607242335</v>
      </c>
      <c r="P1783" s="1">
        <v>6572.4139486800013</v>
      </c>
    </row>
    <row r="1784" spans="7:16" x14ac:dyDescent="0.2">
      <c r="G1784" s="1">
        <v>45182</v>
      </c>
      <c r="H1784" s="1">
        <v>17.8302157</v>
      </c>
      <c r="I1784" s="1">
        <v>-4.9385004000000006</v>
      </c>
      <c r="J1784" s="1">
        <v>12.891715300000003</v>
      </c>
      <c r="N1784" s="1">
        <v>82.717934418302832</v>
      </c>
      <c r="O1784" s="1">
        <v>51.869586350974956</v>
      </c>
      <c r="P1784" s="1">
        <v>6559.3648934799976</v>
      </c>
    </row>
    <row r="1785" spans="7:16" x14ac:dyDescent="0.2">
      <c r="G1785" s="1">
        <v>45183</v>
      </c>
      <c r="H1785" s="1">
        <v>7.2109637999999983</v>
      </c>
      <c r="I1785" s="1">
        <v>-8.8353190000000001</v>
      </c>
      <c r="J1785" s="1">
        <v>-1.6243552000000001</v>
      </c>
      <c r="N1785" s="1">
        <v>84.274015081782352</v>
      </c>
      <c r="O1785" s="1">
        <v>53.051611699164312</v>
      </c>
      <c r="P1785" s="1">
        <v>6568.904035980001</v>
      </c>
    </row>
    <row r="1786" spans="7:16" x14ac:dyDescent="0.2">
      <c r="G1786" s="1">
        <v>45184</v>
      </c>
      <c r="H1786" s="1">
        <v>5.3317361000000014</v>
      </c>
      <c r="I1786" s="1">
        <v>-10.551311700000001</v>
      </c>
      <c r="J1786" s="1">
        <v>-5.219575599999998</v>
      </c>
      <c r="N1786" s="1">
        <v>82.366491639205762</v>
      </c>
      <c r="O1786" s="1">
        <v>52.326179665738152</v>
      </c>
      <c r="P1786" s="1">
        <v>6618.3652278799973</v>
      </c>
    </row>
    <row r="1787" spans="7:16" x14ac:dyDescent="0.2">
      <c r="G1787" s="1">
        <v>45187</v>
      </c>
      <c r="H1787" s="1">
        <v>9.2659248999999981</v>
      </c>
      <c r="I1787" s="1">
        <v>-7.8067515000000007</v>
      </c>
      <c r="J1787" s="1">
        <v>1.4591734000000003</v>
      </c>
      <c r="N1787" s="1">
        <v>82.419345937135361</v>
      </c>
      <c r="O1787" s="1">
        <v>52.063818941504181</v>
      </c>
      <c r="P1787" s="1">
        <v>6566.6747896799952</v>
      </c>
    </row>
    <row r="1788" spans="7:16" x14ac:dyDescent="0.2">
      <c r="G1788" s="1">
        <v>45188</v>
      </c>
      <c r="H1788" s="1">
        <v>4.0553367999999992</v>
      </c>
      <c r="I1788" s="1">
        <v>-7.1014961999999988</v>
      </c>
      <c r="J1788" s="1">
        <v>-3.046159400000001</v>
      </c>
      <c r="N1788" s="1">
        <v>82.025700600600047</v>
      </c>
      <c r="O1788" s="1">
        <v>51.765121448467958</v>
      </c>
      <c r="P1788" s="1">
        <v>6560.0200188300005</v>
      </c>
    </row>
    <row r="1789" spans="7:16" x14ac:dyDescent="0.2">
      <c r="G1789" s="1">
        <v>45189</v>
      </c>
      <c r="H1789" s="1">
        <v>3.9830239999999995</v>
      </c>
      <c r="I1789" s="1">
        <v>-8.5506798999999987</v>
      </c>
      <c r="J1789" s="1">
        <v>-4.567655900000001</v>
      </c>
      <c r="N1789" s="1">
        <v>80.625664451826509</v>
      </c>
      <c r="O1789" s="1">
        <v>51.44138662952647</v>
      </c>
      <c r="P1789" s="1">
        <v>6542.8807939799999</v>
      </c>
    </row>
    <row r="1790" spans="7:16" x14ac:dyDescent="0.2">
      <c r="G1790" s="1">
        <v>45190</v>
      </c>
      <c r="H1790" s="1">
        <v>8.9093999999999998</v>
      </c>
      <c r="I1790" s="1">
        <v>-5.2194598999999986</v>
      </c>
      <c r="J1790" s="1">
        <v>3.6899400999999989</v>
      </c>
      <c r="N1790" s="1">
        <v>77.711055504465691</v>
      </c>
      <c r="O1790" s="1">
        <v>49.060045961002814</v>
      </c>
      <c r="P1790" s="1">
        <v>6504.2481013799979</v>
      </c>
    </row>
    <row r="1791" spans="7:16" x14ac:dyDescent="0.2">
      <c r="G1791" s="1">
        <v>45191</v>
      </c>
      <c r="H1791" s="1">
        <v>13.562767500000003</v>
      </c>
      <c r="I1791" s="1">
        <v>-10.1371175</v>
      </c>
      <c r="J1791" s="1">
        <v>3.425650000000001</v>
      </c>
      <c r="N1791" s="1">
        <v>77.521369829921312</v>
      </c>
      <c r="O1791" s="1">
        <v>49.09284763231198</v>
      </c>
      <c r="P1791" s="1">
        <v>6410.0926929799971</v>
      </c>
    </row>
    <row r="1792" spans="7:16" x14ac:dyDescent="0.2">
      <c r="G1792" s="1">
        <v>45194</v>
      </c>
      <c r="H1792" s="1">
        <v>5.6374291000000012</v>
      </c>
      <c r="I1792" s="1">
        <v>-7.764610900000001</v>
      </c>
      <c r="J1792" s="1">
        <v>-2.1271817999999998</v>
      </c>
      <c r="N1792" s="1">
        <v>77.951973030995617</v>
      </c>
      <c r="O1792" s="1">
        <v>48.859476044568247</v>
      </c>
      <c r="P1792" s="1">
        <v>6413.06550358</v>
      </c>
    </row>
    <row r="1793" spans="7:16" x14ac:dyDescent="0.2">
      <c r="G1793" s="1">
        <v>45195</v>
      </c>
      <c r="H1793" s="1">
        <v>10.189937899999999</v>
      </c>
      <c r="I1793" s="1">
        <v>-7.5422031000000009</v>
      </c>
      <c r="J1793" s="1">
        <v>2.6477347999999998</v>
      </c>
      <c r="N1793" s="1">
        <v>75.589321330259736</v>
      </c>
      <c r="O1793" s="1">
        <v>47.232337883008384</v>
      </c>
      <c r="P1793" s="1">
        <v>6408.8776328800013</v>
      </c>
    </row>
    <row r="1794" spans="7:16" x14ac:dyDescent="0.2">
      <c r="G1794" s="1">
        <v>45196</v>
      </c>
      <c r="H1794" s="1">
        <v>9.4659219999999991</v>
      </c>
      <c r="I1794" s="1">
        <v>-12.694563400000002</v>
      </c>
      <c r="J1794" s="1">
        <v>-3.2286414000000003</v>
      </c>
      <c r="N1794" s="1">
        <v>75.65449477333685</v>
      </c>
      <c r="O1794" s="1">
        <v>47.087767409470757</v>
      </c>
      <c r="P1794" s="1">
        <v>6333.6033395800005</v>
      </c>
    </row>
    <row r="1795" spans="7:16" x14ac:dyDescent="0.2">
      <c r="G1795" s="1">
        <v>45197</v>
      </c>
      <c r="H1795" s="1">
        <v>6.1884143000000007</v>
      </c>
      <c r="I1795" s="1">
        <v>-7.4558819999999999</v>
      </c>
      <c r="J1795" s="1">
        <v>-1.2674677000000001</v>
      </c>
      <c r="N1795" s="1">
        <v>76.628210887516786</v>
      </c>
      <c r="O1795" s="1">
        <v>47.730668245125351</v>
      </c>
      <c r="P1795" s="1">
        <v>6327.3811357800014</v>
      </c>
    </row>
    <row r="1796" spans="7:16" x14ac:dyDescent="0.2">
      <c r="G1796" s="1">
        <v>45198</v>
      </c>
      <c r="H1796" s="1">
        <v>7.8419825000000003</v>
      </c>
      <c r="I1796" s="1">
        <v>-6.2867703999999991</v>
      </c>
      <c r="J1796" s="1">
        <v>1.5552120999999985</v>
      </c>
      <c r="N1796" s="1">
        <v>76.28048725411233</v>
      </c>
      <c r="O1796" s="1">
        <v>47.607050676482288</v>
      </c>
      <c r="P1796" s="1">
        <v>6352.969207940002</v>
      </c>
    </row>
    <row r="1797" spans="7:16" x14ac:dyDescent="0.2">
      <c r="G1797" s="1">
        <v>45201</v>
      </c>
      <c r="H1797" s="1">
        <v>6.0597354999999995</v>
      </c>
      <c r="I1797" s="1">
        <v>-5.0515152999999993</v>
      </c>
      <c r="J1797" s="1">
        <v>1.0082201999999996</v>
      </c>
      <c r="N1797" s="1">
        <v>75.861316910822623</v>
      </c>
      <c r="O1797" s="1">
        <v>46.32717586549942</v>
      </c>
      <c r="P1797" s="1">
        <v>6340.0098581871443</v>
      </c>
    </row>
    <row r="1798" spans="7:16" x14ac:dyDescent="0.2">
      <c r="G1798" s="1">
        <v>45202</v>
      </c>
      <c r="H1798" s="1">
        <v>6.5858141000000012</v>
      </c>
      <c r="I1798" s="1">
        <v>-7.1651918000000006</v>
      </c>
      <c r="J1798" s="1">
        <v>-0.57937769999999988</v>
      </c>
      <c r="N1798" s="1">
        <v>73.457835461454422</v>
      </c>
      <c r="O1798" s="1">
        <v>44.629495622761617</v>
      </c>
      <c r="P1798" s="1">
        <v>6302.2754598742858</v>
      </c>
    </row>
    <row r="1799" spans="7:16" x14ac:dyDescent="0.2">
      <c r="G1799" s="1">
        <v>45203</v>
      </c>
      <c r="H1799" s="1">
        <v>8.4368566999999981</v>
      </c>
      <c r="I1799" s="1">
        <v>-10.441497499999999</v>
      </c>
      <c r="J1799" s="1">
        <v>-2.0046407999999989</v>
      </c>
      <c r="N1799" s="1">
        <v>74.458658020853093</v>
      </c>
      <c r="O1799" s="1">
        <v>44.865502705929138</v>
      </c>
      <c r="P1799" s="1">
        <v>6225.3144407114287</v>
      </c>
    </row>
    <row r="1800" spans="7:16" x14ac:dyDescent="0.2">
      <c r="G1800" s="1">
        <v>45204</v>
      </c>
      <c r="H1800" s="1">
        <v>7.4051699999999991</v>
      </c>
      <c r="I1800" s="1">
        <v>-10.726843799999999</v>
      </c>
      <c r="J1800" s="1">
        <v>-3.3216737999999988</v>
      </c>
      <c r="N1800" s="1">
        <v>74.556285935754374</v>
      </c>
      <c r="O1800" s="1">
        <v>45.130838758456001</v>
      </c>
      <c r="P1800" s="1">
        <v>6240.3124708485739</v>
      </c>
    </row>
    <row r="1801" spans="7:16" x14ac:dyDescent="0.2">
      <c r="G1801" s="1">
        <v>45205</v>
      </c>
      <c r="H1801" s="1">
        <v>5.2486930000000003</v>
      </c>
      <c r="I1801" s="1">
        <v>-6.4183617999999978</v>
      </c>
      <c r="J1801" s="1">
        <v>-1.1696688000000002</v>
      </c>
      <c r="N1801" s="1">
        <v>76.493006574694462</v>
      </c>
      <c r="O1801" s="1">
        <v>46.292170911261451</v>
      </c>
      <c r="P1801" s="1">
        <v>6248.8608303257151</v>
      </c>
    </row>
    <row r="1802" spans="7:16" x14ac:dyDescent="0.2">
      <c r="G1802" s="1">
        <v>45208</v>
      </c>
      <c r="H1802" s="1">
        <v>4.1026063000000006</v>
      </c>
      <c r="I1802" s="1">
        <v>-6.5206805000000001</v>
      </c>
      <c r="J1802" s="1">
        <v>-2.4180742000000017</v>
      </c>
      <c r="N1802" s="1">
        <v>77.581140250124577</v>
      </c>
      <c r="O1802" s="1">
        <v>46.961082636954487</v>
      </c>
      <c r="P1802" s="1">
        <v>6296.7667161028585</v>
      </c>
    </row>
    <row r="1803" spans="7:16" x14ac:dyDescent="0.2">
      <c r="G1803" s="1">
        <v>45209</v>
      </c>
      <c r="H1803" s="1">
        <v>10.356073</v>
      </c>
      <c r="I1803" s="1">
        <v>-3.8514282000000004</v>
      </c>
      <c r="J1803" s="1">
        <v>6.5046448000000003</v>
      </c>
      <c r="N1803" s="1">
        <v>78.854748965175219</v>
      </c>
      <c r="O1803" s="1">
        <v>48.37517641597028</v>
      </c>
      <c r="P1803" s="1">
        <v>6332.5718861799996</v>
      </c>
    </row>
    <row r="1804" spans="7:16" x14ac:dyDescent="0.2">
      <c r="G1804" s="1">
        <v>45210</v>
      </c>
      <c r="H1804" s="1">
        <v>5.4213552000000007</v>
      </c>
      <c r="I1804" s="1">
        <v>-3.4506713999999996</v>
      </c>
      <c r="J1804" s="1">
        <v>1.9706837999999998</v>
      </c>
      <c r="N1804" s="1">
        <v>79.525457428408529</v>
      </c>
      <c r="O1804" s="1">
        <v>48.765847910863535</v>
      </c>
      <c r="P1804" s="1">
        <v>6386.1806926800027</v>
      </c>
    </row>
    <row r="1805" spans="7:16" x14ac:dyDescent="0.2">
      <c r="G1805" s="1">
        <v>45211</v>
      </c>
      <c r="H1805" s="1">
        <v>4.4402181000000009</v>
      </c>
      <c r="I1805" s="1">
        <v>-5.1573744999999995</v>
      </c>
      <c r="J1805" s="1">
        <v>-0.71715639999999969</v>
      </c>
      <c r="N1805" s="1">
        <v>78.509757363352762</v>
      </c>
      <c r="O1805" s="1">
        <v>47.855655710306429</v>
      </c>
      <c r="P1805" s="1">
        <v>6407.33054378</v>
      </c>
    </row>
    <row r="1806" spans="7:16" x14ac:dyDescent="0.2">
      <c r="G1806" s="1">
        <v>45212</v>
      </c>
      <c r="H1806" s="1">
        <v>10.508254200000001</v>
      </c>
      <c r="I1806" s="1">
        <v>-2.7132347999999999</v>
      </c>
      <c r="J1806" s="1">
        <v>7.7950194000000002</v>
      </c>
      <c r="N1806" s="1">
        <v>77.5000516744348</v>
      </c>
      <c r="O1806" s="1">
        <v>47.279722005571024</v>
      </c>
      <c r="P1806" s="1">
        <v>6367.3177243799983</v>
      </c>
    </row>
    <row r="1807" spans="7:16" x14ac:dyDescent="0.2">
      <c r="G1807" s="1">
        <v>45215</v>
      </c>
      <c r="H1807" s="1">
        <v>3.6717142999999997</v>
      </c>
      <c r="I1807" s="1">
        <v>-9.2763190000000009</v>
      </c>
      <c r="J1807" s="1">
        <v>-5.6046047000000003</v>
      </c>
      <c r="N1807" s="1">
        <v>79.086859649591943</v>
      </c>
      <c r="O1807" s="1">
        <v>48.168446518105874</v>
      </c>
      <c r="P1807" s="1">
        <v>6350.1994256800026</v>
      </c>
    </row>
    <row r="1808" spans="7:16" x14ac:dyDescent="0.2">
      <c r="G1808" s="1">
        <v>45216</v>
      </c>
      <c r="H1808" s="1">
        <v>5.2002784999999987</v>
      </c>
      <c r="I1808" s="1">
        <v>-4.7954327000000001</v>
      </c>
      <c r="J1808" s="1">
        <v>0.40484579999999976</v>
      </c>
      <c r="N1808" s="1">
        <v>79.176958664689977</v>
      </c>
      <c r="O1808" s="1">
        <v>48.40318579387187</v>
      </c>
      <c r="P1808" s="1">
        <v>6383.5845741799994</v>
      </c>
    </row>
    <row r="1809" spans="7:16" x14ac:dyDescent="0.2">
      <c r="G1809" s="1">
        <v>45217</v>
      </c>
      <c r="H1809" s="1">
        <v>4.3810555999999998</v>
      </c>
      <c r="I1809" s="1">
        <v>-5.2305234</v>
      </c>
      <c r="J1809" s="1">
        <v>-0.84946779999999988</v>
      </c>
      <c r="N1809" s="1">
        <v>76.967945993070416</v>
      </c>
      <c r="O1809" s="1">
        <v>46.802334540389964</v>
      </c>
      <c r="P1809" s="1">
        <v>6389.9977966800016</v>
      </c>
    </row>
    <row r="1810" spans="7:16" x14ac:dyDescent="0.2">
      <c r="G1810" s="1">
        <v>45218</v>
      </c>
      <c r="H1810" s="1">
        <v>7.4596547000000015</v>
      </c>
      <c r="I1810" s="1">
        <v>-8.9946701999999998</v>
      </c>
      <c r="J1810" s="1">
        <v>-1.535015499999999</v>
      </c>
      <c r="N1810" s="1">
        <v>75.484357024641142</v>
      </c>
      <c r="O1810" s="1">
        <v>45.738141782729819</v>
      </c>
      <c r="P1810" s="1">
        <v>6320.4804621699996</v>
      </c>
    </row>
    <row r="1811" spans="7:16" x14ac:dyDescent="0.2">
      <c r="G1811" s="1">
        <v>45219</v>
      </c>
      <c r="H1811" s="1">
        <v>6.3526535999999991</v>
      </c>
      <c r="I1811" s="1">
        <v>-9.2840755999999995</v>
      </c>
      <c r="J1811" s="1">
        <v>-2.931422</v>
      </c>
      <c r="N1811" s="1">
        <v>73.375885858383072</v>
      </c>
      <c r="O1811" s="1">
        <v>44.429533704735391</v>
      </c>
      <c r="P1811" s="1">
        <v>6266.7895119000004</v>
      </c>
    </row>
    <row r="1812" spans="7:16" x14ac:dyDescent="0.2">
      <c r="G1812" s="1">
        <v>45222</v>
      </c>
      <c r="H1812" s="1">
        <v>8.7377053999999976</v>
      </c>
      <c r="I1812" s="1">
        <v>-3.7122827999999997</v>
      </c>
      <c r="J1812" s="1">
        <v>5.0254225999999989</v>
      </c>
      <c r="N1812" s="1">
        <v>73.140539985783832</v>
      </c>
      <c r="O1812" s="1">
        <v>44.114719498607265</v>
      </c>
      <c r="P1812" s="1">
        <v>6209.1779445100037</v>
      </c>
    </row>
    <row r="1813" spans="7:16" x14ac:dyDescent="0.2">
      <c r="G1813" s="1">
        <v>45223</v>
      </c>
      <c r="H1813" s="1">
        <v>7.6536204000000003</v>
      </c>
      <c r="I1813" s="1">
        <v>-6.3886379999999985</v>
      </c>
      <c r="J1813" s="1">
        <v>1.2649824000000001</v>
      </c>
      <c r="N1813" s="1">
        <v>74.22212208147738</v>
      </c>
      <c r="O1813" s="1">
        <v>44.76170779944291</v>
      </c>
      <c r="P1813" s="1">
        <v>6199.1253439800003</v>
      </c>
    </row>
    <row r="1814" spans="7:16" x14ac:dyDescent="0.2">
      <c r="G1814" s="1">
        <v>45224</v>
      </c>
      <c r="H1814" s="1">
        <v>5.6416137999999991</v>
      </c>
      <c r="I1814" s="1">
        <v>-5.4119911999999992</v>
      </c>
      <c r="J1814" s="1">
        <v>0.22962259999999982</v>
      </c>
      <c r="N1814" s="1">
        <v>72.028984236693873</v>
      </c>
      <c r="O1814" s="1">
        <v>43.626376880222828</v>
      </c>
      <c r="P1814" s="1">
        <v>6234.6246309299377</v>
      </c>
    </row>
    <row r="1815" spans="7:16" x14ac:dyDescent="0.2">
      <c r="G1815" s="1">
        <v>45225</v>
      </c>
      <c r="H1815" s="1">
        <v>6.2203209999999993</v>
      </c>
      <c r="I1815" s="1">
        <v>-6.5215928999999999</v>
      </c>
      <c r="J1815" s="1">
        <v>-0.30127189999999765</v>
      </c>
      <c r="N1815" s="1">
        <v>70.197811473567725</v>
      </c>
      <c r="O1815" s="1">
        <v>42.814901671309194</v>
      </c>
      <c r="P1815" s="1">
        <v>6174.1625489798744</v>
      </c>
    </row>
    <row r="1816" spans="7:16" x14ac:dyDescent="0.2">
      <c r="G1816" s="1">
        <v>45226</v>
      </c>
      <c r="H1816" s="1">
        <v>4.3342620000000007</v>
      </c>
      <c r="I1816" s="1">
        <v>-5.0518621000000001</v>
      </c>
      <c r="J1816" s="1">
        <v>-0.71760009999999985</v>
      </c>
      <c r="N1816" s="1">
        <v>69.762504905178204</v>
      </c>
      <c r="O1816" s="1">
        <v>42.500529247910848</v>
      </c>
      <c r="P1816" s="1">
        <v>6130.8497990798105</v>
      </c>
    </row>
    <row r="1817" spans="7:16" x14ac:dyDescent="0.2">
      <c r="G1817" s="1">
        <v>45229</v>
      </c>
      <c r="H1817" s="1">
        <v>8.2001919999999995</v>
      </c>
      <c r="I1817" s="1">
        <v>-6.9271566999999976</v>
      </c>
      <c r="J1817" s="1">
        <v>1.2730352999999999</v>
      </c>
      <c r="N1817" s="1">
        <v>71.363375848222702</v>
      </c>
      <c r="O1817" s="1">
        <v>43.335361559888582</v>
      </c>
      <c r="P1817" s="1">
        <v>6116.7146101797525</v>
      </c>
    </row>
    <row r="1818" spans="7:16" x14ac:dyDescent="0.2">
      <c r="G1818" s="1">
        <v>45230</v>
      </c>
      <c r="H1818" s="1">
        <v>6.3581516000000002</v>
      </c>
      <c r="I1818" s="1">
        <v>-4.2319845999999997</v>
      </c>
      <c r="J1818" s="1">
        <v>2.1261670000000006</v>
      </c>
      <c r="N1818" s="1">
        <v>72.167816296580781</v>
      </c>
      <c r="O1818" s="1">
        <v>43.785136211699175</v>
      </c>
      <c r="P1818" s="1">
        <v>6159.2369461796879</v>
      </c>
    </row>
    <row r="1819" spans="7:16" x14ac:dyDescent="0.2">
      <c r="G1819" s="1">
        <v>45231</v>
      </c>
      <c r="H1819" s="1">
        <v>8.1705109</v>
      </c>
      <c r="I1819" s="1">
        <v>-8.5244041000000017</v>
      </c>
      <c r="J1819" s="1">
        <v>-0.3538932000000003</v>
      </c>
      <c r="N1819" s="1">
        <v>74.062633829518148</v>
      </c>
      <c r="O1819" s="1">
        <v>44.880342061281354</v>
      </c>
      <c r="P1819" s="1">
        <v>6181.2056944796232</v>
      </c>
    </row>
    <row r="1820" spans="7:16" x14ac:dyDescent="0.2">
      <c r="G1820" s="1">
        <v>45232</v>
      </c>
      <c r="H1820" s="1">
        <v>7.2869941999999996</v>
      </c>
      <c r="I1820" s="1">
        <v>-4.9845928000000006</v>
      </c>
      <c r="J1820" s="1">
        <v>2.3024014000000004</v>
      </c>
      <c r="N1820" s="1">
        <v>77.274487346717365</v>
      </c>
      <c r="O1820" s="1">
        <v>47.469453064066876</v>
      </c>
      <c r="P1820" s="1">
        <v>6237.8632456795585</v>
      </c>
    </row>
    <row r="1821" spans="7:16" x14ac:dyDescent="0.2">
      <c r="G1821" s="1">
        <v>45233</v>
      </c>
      <c r="H1821" s="1">
        <v>11.294457699999999</v>
      </c>
      <c r="I1821" s="1">
        <v>-2.7039304</v>
      </c>
      <c r="J1821" s="1">
        <v>8.5905273000000033</v>
      </c>
      <c r="N1821" s="1">
        <v>79.236668614235214</v>
      </c>
      <c r="O1821" s="1">
        <v>49.306815320334273</v>
      </c>
      <c r="P1821" s="1">
        <v>6346.658893329497</v>
      </c>
    </row>
    <row r="1822" spans="7:16" x14ac:dyDescent="0.2">
      <c r="G1822" s="1">
        <v>45236</v>
      </c>
      <c r="H1822" s="1">
        <v>9.0726732999999982</v>
      </c>
      <c r="I1822" s="1">
        <v>-4.5620183999999986</v>
      </c>
      <c r="J1822" s="1">
        <v>4.5106548999999978</v>
      </c>
      <c r="N1822" s="1">
        <v>79.417038122188359</v>
      </c>
      <c r="O1822" s="1">
        <v>49.097021448467977</v>
      </c>
      <c r="P1822" s="1">
        <v>6422.8525404794373</v>
      </c>
    </row>
    <row r="1823" spans="7:16" x14ac:dyDescent="0.2">
      <c r="G1823" s="1">
        <v>45237</v>
      </c>
      <c r="H1823" s="1">
        <v>5.9164924999999995</v>
      </c>
      <c r="I1823" s="1">
        <v>-7.2432030999999997</v>
      </c>
      <c r="J1823" s="1">
        <v>-1.3267106000000009</v>
      </c>
      <c r="N1823" s="1">
        <v>79.720570745709225</v>
      </c>
      <c r="O1823" s="1">
        <v>48.674867688022296</v>
      </c>
      <c r="P1823" s="1">
        <v>6428.4259528793727</v>
      </c>
    </row>
    <row r="1824" spans="7:16" x14ac:dyDescent="0.2">
      <c r="G1824" s="1">
        <v>45238</v>
      </c>
      <c r="H1824" s="1">
        <v>6.8461389000000015</v>
      </c>
      <c r="I1824" s="1">
        <v>-6.6746066000000006</v>
      </c>
      <c r="J1824" s="1">
        <v>0.17153230000000122</v>
      </c>
      <c r="N1824" s="1">
        <v>79.625458698419237</v>
      </c>
      <c r="O1824" s="1">
        <v>48.440939832869091</v>
      </c>
      <c r="P1824" s="1">
        <v>6422.4711280793108</v>
      </c>
    </row>
    <row r="1825" spans="7:16" x14ac:dyDescent="0.2">
      <c r="G1825" s="1">
        <v>45239</v>
      </c>
      <c r="H1825" s="1">
        <v>8.9273103999999996</v>
      </c>
      <c r="I1825" s="1">
        <v>-4.2080225000000002</v>
      </c>
      <c r="J1825" s="1">
        <v>4.7192879000000003</v>
      </c>
      <c r="N1825" s="1">
        <v>78.603525869264715</v>
      </c>
      <c r="O1825" s="1">
        <v>47.928244846796666</v>
      </c>
      <c r="P1825" s="1">
        <v>6413.6906383792511</v>
      </c>
    </row>
    <row r="1826" spans="7:16" x14ac:dyDescent="0.2">
      <c r="G1826" s="1">
        <v>45240</v>
      </c>
      <c r="H1826" s="1">
        <v>7.477422299999998</v>
      </c>
      <c r="I1826" s="1">
        <v>-5.7952347999999985</v>
      </c>
      <c r="J1826" s="1">
        <v>1.6821875000000006</v>
      </c>
      <c r="N1826" s="1">
        <v>80.791017219338627</v>
      </c>
      <c r="O1826" s="1">
        <v>48.629557938718676</v>
      </c>
      <c r="P1826" s="1">
        <v>6385.6959486791857</v>
      </c>
    </row>
    <row r="1827" spans="7:16" x14ac:dyDescent="0.2">
      <c r="G1827" s="1">
        <v>45243</v>
      </c>
      <c r="H1827" s="1">
        <v>7.996570300000001</v>
      </c>
      <c r="I1827" s="1">
        <v>-3.836654100000001</v>
      </c>
      <c r="J1827" s="1">
        <v>4.1599161999999996</v>
      </c>
      <c r="N1827" s="1">
        <v>80.80275374747383</v>
      </c>
      <c r="O1827" s="1">
        <v>48.806473537604461</v>
      </c>
      <c r="P1827" s="1">
        <v>6440.463277079125</v>
      </c>
    </row>
    <row r="1828" spans="7:16" x14ac:dyDescent="0.2">
      <c r="G1828" s="1">
        <v>45244</v>
      </c>
      <c r="H1828" s="1">
        <v>12.5879789</v>
      </c>
      <c r="I1828" s="1">
        <v>-2.0635383999999997</v>
      </c>
      <c r="J1828" s="1">
        <v>10.524440499999999</v>
      </c>
      <c r="N1828" s="1">
        <v>84.704544919577742</v>
      </c>
      <c r="O1828" s="1">
        <v>52.082383008356558</v>
      </c>
      <c r="P1828" s="1">
        <v>6445.1500336790623</v>
      </c>
    </row>
    <row r="1829" spans="7:16" x14ac:dyDescent="0.2">
      <c r="G1829" s="1">
        <v>45245</v>
      </c>
      <c r="H1829" s="1">
        <v>8.9433722000000007</v>
      </c>
      <c r="I1829" s="1">
        <v>-3.9397426999999992</v>
      </c>
      <c r="J1829" s="1">
        <v>5.0036294999999997</v>
      </c>
      <c r="N1829" s="1">
        <v>85.161740288960203</v>
      </c>
      <c r="O1829" s="1">
        <v>52.473361838440091</v>
      </c>
      <c r="P1829" s="1">
        <v>6589.1444989789989</v>
      </c>
    </row>
    <row r="1830" spans="7:16" x14ac:dyDescent="0.2">
      <c r="G1830" s="1">
        <v>45246</v>
      </c>
      <c r="H1830" s="1">
        <v>10.628761299999999</v>
      </c>
      <c r="I1830" s="1">
        <v>-3.5596779999999995</v>
      </c>
      <c r="J1830" s="1">
        <v>7.0690832999999991</v>
      </c>
      <c r="N1830" s="1">
        <v>85.165817383553204</v>
      </c>
      <c r="O1830" s="1">
        <v>52.157181615598887</v>
      </c>
      <c r="P1830" s="1">
        <v>6607.9929741789356</v>
      </c>
    </row>
    <row r="1831" spans="7:16" x14ac:dyDescent="0.2">
      <c r="G1831" s="1">
        <v>45247</v>
      </c>
      <c r="H1831" s="1">
        <v>8.5876593000000021</v>
      </c>
      <c r="I1831" s="1">
        <v>-9.6487999999999996</v>
      </c>
      <c r="J1831" s="1">
        <v>-1.0611407000000004</v>
      </c>
      <c r="N1831" s="1">
        <v>85.659898949780811</v>
      </c>
      <c r="O1831" s="1">
        <v>52.911175766016726</v>
      </c>
      <c r="P1831" s="1">
        <v>6609.5798005788729</v>
      </c>
    </row>
    <row r="1832" spans="7:16" x14ac:dyDescent="0.2">
      <c r="G1832" s="1">
        <v>45250</v>
      </c>
      <c r="H1832" s="1">
        <v>8.6680843000000021</v>
      </c>
      <c r="I1832" s="1">
        <v>-3.1178256000000002</v>
      </c>
      <c r="J1832" s="1">
        <v>5.5502586999999988</v>
      </c>
      <c r="N1832" s="1">
        <v>87.046239167664993</v>
      </c>
      <c r="O1832" s="1">
        <v>53.683656685236762</v>
      </c>
      <c r="P1832" s="1">
        <v>6633.6539584788106</v>
      </c>
    </row>
    <row r="1833" spans="7:16" x14ac:dyDescent="0.2">
      <c r="G1833" s="1">
        <v>45251</v>
      </c>
      <c r="H1833" s="1">
        <v>9.1311809000000039</v>
      </c>
      <c r="I1833" s="1">
        <v>-4.4320114999999998</v>
      </c>
      <c r="J1833" s="1">
        <v>4.6991693999999988</v>
      </c>
      <c r="N1833" s="1">
        <v>86.598082365761215</v>
      </c>
      <c r="O1833" s="1">
        <v>53.450515598885808</v>
      </c>
      <c r="P1833" s="1">
        <v>6680.2844685287455</v>
      </c>
    </row>
    <row r="1834" spans="7:16" x14ac:dyDescent="0.2">
      <c r="G1834" s="1">
        <v>45252</v>
      </c>
      <c r="H1834" s="1">
        <v>4.8705812000000002</v>
      </c>
      <c r="I1834" s="1">
        <v>-5.7543260999999992</v>
      </c>
      <c r="J1834" s="1">
        <v>-0.8837448999999985</v>
      </c>
      <c r="N1834" s="1">
        <v>87.221351952790073</v>
      </c>
      <c r="O1834" s="1">
        <v>53.679472980501387</v>
      </c>
      <c r="P1834" s="1">
        <v>6672.1580560786924</v>
      </c>
    </row>
    <row r="1835" spans="7:16" x14ac:dyDescent="0.2">
      <c r="G1835" s="1">
        <v>45253</v>
      </c>
      <c r="H1835" s="1">
        <v>0.86595420000000001</v>
      </c>
      <c r="I1835" s="1">
        <v>-0.15954940000000001</v>
      </c>
      <c r="J1835" s="1">
        <v>0.70640480000000005</v>
      </c>
      <c r="N1835" s="1">
        <v>87.351570710148465</v>
      </c>
      <c r="O1835" s="1">
        <v>53.934693175487482</v>
      </c>
      <c r="P1835" s="1">
        <v>6684.9256861786234</v>
      </c>
    </row>
    <row r="1836" spans="7:16" x14ac:dyDescent="0.2">
      <c r="G1836" s="1">
        <v>45254</v>
      </c>
      <c r="H1836" s="1">
        <v>2.6140534000000004</v>
      </c>
      <c r="I1836" s="1">
        <v>-4.1903128000000001</v>
      </c>
      <c r="J1836" s="1">
        <v>-1.5762594000000005</v>
      </c>
      <c r="N1836" s="1">
        <v>87.477694168443207</v>
      </c>
      <c r="O1836" s="1">
        <v>54.127850974930368</v>
      </c>
      <c r="P1836" s="1">
        <v>6693.7790137285601</v>
      </c>
    </row>
    <row r="1837" spans="7:16" x14ac:dyDescent="0.2">
      <c r="G1837" s="1">
        <v>45257</v>
      </c>
      <c r="H1837" s="1">
        <v>6.5179450999999986</v>
      </c>
      <c r="I1837" s="1">
        <v>-7.0076210999999997</v>
      </c>
      <c r="J1837" s="1">
        <v>-0.48967599999999994</v>
      </c>
      <c r="N1837" s="1">
        <v>87.226445101259614</v>
      </c>
      <c r="O1837" s="1">
        <v>53.892516155988858</v>
      </c>
      <c r="P1837" s="1">
        <v>6697.1156681784951</v>
      </c>
    </row>
    <row r="1838" spans="7:16" x14ac:dyDescent="0.2">
      <c r="G1838" s="1">
        <v>45258</v>
      </c>
      <c r="H1838" s="1">
        <v>11.070431299999997</v>
      </c>
      <c r="I1838" s="1">
        <v>-6.7788209000000004</v>
      </c>
      <c r="J1838" s="1">
        <v>4.2916103999999988</v>
      </c>
      <c r="N1838" s="1">
        <v>87.598026477807934</v>
      </c>
      <c r="O1838" s="1">
        <v>54.324455431754899</v>
      </c>
      <c r="P1838" s="1">
        <v>6690.1190909784318</v>
      </c>
    </row>
    <row r="1839" spans="7:16" x14ac:dyDescent="0.2">
      <c r="G1839" s="1">
        <v>45259</v>
      </c>
      <c r="H1839" s="1">
        <v>11.0284826</v>
      </c>
      <c r="I1839" s="1">
        <v>-5.2457948999999999</v>
      </c>
      <c r="J1839" s="1">
        <v>5.7826877000000003</v>
      </c>
      <c r="N1839" s="1">
        <v>87.692857126072255</v>
      </c>
      <c r="O1839" s="1">
        <v>54.556154874651824</v>
      </c>
      <c r="P1839" s="1">
        <v>6709.5219116783701</v>
      </c>
    </row>
    <row r="1840" spans="7:16" x14ac:dyDescent="0.2">
      <c r="G1840" s="1">
        <v>45260</v>
      </c>
      <c r="H1840" s="1">
        <v>5.1101968999999992</v>
      </c>
      <c r="I1840" s="1">
        <v>-10.875793200000002</v>
      </c>
      <c r="J1840" s="1">
        <v>-5.7655962999999995</v>
      </c>
      <c r="N1840" s="1">
        <v>88.08091119653001</v>
      </c>
      <c r="O1840" s="1">
        <v>54.804838997214482</v>
      </c>
      <c r="P1840" s="1">
        <v>6720.8338066783099</v>
      </c>
    </row>
    <row r="1841" spans="7:16" x14ac:dyDescent="0.2">
      <c r="G1841" s="1">
        <v>45261</v>
      </c>
      <c r="H1841" s="1">
        <v>12.150192699999998</v>
      </c>
      <c r="I1841" s="1">
        <v>-8.0421721999999995</v>
      </c>
      <c r="J1841" s="1">
        <v>4.1080204999999985</v>
      </c>
      <c r="N1841" s="1">
        <v>89.58651881198719</v>
      </c>
      <c r="O1841" s="1">
        <v>56.242227855153224</v>
      </c>
      <c r="P1841" s="1">
        <v>6727.4706200782448</v>
      </c>
    </row>
    <row r="1842" spans="7:16" x14ac:dyDescent="0.2">
      <c r="G1842" s="1">
        <v>45264</v>
      </c>
      <c r="H1842" s="1">
        <v>9.6793144999999985</v>
      </c>
      <c r="I1842" s="1">
        <v>-5.5476684000000009</v>
      </c>
      <c r="J1842" s="1">
        <v>4.1316461000000002</v>
      </c>
      <c r="N1842" s="1">
        <v>88.574653672344709</v>
      </c>
      <c r="O1842" s="1">
        <v>55.532072144846815</v>
      </c>
      <c r="P1842" s="1">
        <v>6790.5006481781866</v>
      </c>
    </row>
    <row r="1843" spans="7:16" x14ac:dyDescent="0.2">
      <c r="G1843" s="1">
        <v>45265</v>
      </c>
      <c r="H1843" s="1">
        <v>9.7300097000000001</v>
      </c>
      <c r="I1843" s="1">
        <v>-5.0420593999999994</v>
      </c>
      <c r="J1843" s="1">
        <v>4.6879502999999989</v>
      </c>
      <c r="N1843" s="1">
        <v>88.338117442216159</v>
      </c>
      <c r="O1843" s="1">
        <v>55.015853760445701</v>
      </c>
      <c r="P1843" s="1">
        <v>6762.1727704781224</v>
      </c>
    </row>
    <row r="1844" spans="7:16" x14ac:dyDescent="0.2">
      <c r="G1844" s="1">
        <v>45266</v>
      </c>
      <c r="H1844" s="1">
        <v>10.190823099999999</v>
      </c>
      <c r="I1844" s="1">
        <v>-4.9631871000000007</v>
      </c>
      <c r="J1844" s="1">
        <v>5.2276359999999986</v>
      </c>
      <c r="N1844" s="1">
        <v>87.930884554706637</v>
      </c>
      <c r="O1844" s="1">
        <v>55.102700835654609</v>
      </c>
      <c r="P1844" s="1">
        <v>6751.18255047806</v>
      </c>
    </row>
    <row r="1845" spans="7:16" x14ac:dyDescent="0.2">
      <c r="G1845" s="1">
        <v>45267</v>
      </c>
      <c r="H1845" s="1">
        <v>6.6147246999999991</v>
      </c>
      <c r="I1845" s="1">
        <v>-7.4879933000000021</v>
      </c>
      <c r="J1845" s="1">
        <v>-0.87326860000000017</v>
      </c>
      <c r="N1845" s="1">
        <v>89.343094847312344</v>
      </c>
      <c r="O1845" s="1">
        <v>55.711059331476335</v>
      </c>
      <c r="P1845" s="1">
        <v>6753.2672349779959</v>
      </c>
    </row>
    <row r="1846" spans="7:16" x14ac:dyDescent="0.2">
      <c r="G1846" s="1">
        <v>45268</v>
      </c>
      <c r="H1846" s="1">
        <v>7.8842408999999991</v>
      </c>
      <c r="I1846" s="1">
        <v>-7.1967089</v>
      </c>
      <c r="J1846" s="1">
        <v>0.68753200000000014</v>
      </c>
      <c r="N1846" s="1">
        <v>89.768658986661706</v>
      </c>
      <c r="O1846" s="1">
        <v>55.712766573816154</v>
      </c>
      <c r="P1846" s="1">
        <v>6790.9508468779331</v>
      </c>
    </row>
    <row r="1847" spans="7:16" x14ac:dyDescent="0.2">
      <c r="G1847" s="1">
        <v>45271</v>
      </c>
      <c r="H1847" s="1">
        <v>9.3986900000000002</v>
      </c>
      <c r="I1847" s="1">
        <v>-8.2060860000000009</v>
      </c>
      <c r="J1847" s="1">
        <v>1.1926040000000011</v>
      </c>
      <c r="N1847" s="1">
        <v>90.689157330368005</v>
      </c>
      <c r="O1847" s="1">
        <v>56.165319498607261</v>
      </c>
      <c r="P1847" s="1">
        <v>6789.7717436778676</v>
      </c>
    </row>
    <row r="1848" spans="7:16" x14ac:dyDescent="0.2">
      <c r="G1848" s="1">
        <v>45272</v>
      </c>
      <c r="H1848" s="1">
        <v>13.816314700000001</v>
      </c>
      <c r="I1848" s="1">
        <v>-9.4888210999999973</v>
      </c>
      <c r="J1848" s="1">
        <v>4.3274936000000004</v>
      </c>
      <c r="N1848" s="1">
        <v>91.446458071840894</v>
      </c>
      <c r="O1848" s="1">
        <v>56.450826880222841</v>
      </c>
      <c r="P1848" s="1">
        <v>6814.6119663778072</v>
      </c>
    </row>
    <row r="1849" spans="7:16" x14ac:dyDescent="0.2">
      <c r="G1849" s="1">
        <v>45273</v>
      </c>
      <c r="H1849" s="1">
        <v>35.642074100000002</v>
      </c>
      <c r="I1849" s="1">
        <v>-5.4749347000000004</v>
      </c>
      <c r="J1849" s="1">
        <v>30.167139399999996</v>
      </c>
      <c r="N1849" s="1">
        <v>94.204061008696826</v>
      </c>
      <c r="O1849" s="1">
        <v>58.314417827298058</v>
      </c>
      <c r="P1849" s="1">
        <v>6838.2179343777452</v>
      </c>
    </row>
    <row r="1850" spans="7:16" x14ac:dyDescent="0.2">
      <c r="G1850" s="1">
        <v>45274</v>
      </c>
      <c r="H1850" s="1">
        <v>16.7594724</v>
      </c>
      <c r="I1850" s="1">
        <v>-8.3375331999999993</v>
      </c>
      <c r="J1850" s="1">
        <v>8.4219391999999988</v>
      </c>
      <c r="N1850" s="1">
        <v>95.454721465714258</v>
      </c>
      <c r="O1850" s="1">
        <v>60.362585793871865</v>
      </c>
      <c r="P1850" s="1">
        <v>6961.8895408776834</v>
      </c>
    </row>
    <row r="1851" spans="7:16" x14ac:dyDescent="0.2">
      <c r="G1851" s="1">
        <v>45275</v>
      </c>
      <c r="H1851" s="1">
        <v>28.351497800000011</v>
      </c>
      <c r="I1851" s="1">
        <v>-33.017453000000003</v>
      </c>
      <c r="J1851" s="1">
        <v>-4.6659552000000035</v>
      </c>
      <c r="N1851" s="1">
        <v>95.140340761750821</v>
      </c>
      <c r="O1851" s="1">
        <v>59.780414206128114</v>
      </c>
      <c r="P1851" s="1">
        <v>7031.8276702776211</v>
      </c>
    </row>
    <row r="1852" spans="7:16" x14ac:dyDescent="0.2">
      <c r="G1852" s="1">
        <v>45278</v>
      </c>
      <c r="H1852" s="1">
        <v>21.965115900000004</v>
      </c>
      <c r="I1852" s="1">
        <v>-15.736229900000005</v>
      </c>
      <c r="J1852" s="1">
        <v>6.2288859999999957</v>
      </c>
      <c r="N1852" s="1">
        <v>95.860272677696557</v>
      </c>
      <c r="O1852" s="1">
        <v>59.893831197771618</v>
      </c>
      <c r="P1852" s="1">
        <v>7023.2097228775556</v>
      </c>
    </row>
    <row r="1853" spans="7:16" x14ac:dyDescent="0.2">
      <c r="G1853" s="1">
        <v>45279</v>
      </c>
      <c r="H1853" s="1">
        <v>11.950132599999998</v>
      </c>
      <c r="I1853" s="1">
        <v>-7.7506197000000006</v>
      </c>
      <c r="J1853" s="1">
        <v>4.1995129000000002</v>
      </c>
      <c r="N1853" s="1">
        <v>97.120109090268159</v>
      </c>
      <c r="O1853" s="1">
        <v>61.02588189415043</v>
      </c>
      <c r="P1853" s="1">
        <v>7012.7248815774929</v>
      </c>
    </row>
    <row r="1854" spans="7:16" x14ac:dyDescent="0.2">
      <c r="G1854" s="1">
        <v>45280</v>
      </c>
      <c r="H1854" s="1">
        <v>16.108845800000001</v>
      </c>
      <c r="I1854" s="1">
        <v>-6.7354144999999992</v>
      </c>
      <c r="J1854" s="1">
        <v>9.3734313000000036</v>
      </c>
      <c r="N1854" s="1">
        <v>94.709760643140527</v>
      </c>
      <c r="O1854" s="1">
        <v>59.685760167130894</v>
      </c>
      <c r="P1854" s="1">
        <v>7062.2072149774303</v>
      </c>
    </row>
    <row r="1855" spans="7:16" x14ac:dyDescent="0.2">
      <c r="G1855" s="1">
        <v>45281</v>
      </c>
      <c r="H1855" s="1">
        <v>8.9427195999999984</v>
      </c>
      <c r="I1855" s="1">
        <v>-7.3691692000000009</v>
      </c>
      <c r="J1855" s="1">
        <v>1.5735503999999996</v>
      </c>
      <c r="N1855" s="1">
        <v>96.560016126516388</v>
      </c>
      <c r="O1855" s="1">
        <v>60.848259331476335</v>
      </c>
      <c r="P1855" s="1">
        <v>6991.2758209773665</v>
      </c>
    </row>
    <row r="1856" spans="7:16" x14ac:dyDescent="0.2">
      <c r="G1856" s="1">
        <v>45282</v>
      </c>
      <c r="H1856" s="1">
        <v>14.743987099999998</v>
      </c>
      <c r="I1856" s="1">
        <v>-9.0037507999999988</v>
      </c>
      <c r="J1856" s="1">
        <v>5.7402362999999976</v>
      </c>
      <c r="N1856" s="1">
        <v>96.956556043038177</v>
      </c>
      <c r="O1856" s="1">
        <v>61.226460167130931</v>
      </c>
      <c r="P1856" s="1">
        <v>7046.0982406773064</v>
      </c>
    </row>
    <row r="1857" spans="7:16" x14ac:dyDescent="0.2">
      <c r="G1857" s="1">
        <v>45285</v>
      </c>
      <c r="H1857" s="1">
        <v>0.89277620000000002</v>
      </c>
      <c r="I1857" s="1">
        <v>-0.22643099999999999</v>
      </c>
      <c r="J1857" s="1">
        <v>0.66634519999999997</v>
      </c>
      <c r="N1857" s="1">
        <v>97.484075713074262</v>
      </c>
      <c r="O1857" s="1">
        <v>61.643938532961961</v>
      </c>
      <c r="P1857" s="1">
        <v>7052.8387500772433</v>
      </c>
    </row>
    <row r="1858" spans="7:16" x14ac:dyDescent="0.2">
      <c r="G1858" s="1">
        <v>45286</v>
      </c>
      <c r="H1858" s="1">
        <v>5.4434418999999989</v>
      </c>
      <c r="I1858" s="1">
        <v>-2.7634721999999998</v>
      </c>
      <c r="J1858" s="1">
        <v>2.6799697</v>
      </c>
      <c r="N1858" s="1">
        <v>97.990795465297552</v>
      </c>
      <c r="O1858" s="1">
        <v>62.032794893221919</v>
      </c>
      <c r="P1858" s="1">
        <v>7083.9326647788421</v>
      </c>
    </row>
    <row r="1859" spans="7:16" x14ac:dyDescent="0.2">
      <c r="G1859" s="1">
        <v>45287</v>
      </c>
      <c r="H1859" s="1">
        <v>6.7189802999999984</v>
      </c>
      <c r="I1859" s="1">
        <v>-2.0339826999999997</v>
      </c>
      <c r="J1859" s="1">
        <v>4.6849976</v>
      </c>
      <c r="N1859" s="1">
        <v>98.489187768244861</v>
      </c>
      <c r="O1859" s="1">
        <v>62.562461559888582</v>
      </c>
      <c r="P1859" s="1">
        <v>7109.0821481804569</v>
      </c>
    </row>
    <row r="1860" spans="7:16" x14ac:dyDescent="0.2">
      <c r="G1860" s="1">
        <v>45288</v>
      </c>
      <c r="H1860" s="1">
        <v>11.748993599999999</v>
      </c>
      <c r="I1860" s="1">
        <v>-3.0536786</v>
      </c>
      <c r="J1860" s="1">
        <v>8.6953150000000026</v>
      </c>
      <c r="N1860" s="1">
        <v>98.559584441366638</v>
      </c>
      <c r="O1860" s="1">
        <v>62.638799442896946</v>
      </c>
      <c r="P1860" s="1">
        <v>7128.605323477057</v>
      </c>
    </row>
    <row r="1861" spans="7:16" x14ac:dyDescent="0.2">
      <c r="G1861" s="1">
        <v>45289</v>
      </c>
      <c r="H1861" s="1">
        <v>5.6972393000000006</v>
      </c>
      <c r="I1861" s="1">
        <v>-6.8961103000000001</v>
      </c>
      <c r="J1861" s="1">
        <v>-1.1988709999999996</v>
      </c>
      <c r="N1861" s="1">
        <v>97.93804129112452</v>
      </c>
      <c r="O1861" s="1">
        <v>62.296713091921994</v>
      </c>
      <c r="P1861" s="1">
        <v>7139.5623852769959</v>
      </c>
    </row>
    <row r="1862" spans="7:16" x14ac:dyDescent="0.2">
      <c r="G1862" s="1">
        <v>45292</v>
      </c>
      <c r="H1862" s="1">
        <v>0</v>
      </c>
      <c r="I1862" s="1">
        <v>0</v>
      </c>
      <c r="J1862" s="1">
        <v>0</v>
      </c>
      <c r="N1862" s="1">
        <v>97.08559357519637</v>
      </c>
      <c r="O1862" s="1">
        <v>61.727169753946114</v>
      </c>
      <c r="P1862" s="1">
        <v>7119.706542676935</v>
      </c>
    </row>
    <row r="1863" spans="7:16" x14ac:dyDescent="0.2">
      <c r="G1863" s="1">
        <v>45293</v>
      </c>
      <c r="H1863" s="1">
        <v>5.4685241999999992</v>
      </c>
      <c r="I1863" s="1">
        <v>-7.8482702000000018</v>
      </c>
      <c r="J1863" s="1">
        <v>-2.3797460000000004</v>
      </c>
      <c r="N1863" s="1">
        <v>96.306912561341392</v>
      </c>
      <c r="O1863" s="1">
        <v>61.136539786443841</v>
      </c>
      <c r="P1863" s="1">
        <v>7097.1091298702031</v>
      </c>
    </row>
    <row r="1864" spans="7:16" x14ac:dyDescent="0.2">
      <c r="G1864" s="1">
        <v>45294</v>
      </c>
      <c r="H1864" s="1">
        <v>10.131758999999999</v>
      </c>
      <c r="I1864" s="1">
        <v>-7.5445811999999988</v>
      </c>
      <c r="J1864" s="1">
        <v>2.5871778000000019</v>
      </c>
      <c r="N1864" s="1">
        <v>94.441822979924396</v>
      </c>
      <c r="O1864" s="1">
        <v>59.732319986072419</v>
      </c>
      <c r="P1864" s="1">
        <v>7077.4441441634735</v>
      </c>
    </row>
    <row r="1865" spans="7:16" x14ac:dyDescent="0.2">
      <c r="G1865" s="1">
        <v>45295</v>
      </c>
      <c r="H1865" s="1">
        <v>5.9331233999999995</v>
      </c>
      <c r="I1865" s="1">
        <v>-6.2565470000000003</v>
      </c>
      <c r="J1865" s="1">
        <v>-0.32342359999999987</v>
      </c>
      <c r="N1865" s="1">
        <v>93.909614013479299</v>
      </c>
      <c r="O1865" s="1">
        <v>59.571035097493024</v>
      </c>
      <c r="P1865" s="1">
        <v>7014.7913458767416</v>
      </c>
    </row>
    <row r="1866" spans="7:16" x14ac:dyDescent="0.2">
      <c r="G1866" s="1">
        <v>45296</v>
      </c>
      <c r="H1866" s="1">
        <v>8.1380321999999996</v>
      </c>
      <c r="I1866" s="1">
        <v>-7.6679664999999977</v>
      </c>
      <c r="J1866" s="1">
        <v>0.47006570000000014</v>
      </c>
      <c r="N1866" s="1">
        <v>94.116581900160512</v>
      </c>
      <c r="O1866" s="1">
        <v>59.714011420612792</v>
      </c>
      <c r="P1866" s="1">
        <v>6998.3109803766811</v>
      </c>
    </row>
    <row r="1867" spans="7:16" x14ac:dyDescent="0.2">
      <c r="G1867" s="1">
        <v>45299</v>
      </c>
      <c r="H1867" s="1">
        <v>7.1671958000000009</v>
      </c>
      <c r="I1867" s="1">
        <v>-5.7580598999999992</v>
      </c>
      <c r="J1867" s="1">
        <v>1.4091359000000003</v>
      </c>
      <c r="N1867" s="1">
        <v>96.65712029617977</v>
      </c>
      <c r="O1867" s="1">
        <v>60.886155988857929</v>
      </c>
      <c r="P1867" s="1">
        <v>7004.0794197766127</v>
      </c>
    </row>
    <row r="1868" spans="7:16" x14ac:dyDescent="0.2">
      <c r="G1868" s="1">
        <v>45300</v>
      </c>
      <c r="H1868" s="1">
        <v>5.9266317000000006</v>
      </c>
      <c r="I1868" s="1">
        <v>-8.1173563000000009</v>
      </c>
      <c r="J1868" s="1">
        <v>-2.1907246000000007</v>
      </c>
      <c r="N1868" s="1">
        <v>96.36322881495704</v>
      </c>
      <c r="O1868" s="1">
        <v>60.352710863509742</v>
      </c>
      <c r="P1868" s="1">
        <v>7073.1138679765563</v>
      </c>
    </row>
    <row r="1869" spans="7:16" x14ac:dyDescent="0.2">
      <c r="G1869" s="1">
        <v>45301</v>
      </c>
      <c r="H1869" s="1">
        <v>7.1560501000000007</v>
      </c>
      <c r="I1869" s="1">
        <v>-4.8411221000000015</v>
      </c>
      <c r="J1869" s="1">
        <v>2.3149279999999997</v>
      </c>
      <c r="N1869" s="1">
        <v>97.332484462817007</v>
      </c>
      <c r="O1869" s="1">
        <v>60.825643454039003</v>
      </c>
      <c r="P1869" s="1">
        <v>7052.9405465764894</v>
      </c>
    </row>
    <row r="1870" spans="7:16" x14ac:dyDescent="0.2">
      <c r="G1870" s="1">
        <v>45302</v>
      </c>
      <c r="H1870" s="1">
        <v>8.5767889999999998</v>
      </c>
      <c r="I1870" s="1">
        <v>-7.3073411000000004</v>
      </c>
      <c r="J1870" s="1">
        <v>1.2694478999999999</v>
      </c>
      <c r="N1870" s="1">
        <v>97.386436587108591</v>
      </c>
      <c r="O1870" s="1">
        <v>60.74473955431754</v>
      </c>
      <c r="P1870" s="1">
        <v>7079.9025829764296</v>
      </c>
    </row>
    <row r="1871" spans="7:16" x14ac:dyDescent="0.2">
      <c r="G1871" s="1">
        <v>45303</v>
      </c>
      <c r="H1871" s="1">
        <v>6.6615789000000003</v>
      </c>
      <c r="I1871" s="1">
        <v>-4.804942099999999</v>
      </c>
      <c r="J1871" s="1">
        <v>1.8566368000000002</v>
      </c>
      <c r="N1871" s="1">
        <v>97.771121767508177</v>
      </c>
      <c r="O1871" s="1">
        <v>61.321513091922</v>
      </c>
      <c r="P1871" s="1">
        <v>7085.2400738763636</v>
      </c>
    </row>
    <row r="1872" spans="7:16" x14ac:dyDescent="0.2">
      <c r="G1872" s="1">
        <v>45306</v>
      </c>
      <c r="H1872" s="1">
        <v>1.2625736000000001</v>
      </c>
      <c r="I1872" s="1">
        <v>-1.0425200999999999</v>
      </c>
      <c r="J1872" s="1">
        <v>0.22005350000000004</v>
      </c>
      <c r="N1872" s="1">
        <v>97.412554620596936</v>
      </c>
      <c r="O1872" s="1">
        <v>60.841981754874652</v>
      </c>
      <c r="P1872" s="1">
        <v>7102.8547061763047</v>
      </c>
    </row>
    <row r="1873" spans="7:16" x14ac:dyDescent="0.2">
      <c r="G1873" s="1">
        <v>45307</v>
      </c>
      <c r="H1873" s="1">
        <v>6.1730205000000007</v>
      </c>
      <c r="I1873" s="1">
        <v>-5.8074350000000017</v>
      </c>
      <c r="J1873" s="1">
        <v>0.36558549999999934</v>
      </c>
      <c r="N1873" s="1">
        <v>96.747753848567868</v>
      </c>
      <c r="O1873" s="1">
        <v>59.868196100278567</v>
      </c>
      <c r="P1873" s="1">
        <v>7081.9014878762437</v>
      </c>
    </row>
    <row r="1874" spans="7:16" x14ac:dyDescent="0.2">
      <c r="G1874" s="1">
        <v>45308</v>
      </c>
      <c r="H1874" s="1">
        <v>7.3284872000000014</v>
      </c>
      <c r="I1874" s="1">
        <v>-6.7372281000000021</v>
      </c>
      <c r="J1874" s="1">
        <v>0.59125909999999926</v>
      </c>
      <c r="N1874" s="1">
        <v>95.504391010258104</v>
      </c>
      <c r="O1874" s="1">
        <v>58.568895543175472</v>
      </c>
      <c r="P1874" s="1">
        <v>7052.3726946761808</v>
      </c>
    </row>
    <row r="1875" spans="7:16" x14ac:dyDescent="0.2">
      <c r="G1875" s="1">
        <v>45309</v>
      </c>
      <c r="H1875" s="1">
        <v>9.4351158000000002</v>
      </c>
      <c r="I1875" s="1">
        <v>-12.773401800000002</v>
      </c>
      <c r="J1875" s="1">
        <v>-3.3382860000000005</v>
      </c>
      <c r="N1875" s="1">
        <v>97.170801123004907</v>
      </c>
      <c r="O1875" s="1">
        <v>59.423225626740944</v>
      </c>
      <c r="P1875" s="1">
        <v>7003.5086165761149</v>
      </c>
    </row>
    <row r="1876" spans="7:16" x14ac:dyDescent="0.2">
      <c r="G1876" s="1">
        <v>45310</v>
      </c>
      <c r="H1876" s="1">
        <v>9.8648416999999995</v>
      </c>
      <c r="I1876" s="1">
        <v>-5.2326239000000001</v>
      </c>
      <c r="J1876" s="1">
        <v>4.6322178000000012</v>
      </c>
      <c r="N1876" s="1">
        <v>99.607155316961581</v>
      </c>
      <c r="O1876" s="1">
        <v>60.598092200557105</v>
      </c>
      <c r="P1876" s="1">
        <v>7041.6399089760525</v>
      </c>
    </row>
    <row r="1877" spans="7:16" x14ac:dyDescent="0.2">
      <c r="G1877" s="1">
        <v>45313</v>
      </c>
      <c r="H1877" s="1">
        <v>15.368423300000003</v>
      </c>
      <c r="I1877" s="1">
        <v>-5.702098799999999</v>
      </c>
      <c r="J1877" s="1">
        <v>9.6663245000000018</v>
      </c>
      <c r="N1877" s="1">
        <v>100.44807292779558</v>
      </c>
      <c r="O1877" s="1">
        <v>61.243164623955401</v>
      </c>
      <c r="P1877" s="1">
        <v>7106.1481857759891</v>
      </c>
    </row>
    <row r="1878" spans="7:16" x14ac:dyDescent="0.2">
      <c r="G1878" s="1">
        <v>45314</v>
      </c>
      <c r="H1878" s="1">
        <v>5.6447720000000015</v>
      </c>
      <c r="I1878" s="1">
        <v>-4.5715267000000006</v>
      </c>
      <c r="J1878" s="1">
        <v>1.0732452999999993</v>
      </c>
      <c r="N1878" s="1">
        <v>100.75046160608494</v>
      </c>
      <c r="O1878" s="1">
        <v>61.159864345403875</v>
      </c>
      <c r="P1878" s="1">
        <v>7145.5944248759215</v>
      </c>
    </row>
    <row r="1879" spans="7:16" x14ac:dyDescent="0.2">
      <c r="G1879" s="1">
        <v>45315</v>
      </c>
      <c r="H1879" s="1">
        <v>7.611428700000002</v>
      </c>
      <c r="I1879" s="1">
        <v>-4.525115200000001</v>
      </c>
      <c r="J1879" s="1">
        <v>3.0863135000000002</v>
      </c>
      <c r="N1879" s="1">
        <v>101.12357686361879</v>
      </c>
      <c r="O1879" s="1">
        <v>61.649256267409484</v>
      </c>
      <c r="P1879" s="1">
        <v>7149.5215722758649</v>
      </c>
    </row>
    <row r="1880" spans="7:16" x14ac:dyDescent="0.2">
      <c r="G1880" s="1">
        <v>45316</v>
      </c>
      <c r="H1880" s="1">
        <v>14.895559100000003</v>
      </c>
      <c r="I1880" s="1">
        <v>-9.0997729000000014</v>
      </c>
      <c r="J1880" s="1">
        <v>5.7957861999999984</v>
      </c>
      <c r="N1880" s="1">
        <v>101.90961583509727</v>
      </c>
      <c r="O1880" s="1">
        <v>62.204893036211693</v>
      </c>
      <c r="P1880" s="1">
        <v>7162.1570790757996</v>
      </c>
    </row>
    <row r="1881" spans="7:16" x14ac:dyDescent="0.2">
      <c r="G1881" s="1">
        <v>45317</v>
      </c>
      <c r="H1881" s="1">
        <v>4.9741053000000006</v>
      </c>
      <c r="I1881" s="1">
        <v>-10.544606399999999</v>
      </c>
      <c r="J1881" s="1">
        <v>-5.5705010999999987</v>
      </c>
      <c r="N1881" s="1">
        <v>101.5781660956918</v>
      </c>
      <c r="O1881" s="1">
        <v>62.299311420612824</v>
      </c>
      <c r="P1881" s="1">
        <v>7195.3644228757366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Fund List</vt:lpstr>
      <vt:lpstr>Attribute Map</vt:lpstr>
      <vt:lpstr>Main</vt:lpstr>
      <vt:lpstr>Equity</vt:lpstr>
      <vt:lpstr>FI</vt:lpstr>
      <vt:lpstr>Exception</vt:lpstr>
      <vt:lpstr>Setting</vt:lpstr>
      <vt:lpstr>Lists</vt:lpstr>
      <vt:lpstr>ViewData</vt:lpstr>
      <vt:lpstr>AttributeMap</vt:lpstr>
      <vt:lpstr>CalcMode</vt:lpstr>
      <vt:lpstr>Ccy</vt:lpstr>
      <vt:lpstr>CompareData</vt:lpstr>
      <vt:lpstr>CompareData_AUM</vt:lpstr>
      <vt:lpstr>CompFlow</vt:lpstr>
      <vt:lpstr>CompMode</vt:lpstr>
      <vt:lpstr>CurrentSelection</vt:lpstr>
      <vt:lpstr>CustomFieldStart</vt:lpstr>
      <vt:lpstr>DataFillCutOff</vt:lpstr>
      <vt:lpstr>DataFillFlag</vt:lpstr>
      <vt:lpstr>DataMissing</vt:lpstr>
      <vt:lpstr>EndDate</vt:lpstr>
      <vt:lpstr>ExDataFund</vt:lpstr>
      <vt:lpstr>ExMoneyFund</vt:lpstr>
      <vt:lpstr>FieldList</vt:lpstr>
      <vt:lpstr>FundList</vt:lpstr>
      <vt:lpstr>HistFundAUM</vt:lpstr>
      <vt:lpstr>HistFundFlow</vt:lpstr>
      <vt:lpstr>HistFundPerformance</vt:lpstr>
      <vt:lpstr>isSorting</vt:lpstr>
      <vt:lpstr>Limit</vt:lpstr>
      <vt:lpstr>MainTableBottomMark</vt:lpstr>
      <vt:lpstr>NextLevelAttribute</vt:lpstr>
      <vt:lpstr>NonNAV</vt:lpstr>
      <vt:lpstr>NumComp</vt:lpstr>
      <vt:lpstr>Original</vt:lpstr>
      <vt:lpstr>Output</vt:lpstr>
      <vt:lpstr>Per</vt:lpstr>
      <vt:lpstr>QuickPer</vt:lpstr>
      <vt:lpstr>RelFlowCalcAUM</vt:lpstr>
      <vt:lpstr>ReportStart</vt:lpstr>
      <vt:lpstr>ReturnDaily</vt:lpstr>
      <vt:lpstr>RunLink</vt:lpstr>
      <vt:lpstr>ShowUpTo</vt:lpstr>
      <vt:lpstr>ShowUpToFields</vt:lpstr>
      <vt:lpstr>ShowWarning</vt:lpstr>
      <vt:lpstr>Skip</vt:lpstr>
      <vt:lpstr>SortBy</vt:lpstr>
      <vt:lpstr>SortShowUpTo</vt:lpstr>
      <vt:lpstr>StartDate</vt:lpstr>
      <vt:lpstr>SubUniverse</vt:lpstr>
      <vt:lpstr>Top10InFlowSE</vt:lpstr>
      <vt:lpstr>Top10OutSE</vt:lpstr>
      <vt:lpstr>Unit</vt:lpstr>
      <vt:lpstr>ViewName</vt:lpstr>
      <vt:lpstr>ViewStart</vt:lpstr>
      <vt:lpstr>ViewStructure</vt:lpstr>
      <vt:lpstr>Yimin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yqian7</dc:creator>
  <cp:lastModifiedBy>Microsoft Office User</cp:lastModifiedBy>
  <dcterms:created xsi:type="dcterms:W3CDTF">2014-07-11T10:57:56Z</dcterms:created>
  <dcterms:modified xsi:type="dcterms:W3CDTF">2024-03-23T14:39:13Z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289327bc-f0db-4dcd-967e-474e11b28b43</vt:lpwstr>
  </property>
</Properties>
</file>